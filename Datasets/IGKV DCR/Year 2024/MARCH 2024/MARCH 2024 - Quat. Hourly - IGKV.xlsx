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815" windowHeight="7815" tabRatio="814" firstSheet="14" activeTab="32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4" r:id="rId29"/>
    <sheet name="30" sheetId="40" r:id="rId30"/>
    <sheet name="31" sheetId="41" r:id="rId31"/>
    <sheet name="MONTHLY 31" sheetId="39" r:id="rId32"/>
    <sheet name="CALIBRATION REPORT" sheetId="6" r:id="rId33"/>
    <sheet name="POWER OFF" sheetId="5" r:id="rId34"/>
    <sheet name="MUX SIGNALS" sheetId="43" r:id="rId35"/>
  </sheets>
  <calcPr calcId="124519"/>
</workbook>
</file>

<file path=xl/calcChain.xml><?xml version="1.0" encoding="utf-8"?>
<calcChain xmlns="http://schemas.openxmlformats.org/spreadsheetml/2006/main">
  <c r="D44" i="5"/>
  <c r="D24"/>
  <c r="D23"/>
  <c r="D22"/>
  <c r="D21"/>
  <c r="D20"/>
  <c r="D19"/>
  <c r="D18"/>
  <c r="D17"/>
  <c r="D16"/>
  <c r="D15"/>
  <c r="D14"/>
  <c r="D13"/>
  <c r="D12"/>
  <c r="D11"/>
  <c r="D10"/>
  <c r="D9"/>
  <c r="D8"/>
  <c r="I119" i="6"/>
  <c r="K115"/>
  <c r="J115"/>
  <c r="I115"/>
  <c r="K114"/>
  <c r="J114"/>
  <c r="I114"/>
  <c r="K113"/>
  <c r="J113"/>
  <c r="I113"/>
  <c r="K112"/>
  <c r="J112"/>
  <c r="I112"/>
  <c r="K111"/>
  <c r="J111"/>
  <c r="I111"/>
  <c r="K110"/>
  <c r="J110"/>
  <c r="I110"/>
  <c r="K109"/>
  <c r="J109"/>
  <c r="I109"/>
  <c r="K108"/>
  <c r="J108"/>
  <c r="I108"/>
  <c r="K107"/>
  <c r="J107"/>
  <c r="I107"/>
  <c r="J101"/>
  <c r="K92"/>
  <c r="J92"/>
  <c r="K91"/>
  <c r="J91"/>
  <c r="K90"/>
  <c r="J90"/>
  <c r="K89"/>
  <c r="J89"/>
  <c r="K88"/>
  <c r="J88"/>
  <c r="K87"/>
  <c r="J87"/>
  <c r="J81"/>
  <c r="K73"/>
  <c r="J73"/>
  <c r="K72"/>
  <c r="J72"/>
  <c r="K71"/>
  <c r="J71"/>
  <c r="K70"/>
  <c r="J70"/>
  <c r="K69"/>
  <c r="J69"/>
  <c r="K68"/>
  <c r="J68"/>
  <c r="K67"/>
  <c r="J67"/>
  <c r="J61"/>
  <c r="K51"/>
  <c r="J51"/>
  <c r="K50"/>
  <c r="J50"/>
  <c r="K49"/>
  <c r="J49"/>
  <c r="K48"/>
  <c r="J48"/>
  <c r="K47"/>
  <c r="J47"/>
  <c r="J41"/>
  <c r="T40"/>
  <c r="K33"/>
  <c r="J33"/>
  <c r="K32"/>
  <c r="J32"/>
  <c r="K31"/>
  <c r="J31"/>
  <c r="K30"/>
  <c r="J30"/>
  <c r="K29"/>
  <c r="J29"/>
  <c r="K28"/>
  <c r="J28"/>
  <c r="K27"/>
  <c r="J27"/>
  <c r="T21"/>
  <c r="I21"/>
  <c r="K14"/>
  <c r="J14"/>
  <c r="K13"/>
  <c r="J13"/>
  <c r="K12"/>
  <c r="J12"/>
  <c r="K11"/>
  <c r="J11"/>
  <c r="K10"/>
  <c r="J10"/>
  <c r="K9"/>
  <c r="J9"/>
  <c r="K8"/>
  <c r="J8"/>
  <c r="Q39" i="39"/>
  <c r="P39"/>
  <c r="O39"/>
  <c r="N39"/>
  <c r="M39"/>
  <c r="L39"/>
  <c r="K39"/>
  <c r="J39"/>
  <c r="I39"/>
  <c r="H39"/>
  <c r="G39"/>
  <c r="F39"/>
  <c r="E39"/>
  <c r="D39"/>
  <c r="C39"/>
  <c r="B39"/>
  <c r="Q38"/>
  <c r="P38"/>
  <c r="O38"/>
  <c r="N38"/>
  <c r="M38"/>
  <c r="L38"/>
  <c r="K38"/>
  <c r="J38"/>
  <c r="I38"/>
  <c r="H38"/>
  <c r="G38"/>
  <c r="F38"/>
  <c r="E38"/>
  <c r="D38"/>
  <c r="C38"/>
  <c r="B38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N36"/>
  <c r="M36"/>
  <c r="L36"/>
  <c r="K36"/>
  <c r="J36"/>
  <c r="I36"/>
  <c r="H36"/>
  <c r="G36"/>
  <c r="F36"/>
  <c r="E36"/>
  <c r="D36"/>
  <c r="C36"/>
  <c r="B3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Q33"/>
  <c r="P33"/>
  <c r="O33"/>
  <c r="N33"/>
  <c r="M33"/>
  <c r="L33"/>
  <c r="K33"/>
  <c r="J33"/>
  <c r="I33"/>
  <c r="H33"/>
  <c r="G33"/>
  <c r="F33"/>
  <c r="E33"/>
  <c r="D33"/>
  <c r="C33"/>
  <c r="B33"/>
  <c r="Q32"/>
  <c r="P32"/>
  <c r="O32"/>
  <c r="N32"/>
  <c r="M32"/>
  <c r="L32"/>
  <c r="K32"/>
  <c r="J32"/>
  <c r="I32"/>
  <c r="H32"/>
  <c r="G32"/>
  <c r="F32"/>
  <c r="E32"/>
  <c r="D32"/>
  <c r="C32"/>
  <c r="B32"/>
  <c r="Q31"/>
  <c r="P31"/>
  <c r="O31"/>
  <c r="N31"/>
  <c r="M31"/>
  <c r="L31"/>
  <c r="K31"/>
  <c r="J31"/>
  <c r="I31"/>
  <c r="H31"/>
  <c r="G31"/>
  <c r="F31"/>
  <c r="E31"/>
  <c r="D31"/>
  <c r="C31"/>
  <c r="B31"/>
  <c r="Q30"/>
  <c r="P30"/>
  <c r="O30"/>
  <c r="N30"/>
  <c r="M30"/>
  <c r="L30"/>
  <c r="K30"/>
  <c r="J30"/>
  <c r="I30"/>
  <c r="H30"/>
  <c r="G30"/>
  <c r="F30"/>
  <c r="E30"/>
  <c r="D30"/>
  <c r="C30"/>
  <c r="B30"/>
  <c r="Q29"/>
  <c r="P29"/>
  <c r="O29"/>
  <c r="N29"/>
  <c r="M29"/>
  <c r="L29"/>
  <c r="K29"/>
  <c r="J29"/>
  <c r="I29"/>
  <c r="H29"/>
  <c r="G29"/>
  <c r="F29"/>
  <c r="E29"/>
  <c r="D29"/>
  <c r="C29"/>
  <c r="B29"/>
  <c r="Q28"/>
  <c r="P28"/>
  <c r="O28"/>
  <c r="N28"/>
  <c r="M28"/>
  <c r="L28"/>
  <c r="K28"/>
  <c r="J28"/>
  <c r="I28"/>
  <c r="H28"/>
  <c r="G28"/>
  <c r="F28"/>
  <c r="E28"/>
  <c r="D28"/>
  <c r="C28"/>
  <c r="B28"/>
  <c r="Q27"/>
  <c r="P27"/>
  <c r="O27"/>
  <c r="N27"/>
  <c r="M27"/>
  <c r="L27"/>
  <c r="K27"/>
  <c r="J27"/>
  <c r="I27"/>
  <c r="H27"/>
  <c r="G27"/>
  <c r="F27"/>
  <c r="E27"/>
  <c r="D27"/>
  <c r="C27"/>
  <c r="B27"/>
  <c r="Q26"/>
  <c r="P26"/>
  <c r="O26"/>
  <c r="N26"/>
  <c r="M26"/>
  <c r="L26"/>
  <c r="K26"/>
  <c r="J26"/>
  <c r="I26"/>
  <c r="H26"/>
  <c r="G26"/>
  <c r="F26"/>
  <c r="E26"/>
  <c r="D26"/>
  <c r="C26"/>
  <c r="B26"/>
  <c r="Q25"/>
  <c r="P25"/>
  <c r="O25"/>
  <c r="N25"/>
  <c r="M25"/>
  <c r="L25"/>
  <c r="K25"/>
  <c r="J25"/>
  <c r="I25"/>
  <c r="H25"/>
  <c r="G25"/>
  <c r="F25"/>
  <c r="E25"/>
  <c r="D25"/>
  <c r="C25"/>
  <c r="B25"/>
  <c r="Q24"/>
  <c r="P24"/>
  <c r="O24"/>
  <c r="N24"/>
  <c r="M24"/>
  <c r="L24"/>
  <c r="K24"/>
  <c r="J24"/>
  <c r="I24"/>
  <c r="H24"/>
  <c r="G24"/>
  <c r="F24"/>
  <c r="E24"/>
  <c r="D24"/>
  <c r="C24"/>
  <c r="B24"/>
  <c r="Q23"/>
  <c r="P23"/>
  <c r="O23"/>
  <c r="N23"/>
  <c r="M23"/>
  <c r="L23"/>
  <c r="K23"/>
  <c r="J23"/>
  <c r="I23"/>
  <c r="H23"/>
  <c r="G23"/>
  <c r="F23"/>
  <c r="E23"/>
  <c r="D23"/>
  <c r="C23"/>
  <c r="B23"/>
  <c r="Q22"/>
  <c r="P22"/>
  <c r="O22"/>
  <c r="N22"/>
  <c r="M22"/>
  <c r="L22"/>
  <c r="K22"/>
  <c r="J22"/>
  <c r="I22"/>
  <c r="H22"/>
  <c r="G22"/>
  <c r="F22"/>
  <c r="E22"/>
  <c r="D22"/>
  <c r="C22"/>
  <c r="B22"/>
  <c r="L20"/>
  <c r="G20"/>
  <c r="E20"/>
  <c r="D20"/>
  <c r="F19"/>
  <c r="E19"/>
  <c r="F13"/>
  <c r="Q112" i="41"/>
  <c r="P112"/>
  <c r="O112"/>
  <c r="N112"/>
  <c r="M112"/>
  <c r="L112"/>
  <c r="K112"/>
  <c r="J112"/>
  <c r="I112"/>
  <c r="H112"/>
  <c r="G112"/>
  <c r="F112"/>
  <c r="E112"/>
  <c r="D112"/>
  <c r="C112"/>
  <c r="B112"/>
  <c r="Q111"/>
  <c r="P111"/>
  <c r="O111"/>
  <c r="N111"/>
  <c r="M111"/>
  <c r="L111"/>
  <c r="K111"/>
  <c r="J111"/>
  <c r="I111"/>
  <c r="H111"/>
  <c r="G111"/>
  <c r="F111"/>
  <c r="E111"/>
  <c r="D111"/>
  <c r="C111"/>
  <c r="B111"/>
  <c r="Q110"/>
  <c r="P110"/>
  <c r="O110"/>
  <c r="N110"/>
  <c r="M110"/>
  <c r="L110"/>
  <c r="K110"/>
  <c r="J110"/>
  <c r="I110"/>
  <c r="H110"/>
  <c r="G110"/>
  <c r="F110"/>
  <c r="E110"/>
  <c r="D110"/>
  <c r="C110"/>
  <c r="B110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P108"/>
  <c r="O108"/>
  <c r="N108"/>
  <c r="M108"/>
  <c r="L108"/>
  <c r="K108"/>
  <c r="J108"/>
  <c r="I108"/>
  <c r="H108"/>
  <c r="G108"/>
  <c r="F108"/>
  <c r="E108"/>
  <c r="D108"/>
  <c r="C108"/>
  <c r="B108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9" i="39" s="1"/>
  <c r="Q112" i="40"/>
  <c r="P112"/>
  <c r="O112"/>
  <c r="N112"/>
  <c r="M112"/>
  <c r="L112"/>
  <c r="K112"/>
  <c r="J112"/>
  <c r="I112"/>
  <c r="H112"/>
  <c r="G112"/>
  <c r="F112"/>
  <c r="E112"/>
  <c r="D112"/>
  <c r="C112"/>
  <c r="B112"/>
  <c r="Q111"/>
  <c r="P111"/>
  <c r="O111"/>
  <c r="N111"/>
  <c r="M111"/>
  <c r="L111"/>
  <c r="K111"/>
  <c r="J111"/>
  <c r="I111"/>
  <c r="H111"/>
  <c r="G111"/>
  <c r="F111"/>
  <c r="E111"/>
  <c r="D111"/>
  <c r="C111"/>
  <c r="B111"/>
  <c r="Q110"/>
  <c r="P110"/>
  <c r="O110"/>
  <c r="N110"/>
  <c r="M110"/>
  <c r="L110"/>
  <c r="K110"/>
  <c r="J110"/>
  <c r="I110"/>
  <c r="H110"/>
  <c r="G110"/>
  <c r="F110"/>
  <c r="E110"/>
  <c r="D110"/>
  <c r="C110"/>
  <c r="B110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P108"/>
  <c r="O108"/>
  <c r="N108"/>
  <c r="M108"/>
  <c r="L108"/>
  <c r="K108"/>
  <c r="J108"/>
  <c r="I108"/>
  <c r="H108"/>
  <c r="G108"/>
  <c r="F108"/>
  <c r="E108"/>
  <c r="D108"/>
  <c r="C108"/>
  <c r="B108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8" i="39" s="1"/>
  <c r="Q112" i="44"/>
  <c r="P112"/>
  <c r="O112"/>
  <c r="N112"/>
  <c r="M112"/>
  <c r="L112"/>
  <c r="K112"/>
  <c r="J112"/>
  <c r="I112"/>
  <c r="H112"/>
  <c r="G112"/>
  <c r="F112"/>
  <c r="E112"/>
  <c r="D112"/>
  <c r="C112"/>
  <c r="B112"/>
  <c r="Q111"/>
  <c r="P111"/>
  <c r="O111"/>
  <c r="N111"/>
  <c r="M111"/>
  <c r="L111"/>
  <c r="K111"/>
  <c r="J111"/>
  <c r="I111"/>
  <c r="H111"/>
  <c r="G111"/>
  <c r="F111"/>
  <c r="E111"/>
  <c r="D111"/>
  <c r="C111"/>
  <c r="B111"/>
  <c r="Q110"/>
  <c r="P110"/>
  <c r="O110"/>
  <c r="N110"/>
  <c r="M110"/>
  <c r="L110"/>
  <c r="K110"/>
  <c r="J110"/>
  <c r="I110"/>
  <c r="H110"/>
  <c r="G110"/>
  <c r="F110"/>
  <c r="E110"/>
  <c r="D110"/>
  <c r="C110"/>
  <c r="B110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P108"/>
  <c r="O108"/>
  <c r="N108"/>
  <c r="M108"/>
  <c r="L108"/>
  <c r="K108"/>
  <c r="J108"/>
  <c r="I108"/>
  <c r="H108"/>
  <c r="G108"/>
  <c r="F108"/>
  <c r="E108"/>
  <c r="D108"/>
  <c r="C108"/>
  <c r="B108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7" i="39" s="1"/>
  <c r="Q112" i="33"/>
  <c r="P112"/>
  <c r="O112"/>
  <c r="N112"/>
  <c r="M112"/>
  <c r="L112"/>
  <c r="K112"/>
  <c r="J112"/>
  <c r="I112"/>
  <c r="H112"/>
  <c r="G112"/>
  <c r="F112"/>
  <c r="E112"/>
  <c r="D112"/>
  <c r="C112"/>
  <c r="B112"/>
  <c r="Q111"/>
  <c r="P111"/>
  <c r="O111"/>
  <c r="N111"/>
  <c r="M111"/>
  <c r="L111"/>
  <c r="K111"/>
  <c r="J111"/>
  <c r="I111"/>
  <c r="H111"/>
  <c r="G111"/>
  <c r="F111"/>
  <c r="E111"/>
  <c r="D111"/>
  <c r="C111"/>
  <c r="B111"/>
  <c r="Q110"/>
  <c r="P110"/>
  <c r="O110"/>
  <c r="N110"/>
  <c r="M110"/>
  <c r="L110"/>
  <c r="K110"/>
  <c r="J110"/>
  <c r="I110"/>
  <c r="H110"/>
  <c r="G110"/>
  <c r="F110"/>
  <c r="E110"/>
  <c r="D110"/>
  <c r="C110"/>
  <c r="B110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P108"/>
  <c r="O108"/>
  <c r="N108"/>
  <c r="M108"/>
  <c r="L108"/>
  <c r="K108"/>
  <c r="J108"/>
  <c r="I108"/>
  <c r="H108"/>
  <c r="G108"/>
  <c r="F108"/>
  <c r="E108"/>
  <c r="D108"/>
  <c r="C108"/>
  <c r="B108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6" i="39" s="1"/>
  <c r="Q112" i="32"/>
  <c r="P112"/>
  <c r="O112"/>
  <c r="N112"/>
  <c r="M112"/>
  <c r="L112"/>
  <c r="K112"/>
  <c r="J112"/>
  <c r="I112"/>
  <c r="H112"/>
  <c r="G112"/>
  <c r="F112"/>
  <c r="E112"/>
  <c r="D112"/>
  <c r="C112"/>
  <c r="B112"/>
  <c r="Q111"/>
  <c r="P111"/>
  <c r="O111"/>
  <c r="N111"/>
  <c r="M111"/>
  <c r="L111"/>
  <c r="K111"/>
  <c r="J111"/>
  <c r="I111"/>
  <c r="H111"/>
  <c r="G111"/>
  <c r="F111"/>
  <c r="E111"/>
  <c r="D111"/>
  <c r="C111"/>
  <c r="B111"/>
  <c r="Q110"/>
  <c r="P110"/>
  <c r="O110"/>
  <c r="N110"/>
  <c r="M110"/>
  <c r="L110"/>
  <c r="K110"/>
  <c r="J110"/>
  <c r="I110"/>
  <c r="H110"/>
  <c r="G110"/>
  <c r="F110"/>
  <c r="E110"/>
  <c r="D110"/>
  <c r="C110"/>
  <c r="B110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P108"/>
  <c r="O108"/>
  <c r="N108"/>
  <c r="M108"/>
  <c r="L108"/>
  <c r="K108"/>
  <c r="J108"/>
  <c r="I108"/>
  <c r="H108"/>
  <c r="G108"/>
  <c r="F108"/>
  <c r="E108"/>
  <c r="D108"/>
  <c r="C108"/>
  <c r="B108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5" i="39" s="1"/>
  <c r="Q112" i="31"/>
  <c r="P112"/>
  <c r="O112"/>
  <c r="N112"/>
  <c r="M112"/>
  <c r="L112"/>
  <c r="K112"/>
  <c r="J112"/>
  <c r="I112"/>
  <c r="H112"/>
  <c r="G112"/>
  <c r="F112"/>
  <c r="E112"/>
  <c r="D112"/>
  <c r="C112"/>
  <c r="B112"/>
  <c r="Q111"/>
  <c r="P111"/>
  <c r="O111"/>
  <c r="N111"/>
  <c r="M111"/>
  <c r="L111"/>
  <c r="K111"/>
  <c r="J111"/>
  <c r="I111"/>
  <c r="H111"/>
  <c r="G111"/>
  <c r="F111"/>
  <c r="E111"/>
  <c r="D111"/>
  <c r="C111"/>
  <c r="B111"/>
  <c r="Q110"/>
  <c r="P110"/>
  <c r="O110"/>
  <c r="N110"/>
  <c r="M110"/>
  <c r="L110"/>
  <c r="K110"/>
  <c r="J110"/>
  <c r="I110"/>
  <c r="H110"/>
  <c r="G110"/>
  <c r="F110"/>
  <c r="E110"/>
  <c r="D110"/>
  <c r="C110"/>
  <c r="B110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P108"/>
  <c r="O108"/>
  <c r="N108"/>
  <c r="M108"/>
  <c r="L108"/>
  <c r="K108"/>
  <c r="J108"/>
  <c r="I108"/>
  <c r="H108"/>
  <c r="G108"/>
  <c r="F108"/>
  <c r="E108"/>
  <c r="D108"/>
  <c r="C108"/>
  <c r="B108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4" i="39" s="1"/>
  <c r="Q112" i="30"/>
  <c r="P112"/>
  <c r="O112"/>
  <c r="N112"/>
  <c r="M112"/>
  <c r="L112"/>
  <c r="K112"/>
  <c r="J112"/>
  <c r="I112"/>
  <c r="H112"/>
  <c r="G112"/>
  <c r="F112"/>
  <c r="E112"/>
  <c r="D112"/>
  <c r="C112"/>
  <c r="B112"/>
  <c r="Q111"/>
  <c r="P111"/>
  <c r="O111"/>
  <c r="N111"/>
  <c r="M111"/>
  <c r="L111"/>
  <c r="K111"/>
  <c r="J111"/>
  <c r="I111"/>
  <c r="H111"/>
  <c r="G111"/>
  <c r="F111"/>
  <c r="E111"/>
  <c r="D111"/>
  <c r="C111"/>
  <c r="B111"/>
  <c r="Q110"/>
  <c r="P110"/>
  <c r="O110"/>
  <c r="N110"/>
  <c r="M110"/>
  <c r="L110"/>
  <c r="K110"/>
  <c r="J110"/>
  <c r="I110"/>
  <c r="H110"/>
  <c r="G110"/>
  <c r="F110"/>
  <c r="E110"/>
  <c r="D110"/>
  <c r="C110"/>
  <c r="B110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P108"/>
  <c r="O108"/>
  <c r="N108"/>
  <c r="M108"/>
  <c r="L108"/>
  <c r="K108"/>
  <c r="J108"/>
  <c r="I108"/>
  <c r="H108"/>
  <c r="G108"/>
  <c r="F108"/>
  <c r="E108"/>
  <c r="D108"/>
  <c r="C108"/>
  <c r="B108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3" i="39" s="1"/>
  <c r="Q112" i="29"/>
  <c r="P112"/>
  <c r="O112"/>
  <c r="N112"/>
  <c r="M112"/>
  <c r="L112"/>
  <c r="K112"/>
  <c r="J112"/>
  <c r="I112"/>
  <c r="H112"/>
  <c r="G112"/>
  <c r="F112"/>
  <c r="E112"/>
  <c r="D112"/>
  <c r="C112"/>
  <c r="B112"/>
  <c r="Q111"/>
  <c r="P111"/>
  <c r="O111"/>
  <c r="N111"/>
  <c r="M111"/>
  <c r="L111"/>
  <c r="K111"/>
  <c r="J111"/>
  <c r="I111"/>
  <c r="H111"/>
  <c r="G111"/>
  <c r="F111"/>
  <c r="E111"/>
  <c r="D111"/>
  <c r="C111"/>
  <c r="B111"/>
  <c r="Q110"/>
  <c r="P110"/>
  <c r="O110"/>
  <c r="N110"/>
  <c r="M110"/>
  <c r="L110"/>
  <c r="K110"/>
  <c r="J110"/>
  <c r="I110"/>
  <c r="H110"/>
  <c r="G110"/>
  <c r="F110"/>
  <c r="E110"/>
  <c r="D110"/>
  <c r="C110"/>
  <c r="B110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P108"/>
  <c r="O108"/>
  <c r="N108"/>
  <c r="M108"/>
  <c r="L108"/>
  <c r="K108"/>
  <c r="J108"/>
  <c r="I108"/>
  <c r="H108"/>
  <c r="G108"/>
  <c r="F108"/>
  <c r="E108"/>
  <c r="D108"/>
  <c r="C108"/>
  <c r="B108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2" i="39" s="1"/>
  <c r="Q112" i="28"/>
  <c r="P112"/>
  <c r="O112"/>
  <c r="N112"/>
  <c r="M112"/>
  <c r="L112"/>
  <c r="K112"/>
  <c r="J112"/>
  <c r="I112"/>
  <c r="H112"/>
  <c r="G112"/>
  <c r="F112"/>
  <c r="E112"/>
  <c r="D112"/>
  <c r="C112"/>
  <c r="B112"/>
  <c r="Q111"/>
  <c r="P111"/>
  <c r="O111"/>
  <c r="N111"/>
  <c r="M111"/>
  <c r="L111"/>
  <c r="K111"/>
  <c r="J111"/>
  <c r="I111"/>
  <c r="H111"/>
  <c r="G111"/>
  <c r="F111"/>
  <c r="E111"/>
  <c r="D111"/>
  <c r="C111"/>
  <c r="B111"/>
  <c r="Q110"/>
  <c r="P110"/>
  <c r="O110"/>
  <c r="N110"/>
  <c r="M110"/>
  <c r="L110"/>
  <c r="K110"/>
  <c r="J110"/>
  <c r="I110"/>
  <c r="H110"/>
  <c r="G110"/>
  <c r="F110"/>
  <c r="E110"/>
  <c r="D110"/>
  <c r="C110"/>
  <c r="B110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P108"/>
  <c r="O108"/>
  <c r="N108"/>
  <c r="M108"/>
  <c r="L108"/>
  <c r="K108"/>
  <c r="J108"/>
  <c r="I108"/>
  <c r="H108"/>
  <c r="G108"/>
  <c r="F108"/>
  <c r="E108"/>
  <c r="D108"/>
  <c r="C108"/>
  <c r="B108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1" i="39" s="1"/>
  <c r="Q112" i="27"/>
  <c r="P112"/>
  <c r="O112"/>
  <c r="N112"/>
  <c r="M112"/>
  <c r="L112"/>
  <c r="K112"/>
  <c r="J112"/>
  <c r="I112"/>
  <c r="H112"/>
  <c r="G112"/>
  <c r="F112"/>
  <c r="E112"/>
  <c r="D112"/>
  <c r="C112"/>
  <c r="B112"/>
  <c r="Q111"/>
  <c r="P111"/>
  <c r="O111"/>
  <c r="N111"/>
  <c r="M111"/>
  <c r="L111"/>
  <c r="K111"/>
  <c r="J111"/>
  <c r="I111"/>
  <c r="H111"/>
  <c r="G111"/>
  <c r="F111"/>
  <c r="E111"/>
  <c r="D111"/>
  <c r="C111"/>
  <c r="B111"/>
  <c r="Q110"/>
  <c r="P110"/>
  <c r="O110"/>
  <c r="N110"/>
  <c r="M110"/>
  <c r="L110"/>
  <c r="K110"/>
  <c r="J110"/>
  <c r="I110"/>
  <c r="H110"/>
  <c r="G110"/>
  <c r="F110"/>
  <c r="E110"/>
  <c r="D110"/>
  <c r="C110"/>
  <c r="B110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P108"/>
  <c r="O108"/>
  <c r="N108"/>
  <c r="M108"/>
  <c r="L108"/>
  <c r="K108"/>
  <c r="J108"/>
  <c r="I108"/>
  <c r="H108"/>
  <c r="G108"/>
  <c r="F108"/>
  <c r="E108"/>
  <c r="D108"/>
  <c r="C108"/>
  <c r="B108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0" i="39" s="1"/>
  <c r="Q112" i="26"/>
  <c r="P112"/>
  <c r="O112"/>
  <c r="N112"/>
  <c r="M112"/>
  <c r="L112"/>
  <c r="K112"/>
  <c r="J112"/>
  <c r="I112"/>
  <c r="H112"/>
  <c r="G112"/>
  <c r="F112"/>
  <c r="E112"/>
  <c r="D112"/>
  <c r="C112"/>
  <c r="B112"/>
  <c r="Q111"/>
  <c r="P111"/>
  <c r="O111"/>
  <c r="N111"/>
  <c r="M111"/>
  <c r="L111"/>
  <c r="K111"/>
  <c r="J111"/>
  <c r="I111"/>
  <c r="H111"/>
  <c r="G111"/>
  <c r="F111"/>
  <c r="E111"/>
  <c r="D111"/>
  <c r="C111"/>
  <c r="B111"/>
  <c r="Q110"/>
  <c r="P110"/>
  <c r="O110"/>
  <c r="N110"/>
  <c r="M110"/>
  <c r="L110"/>
  <c r="K110"/>
  <c r="J110"/>
  <c r="I110"/>
  <c r="H110"/>
  <c r="G110"/>
  <c r="F110"/>
  <c r="E110"/>
  <c r="D110"/>
  <c r="C110"/>
  <c r="B110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P108"/>
  <c r="O108"/>
  <c r="N108"/>
  <c r="M108"/>
  <c r="L108"/>
  <c r="K108"/>
  <c r="J108"/>
  <c r="I108"/>
  <c r="H108"/>
  <c r="G108"/>
  <c r="F108"/>
  <c r="E108"/>
  <c r="D108"/>
  <c r="C108"/>
  <c r="B108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9" i="39" s="1"/>
  <c r="Q112" i="25"/>
  <c r="P112"/>
  <c r="O112"/>
  <c r="N112"/>
  <c r="M112"/>
  <c r="L112"/>
  <c r="K112"/>
  <c r="J112"/>
  <c r="I112"/>
  <c r="H112"/>
  <c r="G112"/>
  <c r="F112"/>
  <c r="E112"/>
  <c r="D112"/>
  <c r="C112"/>
  <c r="B112"/>
  <c r="Q111"/>
  <c r="P111"/>
  <c r="O111"/>
  <c r="N111"/>
  <c r="M111"/>
  <c r="L111"/>
  <c r="K111"/>
  <c r="J111"/>
  <c r="I111"/>
  <c r="H111"/>
  <c r="G111"/>
  <c r="F111"/>
  <c r="E111"/>
  <c r="D111"/>
  <c r="C111"/>
  <c r="B111"/>
  <c r="Q110"/>
  <c r="P110"/>
  <c r="O110"/>
  <c r="N110"/>
  <c r="M110"/>
  <c r="L110"/>
  <c r="K110"/>
  <c r="J110"/>
  <c r="I110"/>
  <c r="H110"/>
  <c r="G110"/>
  <c r="F110"/>
  <c r="E110"/>
  <c r="D110"/>
  <c r="C110"/>
  <c r="B110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P108"/>
  <c r="O108"/>
  <c r="N108"/>
  <c r="M108"/>
  <c r="L108"/>
  <c r="K108"/>
  <c r="J108"/>
  <c r="I108"/>
  <c r="H108"/>
  <c r="G108"/>
  <c r="F108"/>
  <c r="E108"/>
  <c r="D108"/>
  <c r="C108"/>
  <c r="B108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8" i="39" s="1"/>
  <c r="Q112" i="24"/>
  <c r="P112"/>
  <c r="O112"/>
  <c r="N112"/>
  <c r="M112"/>
  <c r="L112"/>
  <c r="K112"/>
  <c r="J112"/>
  <c r="I112"/>
  <c r="H112"/>
  <c r="G112"/>
  <c r="F112"/>
  <c r="E112"/>
  <c r="D112"/>
  <c r="C112"/>
  <c r="B112"/>
  <c r="Q111"/>
  <c r="P111"/>
  <c r="O111"/>
  <c r="N111"/>
  <c r="M111"/>
  <c r="L111"/>
  <c r="K111"/>
  <c r="J111"/>
  <c r="I111"/>
  <c r="H111"/>
  <c r="G111"/>
  <c r="F111"/>
  <c r="E111"/>
  <c r="D111"/>
  <c r="C111"/>
  <c r="B111"/>
  <c r="Q110"/>
  <c r="P110"/>
  <c r="O110"/>
  <c r="N110"/>
  <c r="M110"/>
  <c r="L110"/>
  <c r="K110"/>
  <c r="J110"/>
  <c r="I110"/>
  <c r="H110"/>
  <c r="G110"/>
  <c r="F110"/>
  <c r="E110"/>
  <c r="D110"/>
  <c r="C110"/>
  <c r="B110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P108"/>
  <c r="O108"/>
  <c r="N108"/>
  <c r="M108"/>
  <c r="L108"/>
  <c r="K108"/>
  <c r="J108"/>
  <c r="I108"/>
  <c r="H108"/>
  <c r="G108"/>
  <c r="F108"/>
  <c r="E108"/>
  <c r="D108"/>
  <c r="C108"/>
  <c r="B108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7" i="39" s="1"/>
  <c r="Q112" i="23"/>
  <c r="P112"/>
  <c r="O112"/>
  <c r="N112"/>
  <c r="M112"/>
  <c r="L112"/>
  <c r="K112"/>
  <c r="J112"/>
  <c r="I112"/>
  <c r="H112"/>
  <c r="G112"/>
  <c r="F112"/>
  <c r="E112"/>
  <c r="D112"/>
  <c r="C112"/>
  <c r="B112"/>
  <c r="Q111"/>
  <c r="P111"/>
  <c r="O111"/>
  <c r="N111"/>
  <c r="M111"/>
  <c r="L111"/>
  <c r="K111"/>
  <c r="J111"/>
  <c r="I111"/>
  <c r="H111"/>
  <c r="G111"/>
  <c r="F111"/>
  <c r="E111"/>
  <c r="D111"/>
  <c r="C111"/>
  <c r="B111"/>
  <c r="Q110"/>
  <c r="P110"/>
  <c r="O110"/>
  <c r="N110"/>
  <c r="M110"/>
  <c r="L110"/>
  <c r="K110"/>
  <c r="J110"/>
  <c r="I110"/>
  <c r="H110"/>
  <c r="G110"/>
  <c r="F110"/>
  <c r="E110"/>
  <c r="D110"/>
  <c r="C110"/>
  <c r="B110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P108"/>
  <c r="O108"/>
  <c r="N108"/>
  <c r="M108"/>
  <c r="L108"/>
  <c r="K108"/>
  <c r="J108"/>
  <c r="I108"/>
  <c r="H108"/>
  <c r="G108"/>
  <c r="F108"/>
  <c r="E108"/>
  <c r="D108"/>
  <c r="C108"/>
  <c r="B108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6" i="39" s="1"/>
  <c r="Q112" i="22"/>
  <c r="P112"/>
  <c r="O112"/>
  <c r="N112"/>
  <c r="M112"/>
  <c r="L112"/>
  <c r="K112"/>
  <c r="J112"/>
  <c r="I112"/>
  <c r="H112"/>
  <c r="G112"/>
  <c r="F112"/>
  <c r="E112"/>
  <c r="D112"/>
  <c r="C112"/>
  <c r="B112"/>
  <c r="Q111"/>
  <c r="P111"/>
  <c r="O111"/>
  <c r="N111"/>
  <c r="M111"/>
  <c r="L111"/>
  <c r="K111"/>
  <c r="J111"/>
  <c r="I111"/>
  <c r="H111"/>
  <c r="G111"/>
  <c r="F111"/>
  <c r="E111"/>
  <c r="D111"/>
  <c r="C111"/>
  <c r="B111"/>
  <c r="Q110"/>
  <c r="P110"/>
  <c r="O110"/>
  <c r="N110"/>
  <c r="M110"/>
  <c r="L110"/>
  <c r="K110"/>
  <c r="J110"/>
  <c r="I110"/>
  <c r="H110"/>
  <c r="G110"/>
  <c r="F110"/>
  <c r="E110"/>
  <c r="D110"/>
  <c r="C110"/>
  <c r="B110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P108"/>
  <c r="O108"/>
  <c r="N108"/>
  <c r="M108"/>
  <c r="L108"/>
  <c r="K108"/>
  <c r="J108"/>
  <c r="I108"/>
  <c r="H108"/>
  <c r="G108"/>
  <c r="F108"/>
  <c r="E108"/>
  <c r="D108"/>
  <c r="C108"/>
  <c r="B108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5" i="39" s="1"/>
  <c r="Q112" i="21"/>
  <c r="P112"/>
  <c r="O112"/>
  <c r="N112"/>
  <c r="M112"/>
  <c r="L112"/>
  <c r="K112"/>
  <c r="J112"/>
  <c r="I112"/>
  <c r="H112"/>
  <c r="G112"/>
  <c r="F112"/>
  <c r="E112"/>
  <c r="D112"/>
  <c r="C112"/>
  <c r="B112"/>
  <c r="Q111"/>
  <c r="P111"/>
  <c r="O111"/>
  <c r="N111"/>
  <c r="M111"/>
  <c r="L111"/>
  <c r="K111"/>
  <c r="J111"/>
  <c r="I111"/>
  <c r="H111"/>
  <c r="G111"/>
  <c r="F111"/>
  <c r="E111"/>
  <c r="D111"/>
  <c r="C111"/>
  <c r="B111"/>
  <c r="Q110"/>
  <c r="P110"/>
  <c r="O110"/>
  <c r="N110"/>
  <c r="M110"/>
  <c r="L110"/>
  <c r="K110"/>
  <c r="J110"/>
  <c r="I110"/>
  <c r="H110"/>
  <c r="G110"/>
  <c r="F110"/>
  <c r="E110"/>
  <c r="D110"/>
  <c r="C110"/>
  <c r="B110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P108"/>
  <c r="O108"/>
  <c r="N108"/>
  <c r="M108"/>
  <c r="L108"/>
  <c r="K108"/>
  <c r="J108"/>
  <c r="I108"/>
  <c r="H108"/>
  <c r="G108"/>
  <c r="F108"/>
  <c r="E108"/>
  <c r="D108"/>
  <c r="C108"/>
  <c r="B108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4" i="39" s="1"/>
  <c r="Q112" i="20"/>
  <c r="P112"/>
  <c r="O112"/>
  <c r="N112"/>
  <c r="M112"/>
  <c r="L112"/>
  <c r="K112"/>
  <c r="J112"/>
  <c r="I112"/>
  <c r="H112"/>
  <c r="G112"/>
  <c r="F112"/>
  <c r="E112"/>
  <c r="D112"/>
  <c r="C112"/>
  <c r="B112"/>
  <c r="Q111"/>
  <c r="P111"/>
  <c r="O111"/>
  <c r="N111"/>
  <c r="M111"/>
  <c r="L111"/>
  <c r="K111"/>
  <c r="J111"/>
  <c r="I111"/>
  <c r="H111"/>
  <c r="G111"/>
  <c r="F111"/>
  <c r="E111"/>
  <c r="D111"/>
  <c r="C111"/>
  <c r="B111"/>
  <c r="Q110"/>
  <c r="P110"/>
  <c r="O110"/>
  <c r="N110"/>
  <c r="M110"/>
  <c r="L110"/>
  <c r="K110"/>
  <c r="J110"/>
  <c r="I110"/>
  <c r="H110"/>
  <c r="G110"/>
  <c r="F110"/>
  <c r="E110"/>
  <c r="D110"/>
  <c r="C110"/>
  <c r="B110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P108"/>
  <c r="O108"/>
  <c r="N108"/>
  <c r="M108"/>
  <c r="L108"/>
  <c r="K108"/>
  <c r="J108"/>
  <c r="I108"/>
  <c r="H108"/>
  <c r="G108"/>
  <c r="F108"/>
  <c r="E108"/>
  <c r="D108"/>
  <c r="C108"/>
  <c r="B108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3" i="39" s="1"/>
  <c r="Q112" i="19"/>
  <c r="P112"/>
  <c r="O112"/>
  <c r="N112"/>
  <c r="M112"/>
  <c r="L112"/>
  <c r="K112"/>
  <c r="J112"/>
  <c r="I112"/>
  <c r="H112"/>
  <c r="G112"/>
  <c r="F112"/>
  <c r="E112"/>
  <c r="D112"/>
  <c r="C112"/>
  <c r="B112"/>
  <c r="Q111"/>
  <c r="P111"/>
  <c r="O111"/>
  <c r="N111"/>
  <c r="M111"/>
  <c r="L111"/>
  <c r="K111"/>
  <c r="J111"/>
  <c r="I111"/>
  <c r="H111"/>
  <c r="G111"/>
  <c r="F111"/>
  <c r="E111"/>
  <c r="D111"/>
  <c r="C111"/>
  <c r="B111"/>
  <c r="Q110"/>
  <c r="P110"/>
  <c r="O110"/>
  <c r="N110"/>
  <c r="M110"/>
  <c r="L110"/>
  <c r="K110"/>
  <c r="J110"/>
  <c r="I110"/>
  <c r="H110"/>
  <c r="G110"/>
  <c r="F110"/>
  <c r="E110"/>
  <c r="D110"/>
  <c r="C110"/>
  <c r="B110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P108"/>
  <c r="O108"/>
  <c r="N108"/>
  <c r="M108"/>
  <c r="L108"/>
  <c r="K108"/>
  <c r="J108"/>
  <c r="I108"/>
  <c r="H108"/>
  <c r="G108"/>
  <c r="F108"/>
  <c r="E108"/>
  <c r="D108"/>
  <c r="C108"/>
  <c r="B108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2" i="39" s="1"/>
  <c r="Q110" i="18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1" i="39" s="1"/>
  <c r="P108" i="18"/>
  <c r="P21" i="39" s="1"/>
  <c r="O108" i="18"/>
  <c r="O21" i="39" s="1"/>
  <c r="N108" i="18"/>
  <c r="N21" i="39" s="1"/>
  <c r="M108" i="18"/>
  <c r="M21" i="39" s="1"/>
  <c r="L108" i="18"/>
  <c r="L21" i="39" s="1"/>
  <c r="K108" i="18"/>
  <c r="K21" i="39" s="1"/>
  <c r="J108" i="18"/>
  <c r="J21" i="39" s="1"/>
  <c r="I108" i="18"/>
  <c r="I21" i="39" s="1"/>
  <c r="H108" i="18"/>
  <c r="H21" i="39" s="1"/>
  <c r="G108" i="18"/>
  <c r="G21" i="39" s="1"/>
  <c r="F108" i="18"/>
  <c r="F21" i="39" s="1"/>
  <c r="E108" i="18"/>
  <c r="E21" i="39" s="1"/>
  <c r="D108" i="18"/>
  <c r="D21" i="39" s="1"/>
  <c r="C108" i="18"/>
  <c r="C21" i="39" s="1"/>
  <c r="B108" i="18"/>
  <c r="B21" i="39" s="1"/>
  <c r="Q107" i="18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1" i="39" s="1"/>
  <c r="Q110" i="17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0" i="39" s="1"/>
  <c r="P108" i="17"/>
  <c r="P20" i="39" s="1"/>
  <c r="O108" i="17"/>
  <c r="O20" i="39" s="1"/>
  <c r="N108" i="17"/>
  <c r="N20" i="39" s="1"/>
  <c r="M108" i="17"/>
  <c r="M20" i="39" s="1"/>
  <c r="L108" i="17"/>
  <c r="K108"/>
  <c r="K20" i="39" s="1"/>
  <c r="J108" i="17"/>
  <c r="J20" i="39" s="1"/>
  <c r="I108" i="17"/>
  <c r="I20" i="39" s="1"/>
  <c r="H108" i="17"/>
  <c r="H20" i="39" s="1"/>
  <c r="G108" i="17"/>
  <c r="F108"/>
  <c r="F20" i="39" s="1"/>
  <c r="E108" i="17"/>
  <c r="D108"/>
  <c r="C108"/>
  <c r="C20" i="39" s="1"/>
  <c r="B108" i="17"/>
  <c r="B20" i="39" s="1"/>
  <c r="Q107" i="1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0" i="39" s="1"/>
  <c r="Q110" i="16"/>
  <c r="Q112" s="1"/>
  <c r="P110"/>
  <c r="P112" s="1"/>
  <c r="O110"/>
  <c r="O112" s="1"/>
  <c r="N110"/>
  <c r="N112" s="1"/>
  <c r="M110"/>
  <c r="M112" s="1"/>
  <c r="L110"/>
  <c r="L112" s="1"/>
  <c r="K110"/>
  <c r="K111" s="1"/>
  <c r="J110"/>
  <c r="J111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9" i="39" s="1"/>
  <c r="P108" i="16"/>
  <c r="P19" i="39" s="1"/>
  <c r="O108" i="16"/>
  <c r="O19" i="39" s="1"/>
  <c r="N108" i="16"/>
  <c r="N19" i="39" s="1"/>
  <c r="M108" i="16"/>
  <c r="M19" i="39" s="1"/>
  <c r="L108" i="16"/>
  <c r="L19" i="39" s="1"/>
  <c r="K108" i="16"/>
  <c r="K19" i="39" s="1"/>
  <c r="J108" i="16"/>
  <c r="J19" i="39" s="1"/>
  <c r="I108" i="16"/>
  <c r="I19" i="39" s="1"/>
  <c r="H108" i="16"/>
  <c r="H19" i="39" s="1"/>
  <c r="G108" i="16"/>
  <c r="G19" i="39" s="1"/>
  <c r="F108" i="16"/>
  <c r="E108"/>
  <c r="D108"/>
  <c r="D19" i="39" s="1"/>
  <c r="C108" i="16"/>
  <c r="C19" i="39" s="1"/>
  <c r="B108" i="16"/>
  <c r="B19" i="39" s="1"/>
  <c r="Q107" i="16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9" i="39" s="1"/>
  <c r="Q110" i="15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8" i="39" s="1"/>
  <c r="P108" i="15"/>
  <c r="P18" i="39" s="1"/>
  <c r="O108" i="15"/>
  <c r="O18" i="39" s="1"/>
  <c r="N108" i="15"/>
  <c r="N18" i="39" s="1"/>
  <c r="M108" i="15"/>
  <c r="M18" i="39" s="1"/>
  <c r="L108" i="15"/>
  <c r="L18" i="39" s="1"/>
  <c r="K108" i="15"/>
  <c r="K18" i="39" s="1"/>
  <c r="J108" i="15"/>
  <c r="J18" i="39" s="1"/>
  <c r="I108" i="15"/>
  <c r="I18" i="39" s="1"/>
  <c r="H108" i="15"/>
  <c r="H18" i="39" s="1"/>
  <c r="G108" i="15"/>
  <c r="G18" i="39" s="1"/>
  <c r="F108" i="15"/>
  <c r="F18" i="39" s="1"/>
  <c r="E108" i="15"/>
  <c r="E18" i="39" s="1"/>
  <c r="D108" i="15"/>
  <c r="D18" i="39" s="1"/>
  <c r="C108" i="15"/>
  <c r="C18" i="39" s="1"/>
  <c r="B108" i="15"/>
  <c r="B18" i="39" s="1"/>
  <c r="Q107" i="15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8" i="39" s="1"/>
  <c r="Q110" i="14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7" i="39" s="1"/>
  <c r="P108" i="14"/>
  <c r="P17" i="39" s="1"/>
  <c r="O108" i="14"/>
  <c r="O17" i="39" s="1"/>
  <c r="N108" i="14"/>
  <c r="N17" i="39" s="1"/>
  <c r="M108" i="14"/>
  <c r="M17" i="39" s="1"/>
  <c r="L108" i="14"/>
  <c r="L17" i="39" s="1"/>
  <c r="K108" i="14"/>
  <c r="K17" i="39" s="1"/>
  <c r="J108" i="14"/>
  <c r="J17" i="39" s="1"/>
  <c r="I108" i="14"/>
  <c r="I17" i="39" s="1"/>
  <c r="H108" i="14"/>
  <c r="H17" i="39" s="1"/>
  <c r="G108" i="14"/>
  <c r="G17" i="39" s="1"/>
  <c r="F108" i="14"/>
  <c r="F17" i="39" s="1"/>
  <c r="E108" i="14"/>
  <c r="E17" i="39" s="1"/>
  <c r="D108" i="14"/>
  <c r="D17" i="39" s="1"/>
  <c r="C108" i="14"/>
  <c r="C17" i="39" s="1"/>
  <c r="B108" i="14"/>
  <c r="B17" i="39" s="1"/>
  <c r="Q107" i="14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7" i="39" s="1"/>
  <c r="Q110" i="13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6" i="39" s="1"/>
  <c r="P108" i="13"/>
  <c r="P16" i="39" s="1"/>
  <c r="O108" i="13"/>
  <c r="O16" i="39" s="1"/>
  <c r="N108" i="13"/>
  <c r="N16" i="39" s="1"/>
  <c r="M108" i="13"/>
  <c r="M16" i="39" s="1"/>
  <c r="L108" i="13"/>
  <c r="L16" i="39" s="1"/>
  <c r="K108" i="13"/>
  <c r="K16" i="39" s="1"/>
  <c r="J108" i="13"/>
  <c r="J16" i="39" s="1"/>
  <c r="I108" i="13"/>
  <c r="I16" i="39" s="1"/>
  <c r="H108" i="13"/>
  <c r="H16" i="39" s="1"/>
  <c r="G108" i="13"/>
  <c r="G16" i="39" s="1"/>
  <c r="F108" i="13"/>
  <c r="F16" i="39" s="1"/>
  <c r="E108" i="13"/>
  <c r="E16" i="39" s="1"/>
  <c r="D108" i="13"/>
  <c r="D16" i="39" s="1"/>
  <c r="C108" i="13"/>
  <c r="C16" i="39" s="1"/>
  <c r="B108" i="13"/>
  <c r="B16" i="39" s="1"/>
  <c r="Q107" i="1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6" i="39" s="1"/>
  <c r="Q112" i="12"/>
  <c r="P112"/>
  <c r="O112"/>
  <c r="N112"/>
  <c r="M112"/>
  <c r="L112"/>
  <c r="K112"/>
  <c r="J112"/>
  <c r="I112"/>
  <c r="H112"/>
  <c r="G112"/>
  <c r="F112"/>
  <c r="E112"/>
  <c r="D112"/>
  <c r="C112"/>
  <c r="B112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5" i="39" s="1"/>
  <c r="P108" i="12"/>
  <c r="P15" i="39" s="1"/>
  <c r="O108" i="12"/>
  <c r="O15" i="39" s="1"/>
  <c r="N108" i="12"/>
  <c r="N15" i="39" s="1"/>
  <c r="M108" i="12"/>
  <c r="M15" i="39" s="1"/>
  <c r="L108" i="12"/>
  <c r="L15" i="39" s="1"/>
  <c r="K108" i="12"/>
  <c r="K15" i="39" s="1"/>
  <c r="J108" i="12"/>
  <c r="J15" i="39" s="1"/>
  <c r="I108" i="12"/>
  <c r="I15" i="39" s="1"/>
  <c r="H108" i="12"/>
  <c r="H15" i="39" s="1"/>
  <c r="G108" i="12"/>
  <c r="G15" i="39" s="1"/>
  <c r="F108" i="12"/>
  <c r="F15" i="39" s="1"/>
  <c r="E108" i="12"/>
  <c r="E15" i="39" s="1"/>
  <c r="D108" i="12"/>
  <c r="D15" i="39" s="1"/>
  <c r="C108" i="12"/>
  <c r="C15" i="39" s="1"/>
  <c r="B108" i="12"/>
  <c r="B15" i="39" s="1"/>
  <c r="Q107" i="1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5" i="39" s="1"/>
  <c r="Q110" i="11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4" i="39" s="1"/>
  <c r="P108" i="11"/>
  <c r="P14" i="39" s="1"/>
  <c r="O108" i="11"/>
  <c r="O14" i="39" s="1"/>
  <c r="N108" i="11"/>
  <c r="N14" i="39" s="1"/>
  <c r="M108" i="11"/>
  <c r="M14" i="39" s="1"/>
  <c r="L108" i="11"/>
  <c r="L14" i="39" s="1"/>
  <c r="K108" i="11"/>
  <c r="K14" i="39" s="1"/>
  <c r="J108" i="11"/>
  <c r="J14" i="39" s="1"/>
  <c r="I108" i="11"/>
  <c r="I14" i="39" s="1"/>
  <c r="H108" i="11"/>
  <c r="H14" i="39" s="1"/>
  <c r="G108" i="11"/>
  <c r="G14" i="39" s="1"/>
  <c r="F108" i="11"/>
  <c r="F14" i="39" s="1"/>
  <c r="E108" i="11"/>
  <c r="E14" i="39" s="1"/>
  <c r="D108" i="11"/>
  <c r="D14" i="39" s="1"/>
  <c r="C108" i="11"/>
  <c r="C14" i="39" s="1"/>
  <c r="B108" i="11"/>
  <c r="B14" i="39" s="1"/>
  <c r="Q107" i="1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4" i="39" s="1"/>
  <c r="Q110" i="1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3" i="39" s="1"/>
  <c r="P108" i="10"/>
  <c r="P13" i="39" s="1"/>
  <c r="O108" i="10"/>
  <c r="O13" i="39" s="1"/>
  <c r="N108" i="10"/>
  <c r="N13" i="39" s="1"/>
  <c r="M108" i="10"/>
  <c r="M13" i="39" s="1"/>
  <c r="L108" i="10"/>
  <c r="L13" i="39" s="1"/>
  <c r="K108" i="10"/>
  <c r="K13" i="39" s="1"/>
  <c r="J108" i="10"/>
  <c r="J13" i="39" s="1"/>
  <c r="I108" i="10"/>
  <c r="I13" i="39" s="1"/>
  <c r="H108" i="10"/>
  <c r="H13" i="39" s="1"/>
  <c r="G108" i="10"/>
  <c r="G13" i="39" s="1"/>
  <c r="F108" i="10"/>
  <c r="E108"/>
  <c r="E13" i="39" s="1"/>
  <c r="D108" i="10"/>
  <c r="D13" i="39" s="1"/>
  <c r="C108" i="10"/>
  <c r="C13" i="39" s="1"/>
  <c r="B108" i="10"/>
  <c r="B13" i="39" s="1"/>
  <c r="Q107" i="1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3" i="39" s="1"/>
  <c r="Q110" i="9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2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2" i="39" s="1"/>
  <c r="P108" i="9"/>
  <c r="P12" i="39" s="1"/>
  <c r="O108" i="9"/>
  <c r="O12" i="39" s="1"/>
  <c r="N108" i="9"/>
  <c r="N12" i="39" s="1"/>
  <c r="M108" i="9"/>
  <c r="M12" i="39" s="1"/>
  <c r="L108" i="9"/>
  <c r="L12" i="39" s="1"/>
  <c r="K108" i="9"/>
  <c r="K12" i="39" s="1"/>
  <c r="J108" i="9"/>
  <c r="J12" i="39" s="1"/>
  <c r="I108" i="9"/>
  <c r="I12" i="39" s="1"/>
  <c r="H108" i="9"/>
  <c r="H12" i="39" s="1"/>
  <c r="G108" i="9"/>
  <c r="G12" i="39" s="1"/>
  <c r="F108" i="9"/>
  <c r="F12" i="39" s="1"/>
  <c r="E108" i="9"/>
  <c r="E12" i="39" s="1"/>
  <c r="D108" i="9"/>
  <c r="D12" i="39" s="1"/>
  <c r="C108" i="9"/>
  <c r="C12" i="39" s="1"/>
  <c r="B108" i="9"/>
  <c r="B12" i="39" s="1"/>
  <c r="Q107" i="9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2" i="39" s="1"/>
  <c r="Q110" i="8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1" i="39" s="1"/>
  <c r="P108" i="8"/>
  <c r="P11" i="39" s="1"/>
  <c r="O108" i="8"/>
  <c r="O11" i="39" s="1"/>
  <c r="N108" i="8"/>
  <c r="N11" i="39" s="1"/>
  <c r="M108" i="8"/>
  <c r="M11" i="39" s="1"/>
  <c r="L108" i="8"/>
  <c r="L11" i="39" s="1"/>
  <c r="K108" i="8"/>
  <c r="K11" i="39" s="1"/>
  <c r="J108" i="8"/>
  <c r="J11" i="39" s="1"/>
  <c r="I108" i="8"/>
  <c r="I11" i="39" s="1"/>
  <c r="H108" i="8"/>
  <c r="H11" i="39" s="1"/>
  <c r="G108" i="8"/>
  <c r="G11" i="39" s="1"/>
  <c r="F108" i="8"/>
  <c r="F11" i="39" s="1"/>
  <c r="E108" i="8"/>
  <c r="E11" i="39" s="1"/>
  <c r="D108" i="8"/>
  <c r="D11" i="39" s="1"/>
  <c r="C108" i="8"/>
  <c r="C11" i="39" s="1"/>
  <c r="B108" i="8"/>
  <c r="B11" i="39" s="1"/>
  <c r="Q107" i="8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1" i="39" s="1"/>
  <c r="Q110" i="3"/>
  <c r="Q111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2"/>
  <c r="G112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0" i="39" s="1"/>
  <c r="P108" i="3"/>
  <c r="P10" i="39" s="1"/>
  <c r="O108" i="3"/>
  <c r="O10" i="39" s="1"/>
  <c r="N108" i="3"/>
  <c r="N10" i="39" s="1"/>
  <c r="M108" i="3"/>
  <c r="M10" i="39" s="1"/>
  <c r="L108" i="3"/>
  <c r="L10" i="39" s="1"/>
  <c r="K108" i="3"/>
  <c r="K10" i="39" s="1"/>
  <c r="J108" i="3"/>
  <c r="J10" i="39" s="1"/>
  <c r="I108" i="3"/>
  <c r="I10" i="39" s="1"/>
  <c r="H108" i="3"/>
  <c r="H10" i="39" s="1"/>
  <c r="G108" i="3"/>
  <c r="G10" i="39" s="1"/>
  <c r="F108" i="3"/>
  <c r="F10" i="39" s="1"/>
  <c r="E108" i="3"/>
  <c r="E10" i="39" s="1"/>
  <c r="D108" i="3"/>
  <c r="D10" i="39" s="1"/>
  <c r="C108" i="3"/>
  <c r="C10" i="39" s="1"/>
  <c r="B108" i="3"/>
  <c r="B10" i="39" s="1"/>
  <c r="Q107" i="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0" i="39" s="1"/>
  <c r="Q110" i="2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9" i="39" s="1"/>
  <c r="P108" i="2"/>
  <c r="P9" i="39" s="1"/>
  <c r="O108" i="2"/>
  <c r="O9" i="39" s="1"/>
  <c r="N108" i="2"/>
  <c r="N9" i="39" s="1"/>
  <c r="M108" i="2"/>
  <c r="M9" i="39" s="1"/>
  <c r="L108" i="2"/>
  <c r="L9" i="39" s="1"/>
  <c r="K108" i="2"/>
  <c r="K9" i="39" s="1"/>
  <c r="J108" i="2"/>
  <c r="J9" i="39" s="1"/>
  <c r="I108" i="2"/>
  <c r="I9" i="39" s="1"/>
  <c r="H108" i="2"/>
  <c r="H9" i="39" s="1"/>
  <c r="G108" i="2"/>
  <c r="G9" i="39" s="1"/>
  <c r="F108" i="2"/>
  <c r="F9" i="39" s="1"/>
  <c r="E108" i="2"/>
  <c r="E9" i="39" s="1"/>
  <c r="D108" i="2"/>
  <c r="D9" i="39" s="1"/>
  <c r="C108" i="2"/>
  <c r="C9" i="39" s="1"/>
  <c r="B108" i="2"/>
  <c r="B9" i="39" s="1"/>
  <c r="Q107" i="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9" i="39" s="1"/>
  <c r="B2" s="1"/>
  <c r="D2" i="5" s="1"/>
  <c r="O111" i="18" l="1"/>
  <c r="N111"/>
  <c r="M111"/>
  <c r="L111"/>
  <c r="K111"/>
  <c r="J111"/>
  <c r="I111"/>
  <c r="H111"/>
  <c r="G111"/>
  <c r="F111"/>
  <c r="E111"/>
  <c r="D111"/>
  <c r="C111"/>
  <c r="B111"/>
  <c r="Q111"/>
  <c r="P111"/>
  <c r="L111" i="17"/>
  <c r="K111"/>
  <c r="J111"/>
  <c r="I111"/>
  <c r="H111"/>
  <c r="G111"/>
  <c r="F111"/>
  <c r="E111"/>
  <c r="D111"/>
  <c r="C111"/>
  <c r="B111"/>
  <c r="Q111"/>
  <c r="P111"/>
  <c r="O111"/>
  <c r="N111"/>
  <c r="M111"/>
  <c r="J112" i="16"/>
  <c r="I111"/>
  <c r="H111"/>
  <c r="K112"/>
  <c r="G111"/>
  <c r="F111"/>
  <c r="E111"/>
  <c r="D111"/>
  <c r="C111"/>
  <c r="B111"/>
  <c r="Q111"/>
  <c r="P111"/>
  <c r="O111"/>
  <c r="N111"/>
  <c r="M111"/>
  <c r="L111"/>
  <c r="L111" i="15"/>
  <c r="K111"/>
  <c r="J111"/>
  <c r="I111"/>
  <c r="H111"/>
  <c r="G111"/>
  <c r="F111"/>
  <c r="E111"/>
  <c r="D111"/>
  <c r="C111"/>
  <c r="B111"/>
  <c r="Q111"/>
  <c r="P111"/>
  <c r="O111"/>
  <c r="N111"/>
  <c r="M111"/>
  <c r="M111" i="14"/>
  <c r="L111"/>
  <c r="K111"/>
  <c r="J111"/>
  <c r="I111"/>
  <c r="H111"/>
  <c r="G111"/>
  <c r="F111"/>
  <c r="E111"/>
  <c r="D111"/>
  <c r="C111"/>
  <c r="B111"/>
  <c r="Q111"/>
  <c r="P111"/>
  <c r="O111"/>
  <c r="N111"/>
  <c r="N111" i="13"/>
  <c r="M111"/>
  <c r="L111"/>
  <c r="K111"/>
  <c r="J111"/>
  <c r="I111"/>
  <c r="H111"/>
  <c r="G111"/>
  <c r="F111"/>
  <c r="E111"/>
  <c r="D111"/>
  <c r="C111"/>
  <c r="B111"/>
  <c r="Q111"/>
  <c r="P111"/>
  <c r="O111"/>
  <c r="O111" i="12"/>
  <c r="N111"/>
  <c r="M111"/>
  <c r="L111"/>
  <c r="K111"/>
  <c r="J111"/>
  <c r="I111"/>
  <c r="H111"/>
  <c r="G111"/>
  <c r="F111"/>
  <c r="E111"/>
  <c r="D111"/>
  <c r="C111"/>
  <c r="B111"/>
  <c r="Q111"/>
  <c r="P111"/>
  <c r="P111" i="11"/>
  <c r="O111"/>
  <c r="N111"/>
  <c r="M111"/>
  <c r="L111"/>
  <c r="K111"/>
  <c r="J111"/>
  <c r="I111"/>
  <c r="H111"/>
  <c r="G111"/>
  <c r="F111"/>
  <c r="E111"/>
  <c r="D111"/>
  <c r="C111"/>
  <c r="B111"/>
  <c r="Q111"/>
  <c r="P111" i="10"/>
  <c r="O111"/>
  <c r="N111"/>
  <c r="M111"/>
  <c r="L111"/>
  <c r="K111"/>
  <c r="J111"/>
  <c r="I111"/>
  <c r="H111"/>
  <c r="G111"/>
  <c r="F111"/>
  <c r="E111"/>
  <c r="D111"/>
  <c r="C111"/>
  <c r="B111"/>
  <c r="Q111"/>
  <c r="Q111" i="9"/>
  <c r="P111"/>
  <c r="O111"/>
  <c r="N111"/>
  <c r="M111"/>
  <c r="L111"/>
  <c r="K111"/>
  <c r="J111"/>
  <c r="I111"/>
  <c r="H111"/>
  <c r="G111"/>
  <c r="F111"/>
  <c r="E111"/>
  <c r="D111"/>
  <c r="C111"/>
  <c r="B111"/>
  <c r="B111" i="8"/>
  <c r="Q111"/>
  <c r="P111"/>
  <c r="O111"/>
  <c r="N111"/>
  <c r="M111"/>
  <c r="L111"/>
  <c r="K111"/>
  <c r="J111"/>
  <c r="I111"/>
  <c r="H111"/>
  <c r="G111"/>
  <c r="F111"/>
  <c r="E111"/>
  <c r="D111"/>
  <c r="C111"/>
  <c r="C111" i="3"/>
  <c r="B111"/>
  <c r="Q112"/>
  <c r="P111"/>
  <c r="O111"/>
  <c r="N111"/>
  <c r="M111"/>
  <c r="L111"/>
  <c r="K111"/>
  <c r="J111"/>
  <c r="I111"/>
  <c r="H111"/>
  <c r="G111"/>
  <c r="F111"/>
  <c r="E111"/>
  <c r="D111"/>
  <c r="D45" i="39"/>
  <c r="D44"/>
  <c r="D43"/>
  <c r="D42"/>
  <c r="D41"/>
  <c r="K45"/>
  <c r="K44"/>
  <c r="K43"/>
  <c r="K42"/>
  <c r="K41"/>
  <c r="C45"/>
  <c r="C44"/>
  <c r="C43"/>
  <c r="C42"/>
  <c r="C41"/>
  <c r="B45"/>
  <c r="B44"/>
  <c r="B43"/>
  <c r="B42"/>
  <c r="B41"/>
  <c r="Q45"/>
  <c r="Q44"/>
  <c r="Q43"/>
  <c r="Q42"/>
  <c r="Q41"/>
  <c r="P45"/>
  <c r="P44"/>
  <c r="P43"/>
  <c r="P42"/>
  <c r="P41"/>
  <c r="O45"/>
  <c r="O44"/>
  <c r="O43"/>
  <c r="O42"/>
  <c r="O41"/>
  <c r="N45"/>
  <c r="N44"/>
  <c r="N43"/>
  <c r="N42"/>
  <c r="N41"/>
  <c r="M45"/>
  <c r="M44"/>
  <c r="M43"/>
  <c r="M42"/>
  <c r="M41"/>
  <c r="L45"/>
  <c r="L44"/>
  <c r="L43"/>
  <c r="L42"/>
  <c r="L41"/>
  <c r="J45"/>
  <c r="J44"/>
  <c r="J43"/>
  <c r="J42"/>
  <c r="J41"/>
  <c r="I45"/>
  <c r="I44"/>
  <c r="I43"/>
  <c r="I42"/>
  <c r="I41"/>
  <c r="G45"/>
  <c r="G44"/>
  <c r="G43"/>
  <c r="G42"/>
  <c r="G41"/>
  <c r="F45"/>
  <c r="F44"/>
  <c r="F43"/>
  <c r="F42"/>
  <c r="F41"/>
  <c r="H45"/>
  <c r="H44"/>
  <c r="H43"/>
  <c r="H42"/>
  <c r="H41"/>
  <c r="E45"/>
  <c r="E44"/>
  <c r="E43"/>
  <c r="E42"/>
  <c r="E41"/>
  <c r="D111" i="2"/>
  <c r="C111"/>
  <c r="B111"/>
  <c r="Q111"/>
  <c r="P111"/>
  <c r="O111"/>
  <c r="N111"/>
  <c r="M111"/>
  <c r="L111"/>
  <c r="K111"/>
  <c r="J111"/>
  <c r="I111"/>
  <c r="H111"/>
  <c r="G111"/>
  <c r="F111"/>
  <c r="E111"/>
  <c r="D47" i="39" l="1"/>
  <c r="D46"/>
  <c r="N47"/>
  <c r="N46"/>
  <c r="H47"/>
  <c r="H46"/>
  <c r="I47"/>
  <c r="I46"/>
  <c r="Q47"/>
  <c r="Q46"/>
  <c r="M47"/>
  <c r="M46"/>
  <c r="F47"/>
  <c r="F46"/>
  <c r="K47"/>
  <c r="K46"/>
  <c r="E47"/>
  <c r="E46"/>
  <c r="O47"/>
  <c r="O46"/>
  <c r="J47"/>
  <c r="J46"/>
  <c r="P47"/>
  <c r="P46"/>
  <c r="C47"/>
  <c r="C46"/>
  <c r="G47"/>
  <c r="G46"/>
  <c r="L47"/>
  <c r="L46"/>
  <c r="B47"/>
  <c r="B46"/>
</calcChain>
</file>

<file path=xl/sharedStrings.xml><?xml version="1.0" encoding="utf-8"?>
<sst xmlns="http://schemas.openxmlformats.org/spreadsheetml/2006/main" count="2886" uniqueCount="239">
  <si>
    <t>Station:</t>
  </si>
  <si>
    <t>IGKV 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</si>
  <si>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</si>
  <si>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</si>
  <si>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</si>
  <si>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</si>
  <si>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</si>
  <si>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</si>
  <si>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</si>
  <si>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</si>
  <si>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</si>
  <si>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</si>
  <si>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</si>
  <si>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</si>
  <si>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</si>
  <si>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</si>
  <si>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</si>
  <si>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</si>
  <si>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</si>
  <si>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</si>
  <si>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</si>
  <si>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</si>
  <si>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</si>
  <si>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NO</t>
  </si>
  <si>
    <t xml:space="preserve">NO2 </t>
  </si>
  <si>
    <t xml:space="preserve">NOX </t>
  </si>
  <si>
    <t xml:space="preserve">SO2 </t>
  </si>
  <si>
    <t xml:space="preserve">O3 </t>
  </si>
  <si>
    <t xml:space="preserve">PM 10 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</si>
  <si>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</si>
  <si>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</si>
  <si>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</si>
  <si>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</si>
  <si>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</si>
  <si>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</si>
  <si>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</si>
  <si>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</si>
  <si>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</si>
  <si>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</si>
  <si>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</si>
  <si>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</si>
  <si>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m/sec</t>
  </si>
  <si>
    <t>deg</t>
  </si>
  <si>
    <t>degreC</t>
  </si>
  <si>
    <t>%</t>
  </si>
  <si>
    <t>w/m2</t>
  </si>
  <si>
    <t>mm</t>
  </si>
  <si>
    <t>mg/m3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</si>
  <si>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</si>
  <si>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</si>
  <si>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</si>
  <si>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</si>
  <si>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</si>
  <si>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</si>
  <si>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</si>
  <si>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</si>
  <si>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</si>
  <si>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</si>
  <si>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</si>
  <si>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</si>
  <si>
    <t>Report:</t>
  </si>
  <si>
    <t>Calibration Report Of IGKV, RAIPUR</t>
  </si>
  <si>
    <t>SO2</t>
  </si>
  <si>
    <t>PM 10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</si>
  <si>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</si>
  <si>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</si>
  <si>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</si>
  <si>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</si>
  <si>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</si>
  <si>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</si>
  <si>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</si>
  <si>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</si>
  <si>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</si>
  <si>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</si>
  <si>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</si>
  <si>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Blanks Count</t>
  </si>
  <si>
    <t>Referance Gauge</t>
  </si>
  <si>
    <t>Measure</t>
  </si>
  <si>
    <t>Old K</t>
  </si>
  <si>
    <t>New K</t>
  </si>
  <si>
    <t>Valid</t>
  </si>
  <si>
    <t>864 ug/cm2</t>
  </si>
  <si>
    <r>
      <rPr>
        <b/>
        <sz val="10"/>
        <color theme="0"/>
        <rFont val="Arial"/>
        <charset val="134"/>
      </rPr>
      <t>NO OF VALID CALIBRATION OF SO2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</si>
  <si>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 OF VALID CALIBRATION OF PM 10</t>
    </r>
    <r>
      <rPr>
        <b/>
        <sz val="10"/>
        <color indexed="9"/>
        <rFont val="Arial"/>
        <charset val="134"/>
      </rPr>
      <t xml:space="preserve"> ARE </t>
    </r>
  </si>
  <si>
    <t>NOX</t>
  </si>
  <si>
    <t>Nox</t>
  </si>
  <si>
    <t>789 ug/cm2</t>
  </si>
  <si>
    <r>
      <rPr>
        <b/>
        <sz val="10"/>
        <color theme="0"/>
        <rFont val="Arial"/>
        <charset val="134"/>
      </rPr>
      <t>NO OF VALID CALIBRATION OF PM 2.5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</si>
  <si>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NOX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</si>
  <si>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NH3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</si>
  <si>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CO</t>
    </r>
    <r>
      <rPr>
        <b/>
        <sz val="10"/>
        <color indexed="9"/>
        <rFont val="Arial"/>
        <charset val="134"/>
      </rPr>
      <t xml:space="preserve"> ARE </t>
    </r>
  </si>
  <si>
    <t>VOC</t>
  </si>
  <si>
    <r>
      <rPr>
        <b/>
        <sz val="10"/>
        <color theme="0"/>
        <rFont val="Arial"/>
        <charset val="134"/>
      </rPr>
      <t>No. OF VALID CALIBRATION OF VOC</t>
    </r>
    <r>
      <rPr>
        <b/>
        <sz val="10"/>
        <color indexed="9"/>
        <rFont val="Arial"/>
        <charset val="134"/>
      </rPr>
      <t xml:space="preserve"> ARE </t>
    </r>
  </si>
  <si>
    <t>O3</t>
  </si>
  <si>
    <r>
      <rPr>
        <b/>
        <sz val="10"/>
        <color theme="0"/>
        <rFont val="Arial"/>
        <charset val="134"/>
      </rPr>
      <t>NO OF VALID CALIBRATION OF O3</t>
    </r>
    <r>
      <rPr>
        <b/>
        <sz val="10"/>
        <color indexed="9"/>
        <rFont val="Arial"/>
        <charset val="134"/>
      </rPr>
      <t xml:space="preserve"> ARE </t>
    </r>
  </si>
  <si>
    <t>POWER OFF REPORT OF IGKV, RAIPUR</t>
  </si>
  <si>
    <t>Month of</t>
  </si>
  <si>
    <t>Start Date</t>
  </si>
  <si>
    <t>Stop Date</t>
  </si>
  <si>
    <t>Duration  (HH:MM)</t>
  </si>
  <si>
    <t>TOTAL</t>
  </si>
  <si>
    <t>MUX signal Report REPORT OF IGKV, RAIPUR MONTH OF</t>
  </si>
  <si>
    <t>MUX</t>
  </si>
  <si>
    <t>DATE</t>
  </si>
  <si>
    <t xml:space="preserve"> +24v</t>
  </si>
  <si>
    <t>5v</t>
  </si>
  <si>
    <t>4mv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</si>
  <si>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</si>
  <si>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</si>
  <si>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</si>
  <si>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</si>
  <si>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</si>
  <si>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</si>
  <si>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</si>
  <si>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</si>
  <si>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</si>
  <si>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</si>
  <si>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</si>
  <si>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</si>
  <si>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</si>
  <si>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</si>
  <si>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</si>
  <si>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</si>
  <si>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</si>
  <si>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</si>
  <si>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</si>
  <si>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</si>
  <si>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</si>
  <si>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</si>
  <si>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</si>
  <si>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</si>
  <si>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</si>
  <si>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</si>
  <si>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4v</t>
  </si>
  <si>
    <t>GND</t>
  </si>
  <si>
    <t>Int. T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</si>
  <si>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</si>
  <si>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</si>
  <si>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</si>
  <si>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</si>
  <si>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</si>
  <si>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</si>
  <si>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</si>
  <si>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</si>
  <si>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</si>
  <si>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</si>
  <si>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</si>
  <si>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</si>
  <si>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Cham. T</t>
  </si>
  <si>
    <t>2.5v Ref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</si>
  <si>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</si>
  <si>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</si>
  <si>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</si>
  <si>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</si>
  <si>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</si>
  <si>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</si>
  <si>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</si>
  <si>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</si>
  <si>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</si>
  <si>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</si>
  <si>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</si>
  <si>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</si>
  <si>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</si>
  <si>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</si>
  <si>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</si>
  <si>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</si>
  <si>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</si>
  <si>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</si>
  <si>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</si>
  <si>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</si>
  <si>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</si>
  <si>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>RPM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</si>
  <si>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</si>
  <si>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</si>
  <si>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</si>
  <si>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</si>
  <si>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</si>
  <si>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</si>
  <si>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</si>
  <si>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</si>
  <si>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</si>
  <si>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</si>
  <si>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Ref .ratio</t>
  </si>
  <si>
    <t xml:space="preserve"> Mean sig</t>
  </si>
  <si>
    <t xml:space="preserve"> Raw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</si>
  <si>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</si>
  <si>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</si>
  <si>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</si>
  <si>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</si>
  <si>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</si>
  <si>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Raw trend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</si>
  <si>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</si>
  <si>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</si>
  <si>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</si>
  <si>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</si>
  <si>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</si>
  <si>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</si>
  <si>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</si>
  <si>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</si>
  <si>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</si>
  <si>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</si>
  <si>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</si>
  <si>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</si>
  <si>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</si>
  <si>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</si>
  <si>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</si>
  <si>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</si>
  <si>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</si>
  <si>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</si>
  <si>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</si>
  <si>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</si>
  <si>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</si>
  <si>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</si>
  <si>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</si>
  <si>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</si>
  <si>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</si>
  <si>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</si>
  <si>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</si>
  <si>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</si>
  <si>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</si>
  <si>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</si>
  <si>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</si>
  <si>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</si>
  <si>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Cooling fan</t>
  </si>
  <si>
    <t>Temp.</t>
  </si>
  <si>
    <t xml:space="preserve">Mixing fan </t>
  </si>
  <si>
    <t>Carrier gaz</t>
  </si>
  <si>
    <t>Column pr.</t>
  </si>
  <si>
    <t>Supply pr.</t>
  </si>
  <si>
    <t>Hot box</t>
  </si>
  <si>
    <t>Vacuum pump</t>
  </si>
  <si>
    <t>Trap pr.</t>
  </si>
  <si>
    <t>Atmo. Pr.</t>
  </si>
  <si>
    <t>Purge value</t>
  </si>
  <si>
    <t>Pilot value</t>
  </si>
  <si>
    <t>Zero valve</t>
  </si>
  <si>
    <t>Span valve</t>
  </si>
  <si>
    <t>K.Karmakar</t>
  </si>
  <si>
    <t>01/03/2024 00:15 - 31/03/2024 00:00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</si>
</sst>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mmmm\-yyyy"/>
    <numFmt numFmtId="166" formatCode="0.0000"/>
  </numFmts>
  <fonts count="45">
    <font>
      <sz val="11"/>
      <color theme="1"/>
      <name val="Calibri"/>
      <charset val="134"/>
      <scheme val="minor"/>
    </font>
    <font>
      <b/>
      <sz val="10"/>
      <color rgb="FFFF0000"/>
      <name val="Arial"/>
      <charset val="134"/>
    </font>
    <font>
      <b/>
      <sz val="11"/>
      <color theme="1"/>
      <name val="Calibri"/>
      <charset val="134"/>
      <scheme val="minor"/>
    </font>
    <font>
      <sz val="16"/>
      <color theme="0"/>
      <name val="Arial Black"/>
      <charset val="134"/>
    </font>
    <font>
      <b/>
      <sz val="16"/>
      <color theme="0"/>
      <name val="Arial Black"/>
      <charset val="134"/>
    </font>
    <font>
      <b/>
      <sz val="24"/>
      <color theme="1"/>
      <name val="Arial Black"/>
      <charset val="134"/>
    </font>
    <font>
      <b/>
      <sz val="11"/>
      <name val="Arial"/>
      <charset val="134"/>
    </font>
    <font>
      <b/>
      <sz val="11"/>
      <color rgb="FFFF0000"/>
      <name val="Calibri"/>
      <charset val="134"/>
      <scheme val="minor"/>
    </font>
    <font>
      <b/>
      <sz val="22"/>
      <color theme="1"/>
      <name val="Arial Black"/>
      <charset val="134"/>
    </font>
    <font>
      <b/>
      <sz val="9"/>
      <color rgb="FFFF0000"/>
      <name val="Calibri"/>
      <charset val="134"/>
      <scheme val="minor"/>
    </font>
    <font>
      <b/>
      <sz val="9"/>
      <color rgb="FFFF0000"/>
      <name val="Arial"/>
      <charset val="134"/>
    </font>
    <font>
      <sz val="10"/>
      <name val="Arial"/>
      <charset val="134"/>
    </font>
    <font>
      <b/>
      <sz val="26"/>
      <color theme="1"/>
      <name val="Arial Black"/>
      <charset val="134"/>
    </font>
    <font>
      <b/>
      <sz val="11"/>
      <color theme="1"/>
      <name val="Arial"/>
      <charset val="134"/>
    </font>
    <font>
      <b/>
      <sz val="11"/>
      <color rgb="FFFF0000"/>
      <name val="Arial"/>
      <charset val="134"/>
    </font>
    <font>
      <b/>
      <sz val="12"/>
      <name val="Arial"/>
      <charset val="134"/>
    </font>
    <font>
      <b/>
      <sz val="10"/>
      <color theme="2" tint="-0.89996032593768116"/>
      <name val="Arial Black"/>
      <charset val="134"/>
    </font>
    <font>
      <b/>
      <sz val="10"/>
      <name val="Calibri"/>
      <charset val="134"/>
      <scheme val="minor"/>
    </font>
    <font>
      <b/>
      <sz val="10"/>
      <color theme="2" tint="-0.89996032593768116"/>
      <name val="Arial"/>
      <charset val="134"/>
    </font>
    <font>
      <b/>
      <sz val="12"/>
      <name val="Calibri"/>
      <charset val="134"/>
      <scheme val="minor"/>
    </font>
    <font>
      <b/>
      <i/>
      <sz val="12"/>
      <name val="Arial"/>
      <charset val="134"/>
    </font>
    <font>
      <b/>
      <i/>
      <sz val="10"/>
      <name val="Arial"/>
      <charset val="134"/>
    </font>
    <font>
      <sz val="9"/>
      <color theme="3" tint="0.39994506668294322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color theme="2" tint="-0.89996032593768116"/>
      <name val="Arial Black"/>
      <charset val="134"/>
    </font>
    <font>
      <sz val="11"/>
      <color theme="3" tint="0.39994506668294322"/>
      <name val="Calibri"/>
      <charset val="134"/>
      <scheme val="minor"/>
    </font>
    <font>
      <b/>
      <sz val="9"/>
      <name val="Calibri"/>
      <charset val="134"/>
      <scheme val="minor"/>
    </font>
    <font>
      <sz val="12"/>
      <color theme="0"/>
      <name val="Arial"/>
      <charset val="134"/>
    </font>
    <font>
      <b/>
      <sz val="10"/>
      <name val="Arial"/>
      <charset val="134"/>
    </font>
    <font>
      <sz val="11"/>
      <color indexed="8"/>
      <name val="Calibri"/>
      <charset val="134"/>
    </font>
    <font>
      <b/>
      <sz val="12"/>
      <color theme="1"/>
      <name val="Calibri"/>
      <charset val="134"/>
      <scheme val="minor"/>
    </font>
    <font>
      <b/>
      <sz val="14"/>
      <color theme="0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Arial"/>
      <charset val="134"/>
    </font>
    <font>
      <b/>
      <sz val="10"/>
      <color indexed="12"/>
      <name val="Arial"/>
      <charset val="134"/>
    </font>
    <font>
      <sz val="11"/>
      <color theme="0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0"/>
      <name val="Arial"/>
      <charset val="134"/>
    </font>
    <font>
      <sz val="10"/>
      <color indexed="12"/>
      <name val="Arial"/>
      <charset val="134"/>
    </font>
    <font>
      <b/>
      <sz val="12"/>
      <color theme="0"/>
      <name val="Calibri"/>
      <charset val="134"/>
      <scheme val="minor"/>
    </font>
    <font>
      <b/>
      <sz val="10"/>
      <color rgb="FF00B050"/>
      <name val="Arial"/>
      <charset val="134"/>
    </font>
    <font>
      <sz val="10"/>
      <color theme="0"/>
      <name val="Arial"/>
      <charset val="134"/>
    </font>
    <font>
      <sz val="10"/>
      <color rgb="FFFF0000"/>
      <name val="Arial"/>
      <charset val="134"/>
    </font>
    <font>
      <b/>
      <sz val="10"/>
      <color theme="5" tint="-0.249977111117893"/>
      <name val="Arial"/>
      <charset val="134"/>
    </font>
    <font>
      <b/>
      <sz val="10"/>
      <color indexed="9"/>
      <name val="Arial"/>
      <charset val="134"/>
    </font>
  </fonts>
  <fills count="15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11" fontId="0" fillId="0" borderId="7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0" fillId="3" borderId="6" xfId="0" applyFill="1" applyBorder="1" applyAlignment="1">
      <alignment horizontal="center"/>
    </xf>
    <xf numFmtId="14" fontId="11" fillId="0" borderId="0" xfId="0" applyNumberFormat="1" applyFont="1" applyAlignment="1">
      <alignment horizontal="center"/>
    </xf>
    <xf numFmtId="0" fontId="7" fillId="0" borderId="11" xfId="0" applyFont="1" applyBorder="1" applyAlignment="1">
      <alignment horizontal="center"/>
    </xf>
    <xf numFmtId="0" fontId="0" fillId="3" borderId="16" xfId="0" applyFill="1" applyBorder="1" applyAlignment="1">
      <alignment horizontal="center"/>
    </xf>
    <xf numFmtId="14" fontId="11" fillId="0" borderId="0" xfId="0" applyNumberFormat="1" applyFont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13" fillId="3" borderId="18" xfId="0" applyFont="1" applyFill="1" applyBorder="1" applyAlignment="1">
      <alignment horizontal="center"/>
    </xf>
    <xf numFmtId="0" fontId="14" fillId="3" borderId="18" xfId="0" applyFont="1" applyFill="1" applyBorder="1" applyAlignment="1">
      <alignment horizontal="center"/>
    </xf>
    <xf numFmtId="0" fontId="9" fillId="0" borderId="13" xfId="0" applyFont="1" applyBorder="1" applyAlignment="1">
      <alignment horizontal="center" wrapText="1"/>
    </xf>
    <xf numFmtId="0" fontId="10" fillId="0" borderId="0" xfId="0" applyFont="1" applyBorder="1" applyAlignment="1">
      <alignment horizontal="center"/>
    </xf>
    <xf numFmtId="0" fontId="0" fillId="0" borderId="0" xfId="0" applyFill="1" applyAlignment="1">
      <alignment horizontal="center"/>
    </xf>
    <xf numFmtId="0" fontId="15" fillId="0" borderId="0" xfId="0" applyFont="1" applyFill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19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7" fillId="4" borderId="7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19" fillId="4" borderId="22" xfId="0" applyFont="1" applyFill="1" applyBorder="1" applyAlignment="1">
      <alignment horizontal="center"/>
    </xf>
    <xf numFmtId="0" fontId="20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7" fillId="0" borderId="23" xfId="0" applyFont="1" applyFill="1" applyBorder="1"/>
    <xf numFmtId="0" fontId="21" fillId="0" borderId="0" xfId="0" applyFont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9" fillId="4" borderId="11" xfId="0" applyFont="1" applyFill="1" applyBorder="1" applyAlignment="1">
      <alignment horizontal="center"/>
    </xf>
    <xf numFmtId="0" fontId="19" fillId="0" borderId="2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19" fillId="4" borderId="7" xfId="0" applyFont="1" applyFill="1" applyBorder="1" applyAlignment="1">
      <alignment horizontal="center"/>
    </xf>
    <xf numFmtId="0" fontId="0" fillId="0" borderId="0" xfId="0" applyBorder="1"/>
    <xf numFmtId="0" fontId="22" fillId="3" borderId="27" xfId="0" applyFont="1" applyFill="1" applyBorder="1" applyAlignment="1">
      <alignment horizontal="center"/>
    </xf>
    <xf numFmtId="0" fontId="23" fillId="3" borderId="11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24" fillId="4" borderId="7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0" fontId="7" fillId="0" borderId="0" xfId="0" applyFont="1" applyFill="1" applyBorder="1"/>
    <xf numFmtId="0" fontId="0" fillId="0" borderId="0" xfId="0" applyFill="1" applyBorder="1"/>
    <xf numFmtId="0" fontId="14" fillId="3" borderId="28" xfId="0" applyFont="1" applyFill="1" applyBorder="1" applyAlignment="1">
      <alignment horizontal="center"/>
    </xf>
    <xf numFmtId="0" fontId="25" fillId="3" borderId="27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9" fillId="0" borderId="13" xfId="0" applyFont="1" applyFill="1" applyBorder="1" applyAlignment="1">
      <alignment horizontal="center" wrapText="1"/>
    </xf>
    <xf numFmtId="0" fontId="23" fillId="0" borderId="0" xfId="0" applyFont="1" applyBorder="1" applyAlignment="1">
      <alignment horizontal="center"/>
    </xf>
    <xf numFmtId="0" fontId="9" fillId="0" borderId="7" xfId="0" applyFont="1" applyBorder="1" applyAlignment="1">
      <alignment horizontal="center" wrapText="1"/>
    </xf>
    <xf numFmtId="0" fontId="6" fillId="3" borderId="27" xfId="0" applyFont="1" applyFill="1" applyBorder="1" applyAlignment="1">
      <alignment horizontal="center"/>
    </xf>
    <xf numFmtId="0" fontId="9" fillId="0" borderId="6" xfId="0" applyFont="1" applyBorder="1" applyAlignment="1">
      <alignment horizontal="center" wrapText="1"/>
    </xf>
    <xf numFmtId="0" fontId="23" fillId="0" borderId="9" xfId="0" applyFont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9" fillId="0" borderId="7" xfId="0" applyFont="1" applyFill="1" applyBorder="1" applyAlignment="1">
      <alignment horizontal="center" wrapText="1"/>
    </xf>
    <xf numFmtId="0" fontId="26" fillId="0" borderId="0" xfId="0" applyFont="1" applyFill="1" applyBorder="1" applyAlignment="1">
      <alignment horizontal="center"/>
    </xf>
    <xf numFmtId="0" fontId="23" fillId="0" borderId="31" xfId="0" applyFont="1" applyBorder="1" applyAlignment="1">
      <alignment horizontal="center"/>
    </xf>
    <xf numFmtId="0" fontId="28" fillId="0" borderId="7" xfId="0" applyFont="1" applyBorder="1" applyAlignment="1">
      <alignment horizontal="center" vertical="center" wrapText="1"/>
    </xf>
    <xf numFmtId="46" fontId="6" fillId="0" borderId="7" xfId="0" applyNumberFormat="1" applyFont="1" applyBorder="1" applyAlignment="1">
      <alignment horizontal="center" vertical="center" wrapText="1"/>
    </xf>
    <xf numFmtId="22" fontId="0" fillId="0" borderId="7" xfId="0" applyNumberFormat="1" applyBorder="1" applyAlignment="1">
      <alignment horizontal="center" vertical="center"/>
    </xf>
    <xf numFmtId="46" fontId="29" fillId="0" borderId="7" xfId="0" applyNumberFormat="1" applyFont="1" applyBorder="1" applyAlignment="1">
      <alignment horizontal="center"/>
    </xf>
    <xf numFmtId="22" fontId="0" fillId="0" borderId="7" xfId="0" applyNumberFormat="1" applyBorder="1" applyAlignment="1">
      <alignment horizontal="center"/>
    </xf>
    <xf numFmtId="22" fontId="0" fillId="0" borderId="7" xfId="0" applyNumberFormat="1" applyFill="1" applyBorder="1" applyAlignment="1">
      <alignment horizontal="center"/>
    </xf>
    <xf numFmtId="22" fontId="2" fillId="0" borderId="7" xfId="0" applyNumberFormat="1" applyFont="1" applyFill="1" applyBorder="1" applyAlignment="1">
      <alignment horizontal="center"/>
    </xf>
    <xf numFmtId="22" fontId="0" fillId="0" borderId="0" xfId="0" applyNumberFormat="1" applyFill="1" applyAlignment="1">
      <alignment horizontal="center"/>
    </xf>
    <xf numFmtId="22" fontId="0" fillId="0" borderId="0" xfId="0" applyNumberFormat="1" applyAlignment="1">
      <alignment horizontal="center"/>
    </xf>
    <xf numFmtId="46" fontId="29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28" fillId="0" borderId="32" xfId="0" applyNumberFormat="1" applyFont="1" applyBorder="1" applyAlignment="1">
      <alignment horizontal="center" vertical="center"/>
    </xf>
    <xf numFmtId="22" fontId="0" fillId="0" borderId="33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22" fontId="0" fillId="0" borderId="8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2" fontId="28" fillId="0" borderId="8" xfId="0" applyNumberFormat="1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2" fontId="28" fillId="0" borderId="7" xfId="0" applyNumberFormat="1" applyFont="1" applyBorder="1" applyAlignment="1">
      <alignment horizontal="center"/>
    </xf>
    <xf numFmtId="22" fontId="0" fillId="0" borderId="35" xfId="0" applyNumberFormat="1" applyBorder="1" applyAlignment="1">
      <alignment horizontal="center"/>
    </xf>
    <xf numFmtId="0" fontId="34" fillId="0" borderId="0" xfId="0" applyFont="1" applyAlignment="1">
      <alignment horizontal="center"/>
    </xf>
    <xf numFmtId="2" fontId="34" fillId="0" borderId="0" xfId="0" applyNumberFormat="1" applyFont="1" applyAlignment="1">
      <alignment horizontal="center"/>
    </xf>
    <xf numFmtId="0" fontId="34" fillId="0" borderId="34" xfId="0" applyFont="1" applyBorder="1" applyAlignment="1">
      <alignment horizontal="center"/>
    </xf>
    <xf numFmtId="22" fontId="0" fillId="0" borderId="5" xfId="0" applyNumberFormat="1" applyBorder="1" applyAlignment="1">
      <alignment horizontal="center"/>
    </xf>
    <xf numFmtId="0" fontId="34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49" fontId="0" fillId="0" borderId="33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28" fillId="0" borderId="7" xfId="0" applyNumberFormat="1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horizontal="center"/>
    </xf>
    <xf numFmtId="22" fontId="0" fillId="0" borderId="7" xfId="0" applyNumberFormat="1" applyFill="1" applyBorder="1" applyAlignment="1">
      <alignment horizontal="center" vertical="center"/>
    </xf>
    <xf numFmtId="22" fontId="0" fillId="0" borderId="8" xfId="0" applyNumberFormat="1" applyBorder="1" applyAlignment="1">
      <alignment horizontal="center" vertical="center"/>
    </xf>
    <xf numFmtId="0" fontId="33" fillId="6" borderId="36" xfId="0" applyFont="1" applyFill="1" applyBorder="1" applyAlignment="1">
      <alignment horizontal="center"/>
    </xf>
    <xf numFmtId="2" fontId="0" fillId="0" borderId="36" xfId="0" applyNumberFormat="1" applyBorder="1" applyAlignment="1">
      <alignment horizontal="center"/>
    </xf>
    <xf numFmtId="0" fontId="0" fillId="0" borderId="38" xfId="0" applyBorder="1" applyAlignment="1">
      <alignment horizontal="center"/>
    </xf>
    <xf numFmtId="22" fontId="0" fillId="0" borderId="35" xfId="0" applyNumberFormat="1" applyBorder="1" applyAlignment="1">
      <alignment horizontal="center" vertical="center"/>
    </xf>
    <xf numFmtId="2" fontId="0" fillId="0" borderId="34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1" fontId="35" fillId="6" borderId="36" xfId="0" applyNumberFormat="1" applyFont="1" applyFill="1" applyBorder="1" applyAlignment="1">
      <alignment horizontal="center"/>
    </xf>
    <xf numFmtId="0" fontId="32" fillId="3" borderId="34" xfId="0" applyFont="1" applyFill="1" applyBorder="1" applyAlignment="1">
      <alignment horizontal="center" vertical="center"/>
    </xf>
    <xf numFmtId="166" fontId="0" fillId="0" borderId="34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6" fontId="28" fillId="0" borderId="7" xfId="0" applyNumberFormat="1" applyFont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1" fontId="35" fillId="6" borderId="36" xfId="0" applyNumberFormat="1" applyFont="1" applyFill="1" applyBorder="1" applyAlignment="1">
      <alignment horizontal="center" vertical="center"/>
    </xf>
    <xf numFmtId="166" fontId="0" fillId="0" borderId="36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4" fontId="0" fillId="0" borderId="7" xfId="0" applyNumberFormat="1" applyBorder="1" applyAlignment="1">
      <alignment horizontal="center"/>
    </xf>
    <xf numFmtId="22" fontId="28" fillId="0" borderId="7" xfId="0" applyNumberFormat="1" applyFont="1" applyBorder="1" applyAlignment="1">
      <alignment horizontal="center"/>
    </xf>
    <xf numFmtId="0" fontId="16" fillId="4" borderId="7" xfId="0" applyFont="1" applyFill="1" applyBorder="1" applyAlignment="1">
      <alignment horizontal="center"/>
    </xf>
    <xf numFmtId="0" fontId="0" fillId="0" borderId="0" xfId="0" applyFont="1"/>
    <xf numFmtId="14" fontId="0" fillId="0" borderId="0" xfId="0" applyNumberFormat="1"/>
    <xf numFmtId="14" fontId="28" fillId="0" borderId="0" xfId="0" applyNumberFormat="1" applyFont="1" applyFill="1" applyAlignment="1">
      <alignment horizontal="center"/>
    </xf>
    <xf numFmtId="0" fontId="28" fillId="0" borderId="0" xfId="0" applyFont="1" applyAlignment="1">
      <alignment horizontal="center" wrapText="1"/>
    </xf>
    <xf numFmtId="17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14" fontId="28" fillId="0" borderId="0" xfId="0" applyNumberFormat="1" applyFont="1" applyAlignment="1">
      <alignment horizontal="center"/>
    </xf>
    <xf numFmtId="0" fontId="33" fillId="7" borderId="0" xfId="0" applyFont="1" applyFill="1" applyAlignment="1">
      <alignment horizontal="center"/>
    </xf>
    <xf numFmtId="0" fontId="33" fillId="0" borderId="0" xfId="0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33" fillId="8" borderId="0" xfId="0" applyFont="1" applyFill="1" applyAlignment="1">
      <alignment horizontal="center"/>
    </xf>
    <xf numFmtId="0" fontId="28" fillId="0" borderId="0" xfId="0" applyFont="1" applyFill="1" applyAlignment="1">
      <alignment horizontal="center"/>
    </xf>
    <xf numFmtId="14" fontId="28" fillId="0" borderId="7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22" fontId="28" fillId="0" borderId="0" xfId="0" applyNumberFormat="1" applyFont="1" applyFill="1" applyAlignment="1">
      <alignment horizontal="center"/>
    </xf>
    <xf numFmtId="2" fontId="0" fillId="0" borderId="7" xfId="0" applyNumberFormat="1" applyFont="1" applyBorder="1" applyAlignment="1">
      <alignment horizontal="center"/>
    </xf>
    <xf numFmtId="2" fontId="36" fillId="0" borderId="7" xfId="0" applyNumberFormat="1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28" fillId="0" borderId="0" xfId="0" applyNumberFormat="1" applyFont="1" applyAlignment="1">
      <alignment horizontal="center"/>
    </xf>
    <xf numFmtId="14" fontId="0" fillId="0" borderId="0" xfId="0" applyNumberFormat="1" applyFill="1" applyAlignment="1">
      <alignment horizontal="center"/>
    </xf>
    <xf numFmtId="0" fontId="38" fillId="0" borderId="0" xfId="0" applyFont="1" applyFill="1" applyAlignment="1">
      <alignment horizontal="center"/>
    </xf>
    <xf numFmtId="14" fontId="13" fillId="0" borderId="0" xfId="0" applyNumberFormat="1" applyFont="1" applyFill="1" applyAlignment="1">
      <alignment horizontal="center"/>
    </xf>
    <xf numFmtId="0" fontId="40" fillId="9" borderId="0" xfId="0" applyFont="1" applyFill="1" applyAlignment="1">
      <alignment horizontal="center"/>
    </xf>
    <xf numFmtId="0" fontId="28" fillId="0" borderId="0" xfId="0" applyFont="1" applyAlignment="1"/>
    <xf numFmtId="0" fontId="33" fillId="10" borderId="0" xfId="0" applyFont="1" applyFill="1" applyAlignment="1">
      <alignment horizontal="center"/>
    </xf>
    <xf numFmtId="0" fontId="28" fillId="0" borderId="0" xfId="0" applyFont="1" applyAlignment="1">
      <alignment horizontal="left"/>
    </xf>
    <xf numFmtId="0" fontId="28" fillId="0" borderId="0" xfId="0" applyFont="1" applyAlignment="1">
      <alignment horizontal="right"/>
    </xf>
    <xf numFmtId="0" fontId="33" fillId="11" borderId="0" xfId="0" applyFont="1" applyFill="1" applyAlignment="1">
      <alignment horizontal="center"/>
    </xf>
    <xf numFmtId="0" fontId="28" fillId="0" borderId="7" xfId="0" applyFont="1" applyFill="1" applyBorder="1" applyAlignment="1">
      <alignment horizontal="center" vertical="center"/>
    </xf>
    <xf numFmtId="0" fontId="33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28" fillId="0" borderId="0" xfId="0" applyFont="1" applyFill="1" applyBorder="1" applyAlignment="1">
      <alignment horizontal="center"/>
    </xf>
    <xf numFmtId="0" fontId="28" fillId="0" borderId="0" xfId="0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36" fillId="0" borderId="0" xfId="0" applyNumberFormat="1" applyFont="1" applyBorder="1" applyAlignment="1">
      <alignment horizontal="center"/>
    </xf>
    <xf numFmtId="2" fontId="11" fillId="0" borderId="0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9" fontId="0" fillId="14" borderId="7" xfId="0" applyNumberFormat="1" applyFont="1" applyFill="1" applyBorder="1" applyAlignment="1">
      <alignment horizontal="center"/>
    </xf>
    <xf numFmtId="0" fontId="0" fillId="14" borderId="7" xfId="0" applyFont="1" applyFill="1" applyBorder="1" applyAlignment="1">
      <alignment horizontal="center"/>
    </xf>
    <xf numFmtId="0" fontId="28" fillId="0" borderId="0" xfId="0" applyFont="1" applyAlignment="1">
      <alignment horizontal="left" vertical="center"/>
    </xf>
    <xf numFmtId="0" fontId="28" fillId="0" borderId="7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41" fillId="14" borderId="7" xfId="0" applyFont="1" applyFill="1" applyBorder="1" applyAlignment="1">
      <alignment horizontal="center"/>
    </xf>
    <xf numFmtId="0" fontId="28" fillId="0" borderId="0" xfId="0" applyFont="1" applyFill="1" applyAlignment="1">
      <alignment horizontal="center" vertical="center"/>
    </xf>
    <xf numFmtId="2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3" fillId="0" borderId="0" xfId="0" applyFont="1" applyFill="1" applyAlignment="1">
      <alignment horizontal="center"/>
    </xf>
    <xf numFmtId="0" fontId="42" fillId="14" borderId="7" xfId="0" applyFont="1" applyFill="1" applyBorder="1" applyAlignment="1">
      <alignment horizontal="center"/>
    </xf>
    <xf numFmtId="0" fontId="43" fillId="0" borderId="0" xfId="0" applyFont="1" applyAlignment="1">
      <alignment horizontal="center"/>
    </xf>
    <xf numFmtId="2" fontId="28" fillId="0" borderId="0" xfId="0" applyNumberFormat="1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0" fillId="0" borderId="0" xfId="0" applyNumberFormat="1"/>
    <xf numFmtId="2" fontId="0" fillId="0" borderId="0" xfId="0" applyNumberFormat="1"/>
    <xf numFmtId="0" fontId="21" fillId="0" borderId="0" xfId="0" applyFont="1" applyAlignment="1">
      <alignment horizontal="center"/>
    </xf>
    <xf numFmtId="0" fontId="37" fillId="5" borderId="0" xfId="0" applyFont="1" applyFill="1" applyAlignment="1">
      <alignment horizontal="center"/>
    </xf>
    <xf numFmtId="0" fontId="39" fillId="5" borderId="0" xfId="0" applyFont="1" applyFill="1" applyAlignment="1">
      <alignment horizontal="center"/>
    </xf>
    <xf numFmtId="0" fontId="39" fillId="5" borderId="0" xfId="0" applyFont="1" applyFill="1" applyAlignment="1">
      <alignment horizontal="left"/>
    </xf>
    <xf numFmtId="49" fontId="31" fillId="3" borderId="3" xfId="0" applyNumberFormat="1" applyFont="1" applyFill="1" applyBorder="1" applyAlignment="1">
      <alignment horizontal="center" vertical="center"/>
    </xf>
    <xf numFmtId="49" fontId="31" fillId="3" borderId="24" xfId="0" applyNumberFormat="1" applyFont="1" applyFill="1" applyBorder="1" applyAlignment="1">
      <alignment horizontal="center" vertical="center"/>
    </xf>
    <xf numFmtId="49" fontId="28" fillId="0" borderId="2" xfId="0" applyNumberFormat="1" applyFont="1" applyBorder="1" applyAlignment="1">
      <alignment horizontal="center" vertical="center"/>
    </xf>
    <xf numFmtId="49" fontId="28" fillId="0" borderId="3" xfId="0" applyNumberFormat="1" applyFont="1" applyBorder="1" applyAlignment="1">
      <alignment horizontal="center" vertical="center"/>
    </xf>
    <xf numFmtId="49" fontId="28" fillId="0" borderId="24" xfId="0" applyNumberFormat="1" applyFont="1" applyBorder="1" applyAlignment="1">
      <alignment horizontal="center" vertical="center"/>
    </xf>
    <xf numFmtId="0" fontId="32" fillId="3" borderId="34" xfId="0" applyFont="1" applyFill="1" applyBorder="1" applyAlignment="1">
      <alignment horizontal="center"/>
    </xf>
    <xf numFmtId="0" fontId="33" fillId="3" borderId="36" xfId="0" applyFont="1" applyFill="1" applyBorder="1" applyAlignment="1">
      <alignment horizontal="center"/>
    </xf>
    <xf numFmtId="0" fontId="33" fillId="3" borderId="36" xfId="0" applyFont="1" applyFill="1" applyBorder="1" applyAlignment="1">
      <alignment horizontal="center" vertical="center"/>
    </xf>
    <xf numFmtId="0" fontId="33" fillId="3" borderId="34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22" fontId="30" fillId="0" borderId="0" xfId="0" applyNumberFormat="1" applyFont="1" applyFill="1" applyAlignment="1">
      <alignment horizontal="center" wrapText="1"/>
    </xf>
    <xf numFmtId="165" fontId="27" fillId="5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" fontId="3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3" borderId="19" xfId="0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7"/>
  <sheetViews>
    <sheetView zoomScale="80" zoomScaleNormal="80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6.42578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7.140625" style="2" customWidth="1"/>
    <col min="15" max="15" width="9.85546875" style="2" customWidth="1"/>
    <col min="16" max="16" width="14.7109375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45352.010416666664</v>
      </c>
      <c r="C2" s="196" t="s">
        <v>3</v>
      </c>
      <c r="D2" s="196"/>
      <c r="E2" s="196"/>
      <c r="F2" s="196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2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6" t="s">
        <v>11</v>
      </c>
      <c r="D3" s="196"/>
      <c r="E3" s="196"/>
      <c r="F3" s="196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2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6" t="s">
        <v>18</v>
      </c>
      <c r="D4" s="196"/>
      <c r="E4" s="196"/>
      <c r="F4" s="196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3" t="s">
        <v>43</v>
      </c>
      <c r="M8" s="114" t="s">
        <v>44</v>
      </c>
      <c r="N8" s="114" t="s">
        <v>45</v>
      </c>
      <c r="O8" s="183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2">
        <v>45352.010416666664</v>
      </c>
      <c r="B9" s="6">
        <v>26.04</v>
      </c>
      <c r="C9" s="6">
        <v>19.63</v>
      </c>
      <c r="D9" s="6">
        <v>32.49</v>
      </c>
      <c r="E9" s="6">
        <v>7.28</v>
      </c>
      <c r="F9" s="6">
        <v>4.6900000000000004</v>
      </c>
      <c r="G9" s="6">
        <v>96.06</v>
      </c>
      <c r="H9" s="6">
        <v>30.96</v>
      </c>
      <c r="I9" s="6">
        <v>6.76</v>
      </c>
      <c r="J9" s="6">
        <v>0.15</v>
      </c>
      <c r="K9" s="6">
        <v>215.33</v>
      </c>
      <c r="L9" s="6">
        <v>21.28</v>
      </c>
      <c r="M9" s="6">
        <v>62.83</v>
      </c>
      <c r="N9" s="6">
        <v>0</v>
      </c>
      <c r="O9" s="6">
        <v>0</v>
      </c>
      <c r="P9" s="6">
        <v>0.69</v>
      </c>
      <c r="Q9" s="6">
        <v>4.8</v>
      </c>
    </row>
    <row r="10" spans="1:21" customFormat="1">
      <c r="A10" s="82">
        <v>45352.020833333336</v>
      </c>
      <c r="B10" s="6">
        <v>26.76</v>
      </c>
      <c r="C10" s="6">
        <v>20.399999999999999</v>
      </c>
      <c r="D10" s="6">
        <v>33.47</v>
      </c>
      <c r="E10" s="6">
        <v>7.35</v>
      </c>
      <c r="F10" s="6">
        <v>4.5999999999999996</v>
      </c>
      <c r="G10" s="6">
        <v>96.06</v>
      </c>
      <c r="H10" s="6">
        <v>30.96</v>
      </c>
      <c r="I10" s="6">
        <v>6.76</v>
      </c>
      <c r="J10" s="6">
        <v>0.18</v>
      </c>
      <c r="K10" s="6">
        <v>187.53</v>
      </c>
      <c r="L10" s="6">
        <v>21.17</v>
      </c>
      <c r="M10" s="6">
        <v>63.61</v>
      </c>
      <c r="N10" s="6">
        <v>0</v>
      </c>
      <c r="O10" s="6">
        <v>0</v>
      </c>
      <c r="P10" s="6">
        <v>0.7</v>
      </c>
      <c r="Q10" s="6">
        <v>4.8</v>
      </c>
    </row>
    <row r="11" spans="1:21" customFormat="1">
      <c r="A11" s="82">
        <v>45352.03125</v>
      </c>
      <c r="B11" s="6">
        <v>27.42</v>
      </c>
      <c r="C11" s="6">
        <v>19.57</v>
      </c>
      <c r="D11" s="6">
        <v>33.56</v>
      </c>
      <c r="E11" s="6">
        <v>7.34</v>
      </c>
      <c r="F11" s="6">
        <v>4.84</v>
      </c>
      <c r="G11" s="6">
        <v>94.88</v>
      </c>
      <c r="H11" s="6">
        <v>31.97</v>
      </c>
      <c r="I11" s="6">
        <v>6.86</v>
      </c>
      <c r="J11" s="6">
        <v>0.2</v>
      </c>
      <c r="K11" s="6">
        <v>185.49</v>
      </c>
      <c r="L11" s="6">
        <v>20.97</v>
      </c>
      <c r="M11" s="6">
        <v>67.83</v>
      </c>
      <c r="N11" s="6">
        <v>0</v>
      </c>
      <c r="O11" s="6">
        <v>0</v>
      </c>
      <c r="P11" s="6">
        <v>0.7</v>
      </c>
      <c r="Q11" s="6">
        <v>4.8</v>
      </c>
    </row>
    <row r="12" spans="1:21" customFormat="1">
      <c r="A12" s="82">
        <v>45352.041666666664</v>
      </c>
      <c r="B12" s="6">
        <v>27.65</v>
      </c>
      <c r="C12" s="6">
        <v>19.489999999999998</v>
      </c>
      <c r="D12" s="6">
        <v>33.71</v>
      </c>
      <c r="E12" s="6">
        <v>7.66</v>
      </c>
      <c r="F12" s="6">
        <v>4.79</v>
      </c>
      <c r="G12" s="6">
        <v>93.59</v>
      </c>
      <c r="H12" s="6">
        <v>32.549999999999997</v>
      </c>
      <c r="I12" s="6">
        <v>6.87</v>
      </c>
      <c r="J12" s="6">
        <v>0.25</v>
      </c>
      <c r="K12" s="6">
        <v>202.25</v>
      </c>
      <c r="L12" s="6">
        <v>20.6</v>
      </c>
      <c r="M12" s="6">
        <v>68.7</v>
      </c>
      <c r="N12" s="6">
        <v>0</v>
      </c>
      <c r="O12" s="6">
        <v>0</v>
      </c>
      <c r="P12" s="6">
        <v>0.7</v>
      </c>
      <c r="Q12" s="6">
        <v>4.83</v>
      </c>
    </row>
    <row r="13" spans="1:21" customFormat="1">
      <c r="A13" s="82">
        <v>45352.052083333336</v>
      </c>
      <c r="B13" s="6">
        <v>27.55</v>
      </c>
      <c r="C13" s="6">
        <v>20.09</v>
      </c>
      <c r="D13" s="6">
        <v>33.94</v>
      </c>
      <c r="E13" s="6">
        <v>7.88</v>
      </c>
      <c r="F13" s="6">
        <v>4.62</v>
      </c>
      <c r="G13" s="6">
        <v>93.59</v>
      </c>
      <c r="H13" s="6">
        <v>32.549999999999997</v>
      </c>
      <c r="I13" s="6">
        <v>6.9</v>
      </c>
      <c r="J13" s="6">
        <v>0.22</v>
      </c>
      <c r="K13" s="6">
        <v>226.66</v>
      </c>
      <c r="L13" s="6">
        <v>20.25</v>
      </c>
      <c r="M13" s="6">
        <v>65.349999999999994</v>
      </c>
      <c r="N13" s="6">
        <v>0</v>
      </c>
      <c r="O13" s="6">
        <v>0</v>
      </c>
      <c r="P13" s="6">
        <v>0.7</v>
      </c>
      <c r="Q13" s="6">
        <v>4.83</v>
      </c>
    </row>
    <row r="14" spans="1:21" customFormat="1">
      <c r="A14" s="82">
        <v>45352.0625</v>
      </c>
      <c r="B14" s="6">
        <v>26.68</v>
      </c>
      <c r="C14" s="6">
        <v>20.59</v>
      </c>
      <c r="D14" s="6">
        <v>33.5</v>
      </c>
      <c r="E14" s="6">
        <v>7.46</v>
      </c>
      <c r="F14" s="6">
        <v>4.58</v>
      </c>
      <c r="G14" s="6">
        <v>93.59</v>
      </c>
      <c r="H14" s="6">
        <v>32.549999999999997</v>
      </c>
      <c r="I14" s="6">
        <v>6.91</v>
      </c>
      <c r="J14" s="6">
        <v>0.17</v>
      </c>
      <c r="K14" s="6">
        <v>172.28</v>
      </c>
      <c r="L14" s="6">
        <v>20.21</v>
      </c>
      <c r="M14" s="6">
        <v>68.400000000000006</v>
      </c>
      <c r="N14" s="6">
        <v>0</v>
      </c>
      <c r="O14" s="6">
        <v>0</v>
      </c>
      <c r="P14" s="6">
        <v>0.71</v>
      </c>
      <c r="Q14" s="6">
        <v>4.82</v>
      </c>
    </row>
    <row r="15" spans="1:21" customFormat="1">
      <c r="A15" s="82">
        <v>45352.072916666664</v>
      </c>
      <c r="B15" s="6">
        <v>25.74</v>
      </c>
      <c r="C15" s="6">
        <v>20.72</v>
      </c>
      <c r="D15" s="6">
        <v>32.81</v>
      </c>
      <c r="E15" s="6">
        <v>7.65</v>
      </c>
      <c r="F15" s="6">
        <v>4.5199999999999996</v>
      </c>
      <c r="G15" s="6">
        <v>86.45</v>
      </c>
      <c r="H15" s="6">
        <v>29.5</v>
      </c>
      <c r="I15" s="6">
        <v>6.93</v>
      </c>
      <c r="J15" s="6">
        <v>0.11</v>
      </c>
      <c r="K15" s="6">
        <v>197.64</v>
      </c>
      <c r="L15" s="6">
        <v>20.23</v>
      </c>
      <c r="M15" s="6">
        <v>65.83</v>
      </c>
      <c r="N15" s="6">
        <v>0</v>
      </c>
      <c r="O15" s="6">
        <v>0</v>
      </c>
      <c r="P15" s="6">
        <v>0.7</v>
      </c>
      <c r="Q15" s="6">
        <v>4.82</v>
      </c>
    </row>
    <row r="16" spans="1:21" customFormat="1">
      <c r="A16" s="82">
        <v>45352.083333333336</v>
      </c>
      <c r="B16" s="6">
        <v>24.77</v>
      </c>
      <c r="C16" s="6">
        <v>20.77</v>
      </c>
      <c r="D16" s="6">
        <v>32.07</v>
      </c>
      <c r="E16" s="6">
        <v>6.95</v>
      </c>
      <c r="F16" s="6">
        <v>4.59</v>
      </c>
      <c r="G16" s="6">
        <v>78.63</v>
      </c>
      <c r="H16" s="6">
        <v>27.76</v>
      </c>
      <c r="I16" s="6">
        <v>6.95</v>
      </c>
      <c r="J16" s="6">
        <v>0.16</v>
      </c>
      <c r="K16" s="6">
        <v>248.27</v>
      </c>
      <c r="L16" s="6">
        <v>20.22</v>
      </c>
      <c r="M16" s="6">
        <v>63.75</v>
      </c>
      <c r="N16" s="6">
        <v>0</v>
      </c>
      <c r="O16" s="6">
        <v>0</v>
      </c>
      <c r="P16" s="6">
        <v>0.7</v>
      </c>
      <c r="Q16" s="6">
        <v>4.82</v>
      </c>
    </row>
    <row r="17" spans="1:17" customFormat="1">
      <c r="A17" s="82">
        <v>45352.09375</v>
      </c>
      <c r="B17" s="6">
        <v>24.95</v>
      </c>
      <c r="C17" s="6">
        <v>21.28</v>
      </c>
      <c r="D17" s="6">
        <v>32.479999999999997</v>
      </c>
      <c r="E17" s="6">
        <v>8.58</v>
      </c>
      <c r="F17" s="6">
        <v>4.54</v>
      </c>
      <c r="G17" s="6">
        <v>78.63</v>
      </c>
      <c r="H17" s="6">
        <v>27.76</v>
      </c>
      <c r="I17" s="6">
        <v>6.95</v>
      </c>
      <c r="J17" s="6">
        <v>0.16</v>
      </c>
      <c r="K17" s="6">
        <v>237.14</v>
      </c>
      <c r="L17" s="6">
        <v>20.16</v>
      </c>
      <c r="M17" s="6">
        <v>62.98</v>
      </c>
      <c r="N17" s="6">
        <v>0</v>
      </c>
      <c r="O17" s="6">
        <v>0</v>
      </c>
      <c r="P17" s="6">
        <v>0.7</v>
      </c>
      <c r="Q17" s="6">
        <v>4.8099999999999996</v>
      </c>
    </row>
    <row r="18" spans="1:17" customFormat="1">
      <c r="A18" s="82">
        <v>45352.104166666664</v>
      </c>
      <c r="B18" s="6">
        <v>27.46</v>
      </c>
      <c r="C18" s="6">
        <v>21.98</v>
      </c>
      <c r="D18" s="6">
        <v>34.86</v>
      </c>
      <c r="E18" s="6">
        <v>10.46</v>
      </c>
      <c r="F18" s="6">
        <v>4.5199999999999996</v>
      </c>
      <c r="G18" s="6">
        <v>78.63</v>
      </c>
      <c r="H18" s="6">
        <v>27.76</v>
      </c>
      <c r="I18" s="6">
        <v>7</v>
      </c>
      <c r="J18" s="6">
        <v>0.15</v>
      </c>
      <c r="K18" s="6">
        <v>171.92</v>
      </c>
      <c r="L18" s="6">
        <v>20.3</v>
      </c>
      <c r="M18" s="6">
        <v>63.18</v>
      </c>
      <c r="N18" s="6">
        <v>0</v>
      </c>
      <c r="O18" s="6">
        <v>0</v>
      </c>
      <c r="P18" s="6">
        <v>0.71</v>
      </c>
      <c r="Q18" s="6">
        <v>4.83</v>
      </c>
    </row>
    <row r="19" spans="1:17" customFormat="1">
      <c r="A19" s="82">
        <v>45352.114583333336</v>
      </c>
      <c r="B19" s="6">
        <v>29.89</v>
      </c>
      <c r="C19" s="6">
        <v>22.88</v>
      </c>
      <c r="D19" s="6">
        <v>37.270000000000003</v>
      </c>
      <c r="E19" s="6">
        <v>9.92</v>
      </c>
      <c r="F19" s="6">
        <v>4.5</v>
      </c>
      <c r="G19" s="6">
        <v>79.099999999999994</v>
      </c>
      <c r="H19" s="6">
        <v>27.55</v>
      </c>
      <c r="I19" s="6">
        <v>7.05</v>
      </c>
      <c r="J19" s="6">
        <v>0.22</v>
      </c>
      <c r="K19" s="6">
        <v>167.28</v>
      </c>
      <c r="L19" s="6">
        <v>20.3</v>
      </c>
      <c r="M19" s="6">
        <v>65.37</v>
      </c>
      <c r="N19" s="6">
        <v>0</v>
      </c>
      <c r="O19" s="6">
        <v>0</v>
      </c>
      <c r="P19" s="6">
        <v>0.72</v>
      </c>
      <c r="Q19" s="6">
        <v>4.83</v>
      </c>
    </row>
    <row r="20" spans="1:17" customFormat="1">
      <c r="A20" s="82">
        <v>45352.125</v>
      </c>
      <c r="B20" s="6">
        <v>31.33</v>
      </c>
      <c r="C20" s="6">
        <v>23.41</v>
      </c>
      <c r="D20" s="6">
        <v>38.71</v>
      </c>
      <c r="E20" s="6">
        <v>10.31</v>
      </c>
      <c r="F20" s="6">
        <v>4.37</v>
      </c>
      <c r="G20" s="6">
        <v>79.61</v>
      </c>
      <c r="H20" s="6">
        <v>27.27</v>
      </c>
      <c r="I20" s="6">
        <v>7.13</v>
      </c>
      <c r="J20" s="6">
        <v>0.24</v>
      </c>
      <c r="K20" s="6">
        <v>186.85</v>
      </c>
      <c r="L20" s="6">
        <v>20.25</v>
      </c>
      <c r="M20" s="6">
        <v>70.489999999999995</v>
      </c>
      <c r="N20" s="6">
        <v>0</v>
      </c>
      <c r="O20" s="6">
        <v>0</v>
      </c>
      <c r="P20" s="6">
        <v>0.72</v>
      </c>
      <c r="Q20" s="6">
        <v>4.84</v>
      </c>
    </row>
    <row r="21" spans="1:17" customFormat="1">
      <c r="A21" s="82">
        <v>45352.135416666664</v>
      </c>
      <c r="B21" s="6">
        <v>31.54</v>
      </c>
      <c r="C21" s="6">
        <v>23.64</v>
      </c>
      <c r="D21" s="6">
        <v>39</v>
      </c>
      <c r="E21" s="6">
        <v>10.52</v>
      </c>
      <c r="F21" s="6">
        <v>4.46</v>
      </c>
      <c r="G21" s="6">
        <v>79.61</v>
      </c>
      <c r="H21" s="6">
        <v>27.27</v>
      </c>
      <c r="I21" s="6">
        <v>7.15</v>
      </c>
      <c r="J21" s="6">
        <v>0.19</v>
      </c>
      <c r="K21" s="6">
        <v>198.95</v>
      </c>
      <c r="L21" s="6">
        <v>19.760000000000002</v>
      </c>
      <c r="M21" s="6">
        <v>72.14</v>
      </c>
      <c r="N21" s="6">
        <v>0</v>
      </c>
      <c r="O21" s="6">
        <v>0</v>
      </c>
      <c r="P21" s="6">
        <v>0.72</v>
      </c>
      <c r="Q21" s="6">
        <v>4.84</v>
      </c>
    </row>
    <row r="22" spans="1:17" customFormat="1">
      <c r="A22" s="82">
        <v>45352.145833333336</v>
      </c>
      <c r="B22" s="6">
        <v>30.75</v>
      </c>
      <c r="C22" s="6">
        <v>23.71</v>
      </c>
      <c r="D22" s="6">
        <v>38.39</v>
      </c>
      <c r="E22" s="6">
        <v>10.46</v>
      </c>
      <c r="F22" s="6">
        <v>4.53</v>
      </c>
      <c r="G22" s="6">
        <v>79.61</v>
      </c>
      <c r="H22" s="6">
        <v>27.27</v>
      </c>
      <c r="I22" s="6">
        <v>7.26</v>
      </c>
      <c r="J22" s="6">
        <v>0.16</v>
      </c>
      <c r="K22" s="6">
        <v>125.69</v>
      </c>
      <c r="L22" s="6">
        <v>19.420000000000002</v>
      </c>
      <c r="M22" s="6">
        <v>69.63</v>
      </c>
      <c r="N22" s="6">
        <v>0</v>
      </c>
      <c r="O22" s="6">
        <v>0</v>
      </c>
      <c r="P22" s="6">
        <v>0.72</v>
      </c>
      <c r="Q22" s="6">
        <v>4.82</v>
      </c>
    </row>
    <row r="23" spans="1:17" customFormat="1">
      <c r="A23" s="82">
        <v>45352.15625</v>
      </c>
      <c r="B23" s="6">
        <v>31.27</v>
      </c>
      <c r="C23" s="6">
        <v>24</v>
      </c>
      <c r="D23" s="6">
        <v>38.97</v>
      </c>
      <c r="E23" s="6">
        <v>10.63</v>
      </c>
      <c r="F23" s="6">
        <v>4.54</v>
      </c>
      <c r="G23" s="6">
        <v>74.88</v>
      </c>
      <c r="H23" s="6">
        <v>24.8</v>
      </c>
      <c r="I23" s="6">
        <v>7.27</v>
      </c>
      <c r="J23" s="6">
        <v>0.14000000000000001</v>
      </c>
      <c r="K23" s="6">
        <v>118.56</v>
      </c>
      <c r="L23" s="6">
        <v>19.600000000000001</v>
      </c>
      <c r="M23" s="6">
        <v>65.53</v>
      </c>
      <c r="N23" s="6">
        <v>0</v>
      </c>
      <c r="O23" s="6">
        <v>0</v>
      </c>
      <c r="P23" s="6">
        <v>0.72</v>
      </c>
      <c r="Q23" s="6">
        <v>4.83</v>
      </c>
    </row>
    <row r="24" spans="1:17" customFormat="1">
      <c r="A24" s="82">
        <v>45352.166666666664</v>
      </c>
      <c r="B24" s="6">
        <v>33.520000000000003</v>
      </c>
      <c r="C24" s="6">
        <v>24.26</v>
      </c>
      <c r="D24" s="6">
        <v>40.909999999999997</v>
      </c>
      <c r="E24" s="6">
        <v>10.82</v>
      </c>
      <c r="F24" s="6">
        <v>4.53</v>
      </c>
      <c r="G24" s="6">
        <v>69.709999999999994</v>
      </c>
      <c r="H24" s="6">
        <v>23.38</v>
      </c>
      <c r="I24" s="6">
        <v>7.29</v>
      </c>
      <c r="J24" s="6">
        <v>0.42</v>
      </c>
      <c r="K24" s="6">
        <v>74.87</v>
      </c>
      <c r="L24" s="6">
        <v>20.149999999999999</v>
      </c>
      <c r="M24" s="6">
        <v>61.98</v>
      </c>
      <c r="N24" s="6">
        <v>0</v>
      </c>
      <c r="O24" s="6">
        <v>0</v>
      </c>
      <c r="P24" s="6">
        <v>0.72</v>
      </c>
      <c r="Q24" s="6">
        <v>4.8499999999999996</v>
      </c>
    </row>
    <row r="25" spans="1:17" customFormat="1">
      <c r="A25" s="82">
        <v>45352.177083333336</v>
      </c>
      <c r="B25" s="6">
        <v>35.14</v>
      </c>
      <c r="C25" s="6">
        <v>24.86</v>
      </c>
      <c r="D25" s="6">
        <v>42.52</v>
      </c>
      <c r="E25" s="6">
        <v>10.79</v>
      </c>
      <c r="F25" s="6">
        <v>4.53</v>
      </c>
      <c r="G25" s="6">
        <v>69.709999999999994</v>
      </c>
      <c r="H25" s="6">
        <v>23.38</v>
      </c>
      <c r="I25" s="6">
        <v>7.31</v>
      </c>
      <c r="J25" s="6">
        <v>0.4</v>
      </c>
      <c r="K25" s="6">
        <v>53.33</v>
      </c>
      <c r="L25" s="6">
        <v>20.74</v>
      </c>
      <c r="M25" s="6">
        <v>59.04</v>
      </c>
      <c r="N25" s="6">
        <v>0</v>
      </c>
      <c r="O25" s="6">
        <v>0</v>
      </c>
      <c r="P25" s="6">
        <v>0.71</v>
      </c>
      <c r="Q25" s="6">
        <v>4.8600000000000003</v>
      </c>
    </row>
    <row r="26" spans="1:17" customFormat="1">
      <c r="A26" s="82">
        <v>45352.1875</v>
      </c>
      <c r="B26" s="6">
        <v>35.39</v>
      </c>
      <c r="C26" s="6">
        <v>25.07</v>
      </c>
      <c r="D26" s="6">
        <v>42.83</v>
      </c>
      <c r="E26" s="6">
        <v>10.48</v>
      </c>
      <c r="F26" s="6">
        <v>4.66</v>
      </c>
      <c r="G26" s="6">
        <v>69.709999999999994</v>
      </c>
      <c r="H26" s="6">
        <v>23.38</v>
      </c>
      <c r="I26" s="6">
        <v>7.32</v>
      </c>
      <c r="J26" s="6">
        <v>0.34</v>
      </c>
      <c r="K26" s="6">
        <v>52.31</v>
      </c>
      <c r="L26" s="6">
        <v>20.69</v>
      </c>
      <c r="M26" s="6">
        <v>60.08</v>
      </c>
      <c r="N26" s="6">
        <v>0</v>
      </c>
      <c r="O26" s="6">
        <v>0</v>
      </c>
      <c r="P26" s="6">
        <v>0.72</v>
      </c>
      <c r="Q26" s="6">
        <v>4.88</v>
      </c>
    </row>
    <row r="27" spans="1:17" customFormat="1">
      <c r="A27" s="82">
        <v>45352.197916666664</v>
      </c>
      <c r="B27" s="6">
        <v>35.44</v>
      </c>
      <c r="C27" s="6">
        <v>25.29</v>
      </c>
      <c r="D27" s="6">
        <v>42.99</v>
      </c>
      <c r="E27" s="6">
        <v>10.99</v>
      </c>
      <c r="F27" s="6">
        <v>4.6500000000000004</v>
      </c>
      <c r="G27" s="6">
        <v>70.83</v>
      </c>
      <c r="H27" s="6">
        <v>27.41</v>
      </c>
      <c r="I27" s="6">
        <v>7.34</v>
      </c>
      <c r="J27" s="6">
        <v>0.34</v>
      </c>
      <c r="K27" s="6">
        <v>62.49</v>
      </c>
      <c r="L27" s="6">
        <v>20.51</v>
      </c>
      <c r="M27" s="6">
        <v>61.19</v>
      </c>
      <c r="N27" s="6">
        <v>0</v>
      </c>
      <c r="O27" s="6">
        <v>0</v>
      </c>
      <c r="P27" s="6">
        <v>0.74</v>
      </c>
      <c r="Q27" s="6">
        <v>4.87</v>
      </c>
    </row>
    <row r="28" spans="1:17" customFormat="1">
      <c r="A28" s="82">
        <v>45352.208333333336</v>
      </c>
      <c r="B28" s="6">
        <v>35.47</v>
      </c>
      <c r="C28" s="6">
        <v>25.48</v>
      </c>
      <c r="D28" s="6">
        <v>43.1</v>
      </c>
      <c r="E28" s="6">
        <v>11.35</v>
      </c>
      <c r="F28" s="6">
        <v>4.51</v>
      </c>
      <c r="G28" s="6">
        <v>72.05</v>
      </c>
      <c r="H28" s="6">
        <v>29.72</v>
      </c>
      <c r="I28" s="6">
        <v>7.58</v>
      </c>
      <c r="J28" s="6">
        <v>0.23</v>
      </c>
      <c r="K28" s="6">
        <v>56.3</v>
      </c>
      <c r="L28" s="6">
        <v>20.34</v>
      </c>
      <c r="M28" s="6">
        <v>62.94</v>
      </c>
      <c r="N28" s="6">
        <v>0</v>
      </c>
      <c r="O28" s="6">
        <v>0</v>
      </c>
      <c r="P28" s="6">
        <v>0.76</v>
      </c>
      <c r="Q28" s="6">
        <v>4.8499999999999996</v>
      </c>
    </row>
    <row r="29" spans="1:17" customFormat="1">
      <c r="A29" s="82">
        <v>45352.21875</v>
      </c>
      <c r="B29" s="6">
        <v>35.39</v>
      </c>
      <c r="C29" s="6">
        <v>25.52</v>
      </c>
      <c r="D29" s="6">
        <v>43.06</v>
      </c>
      <c r="E29" s="6">
        <v>10.93</v>
      </c>
      <c r="F29" s="6">
        <v>4.54</v>
      </c>
      <c r="G29" s="6">
        <v>72.05</v>
      </c>
      <c r="H29" s="6">
        <v>29.72</v>
      </c>
      <c r="I29" s="6">
        <v>7.74</v>
      </c>
      <c r="J29" s="6">
        <v>0.45</v>
      </c>
      <c r="K29" s="6">
        <v>72.38</v>
      </c>
      <c r="L29" s="6">
        <v>20.350000000000001</v>
      </c>
      <c r="M29" s="6">
        <v>63.13</v>
      </c>
      <c r="N29" s="6">
        <v>0</v>
      </c>
      <c r="O29" s="6">
        <v>0</v>
      </c>
      <c r="P29" s="6">
        <v>0.76</v>
      </c>
      <c r="Q29" s="6">
        <v>4.8600000000000003</v>
      </c>
    </row>
    <row r="30" spans="1:17" customFormat="1">
      <c r="A30" s="82">
        <v>45352.229166666664</v>
      </c>
      <c r="B30" s="6">
        <v>35.590000000000003</v>
      </c>
      <c r="C30" s="6">
        <v>25.46</v>
      </c>
      <c r="D30" s="6">
        <v>43.19</v>
      </c>
      <c r="E30" s="6">
        <v>11.08</v>
      </c>
      <c r="F30" s="6">
        <v>4.3499999999999996</v>
      </c>
      <c r="G30" s="6">
        <v>72.05</v>
      </c>
      <c r="H30" s="6">
        <v>29.72</v>
      </c>
      <c r="I30" s="6">
        <v>7.96</v>
      </c>
      <c r="J30" s="6">
        <v>0.13</v>
      </c>
      <c r="K30" s="6">
        <v>85.49</v>
      </c>
      <c r="L30" s="6">
        <v>20.09</v>
      </c>
      <c r="M30" s="6">
        <v>65.69</v>
      </c>
      <c r="N30" s="6">
        <v>0</v>
      </c>
      <c r="O30" s="6">
        <v>0</v>
      </c>
      <c r="P30" s="6">
        <v>0.78</v>
      </c>
      <c r="Q30" s="6">
        <v>4.87</v>
      </c>
    </row>
    <row r="31" spans="1:17" customFormat="1">
      <c r="A31" s="82">
        <v>45352.239583333336</v>
      </c>
      <c r="B31" s="6">
        <v>35.74</v>
      </c>
      <c r="C31" s="6">
        <v>25.29</v>
      </c>
      <c r="D31" s="6">
        <v>43.22</v>
      </c>
      <c r="E31" s="6">
        <v>10.65</v>
      </c>
      <c r="F31" s="6">
        <v>4.51</v>
      </c>
      <c r="G31" s="6">
        <v>77.760000000000005</v>
      </c>
      <c r="H31" s="6">
        <v>31.9</v>
      </c>
      <c r="I31" s="6">
        <v>8.16</v>
      </c>
      <c r="J31" s="6">
        <v>0.16</v>
      </c>
      <c r="K31" s="6">
        <v>112.78</v>
      </c>
      <c r="L31" s="6">
        <v>19.48</v>
      </c>
      <c r="M31" s="6">
        <v>72.959999999999994</v>
      </c>
      <c r="N31" s="6">
        <v>0</v>
      </c>
      <c r="O31" s="6">
        <v>0</v>
      </c>
      <c r="P31" s="6">
        <v>0.79</v>
      </c>
      <c r="Q31" s="6">
        <v>4.87</v>
      </c>
    </row>
    <row r="32" spans="1:17" customFormat="1">
      <c r="A32" s="82">
        <v>45352.25</v>
      </c>
      <c r="B32" s="6">
        <v>35.700000000000003</v>
      </c>
      <c r="C32" s="6">
        <v>25.45</v>
      </c>
      <c r="D32" s="6">
        <v>43.28</v>
      </c>
      <c r="E32" s="6">
        <v>11.25</v>
      </c>
      <c r="F32" s="6">
        <v>4.4400000000000004</v>
      </c>
      <c r="G32" s="6">
        <v>84.01</v>
      </c>
      <c r="H32" s="6">
        <v>33.14</v>
      </c>
      <c r="I32" s="6">
        <v>8.3699999999999992</v>
      </c>
      <c r="J32" s="6">
        <v>0.61</v>
      </c>
      <c r="K32" s="6">
        <v>72.010000000000005</v>
      </c>
      <c r="L32" s="6">
        <v>19.79</v>
      </c>
      <c r="M32" s="6">
        <v>66.16</v>
      </c>
      <c r="N32" s="6">
        <v>0</v>
      </c>
      <c r="O32" s="6">
        <v>0</v>
      </c>
      <c r="P32" s="6">
        <v>0.82</v>
      </c>
      <c r="Q32" s="6">
        <v>4.84</v>
      </c>
    </row>
    <row r="33" spans="1:17" customFormat="1">
      <c r="A33" s="82">
        <v>45352.260416666664</v>
      </c>
      <c r="B33" s="6">
        <v>36.380000000000003</v>
      </c>
      <c r="C33" s="6">
        <v>25.02</v>
      </c>
      <c r="D33" s="6">
        <v>43.6</v>
      </c>
      <c r="E33" s="6">
        <v>10.86</v>
      </c>
      <c r="F33" s="6">
        <v>4.62</v>
      </c>
      <c r="G33" s="6">
        <v>84.01</v>
      </c>
      <c r="H33" s="6">
        <v>33.14</v>
      </c>
      <c r="I33" s="6">
        <v>8.5399999999999991</v>
      </c>
      <c r="J33" s="6">
        <v>0.4</v>
      </c>
      <c r="K33" s="6">
        <v>63.58</v>
      </c>
      <c r="L33" s="6">
        <v>19.78</v>
      </c>
      <c r="M33" s="6">
        <v>67.510000000000005</v>
      </c>
      <c r="N33" s="6">
        <v>0</v>
      </c>
      <c r="O33" s="6">
        <v>0</v>
      </c>
      <c r="P33" s="6">
        <v>0.84</v>
      </c>
      <c r="Q33" s="6">
        <v>4.84</v>
      </c>
    </row>
    <row r="34" spans="1:17" customFormat="1">
      <c r="A34" s="82">
        <v>45352.270833333336</v>
      </c>
      <c r="B34" s="6">
        <v>37.47</v>
      </c>
      <c r="C34" s="6">
        <v>23.16</v>
      </c>
      <c r="D34" s="6">
        <v>43.5</v>
      </c>
      <c r="E34" s="6">
        <v>10.7</v>
      </c>
      <c r="F34" s="6">
        <v>4.76</v>
      </c>
      <c r="G34" s="6">
        <v>84.01</v>
      </c>
      <c r="H34" s="6">
        <v>33.14</v>
      </c>
      <c r="I34" s="6">
        <v>8.7100000000000009</v>
      </c>
      <c r="J34" s="6">
        <v>0.3</v>
      </c>
      <c r="K34" s="6">
        <v>63.16</v>
      </c>
      <c r="L34" s="6">
        <v>19.850000000000001</v>
      </c>
      <c r="M34" s="6">
        <v>69.540000000000006</v>
      </c>
      <c r="N34" s="6">
        <v>0.6</v>
      </c>
      <c r="O34" s="6">
        <v>0</v>
      </c>
      <c r="P34" s="6">
        <v>0.84</v>
      </c>
      <c r="Q34" s="6">
        <v>4.84</v>
      </c>
    </row>
    <row r="35" spans="1:17" customFormat="1">
      <c r="A35" s="82">
        <v>45352.28125</v>
      </c>
      <c r="B35" s="6">
        <v>37.61</v>
      </c>
      <c r="C35" s="6">
        <v>21.83</v>
      </c>
      <c r="D35" s="6">
        <v>42.92</v>
      </c>
      <c r="E35" s="6">
        <v>10.72</v>
      </c>
      <c r="F35" s="6">
        <v>4.68</v>
      </c>
      <c r="G35" s="6">
        <v>86.83</v>
      </c>
      <c r="H35" s="6">
        <v>34.4</v>
      </c>
      <c r="I35" s="6">
        <v>8.84</v>
      </c>
      <c r="J35" s="6">
        <v>0.14000000000000001</v>
      </c>
      <c r="K35" s="6">
        <v>133.69</v>
      </c>
      <c r="L35" s="6">
        <v>19.34</v>
      </c>
      <c r="M35" s="6">
        <v>75.19</v>
      </c>
      <c r="N35" s="6">
        <v>7.7</v>
      </c>
      <c r="O35" s="6">
        <v>0</v>
      </c>
      <c r="P35" s="6">
        <v>0.84</v>
      </c>
      <c r="Q35" s="6">
        <v>4.8600000000000003</v>
      </c>
    </row>
    <row r="36" spans="1:17" customFormat="1">
      <c r="A36" s="82">
        <v>45352.291666666664</v>
      </c>
      <c r="B36" s="6">
        <v>37.19</v>
      </c>
      <c r="C36" s="6">
        <v>20.74</v>
      </c>
      <c r="D36" s="6">
        <v>42.01</v>
      </c>
      <c r="E36" s="6">
        <v>10.32</v>
      </c>
      <c r="F36" s="6">
        <v>4.78</v>
      </c>
      <c r="G36" s="6">
        <v>89.91</v>
      </c>
      <c r="H36" s="6">
        <v>35.119999999999997</v>
      </c>
      <c r="I36" s="6">
        <v>8.8800000000000008</v>
      </c>
      <c r="J36" s="6">
        <v>0.52</v>
      </c>
      <c r="K36" s="6">
        <v>54.65</v>
      </c>
      <c r="L36" s="6">
        <v>19.95</v>
      </c>
      <c r="M36" s="6">
        <v>70.83</v>
      </c>
      <c r="N36" s="6">
        <v>17.8</v>
      </c>
      <c r="O36" s="6">
        <v>0</v>
      </c>
      <c r="P36" s="6">
        <v>0.83</v>
      </c>
      <c r="Q36" s="6">
        <v>4.87</v>
      </c>
    </row>
    <row r="37" spans="1:17" customFormat="1">
      <c r="A37" s="82">
        <v>45352.302083333336</v>
      </c>
      <c r="B37" s="6">
        <v>37.19</v>
      </c>
      <c r="C37" s="6">
        <v>19.86</v>
      </c>
      <c r="D37" s="6">
        <v>41.55</v>
      </c>
      <c r="E37" s="6">
        <v>9.77</v>
      </c>
      <c r="F37" s="6">
        <v>4.67</v>
      </c>
      <c r="G37" s="6">
        <v>89.91</v>
      </c>
      <c r="H37" s="6">
        <v>35.119999999999997</v>
      </c>
      <c r="I37" s="6">
        <v>8.9700000000000006</v>
      </c>
      <c r="J37" s="6">
        <v>0.66</v>
      </c>
      <c r="K37" s="6">
        <v>67.45</v>
      </c>
      <c r="L37" s="6">
        <v>20.54</v>
      </c>
      <c r="M37" s="6">
        <v>68.849999999999994</v>
      </c>
      <c r="N37" s="6">
        <v>28.5</v>
      </c>
      <c r="O37" s="6">
        <v>0</v>
      </c>
      <c r="P37" s="6">
        <v>0.84</v>
      </c>
      <c r="Q37" s="6">
        <v>4.8600000000000003</v>
      </c>
    </row>
    <row r="38" spans="1:17" customFormat="1">
      <c r="A38" s="82">
        <v>45352.3125</v>
      </c>
      <c r="B38" s="6">
        <v>37.46</v>
      </c>
      <c r="C38" s="6">
        <v>19.350000000000001</v>
      </c>
      <c r="D38" s="6">
        <v>41.5</v>
      </c>
      <c r="E38" s="6">
        <v>9.66</v>
      </c>
      <c r="F38" s="6">
        <v>4.68</v>
      </c>
      <c r="G38" s="6">
        <v>89.91</v>
      </c>
      <c r="H38" s="6">
        <v>35.119999999999997</v>
      </c>
      <c r="I38" s="6">
        <v>9.01</v>
      </c>
      <c r="J38" s="6">
        <v>0.76</v>
      </c>
      <c r="K38" s="6">
        <v>59.58</v>
      </c>
      <c r="L38" s="6">
        <v>21.14</v>
      </c>
      <c r="M38" s="6">
        <v>66.52</v>
      </c>
      <c r="N38" s="6">
        <v>39.5</v>
      </c>
      <c r="O38" s="6">
        <v>0</v>
      </c>
      <c r="P38" s="6">
        <v>0.85</v>
      </c>
      <c r="Q38" s="6">
        <v>4.8600000000000003</v>
      </c>
    </row>
    <row r="39" spans="1:17" customFormat="1">
      <c r="A39" s="82">
        <v>45352.322916666664</v>
      </c>
      <c r="B39" s="6">
        <v>37.28</v>
      </c>
      <c r="C39" s="6">
        <v>19.64</v>
      </c>
      <c r="D39" s="6">
        <v>41.5</v>
      </c>
      <c r="E39" s="6">
        <v>10.220000000000001</v>
      </c>
      <c r="F39" s="6">
        <v>4.68</v>
      </c>
      <c r="G39" s="6">
        <v>95.72</v>
      </c>
      <c r="H39" s="6">
        <v>36.11</v>
      </c>
      <c r="I39" s="6">
        <v>9.08</v>
      </c>
      <c r="J39" s="6">
        <v>0.76</v>
      </c>
      <c r="K39" s="6">
        <v>60.57</v>
      </c>
      <c r="L39" s="6">
        <v>21.69</v>
      </c>
      <c r="M39" s="6">
        <v>63.97</v>
      </c>
      <c r="N39" s="6">
        <v>60.1</v>
      </c>
      <c r="O39" s="6">
        <v>0</v>
      </c>
      <c r="P39" s="6">
        <v>0.85</v>
      </c>
      <c r="Q39" s="6">
        <v>4.8600000000000003</v>
      </c>
    </row>
    <row r="40" spans="1:17" customFormat="1">
      <c r="A40" s="82">
        <v>45352.333333333336</v>
      </c>
      <c r="B40" s="6">
        <v>37.01</v>
      </c>
      <c r="C40" s="6">
        <v>20.8</v>
      </c>
      <c r="D40" s="6">
        <v>41.9</v>
      </c>
      <c r="E40" s="6">
        <v>9.6199999999999992</v>
      </c>
      <c r="F40" s="6">
        <v>4.68</v>
      </c>
      <c r="G40" s="6">
        <v>102.08</v>
      </c>
      <c r="H40" s="6">
        <v>36.68</v>
      </c>
      <c r="I40" s="6">
        <v>9.14</v>
      </c>
      <c r="J40" s="6">
        <v>0.83</v>
      </c>
      <c r="K40" s="6">
        <v>61.23</v>
      </c>
      <c r="L40" s="6">
        <v>22.59</v>
      </c>
      <c r="M40" s="6">
        <v>59.72</v>
      </c>
      <c r="N40" s="6">
        <v>92.2</v>
      </c>
      <c r="O40" s="6">
        <v>0</v>
      </c>
      <c r="P40" s="6">
        <v>0.88</v>
      </c>
      <c r="Q40" s="6">
        <v>4.8600000000000003</v>
      </c>
    </row>
    <row r="41" spans="1:17" customFormat="1">
      <c r="A41" s="82">
        <v>45352.34375</v>
      </c>
      <c r="B41" s="6">
        <v>36.68</v>
      </c>
      <c r="C41" s="6">
        <v>21.6</v>
      </c>
      <c r="D41" s="6">
        <v>42.05</v>
      </c>
      <c r="E41" s="6">
        <v>10.69</v>
      </c>
      <c r="F41" s="6">
        <v>4.68</v>
      </c>
      <c r="G41" s="6">
        <v>102.08</v>
      </c>
      <c r="H41" s="6">
        <v>36.68</v>
      </c>
      <c r="I41" s="6">
        <v>9.27</v>
      </c>
      <c r="J41" s="6">
        <v>0.64</v>
      </c>
      <c r="K41" s="6">
        <v>62.71</v>
      </c>
      <c r="L41" s="6">
        <v>23.75</v>
      </c>
      <c r="M41" s="6">
        <v>53.86</v>
      </c>
      <c r="N41" s="6">
        <v>197.8</v>
      </c>
      <c r="O41" s="6">
        <v>0</v>
      </c>
      <c r="P41" s="6">
        <v>0.9</v>
      </c>
      <c r="Q41" s="6">
        <v>4.83</v>
      </c>
    </row>
    <row r="42" spans="1:17" customFormat="1">
      <c r="A42" s="82">
        <v>45352.354166666664</v>
      </c>
      <c r="B42" s="6">
        <v>36.31</v>
      </c>
      <c r="C42" s="6">
        <v>20.89</v>
      </c>
      <c r="D42" s="6">
        <v>41.38</v>
      </c>
      <c r="E42" s="6">
        <v>11.23</v>
      </c>
      <c r="F42" s="6">
        <v>4.74</v>
      </c>
      <c r="G42" s="6">
        <v>102.08</v>
      </c>
      <c r="H42" s="6">
        <v>36.68</v>
      </c>
      <c r="I42" s="6">
        <v>9.49</v>
      </c>
      <c r="J42" s="6">
        <v>0.67</v>
      </c>
      <c r="K42" s="6">
        <v>53.49</v>
      </c>
      <c r="L42" s="6">
        <v>24.83</v>
      </c>
      <c r="M42" s="6">
        <v>48.94</v>
      </c>
      <c r="N42" s="6">
        <v>270</v>
      </c>
      <c r="O42" s="6">
        <v>0</v>
      </c>
      <c r="P42" s="6">
        <v>0.9</v>
      </c>
      <c r="Q42" s="6">
        <v>4.87</v>
      </c>
    </row>
    <row r="43" spans="1:17" customFormat="1">
      <c r="A43" s="82">
        <v>45352.364583333336</v>
      </c>
      <c r="B43" s="6">
        <v>35.76</v>
      </c>
      <c r="C43" s="6">
        <v>20.09</v>
      </c>
      <c r="D43" s="6">
        <v>40.53</v>
      </c>
      <c r="E43" s="6">
        <v>10.37</v>
      </c>
      <c r="F43" s="6">
        <v>4.78</v>
      </c>
      <c r="G43" s="6">
        <v>103.61</v>
      </c>
      <c r="H43" s="6">
        <v>36.840000000000003</v>
      </c>
      <c r="I43" s="6">
        <v>9.7200000000000006</v>
      </c>
      <c r="J43" s="6">
        <v>0.47</v>
      </c>
      <c r="K43" s="6">
        <v>90.27</v>
      </c>
      <c r="L43" s="6">
        <v>26.07</v>
      </c>
      <c r="M43" s="6">
        <v>43.96</v>
      </c>
      <c r="N43" s="6">
        <v>310.7</v>
      </c>
      <c r="O43" s="6">
        <v>0</v>
      </c>
      <c r="P43" s="6">
        <v>0.9</v>
      </c>
      <c r="Q43" s="6">
        <v>4.8499999999999996</v>
      </c>
    </row>
    <row r="44" spans="1:17" customFormat="1">
      <c r="A44" s="82">
        <v>45352.375</v>
      </c>
      <c r="B44" s="6">
        <v>35.04</v>
      </c>
      <c r="C44" s="6">
        <v>19.68</v>
      </c>
      <c r="D44" s="6">
        <v>39.729999999999997</v>
      </c>
      <c r="E44" s="6">
        <v>11.42</v>
      </c>
      <c r="F44" s="6">
        <v>4.8499999999999996</v>
      </c>
      <c r="G44" s="6">
        <v>105.28</v>
      </c>
      <c r="H44" s="6">
        <v>37.07</v>
      </c>
      <c r="I44" s="6">
        <v>9.75</v>
      </c>
      <c r="J44" s="6">
        <v>0.54</v>
      </c>
      <c r="K44" s="6">
        <v>61.56</v>
      </c>
      <c r="L44" s="6">
        <v>26.73</v>
      </c>
      <c r="M44" s="6">
        <v>40.58</v>
      </c>
      <c r="N44" s="6">
        <v>356.1</v>
      </c>
      <c r="O44" s="6">
        <v>0</v>
      </c>
      <c r="P44" s="6">
        <v>0.89</v>
      </c>
      <c r="Q44" s="6">
        <v>4.84</v>
      </c>
    </row>
    <row r="45" spans="1:17" customFormat="1">
      <c r="A45" s="82">
        <v>45352.385416666664</v>
      </c>
      <c r="B45" s="6">
        <v>34.32</v>
      </c>
      <c r="C45" s="6">
        <v>19.73</v>
      </c>
      <c r="D45" s="6">
        <v>39.18</v>
      </c>
      <c r="E45" s="6">
        <v>11.51</v>
      </c>
      <c r="F45" s="6">
        <v>4.9400000000000004</v>
      </c>
      <c r="G45" s="6">
        <v>105.28</v>
      </c>
      <c r="H45" s="6">
        <v>37.07</v>
      </c>
      <c r="I45" s="6">
        <v>9.74</v>
      </c>
      <c r="J45" s="6">
        <v>0.25</v>
      </c>
      <c r="K45" s="6">
        <v>107.41</v>
      </c>
      <c r="L45" s="6">
        <v>27.9</v>
      </c>
      <c r="M45" s="6">
        <v>37.82</v>
      </c>
      <c r="N45" s="6">
        <v>396.7</v>
      </c>
      <c r="O45" s="6">
        <v>0</v>
      </c>
      <c r="P45" s="6">
        <v>0.89</v>
      </c>
      <c r="Q45" s="6">
        <v>4.8600000000000003</v>
      </c>
    </row>
    <row r="46" spans="1:17" customFormat="1">
      <c r="A46" s="82">
        <v>45352.395833333336</v>
      </c>
      <c r="B46" s="6">
        <v>32.700000000000003</v>
      </c>
      <c r="C46" s="6">
        <v>19.46</v>
      </c>
      <c r="D46" s="6">
        <v>37.74</v>
      </c>
      <c r="E46" s="6">
        <v>10.39</v>
      </c>
      <c r="F46" s="6">
        <v>5.04</v>
      </c>
      <c r="G46" s="6">
        <v>105.28</v>
      </c>
      <c r="H46" s="6">
        <v>37.07</v>
      </c>
      <c r="I46" s="6">
        <v>9.67</v>
      </c>
      <c r="J46" s="6">
        <v>7.0000000000000007E-2</v>
      </c>
      <c r="K46" s="6">
        <v>237.09</v>
      </c>
      <c r="L46" s="6">
        <v>28.57</v>
      </c>
      <c r="M46" s="6">
        <v>36.56</v>
      </c>
      <c r="N46" s="6">
        <v>428.9</v>
      </c>
      <c r="O46" s="6">
        <v>0</v>
      </c>
      <c r="P46" s="6">
        <v>0.89</v>
      </c>
      <c r="Q46" s="6">
        <v>4.8600000000000003</v>
      </c>
    </row>
    <row r="47" spans="1:17" customFormat="1">
      <c r="A47" s="82">
        <v>45352.40625</v>
      </c>
      <c r="B47" s="6">
        <v>30.58</v>
      </c>
      <c r="C47" s="6">
        <v>19.32</v>
      </c>
      <c r="D47" s="6">
        <v>35.97</v>
      </c>
      <c r="E47" s="6">
        <v>9.8800000000000008</v>
      </c>
      <c r="F47" s="6">
        <v>5.42</v>
      </c>
      <c r="G47" s="6">
        <v>100.7</v>
      </c>
      <c r="H47" s="6">
        <v>34.979999999999997</v>
      </c>
      <c r="I47" s="6">
        <v>9.6199999999999992</v>
      </c>
      <c r="J47" s="6">
        <v>0.23</v>
      </c>
      <c r="K47" s="6">
        <v>251.77</v>
      </c>
      <c r="L47" s="6">
        <v>29.36</v>
      </c>
      <c r="M47" s="6">
        <v>33.86</v>
      </c>
      <c r="N47" s="6">
        <v>452.6</v>
      </c>
      <c r="O47" s="6">
        <v>0</v>
      </c>
      <c r="P47" s="6">
        <v>0.88</v>
      </c>
      <c r="Q47" s="6">
        <v>4.8499999999999996</v>
      </c>
    </row>
    <row r="48" spans="1:17" customFormat="1">
      <c r="A48" s="82">
        <v>45352.416666666664</v>
      </c>
      <c r="B48" s="6">
        <v>28.69</v>
      </c>
      <c r="C48" s="6">
        <v>19.7</v>
      </c>
      <c r="D48" s="6">
        <v>34.65</v>
      </c>
      <c r="E48" s="6">
        <v>10.17</v>
      </c>
      <c r="F48" s="6">
        <v>5.12</v>
      </c>
      <c r="G48" s="6">
        <v>95.7</v>
      </c>
      <c r="H48" s="6">
        <v>33.79</v>
      </c>
      <c r="I48" s="6">
        <v>9.49</v>
      </c>
      <c r="J48" s="6">
        <v>0.01</v>
      </c>
      <c r="K48" s="6">
        <v>356.93</v>
      </c>
      <c r="L48" s="6">
        <v>30.05</v>
      </c>
      <c r="M48" s="6">
        <v>31.5</v>
      </c>
      <c r="N48" s="6">
        <v>347</v>
      </c>
      <c r="O48" s="6">
        <v>0</v>
      </c>
      <c r="P48" s="6">
        <v>0.87</v>
      </c>
      <c r="Q48" s="6">
        <v>4.82</v>
      </c>
    </row>
    <row r="49" spans="1:17" customFormat="1">
      <c r="A49" s="82">
        <v>45352.427083333336</v>
      </c>
      <c r="B49" s="6">
        <v>26.38</v>
      </c>
      <c r="C49" s="6">
        <v>19.95</v>
      </c>
      <c r="D49" s="6">
        <v>32.93</v>
      </c>
      <c r="E49" s="6">
        <v>10.029999999999999</v>
      </c>
      <c r="F49" s="6">
        <v>5.2</v>
      </c>
      <c r="G49" s="6">
        <v>95.7</v>
      </c>
      <c r="H49" s="6">
        <v>33.79</v>
      </c>
      <c r="I49" s="6">
        <v>9.39</v>
      </c>
      <c r="J49" s="6">
        <v>0.26</v>
      </c>
      <c r="K49" s="6">
        <v>239.01</v>
      </c>
      <c r="L49" s="6">
        <v>30.76</v>
      </c>
      <c r="M49" s="6">
        <v>30.8</v>
      </c>
      <c r="N49" s="6">
        <v>348.8</v>
      </c>
      <c r="O49" s="6">
        <v>0</v>
      </c>
      <c r="P49" s="6">
        <v>0.85</v>
      </c>
      <c r="Q49" s="6">
        <v>4.8099999999999996</v>
      </c>
    </row>
    <row r="50" spans="1:17" customFormat="1">
      <c r="A50" s="82">
        <v>45352.4375</v>
      </c>
      <c r="B50" s="6">
        <v>24.06</v>
      </c>
      <c r="C50" s="6">
        <v>20.43</v>
      </c>
      <c r="D50" s="6">
        <v>31.32</v>
      </c>
      <c r="E50" s="6">
        <v>11.05</v>
      </c>
      <c r="F50" s="6">
        <v>4.95</v>
      </c>
      <c r="G50" s="6">
        <v>95.7</v>
      </c>
      <c r="H50" s="6">
        <v>33.79</v>
      </c>
      <c r="I50" s="6">
        <v>9.23</v>
      </c>
      <c r="J50" s="6">
        <v>7.0000000000000007E-2</v>
      </c>
      <c r="K50" s="6">
        <v>90.07</v>
      </c>
      <c r="L50" s="6">
        <v>31.29</v>
      </c>
      <c r="M50" s="6">
        <v>28.87</v>
      </c>
      <c r="N50" s="6">
        <v>533.29999999999995</v>
      </c>
      <c r="O50" s="6">
        <v>0</v>
      </c>
      <c r="P50" s="6">
        <v>0.84</v>
      </c>
      <c r="Q50" s="6">
        <v>4.79</v>
      </c>
    </row>
    <row r="51" spans="1:17" customFormat="1">
      <c r="A51" s="82">
        <v>45352.447916666664</v>
      </c>
      <c r="B51" s="6">
        <v>21.12</v>
      </c>
      <c r="C51" s="6">
        <v>20.84</v>
      </c>
      <c r="D51" s="6">
        <v>29.18</v>
      </c>
      <c r="E51" s="6">
        <v>10.97</v>
      </c>
      <c r="F51" s="6">
        <v>6.5</v>
      </c>
      <c r="G51" s="6">
        <v>87.13</v>
      </c>
      <c r="H51" s="6">
        <v>31.73</v>
      </c>
      <c r="I51" s="6">
        <v>9.11</v>
      </c>
      <c r="J51" s="6">
        <v>0.3</v>
      </c>
      <c r="K51" s="6">
        <v>285.2</v>
      </c>
      <c r="L51" s="6">
        <v>31.84</v>
      </c>
      <c r="M51" s="6">
        <v>28.48</v>
      </c>
      <c r="N51" s="6">
        <v>557.29999999999995</v>
      </c>
      <c r="O51" s="6">
        <v>0</v>
      </c>
      <c r="P51" s="6">
        <v>0.83</v>
      </c>
      <c r="Q51" s="6">
        <v>4.8</v>
      </c>
    </row>
    <row r="52" spans="1:17" customFormat="1">
      <c r="A52" s="82">
        <v>45352.458333333336</v>
      </c>
      <c r="B52" s="6">
        <v>17.809999999999999</v>
      </c>
      <c r="C52" s="6">
        <v>21.88</v>
      </c>
      <c r="D52" s="6">
        <v>27.07</v>
      </c>
      <c r="E52" s="6">
        <v>11.02</v>
      </c>
      <c r="F52" s="6">
        <v>6.12</v>
      </c>
      <c r="G52" s="6">
        <v>77.760000000000005</v>
      </c>
      <c r="H52" s="6">
        <v>30.56</v>
      </c>
      <c r="I52" s="6">
        <v>9.02</v>
      </c>
      <c r="J52" s="6">
        <v>0.5</v>
      </c>
      <c r="K52" s="6">
        <v>300</v>
      </c>
      <c r="L52" s="6">
        <v>31.85</v>
      </c>
      <c r="M52" s="6">
        <v>27.52</v>
      </c>
      <c r="N52" s="6">
        <v>584.9</v>
      </c>
      <c r="O52" s="6">
        <v>0</v>
      </c>
      <c r="P52" s="6">
        <v>0.77</v>
      </c>
      <c r="Q52" s="6">
        <v>4.82</v>
      </c>
    </row>
    <row r="53" spans="1:17" customFormat="1">
      <c r="A53" s="82">
        <v>45352.46875</v>
      </c>
      <c r="B53" s="6">
        <v>14.64</v>
      </c>
      <c r="C53" s="6">
        <v>22.34</v>
      </c>
      <c r="D53" s="6">
        <v>24.76</v>
      </c>
      <c r="E53" s="6">
        <v>10.9</v>
      </c>
      <c r="F53" s="6">
        <v>7.29</v>
      </c>
      <c r="G53" s="6">
        <v>77.760000000000005</v>
      </c>
      <c r="H53" s="6">
        <v>30.56</v>
      </c>
      <c r="I53" s="6">
        <v>8.75</v>
      </c>
      <c r="J53" s="6">
        <v>0.42</v>
      </c>
      <c r="K53" s="6">
        <v>284.01</v>
      </c>
      <c r="L53" s="6">
        <v>32.65</v>
      </c>
      <c r="M53" s="6">
        <v>26.33</v>
      </c>
      <c r="N53" s="6">
        <v>562.1</v>
      </c>
      <c r="O53" s="6">
        <v>0</v>
      </c>
      <c r="P53" s="6">
        <v>0.75</v>
      </c>
      <c r="Q53" s="6">
        <v>4.79</v>
      </c>
    </row>
    <row r="54" spans="1:17" customFormat="1">
      <c r="A54" s="82">
        <v>45352.479166666664</v>
      </c>
      <c r="B54" s="6">
        <v>12.12</v>
      </c>
      <c r="C54" s="6">
        <v>22.77</v>
      </c>
      <c r="D54" s="6">
        <v>22.97</v>
      </c>
      <c r="E54" s="6">
        <v>10.61</v>
      </c>
      <c r="F54" s="6">
        <v>6.45</v>
      </c>
      <c r="G54" s="6">
        <v>77.760000000000005</v>
      </c>
      <c r="H54" s="6">
        <v>30.56</v>
      </c>
      <c r="I54" s="6">
        <v>8.49</v>
      </c>
      <c r="J54" s="6">
        <v>0.18</v>
      </c>
      <c r="K54" s="6">
        <v>79.64</v>
      </c>
      <c r="L54" s="6">
        <v>33.270000000000003</v>
      </c>
      <c r="M54" s="6">
        <v>24.8</v>
      </c>
      <c r="N54" s="6">
        <v>608.20000000000005</v>
      </c>
      <c r="O54" s="6">
        <v>0</v>
      </c>
      <c r="P54" s="6">
        <v>0.73</v>
      </c>
      <c r="Q54" s="6">
        <v>4.78</v>
      </c>
    </row>
    <row r="55" spans="1:17" customFormat="1">
      <c r="A55" s="82">
        <v>45352.489583333336</v>
      </c>
      <c r="B55" s="6">
        <v>9.34</v>
      </c>
      <c r="C55" s="6">
        <v>22</v>
      </c>
      <c r="D55" s="6">
        <v>20.34</v>
      </c>
      <c r="E55" s="6">
        <v>12.48</v>
      </c>
      <c r="F55" s="6">
        <v>12.53</v>
      </c>
      <c r="G55" s="6">
        <v>73.819999999999993</v>
      </c>
      <c r="H55" s="6">
        <v>29.57</v>
      </c>
      <c r="I55" s="6">
        <v>8.18</v>
      </c>
      <c r="J55" s="6">
        <v>0.5</v>
      </c>
      <c r="K55" s="6">
        <v>301.20999999999998</v>
      </c>
      <c r="L55" s="6">
        <v>33.11</v>
      </c>
      <c r="M55" s="6">
        <v>25.52</v>
      </c>
      <c r="N55" s="6">
        <v>638.9</v>
      </c>
      <c r="O55" s="6">
        <v>0</v>
      </c>
      <c r="P55" s="6">
        <v>0.7</v>
      </c>
      <c r="Q55" s="6">
        <v>4.7699999999999996</v>
      </c>
    </row>
    <row r="56" spans="1:17" customFormat="1">
      <c r="A56" s="82">
        <v>45352.5</v>
      </c>
      <c r="B56" s="6">
        <v>7.8</v>
      </c>
      <c r="C56" s="6">
        <v>23.14</v>
      </c>
      <c r="D56" s="6">
        <v>19.7</v>
      </c>
      <c r="E56" s="6">
        <v>11.63</v>
      </c>
      <c r="F56" s="6">
        <v>8.5299999999999994</v>
      </c>
      <c r="G56" s="6">
        <v>69.53</v>
      </c>
      <c r="H56" s="6">
        <v>29</v>
      </c>
      <c r="I56" s="6">
        <v>7.98</v>
      </c>
      <c r="J56" s="6">
        <v>0.92</v>
      </c>
      <c r="K56" s="6">
        <v>60.84</v>
      </c>
      <c r="L56" s="6">
        <v>32.92</v>
      </c>
      <c r="M56" s="6">
        <v>24.33</v>
      </c>
      <c r="N56" s="6">
        <v>637.5</v>
      </c>
      <c r="O56" s="6">
        <v>0</v>
      </c>
      <c r="P56" s="6">
        <v>0.7</v>
      </c>
      <c r="Q56" s="6">
        <v>4.7699999999999996</v>
      </c>
    </row>
    <row r="57" spans="1:17" customFormat="1">
      <c r="A57" s="82">
        <v>45352.510416666664</v>
      </c>
      <c r="B57" s="6">
        <v>6.87</v>
      </c>
      <c r="C57" s="6">
        <v>23.84</v>
      </c>
      <c r="D57" s="6">
        <v>19.32</v>
      </c>
      <c r="E57" s="6">
        <v>10.09</v>
      </c>
      <c r="F57" s="6">
        <v>7.52</v>
      </c>
      <c r="G57" s="6">
        <v>69.53</v>
      </c>
      <c r="H57" s="6">
        <v>29</v>
      </c>
      <c r="I57" s="6">
        <v>7.52</v>
      </c>
      <c r="J57" s="6">
        <v>1</v>
      </c>
      <c r="K57" s="6">
        <v>294.54000000000002</v>
      </c>
      <c r="L57" s="6">
        <v>33.549999999999997</v>
      </c>
      <c r="M57" s="6">
        <v>23.94</v>
      </c>
      <c r="N57" s="6">
        <v>650</v>
      </c>
      <c r="O57" s="6">
        <v>0</v>
      </c>
      <c r="P57" s="6">
        <v>0.68</v>
      </c>
      <c r="Q57" s="6">
        <v>4.74</v>
      </c>
    </row>
    <row r="58" spans="1:17" customFormat="1">
      <c r="A58" s="82">
        <v>45352.520833333336</v>
      </c>
      <c r="B58" s="6">
        <v>5.8</v>
      </c>
      <c r="C58" s="6">
        <v>22.4</v>
      </c>
      <c r="D58" s="6">
        <v>17.7</v>
      </c>
      <c r="E58" s="6">
        <v>11.48</v>
      </c>
      <c r="F58" s="6">
        <v>9.11</v>
      </c>
      <c r="G58" s="6">
        <v>69.53</v>
      </c>
      <c r="H58" s="6">
        <v>29</v>
      </c>
      <c r="I58" s="6">
        <v>7.5</v>
      </c>
      <c r="J58" s="6">
        <v>0.1</v>
      </c>
      <c r="K58" s="6">
        <v>315.94</v>
      </c>
      <c r="L58" s="6">
        <v>34.26</v>
      </c>
      <c r="M58" s="6">
        <v>23.05</v>
      </c>
      <c r="N58" s="6">
        <v>645.9</v>
      </c>
      <c r="O58" s="6">
        <v>0</v>
      </c>
      <c r="P58" s="6">
        <v>0.67</v>
      </c>
      <c r="Q58" s="6">
        <v>4.7300000000000004</v>
      </c>
    </row>
    <row r="59" spans="1:17" customFormat="1">
      <c r="A59" s="82">
        <v>45352.53125</v>
      </c>
      <c r="B59" s="6">
        <v>5.09</v>
      </c>
      <c r="C59" s="6">
        <v>21.4</v>
      </c>
      <c r="D59" s="6">
        <v>16.61</v>
      </c>
      <c r="E59" s="6">
        <v>11.02</v>
      </c>
      <c r="F59" s="6">
        <v>10.210000000000001</v>
      </c>
      <c r="G59" s="6">
        <v>67.8</v>
      </c>
      <c r="H59" s="6">
        <v>26.26</v>
      </c>
      <c r="I59" s="6">
        <v>7.37</v>
      </c>
      <c r="J59" s="6">
        <v>0.64</v>
      </c>
      <c r="K59" s="6">
        <v>310.93</v>
      </c>
      <c r="L59" s="6">
        <v>34.54</v>
      </c>
      <c r="M59" s="6">
        <v>22.29</v>
      </c>
      <c r="N59" s="6">
        <v>666.2</v>
      </c>
      <c r="O59" s="6">
        <v>0</v>
      </c>
      <c r="P59" s="6">
        <v>0.65</v>
      </c>
      <c r="Q59" s="6">
        <v>4.71</v>
      </c>
    </row>
    <row r="60" spans="1:17" customFormat="1">
      <c r="A60" s="82">
        <v>45352.541666666664</v>
      </c>
      <c r="B60" s="6">
        <v>4.82</v>
      </c>
      <c r="C60" s="6">
        <v>20.73</v>
      </c>
      <c r="D60" s="6">
        <v>16.05</v>
      </c>
      <c r="E60" s="6">
        <v>11.86</v>
      </c>
      <c r="F60" s="6">
        <v>10.79</v>
      </c>
      <c r="G60" s="6">
        <v>65.92</v>
      </c>
      <c r="H60" s="6">
        <v>24.7</v>
      </c>
      <c r="I60" s="6">
        <v>7.09</v>
      </c>
      <c r="J60" s="6">
        <v>0.62</v>
      </c>
      <c r="K60" s="6">
        <v>23.64</v>
      </c>
      <c r="L60" s="6">
        <v>34.17</v>
      </c>
      <c r="M60" s="6">
        <v>21.11</v>
      </c>
      <c r="N60" s="6">
        <v>667.9</v>
      </c>
      <c r="O60" s="6">
        <v>0</v>
      </c>
      <c r="P60" s="6">
        <v>0.62</v>
      </c>
      <c r="Q60" s="6">
        <v>4.72</v>
      </c>
    </row>
    <row r="61" spans="1:17" customFormat="1">
      <c r="A61" s="82">
        <v>45352.552083333336</v>
      </c>
      <c r="B61" s="6">
        <v>4.7</v>
      </c>
      <c r="C61" s="6">
        <v>20.27</v>
      </c>
      <c r="D61" s="6">
        <v>15.72</v>
      </c>
      <c r="E61" s="6">
        <v>11.78</v>
      </c>
      <c r="F61" s="6">
        <v>9.52</v>
      </c>
      <c r="G61" s="6">
        <v>65.92</v>
      </c>
      <c r="H61" s="6">
        <v>24.7</v>
      </c>
      <c r="I61" s="6">
        <v>6.85</v>
      </c>
      <c r="J61" s="6">
        <v>1</v>
      </c>
      <c r="K61" s="6">
        <v>309.64</v>
      </c>
      <c r="L61" s="6">
        <v>34.1</v>
      </c>
      <c r="M61" s="6">
        <v>21.12</v>
      </c>
      <c r="N61" s="6">
        <v>653.4</v>
      </c>
      <c r="O61" s="6">
        <v>0</v>
      </c>
      <c r="P61" s="6">
        <v>0.61</v>
      </c>
      <c r="Q61" s="6">
        <v>4.71</v>
      </c>
    </row>
    <row r="62" spans="1:17" customFormat="1">
      <c r="A62" s="82">
        <v>45352.5625</v>
      </c>
      <c r="B62" s="6">
        <v>4.68</v>
      </c>
      <c r="C62" s="6">
        <v>19.510000000000002</v>
      </c>
      <c r="D62" s="6">
        <v>15.3</v>
      </c>
      <c r="E62" s="6">
        <v>13.34</v>
      </c>
      <c r="F62" s="6">
        <v>14.97</v>
      </c>
      <c r="G62" s="6">
        <v>65.92</v>
      </c>
      <c r="H62" s="6">
        <v>24.7</v>
      </c>
      <c r="I62" s="6">
        <v>6.62</v>
      </c>
      <c r="J62" s="6">
        <v>0.53</v>
      </c>
      <c r="K62" s="6">
        <v>12.16</v>
      </c>
      <c r="L62" s="6">
        <v>34.56</v>
      </c>
      <c r="M62" s="6">
        <v>20.329999999999998</v>
      </c>
      <c r="N62" s="6">
        <v>584.29999999999995</v>
      </c>
      <c r="O62" s="6">
        <v>0</v>
      </c>
      <c r="P62" s="6">
        <v>0.59</v>
      </c>
      <c r="Q62" s="6">
        <v>4.71</v>
      </c>
    </row>
    <row r="63" spans="1:17" customFormat="1">
      <c r="A63" s="82">
        <v>45352.572916666664</v>
      </c>
      <c r="B63" s="6">
        <v>4.6500000000000004</v>
      </c>
      <c r="C63" s="6">
        <v>18.84</v>
      </c>
      <c r="D63" s="6">
        <v>14.93</v>
      </c>
      <c r="E63" s="6">
        <v>15.42</v>
      </c>
      <c r="F63" s="6">
        <v>17.61</v>
      </c>
      <c r="G63" s="6">
        <v>63.8</v>
      </c>
      <c r="H63" s="6">
        <v>25.99</v>
      </c>
      <c r="I63" s="6">
        <v>6.55</v>
      </c>
      <c r="J63" s="6">
        <v>1.06</v>
      </c>
      <c r="K63" s="6">
        <v>49.81</v>
      </c>
      <c r="L63" s="6">
        <v>34.46</v>
      </c>
      <c r="M63" s="6">
        <v>20.420000000000002</v>
      </c>
      <c r="N63" s="6">
        <v>547.20000000000005</v>
      </c>
      <c r="O63" s="6">
        <v>0</v>
      </c>
      <c r="P63" s="6">
        <v>0.61</v>
      </c>
      <c r="Q63" s="6">
        <v>4.6900000000000004</v>
      </c>
    </row>
    <row r="64" spans="1:17" customFormat="1">
      <c r="A64" s="82">
        <v>45352.583333333336</v>
      </c>
      <c r="B64" s="6">
        <v>4.49</v>
      </c>
      <c r="C64" s="6">
        <v>18.86</v>
      </c>
      <c r="D64" s="6">
        <v>14.81</v>
      </c>
      <c r="E64" s="6">
        <v>16.39</v>
      </c>
      <c r="F64" s="6">
        <v>14.52</v>
      </c>
      <c r="G64" s="6">
        <v>61.47</v>
      </c>
      <c r="H64" s="6">
        <v>26.73</v>
      </c>
      <c r="I64" s="6">
        <v>6.28</v>
      </c>
      <c r="J64" s="6">
        <v>1.01</v>
      </c>
      <c r="K64" s="6">
        <v>68.010000000000005</v>
      </c>
      <c r="L64" s="6">
        <v>34.619999999999997</v>
      </c>
      <c r="M64" s="6">
        <v>19.989999999999998</v>
      </c>
      <c r="N64" s="6">
        <v>534.5</v>
      </c>
      <c r="O64" s="6">
        <v>0</v>
      </c>
      <c r="P64" s="6">
        <v>0.59</v>
      </c>
      <c r="Q64" s="6">
        <v>4.7</v>
      </c>
    </row>
    <row r="65" spans="1:17" customFormat="1">
      <c r="A65" s="82">
        <v>45352.59375</v>
      </c>
      <c r="B65" s="6">
        <v>4.42</v>
      </c>
      <c r="C65" s="6">
        <v>18.760000000000002</v>
      </c>
      <c r="D65" s="6">
        <v>14.7</v>
      </c>
      <c r="E65" s="6">
        <v>13.91</v>
      </c>
      <c r="F65" s="6">
        <v>14.35</v>
      </c>
      <c r="G65" s="6">
        <v>61.47</v>
      </c>
      <c r="H65" s="6">
        <v>26.73</v>
      </c>
      <c r="I65" s="6">
        <v>6.15</v>
      </c>
      <c r="J65" s="6">
        <v>0.41</v>
      </c>
      <c r="K65" s="6">
        <v>53.11</v>
      </c>
      <c r="L65" s="6">
        <v>35.69</v>
      </c>
      <c r="M65" s="6">
        <v>18.989999999999998</v>
      </c>
      <c r="N65" s="6">
        <v>547.5</v>
      </c>
      <c r="O65" s="6">
        <v>0</v>
      </c>
      <c r="P65" s="6">
        <v>0.61</v>
      </c>
      <c r="Q65" s="6">
        <v>4.71</v>
      </c>
    </row>
    <row r="66" spans="1:17" customFormat="1">
      <c r="A66" s="82">
        <v>45352.604166666664</v>
      </c>
      <c r="B66" s="6">
        <v>4.6100000000000003</v>
      </c>
      <c r="C66" s="6">
        <v>18.579999999999998</v>
      </c>
      <c r="D66" s="6">
        <v>14.75</v>
      </c>
      <c r="E66" s="6">
        <v>14.52</v>
      </c>
      <c r="F66" s="6">
        <v>11.75</v>
      </c>
      <c r="G66" s="6">
        <v>61.47</v>
      </c>
      <c r="H66" s="6">
        <v>26.73</v>
      </c>
      <c r="I66" s="6">
        <v>6.2</v>
      </c>
      <c r="J66" s="6">
        <v>1.19</v>
      </c>
      <c r="K66" s="6">
        <v>323.61</v>
      </c>
      <c r="L66" s="6">
        <v>35.049999999999997</v>
      </c>
      <c r="M66" s="6">
        <v>16.02</v>
      </c>
      <c r="N66" s="6">
        <v>556.29999999999995</v>
      </c>
      <c r="O66" s="6">
        <v>0</v>
      </c>
      <c r="P66" s="6">
        <v>0.63</v>
      </c>
      <c r="Q66" s="6">
        <v>4.72</v>
      </c>
    </row>
    <row r="67" spans="1:17" customFormat="1">
      <c r="A67" s="82">
        <v>45352.614583333336</v>
      </c>
      <c r="B67" s="6">
        <v>4.74</v>
      </c>
      <c r="C67" s="6">
        <v>18.41</v>
      </c>
      <c r="D67" s="6">
        <v>14.77</v>
      </c>
      <c r="E67" s="6">
        <v>15.93</v>
      </c>
      <c r="F67" s="6">
        <v>15.45</v>
      </c>
      <c r="G67" s="6">
        <v>61.86</v>
      </c>
      <c r="H67" s="6">
        <v>26.74</v>
      </c>
      <c r="I67" s="6">
        <v>6.14</v>
      </c>
      <c r="J67" s="6">
        <v>0.87</v>
      </c>
      <c r="K67" s="6">
        <v>325.97000000000003</v>
      </c>
      <c r="L67" s="6">
        <v>34.89</v>
      </c>
      <c r="M67" s="6">
        <v>16.510000000000002</v>
      </c>
      <c r="N67" s="6">
        <v>510</v>
      </c>
      <c r="O67" s="6">
        <v>0</v>
      </c>
      <c r="P67" s="6">
        <v>0.61</v>
      </c>
      <c r="Q67" s="6">
        <v>4.71</v>
      </c>
    </row>
    <row r="68" spans="1:17" customFormat="1">
      <c r="A68" s="82">
        <v>45352.625</v>
      </c>
      <c r="B68" s="6">
        <v>4.83</v>
      </c>
      <c r="C68" s="6">
        <v>18.07</v>
      </c>
      <c r="D68" s="6">
        <v>14.67</v>
      </c>
      <c r="E68" s="6">
        <v>14.69</v>
      </c>
      <c r="F68" s="6">
        <v>12.93</v>
      </c>
      <c r="G68" s="6">
        <v>62.29</v>
      </c>
      <c r="H68" s="6">
        <v>26.75</v>
      </c>
      <c r="I68" s="6">
        <v>6</v>
      </c>
      <c r="J68" s="6">
        <v>0.77</v>
      </c>
      <c r="K68" s="6">
        <v>301.99</v>
      </c>
      <c r="L68" s="6">
        <v>34.96</v>
      </c>
      <c r="M68" s="6">
        <v>17.14</v>
      </c>
      <c r="N68" s="6">
        <v>307.3</v>
      </c>
      <c r="O68" s="6">
        <v>0</v>
      </c>
      <c r="P68" s="6">
        <v>0.61</v>
      </c>
      <c r="Q68" s="6">
        <v>4.71</v>
      </c>
    </row>
    <row r="69" spans="1:17" customFormat="1">
      <c r="A69" s="82">
        <v>45352.635416666664</v>
      </c>
      <c r="B69" s="6">
        <v>5.2</v>
      </c>
      <c r="C69" s="6">
        <v>18.45</v>
      </c>
      <c r="D69" s="6">
        <v>15.16</v>
      </c>
      <c r="E69" s="6">
        <v>15.79</v>
      </c>
      <c r="F69" s="6">
        <v>13.11</v>
      </c>
      <c r="G69" s="6">
        <v>62.29</v>
      </c>
      <c r="H69" s="6">
        <v>26.75</v>
      </c>
      <c r="I69" s="6">
        <v>5.69</v>
      </c>
      <c r="J69" s="6">
        <v>0.9</v>
      </c>
      <c r="K69" s="6">
        <v>346.22</v>
      </c>
      <c r="L69" s="6">
        <v>34.56</v>
      </c>
      <c r="M69" s="6">
        <v>16.739999999999998</v>
      </c>
      <c r="N69" s="6">
        <v>141</v>
      </c>
      <c r="O69" s="6">
        <v>0</v>
      </c>
      <c r="P69" s="6">
        <v>0.61</v>
      </c>
      <c r="Q69" s="6">
        <v>4.7</v>
      </c>
    </row>
    <row r="70" spans="1:17" customFormat="1">
      <c r="A70" s="82">
        <v>45352.645833333336</v>
      </c>
      <c r="B70" s="6">
        <v>5.72</v>
      </c>
      <c r="C70" s="6">
        <v>19.09</v>
      </c>
      <c r="D70" s="6">
        <v>15.91</v>
      </c>
      <c r="E70" s="6">
        <v>18.27</v>
      </c>
      <c r="F70" s="6">
        <v>12.29</v>
      </c>
      <c r="G70" s="6">
        <v>62.29</v>
      </c>
      <c r="H70" s="6">
        <v>26.75</v>
      </c>
      <c r="I70" s="6">
        <v>5.72</v>
      </c>
      <c r="J70" s="6">
        <v>0.62</v>
      </c>
      <c r="K70" s="6">
        <v>33.29</v>
      </c>
      <c r="L70" s="6">
        <v>34.47</v>
      </c>
      <c r="M70" s="6">
        <v>16.149999999999999</v>
      </c>
      <c r="N70" s="6">
        <v>97.7</v>
      </c>
      <c r="O70" s="6">
        <v>0</v>
      </c>
      <c r="P70" s="6">
        <v>0.6</v>
      </c>
      <c r="Q70" s="6">
        <v>4.72</v>
      </c>
    </row>
    <row r="71" spans="1:17" customFormat="1">
      <c r="A71" s="82">
        <v>45352.65625</v>
      </c>
      <c r="B71" s="6">
        <v>5.32</v>
      </c>
      <c r="C71" s="6">
        <v>18.82</v>
      </c>
      <c r="D71" s="6">
        <v>15.45</v>
      </c>
      <c r="E71" s="6">
        <v>16.8</v>
      </c>
      <c r="F71" s="6">
        <v>10.98</v>
      </c>
      <c r="G71" s="6">
        <v>59.85</v>
      </c>
      <c r="H71" s="6">
        <v>25.32</v>
      </c>
      <c r="I71" s="6">
        <v>5.51</v>
      </c>
      <c r="J71" s="6">
        <v>0.77</v>
      </c>
      <c r="K71" s="6">
        <v>332.65</v>
      </c>
      <c r="L71" s="6">
        <v>34.33</v>
      </c>
      <c r="M71" s="6">
        <v>16.22</v>
      </c>
      <c r="N71" s="6">
        <v>135.30000000000001</v>
      </c>
      <c r="O71" s="6">
        <v>0</v>
      </c>
      <c r="P71" s="6">
        <v>0.6</v>
      </c>
      <c r="Q71" s="6">
        <v>4.71</v>
      </c>
    </row>
    <row r="72" spans="1:17" customFormat="1">
      <c r="A72" s="82">
        <v>45352.666666666664</v>
      </c>
      <c r="B72" s="6">
        <v>5.4</v>
      </c>
      <c r="C72" s="6">
        <v>18.91</v>
      </c>
      <c r="D72" s="6">
        <v>15.56</v>
      </c>
      <c r="E72" s="6">
        <v>22.88</v>
      </c>
      <c r="F72" s="6">
        <v>16.440000000000001</v>
      </c>
      <c r="G72" s="6">
        <v>57.18</v>
      </c>
      <c r="H72" s="6">
        <v>24.51</v>
      </c>
      <c r="I72" s="6">
        <v>5.41</v>
      </c>
      <c r="J72" s="6">
        <v>0.62</v>
      </c>
      <c r="K72" s="6">
        <v>6.67</v>
      </c>
      <c r="L72" s="6">
        <v>34.340000000000003</v>
      </c>
      <c r="M72" s="6">
        <v>16.05</v>
      </c>
      <c r="N72" s="6">
        <v>149.80000000000001</v>
      </c>
      <c r="O72" s="6">
        <v>0</v>
      </c>
      <c r="P72" s="6">
        <v>0.61</v>
      </c>
      <c r="Q72" s="6">
        <v>4.6900000000000004</v>
      </c>
    </row>
    <row r="73" spans="1:17" customFormat="1">
      <c r="A73" s="82">
        <v>45352.677083333336</v>
      </c>
      <c r="B73" s="6">
        <v>5.78</v>
      </c>
      <c r="C73" s="6">
        <v>18.45</v>
      </c>
      <c r="D73" s="6">
        <v>15.62</v>
      </c>
      <c r="E73" s="6">
        <v>21.84</v>
      </c>
      <c r="F73" s="6">
        <v>15.72</v>
      </c>
      <c r="G73" s="6">
        <v>57.18</v>
      </c>
      <c r="H73" s="6">
        <v>24.51</v>
      </c>
      <c r="I73" s="6">
        <v>5.39</v>
      </c>
      <c r="J73" s="6">
        <v>0.32</v>
      </c>
      <c r="K73" s="6">
        <v>4.67</v>
      </c>
      <c r="L73" s="6">
        <v>34.44</v>
      </c>
      <c r="M73" s="6">
        <v>16.52</v>
      </c>
      <c r="N73" s="6">
        <v>215.1</v>
      </c>
      <c r="O73" s="6">
        <v>0</v>
      </c>
      <c r="P73" s="6">
        <v>0.63</v>
      </c>
      <c r="Q73" s="6">
        <v>4.66</v>
      </c>
    </row>
    <row r="74" spans="1:17" customFormat="1">
      <c r="A74" s="82">
        <v>45352.6875</v>
      </c>
      <c r="B74" s="6">
        <v>5.01</v>
      </c>
      <c r="C74" s="6">
        <v>17.62</v>
      </c>
      <c r="D74" s="6">
        <v>14.57</v>
      </c>
      <c r="E74" s="6">
        <v>19.73</v>
      </c>
      <c r="F74" s="6">
        <v>14.52</v>
      </c>
      <c r="G74" s="6">
        <v>57.18</v>
      </c>
      <c r="H74" s="6">
        <v>24.51</v>
      </c>
      <c r="I74" s="6">
        <v>5.13</v>
      </c>
      <c r="J74" s="6">
        <v>0.22</v>
      </c>
      <c r="K74" s="6">
        <v>272.5</v>
      </c>
      <c r="L74" s="6">
        <v>34.380000000000003</v>
      </c>
      <c r="M74" s="6">
        <v>18.920000000000002</v>
      </c>
      <c r="N74" s="6">
        <v>143.69999999999999</v>
      </c>
      <c r="O74" s="6">
        <v>0</v>
      </c>
      <c r="P74" s="6">
        <v>0.63</v>
      </c>
      <c r="Q74" s="6">
        <v>4.6500000000000004</v>
      </c>
    </row>
    <row r="75" spans="1:17" customFormat="1">
      <c r="A75" s="82">
        <v>45352.697916666664</v>
      </c>
      <c r="B75" s="6">
        <v>4.8</v>
      </c>
      <c r="C75" s="6">
        <v>16.55</v>
      </c>
      <c r="D75" s="6">
        <v>13.84</v>
      </c>
      <c r="E75" s="6">
        <v>17.12</v>
      </c>
      <c r="F75" s="6">
        <v>15.92</v>
      </c>
      <c r="G75" s="6">
        <v>56.95</v>
      </c>
      <c r="H75" s="6">
        <v>23.89</v>
      </c>
      <c r="I75" s="6">
        <v>5.0999999999999996</v>
      </c>
      <c r="J75" s="6">
        <v>0.24</v>
      </c>
      <c r="K75" s="6">
        <v>61.08</v>
      </c>
      <c r="L75" s="6">
        <v>33.97</v>
      </c>
      <c r="M75" s="6">
        <v>19.14</v>
      </c>
      <c r="N75" s="6">
        <v>159.6</v>
      </c>
      <c r="O75" s="6">
        <v>0</v>
      </c>
      <c r="P75" s="6">
        <v>0.63</v>
      </c>
      <c r="Q75" s="6">
        <v>4.6399999999999997</v>
      </c>
    </row>
    <row r="76" spans="1:17" customFormat="1">
      <c r="A76" s="82">
        <v>45352.708333333336</v>
      </c>
      <c r="B76" s="6">
        <v>6.98</v>
      </c>
      <c r="C76" s="6">
        <v>19.48</v>
      </c>
      <c r="D76" s="6">
        <v>17.13</v>
      </c>
      <c r="E76" s="6">
        <v>16.68</v>
      </c>
      <c r="F76" s="6">
        <v>10.25</v>
      </c>
      <c r="G76" s="6">
        <v>56.69</v>
      </c>
      <c r="H76" s="6">
        <v>23.54</v>
      </c>
      <c r="I76" s="6">
        <v>5.1100000000000003</v>
      </c>
      <c r="J76" s="6">
        <v>0.81</v>
      </c>
      <c r="K76" s="6">
        <v>61.56</v>
      </c>
      <c r="L76" s="6">
        <v>34.020000000000003</v>
      </c>
      <c r="M76" s="6">
        <v>18.57</v>
      </c>
      <c r="N76" s="6">
        <v>129.19999999999999</v>
      </c>
      <c r="O76" s="6">
        <v>0</v>
      </c>
      <c r="P76" s="6">
        <v>0.64</v>
      </c>
      <c r="Q76" s="6">
        <v>4.6500000000000004</v>
      </c>
    </row>
    <row r="77" spans="1:17" customFormat="1">
      <c r="A77" s="82">
        <v>45352.71875</v>
      </c>
      <c r="B77" s="6">
        <v>6.02</v>
      </c>
      <c r="C77" s="6">
        <v>18.579999999999998</v>
      </c>
      <c r="D77" s="6">
        <v>15.89</v>
      </c>
      <c r="E77" s="6">
        <v>12.54</v>
      </c>
      <c r="F77" s="6">
        <v>8.7899999999999991</v>
      </c>
      <c r="G77" s="6">
        <v>56.69</v>
      </c>
      <c r="H77" s="6">
        <v>23.54</v>
      </c>
      <c r="I77" s="6">
        <v>5.0599999999999996</v>
      </c>
      <c r="J77" s="6">
        <v>0.33</v>
      </c>
      <c r="K77" s="6">
        <v>122.35</v>
      </c>
      <c r="L77" s="6">
        <v>33.65</v>
      </c>
      <c r="M77" s="6">
        <v>19.829999999999998</v>
      </c>
      <c r="N77" s="6">
        <v>64.599999999999994</v>
      </c>
      <c r="O77" s="6">
        <v>0</v>
      </c>
      <c r="P77" s="6">
        <v>0.63</v>
      </c>
      <c r="Q77" s="6">
        <v>4.66</v>
      </c>
    </row>
    <row r="78" spans="1:17" customFormat="1">
      <c r="A78" s="82">
        <v>45352.729166666664</v>
      </c>
      <c r="B78" s="6">
        <v>5.38</v>
      </c>
      <c r="C78" s="6">
        <v>17.32</v>
      </c>
      <c r="D78" s="6">
        <v>14.71</v>
      </c>
      <c r="E78" s="6">
        <v>11.11</v>
      </c>
      <c r="F78" s="6">
        <v>8.76</v>
      </c>
      <c r="G78" s="6">
        <v>56.69</v>
      </c>
      <c r="H78" s="6">
        <v>23.54</v>
      </c>
      <c r="I78" s="6">
        <v>5.16</v>
      </c>
      <c r="J78" s="6">
        <v>0.34</v>
      </c>
      <c r="K78" s="6">
        <v>115.18</v>
      </c>
      <c r="L78" s="6">
        <v>32.659999999999997</v>
      </c>
      <c r="M78" s="6">
        <v>21.82</v>
      </c>
      <c r="N78" s="6">
        <v>19.899999999999999</v>
      </c>
      <c r="O78" s="6">
        <v>0</v>
      </c>
      <c r="P78" s="6">
        <v>0.63</v>
      </c>
      <c r="Q78" s="6">
        <v>4.67</v>
      </c>
    </row>
    <row r="79" spans="1:17" customFormat="1">
      <c r="A79" s="82">
        <v>45352.739583333336</v>
      </c>
      <c r="B79" s="6">
        <v>5.37</v>
      </c>
      <c r="C79" s="6">
        <v>17.690000000000001</v>
      </c>
      <c r="D79" s="6">
        <v>14.9</v>
      </c>
      <c r="E79" s="6">
        <v>11.21</v>
      </c>
      <c r="F79" s="6">
        <v>7.69</v>
      </c>
      <c r="G79" s="6">
        <v>60.75</v>
      </c>
      <c r="H79" s="6">
        <v>24.33</v>
      </c>
      <c r="I79" s="6">
        <v>5.21</v>
      </c>
      <c r="J79" s="6">
        <v>0.27</v>
      </c>
      <c r="K79" s="6">
        <v>141</v>
      </c>
      <c r="L79" s="6">
        <v>31.7</v>
      </c>
      <c r="M79" s="6">
        <v>23.96</v>
      </c>
      <c r="N79" s="6">
        <v>5</v>
      </c>
      <c r="O79" s="6">
        <v>0</v>
      </c>
      <c r="P79" s="6">
        <v>0.64</v>
      </c>
      <c r="Q79" s="6">
        <v>4.66</v>
      </c>
    </row>
    <row r="80" spans="1:17" customFormat="1">
      <c r="A80" s="82">
        <v>45352.75</v>
      </c>
      <c r="B80" s="6">
        <v>5.54</v>
      </c>
      <c r="C80" s="6">
        <v>17.66</v>
      </c>
      <c r="D80" s="6">
        <v>15.02</v>
      </c>
      <c r="E80" s="6">
        <v>10.7</v>
      </c>
      <c r="F80" s="6">
        <v>6.12</v>
      </c>
      <c r="G80" s="6">
        <v>65.180000000000007</v>
      </c>
      <c r="H80" s="6">
        <v>24.78</v>
      </c>
      <c r="I80" s="6">
        <v>5.19</v>
      </c>
      <c r="J80" s="6">
        <v>0.2</v>
      </c>
      <c r="K80" s="6">
        <v>168.99</v>
      </c>
      <c r="L80" s="6">
        <v>30.41</v>
      </c>
      <c r="M80" s="6">
        <v>27.05</v>
      </c>
      <c r="N80" s="6">
        <v>0</v>
      </c>
      <c r="O80" s="6">
        <v>0</v>
      </c>
      <c r="P80" s="6">
        <v>0.63</v>
      </c>
      <c r="Q80" s="6">
        <v>4.68</v>
      </c>
    </row>
    <row r="81" spans="1:17" customFormat="1">
      <c r="A81" s="82">
        <v>45352.760416666664</v>
      </c>
      <c r="B81" s="6">
        <v>5.9</v>
      </c>
      <c r="C81" s="6">
        <v>17.38</v>
      </c>
      <c r="D81" s="6">
        <v>15.16</v>
      </c>
      <c r="E81" s="6">
        <v>7.43</v>
      </c>
      <c r="F81" s="6">
        <v>5.3</v>
      </c>
      <c r="G81" s="6">
        <v>65.180000000000007</v>
      </c>
      <c r="H81" s="6">
        <v>24.78</v>
      </c>
      <c r="I81" s="6">
        <v>5.17</v>
      </c>
      <c r="J81" s="6">
        <v>0.23</v>
      </c>
      <c r="K81" s="6">
        <v>165.25</v>
      </c>
      <c r="L81" s="6">
        <v>29.84</v>
      </c>
      <c r="M81" s="6">
        <v>27.65</v>
      </c>
      <c r="N81" s="6">
        <v>0</v>
      </c>
      <c r="O81" s="6">
        <v>0</v>
      </c>
      <c r="P81" s="6">
        <v>0.64</v>
      </c>
      <c r="Q81" s="6">
        <v>4.68</v>
      </c>
    </row>
    <row r="82" spans="1:17" customFormat="1">
      <c r="A82" s="82">
        <v>45352.770833333336</v>
      </c>
      <c r="B82" s="6">
        <v>6.34</v>
      </c>
      <c r="C82" s="6">
        <v>17.16</v>
      </c>
      <c r="D82" s="6">
        <v>15.4</v>
      </c>
      <c r="E82" s="6">
        <v>8.1300000000000008</v>
      </c>
      <c r="F82" s="6">
        <v>4.8099999999999996</v>
      </c>
      <c r="G82" s="6">
        <v>65.180000000000007</v>
      </c>
      <c r="H82" s="6">
        <v>24.78</v>
      </c>
      <c r="I82" s="6">
        <v>5.26</v>
      </c>
      <c r="J82" s="6">
        <v>0.25</v>
      </c>
      <c r="K82" s="6">
        <v>176.62</v>
      </c>
      <c r="L82" s="6">
        <v>29.19</v>
      </c>
      <c r="M82" s="6">
        <v>30.93</v>
      </c>
      <c r="N82" s="6">
        <v>0</v>
      </c>
      <c r="O82" s="6">
        <v>0</v>
      </c>
      <c r="P82" s="6">
        <v>0.64</v>
      </c>
      <c r="Q82" s="6">
        <v>4.68</v>
      </c>
    </row>
    <row r="83" spans="1:17" customFormat="1">
      <c r="A83" s="82">
        <v>45352.78125</v>
      </c>
      <c r="B83" s="6">
        <v>6.73</v>
      </c>
      <c r="C83" s="6">
        <v>16.940000000000001</v>
      </c>
      <c r="D83" s="6">
        <v>15.6</v>
      </c>
      <c r="E83" s="6">
        <v>8.7899999999999991</v>
      </c>
      <c r="F83" s="6">
        <v>4.8099999999999996</v>
      </c>
      <c r="G83" s="6">
        <v>70.55</v>
      </c>
      <c r="H83" s="6">
        <v>25.41</v>
      </c>
      <c r="I83" s="6">
        <v>5.25</v>
      </c>
      <c r="J83" s="6">
        <v>0.27</v>
      </c>
      <c r="K83" s="6">
        <v>194.56</v>
      </c>
      <c r="L83" s="6">
        <v>27.89</v>
      </c>
      <c r="M83" s="6">
        <v>36.869999999999997</v>
      </c>
      <c r="N83" s="6">
        <v>0</v>
      </c>
      <c r="O83" s="6">
        <v>0</v>
      </c>
      <c r="P83" s="6">
        <v>0.65</v>
      </c>
      <c r="Q83" s="6">
        <v>4.6900000000000004</v>
      </c>
    </row>
    <row r="84" spans="1:17" customFormat="1">
      <c r="A84" s="82">
        <v>45352.791666666664</v>
      </c>
      <c r="B84" s="6">
        <v>7.05</v>
      </c>
      <c r="C84" s="6">
        <v>16.48</v>
      </c>
      <c r="D84" s="6">
        <v>15.61</v>
      </c>
      <c r="E84" s="6">
        <v>8.65</v>
      </c>
      <c r="F84" s="6">
        <v>4.8499999999999996</v>
      </c>
      <c r="G84" s="6">
        <v>76.42</v>
      </c>
      <c r="H84" s="6">
        <v>25.77</v>
      </c>
      <c r="I84" s="6">
        <v>5.31</v>
      </c>
      <c r="J84" s="6">
        <v>0.24</v>
      </c>
      <c r="K84" s="6">
        <v>183.08</v>
      </c>
      <c r="L84" s="6">
        <v>27.06</v>
      </c>
      <c r="M84" s="6">
        <v>38.86</v>
      </c>
      <c r="N84" s="6">
        <v>0</v>
      </c>
      <c r="O84" s="6">
        <v>0</v>
      </c>
      <c r="P84" s="6">
        <v>0.64</v>
      </c>
      <c r="Q84" s="6">
        <v>4.68</v>
      </c>
    </row>
    <row r="85" spans="1:17" customFormat="1">
      <c r="A85" s="82">
        <v>45352.802083333336</v>
      </c>
      <c r="B85" s="6">
        <v>7.29</v>
      </c>
      <c r="C85" s="6">
        <v>15.93</v>
      </c>
      <c r="D85" s="6">
        <v>15.51</v>
      </c>
      <c r="E85" s="6">
        <v>8.1199999999999992</v>
      </c>
      <c r="F85" s="6">
        <v>4.71</v>
      </c>
      <c r="G85" s="6">
        <v>76.42</v>
      </c>
      <c r="H85" s="6">
        <v>25.77</v>
      </c>
      <c r="I85" s="6">
        <v>5.31</v>
      </c>
      <c r="J85" s="6">
        <v>0.25</v>
      </c>
      <c r="K85" s="6">
        <v>176.44</v>
      </c>
      <c r="L85" s="6">
        <v>26.6</v>
      </c>
      <c r="M85" s="6">
        <v>49.29</v>
      </c>
      <c r="N85" s="6">
        <v>0</v>
      </c>
      <c r="O85" s="6">
        <v>0</v>
      </c>
      <c r="P85" s="6">
        <v>0.64</v>
      </c>
      <c r="Q85" s="6">
        <v>4.68</v>
      </c>
    </row>
    <row r="86" spans="1:17" customFormat="1">
      <c r="A86" s="82">
        <v>45352.8125</v>
      </c>
      <c r="B86" s="6">
        <v>7.68</v>
      </c>
      <c r="C86" s="6">
        <v>15.12</v>
      </c>
      <c r="D86" s="6">
        <v>15.41</v>
      </c>
      <c r="E86" s="6">
        <v>8.23</v>
      </c>
      <c r="F86" s="6">
        <v>4.7</v>
      </c>
      <c r="G86" s="6">
        <v>76.42</v>
      </c>
      <c r="H86" s="6">
        <v>25.77</v>
      </c>
      <c r="I86" s="6">
        <v>5.5</v>
      </c>
      <c r="J86" s="6">
        <v>0.17</v>
      </c>
      <c r="K86" s="6">
        <v>169.62</v>
      </c>
      <c r="L86" s="6">
        <v>26.36</v>
      </c>
      <c r="M86" s="6">
        <v>45.74</v>
      </c>
      <c r="N86" s="6">
        <v>0</v>
      </c>
      <c r="O86" s="6">
        <v>0</v>
      </c>
      <c r="P86" s="6">
        <v>0.65</v>
      </c>
      <c r="Q86" s="6">
        <v>4.6900000000000004</v>
      </c>
    </row>
    <row r="87" spans="1:17" customFormat="1">
      <c r="A87" s="82">
        <v>45352.822916666664</v>
      </c>
      <c r="B87" s="6">
        <v>7.89</v>
      </c>
      <c r="C87" s="6">
        <v>14.56</v>
      </c>
      <c r="D87" s="6">
        <v>15.28</v>
      </c>
      <c r="E87" s="6">
        <v>8.23</v>
      </c>
      <c r="F87" s="6">
        <v>4.7300000000000004</v>
      </c>
      <c r="G87" s="6">
        <v>77.88</v>
      </c>
      <c r="H87" s="6">
        <v>27.64</v>
      </c>
      <c r="I87" s="6">
        <v>5.71</v>
      </c>
      <c r="J87" s="6">
        <v>0.27</v>
      </c>
      <c r="K87" s="6">
        <v>180.46</v>
      </c>
      <c r="L87" s="6">
        <v>26.18</v>
      </c>
      <c r="M87" s="6">
        <v>46.34</v>
      </c>
      <c r="N87" s="6">
        <v>0</v>
      </c>
      <c r="O87" s="6">
        <v>0</v>
      </c>
      <c r="P87" s="6">
        <v>0.64</v>
      </c>
      <c r="Q87" s="6">
        <v>4.6900000000000004</v>
      </c>
    </row>
    <row r="88" spans="1:17" customFormat="1">
      <c r="A88" s="82">
        <v>45352.833333333336</v>
      </c>
      <c r="B88" s="6">
        <v>8.08</v>
      </c>
      <c r="C88" s="6">
        <v>14.15</v>
      </c>
      <c r="D88" s="6">
        <v>15.22</v>
      </c>
      <c r="E88" s="6">
        <v>7.73</v>
      </c>
      <c r="F88" s="6">
        <v>4.71</v>
      </c>
      <c r="G88" s="6">
        <v>79.48</v>
      </c>
      <c r="H88" s="6">
        <v>28.71</v>
      </c>
      <c r="I88" s="6">
        <v>5.84</v>
      </c>
      <c r="J88" s="6">
        <v>0.2</v>
      </c>
      <c r="K88" s="6">
        <v>200.42</v>
      </c>
      <c r="L88" s="6">
        <v>25.41</v>
      </c>
      <c r="M88" s="6">
        <v>49.66</v>
      </c>
      <c r="N88" s="6">
        <v>0</v>
      </c>
      <c r="O88" s="6">
        <v>0</v>
      </c>
      <c r="P88" s="6">
        <v>0.64</v>
      </c>
      <c r="Q88" s="6">
        <v>4.71</v>
      </c>
    </row>
    <row r="89" spans="1:17" customFormat="1">
      <c r="A89" s="82">
        <v>45352.84375</v>
      </c>
      <c r="B89" s="6">
        <v>8.35</v>
      </c>
      <c r="C89" s="6">
        <v>13.7</v>
      </c>
      <c r="D89" s="6">
        <v>15.21</v>
      </c>
      <c r="E89" s="6">
        <v>8.5299999999999994</v>
      </c>
      <c r="F89" s="6">
        <v>4.76</v>
      </c>
      <c r="G89" s="6">
        <v>79.48</v>
      </c>
      <c r="H89" s="6">
        <v>28.71</v>
      </c>
      <c r="I89" s="6">
        <v>5.93</v>
      </c>
      <c r="J89" s="6">
        <v>0.22</v>
      </c>
      <c r="K89" s="6">
        <v>226.12</v>
      </c>
      <c r="L89" s="6">
        <v>25.2</v>
      </c>
      <c r="M89" s="6">
        <v>44.42</v>
      </c>
      <c r="N89" s="6">
        <v>0</v>
      </c>
      <c r="O89" s="6">
        <v>0</v>
      </c>
      <c r="P89" s="6">
        <v>0.64</v>
      </c>
      <c r="Q89" s="6">
        <v>4.71</v>
      </c>
    </row>
    <row r="90" spans="1:17" customFormat="1">
      <c r="A90" s="82">
        <v>45352.854166666664</v>
      </c>
      <c r="B90" s="6">
        <v>8.7100000000000009</v>
      </c>
      <c r="C90" s="6">
        <v>13.57</v>
      </c>
      <c r="D90" s="6">
        <v>15.43</v>
      </c>
      <c r="E90" s="6">
        <v>8.56</v>
      </c>
      <c r="F90" s="6">
        <v>4.68</v>
      </c>
      <c r="G90" s="6">
        <v>79.48</v>
      </c>
      <c r="H90" s="6">
        <v>28.71</v>
      </c>
      <c r="I90" s="6">
        <v>6.02</v>
      </c>
      <c r="J90" s="6">
        <v>0.25</v>
      </c>
      <c r="K90" s="6">
        <v>252.01</v>
      </c>
      <c r="L90" s="6">
        <v>24.65</v>
      </c>
      <c r="M90" s="6">
        <v>49.55</v>
      </c>
      <c r="N90" s="6">
        <v>0</v>
      </c>
      <c r="O90" s="6">
        <v>0</v>
      </c>
      <c r="P90" s="6">
        <v>0.64</v>
      </c>
      <c r="Q90" s="6">
        <v>4.7</v>
      </c>
    </row>
    <row r="91" spans="1:17" customFormat="1">
      <c r="A91" s="82">
        <v>45352.864583333336</v>
      </c>
      <c r="B91" s="6">
        <v>8.8800000000000008</v>
      </c>
      <c r="C91" s="6">
        <v>14</v>
      </c>
      <c r="D91" s="6">
        <v>15.78</v>
      </c>
      <c r="E91" s="6">
        <v>8.32</v>
      </c>
      <c r="F91" s="6">
        <v>4.8099999999999996</v>
      </c>
      <c r="G91" s="6">
        <v>93.71</v>
      </c>
      <c r="H91" s="6">
        <v>30.64</v>
      </c>
      <c r="I91" s="6">
        <v>6.11</v>
      </c>
      <c r="J91" s="6">
        <v>0.17</v>
      </c>
      <c r="K91" s="6">
        <v>249.5</v>
      </c>
      <c r="L91" s="6">
        <v>24.36</v>
      </c>
      <c r="M91" s="6">
        <v>49.8</v>
      </c>
      <c r="N91" s="6">
        <v>0</v>
      </c>
      <c r="O91" s="6">
        <v>0</v>
      </c>
      <c r="P91" s="6">
        <v>0.66</v>
      </c>
      <c r="Q91" s="6">
        <v>4.71</v>
      </c>
    </row>
    <row r="92" spans="1:17" customFormat="1">
      <c r="A92" s="82">
        <v>45352.875</v>
      </c>
      <c r="B92" s="6">
        <v>8.9</v>
      </c>
      <c r="C92" s="6">
        <v>14.7</v>
      </c>
      <c r="D92" s="6">
        <v>16.170000000000002</v>
      </c>
      <c r="E92" s="6">
        <v>8.2799999999999994</v>
      </c>
      <c r="F92" s="6">
        <v>4.76</v>
      </c>
      <c r="G92" s="6">
        <v>109.27</v>
      </c>
      <c r="H92" s="6">
        <v>33.22</v>
      </c>
      <c r="I92" s="6">
        <v>6.16</v>
      </c>
      <c r="J92" s="6">
        <v>0.2</v>
      </c>
      <c r="K92" s="6">
        <v>176.97</v>
      </c>
      <c r="L92" s="6">
        <v>24.58</v>
      </c>
      <c r="M92" s="6">
        <v>48.7</v>
      </c>
      <c r="N92" s="6">
        <v>0</v>
      </c>
      <c r="O92" s="6">
        <v>0</v>
      </c>
      <c r="P92" s="6">
        <v>0.66</v>
      </c>
      <c r="Q92" s="6">
        <v>4.74</v>
      </c>
    </row>
    <row r="93" spans="1:17" customFormat="1">
      <c r="A93" s="82">
        <v>45352.885416666664</v>
      </c>
      <c r="B93" s="6">
        <v>8.9</v>
      </c>
      <c r="C93" s="6">
        <v>15.26</v>
      </c>
      <c r="D93" s="6">
        <v>16.46</v>
      </c>
      <c r="E93" s="6">
        <v>8.9700000000000006</v>
      </c>
      <c r="F93" s="6">
        <v>4.78</v>
      </c>
      <c r="G93" s="6">
        <v>109.27</v>
      </c>
      <c r="H93" s="6">
        <v>33.22</v>
      </c>
      <c r="I93" s="6">
        <v>6.29</v>
      </c>
      <c r="J93" s="6">
        <v>0.3</v>
      </c>
      <c r="K93" s="6">
        <v>179.15</v>
      </c>
      <c r="L93" s="6">
        <v>24.59</v>
      </c>
      <c r="M93" s="6">
        <v>54.61</v>
      </c>
      <c r="N93" s="6">
        <v>0</v>
      </c>
      <c r="O93" s="6">
        <v>0</v>
      </c>
      <c r="P93" s="6">
        <v>0.68</v>
      </c>
      <c r="Q93" s="6">
        <v>4.7300000000000004</v>
      </c>
    </row>
    <row r="94" spans="1:17" customFormat="1">
      <c r="A94" s="82">
        <v>45352.895833333336</v>
      </c>
      <c r="B94" s="6">
        <v>8.8000000000000007</v>
      </c>
      <c r="C94" s="6">
        <v>15.9</v>
      </c>
      <c r="D94" s="6">
        <v>16.72</v>
      </c>
      <c r="E94" s="6">
        <v>9.3699999999999992</v>
      </c>
      <c r="F94" s="6">
        <v>4.88</v>
      </c>
      <c r="G94" s="6">
        <v>109.27</v>
      </c>
      <c r="H94" s="6">
        <v>33.22</v>
      </c>
      <c r="I94" s="6">
        <v>6.44</v>
      </c>
      <c r="J94" s="6">
        <v>0.23</v>
      </c>
      <c r="K94" s="6">
        <v>168.89</v>
      </c>
      <c r="L94" s="6">
        <v>24.21</v>
      </c>
      <c r="M94" s="6">
        <v>53.68</v>
      </c>
      <c r="N94" s="6">
        <v>0</v>
      </c>
      <c r="O94" s="6">
        <v>0</v>
      </c>
      <c r="P94" s="6">
        <v>0.69</v>
      </c>
      <c r="Q94" s="6">
        <v>4.72</v>
      </c>
    </row>
    <row r="95" spans="1:17" customFormat="1">
      <c r="A95" s="82">
        <v>45352.90625</v>
      </c>
      <c r="B95" s="6">
        <v>8.75</v>
      </c>
      <c r="C95" s="6">
        <v>16.190000000000001</v>
      </c>
      <c r="D95" s="6">
        <v>16.829999999999998</v>
      </c>
      <c r="E95" s="6">
        <v>8.92</v>
      </c>
      <c r="F95" s="6">
        <v>4.74</v>
      </c>
      <c r="G95" s="6">
        <v>102.46</v>
      </c>
      <c r="H95" s="6">
        <v>30.81</v>
      </c>
      <c r="I95" s="6">
        <v>6.63</v>
      </c>
      <c r="J95" s="6">
        <v>0.13</v>
      </c>
      <c r="K95" s="6">
        <v>181.47</v>
      </c>
      <c r="L95" s="6">
        <v>24.04</v>
      </c>
      <c r="M95" s="6">
        <v>48.84</v>
      </c>
      <c r="N95" s="6">
        <v>0</v>
      </c>
      <c r="O95" s="6">
        <v>0</v>
      </c>
      <c r="P95" s="6">
        <v>0.7</v>
      </c>
      <c r="Q95" s="6">
        <v>4.71</v>
      </c>
    </row>
    <row r="96" spans="1:17" customFormat="1">
      <c r="A96" s="82">
        <v>45352.916666666664</v>
      </c>
      <c r="B96" s="6">
        <v>8.91</v>
      </c>
      <c r="C96" s="6">
        <v>16.25</v>
      </c>
      <c r="D96" s="6">
        <v>16.989999999999998</v>
      </c>
      <c r="E96" s="6">
        <v>9.02</v>
      </c>
      <c r="F96" s="6">
        <v>4.6900000000000004</v>
      </c>
      <c r="G96" s="6">
        <v>95.02</v>
      </c>
      <c r="H96" s="6">
        <v>29.43</v>
      </c>
      <c r="I96" s="6">
        <v>6.68</v>
      </c>
      <c r="J96" s="6">
        <v>0.21</v>
      </c>
      <c r="K96" s="6">
        <v>249.67</v>
      </c>
      <c r="L96" s="6">
        <v>23.91</v>
      </c>
      <c r="M96" s="6">
        <v>50.37</v>
      </c>
      <c r="N96" s="6">
        <v>0</v>
      </c>
      <c r="O96" s="6">
        <v>0</v>
      </c>
      <c r="P96" s="6">
        <v>0.7</v>
      </c>
      <c r="Q96" s="6">
        <v>4.7</v>
      </c>
    </row>
    <row r="97" spans="1:22" customFormat="1">
      <c r="A97" s="82">
        <v>45352.927083333336</v>
      </c>
      <c r="B97" s="6">
        <v>8.7899999999999991</v>
      </c>
      <c r="C97" s="6">
        <v>16.55</v>
      </c>
      <c r="D97" s="6">
        <v>17.04</v>
      </c>
      <c r="E97" s="6">
        <v>8.6999999999999993</v>
      </c>
      <c r="F97" s="6">
        <v>4.55</v>
      </c>
      <c r="G97" s="6">
        <v>95.02</v>
      </c>
      <c r="H97" s="6">
        <v>29.43</v>
      </c>
      <c r="I97" s="6">
        <v>6.79</v>
      </c>
      <c r="J97" s="6">
        <v>0.18</v>
      </c>
      <c r="K97" s="6">
        <v>240.19</v>
      </c>
      <c r="L97" s="6">
        <v>23.24</v>
      </c>
      <c r="M97" s="6">
        <v>53.05</v>
      </c>
      <c r="N97" s="6">
        <v>0</v>
      </c>
      <c r="O97" s="6">
        <v>0</v>
      </c>
      <c r="P97" s="6">
        <v>0.71</v>
      </c>
      <c r="Q97" s="6">
        <v>4.7300000000000004</v>
      </c>
    </row>
    <row r="98" spans="1:22" customFormat="1">
      <c r="A98" s="82">
        <v>45352.9375</v>
      </c>
      <c r="B98" s="6">
        <v>8.65</v>
      </c>
      <c r="C98" s="6">
        <v>16.82</v>
      </c>
      <c r="D98" s="6">
        <v>17.079999999999998</v>
      </c>
      <c r="E98" s="6">
        <v>9.3800000000000008</v>
      </c>
      <c r="F98" s="6">
        <v>4.8099999999999996</v>
      </c>
      <c r="G98" s="6">
        <v>95.02</v>
      </c>
      <c r="H98" s="6">
        <v>29.43</v>
      </c>
      <c r="I98" s="6">
        <v>6.83</v>
      </c>
      <c r="J98" s="6">
        <v>0.17</v>
      </c>
      <c r="K98" s="6">
        <v>183.1</v>
      </c>
      <c r="L98" s="6">
        <v>23.38</v>
      </c>
      <c r="M98" s="6">
        <v>55.9</v>
      </c>
      <c r="N98" s="6">
        <v>0</v>
      </c>
      <c r="O98" s="6">
        <v>0</v>
      </c>
      <c r="P98" s="6">
        <v>0.71</v>
      </c>
      <c r="Q98" s="6">
        <v>4.71</v>
      </c>
    </row>
    <row r="99" spans="1:22" customFormat="1">
      <c r="A99" s="82">
        <v>45352.947916666664</v>
      </c>
      <c r="B99" s="6">
        <v>8.6199999999999992</v>
      </c>
      <c r="C99" s="6">
        <v>16.89</v>
      </c>
      <c r="D99" s="6">
        <v>17.09</v>
      </c>
      <c r="E99" s="6">
        <v>9.11</v>
      </c>
      <c r="F99" s="6">
        <v>4.72</v>
      </c>
      <c r="G99" s="6">
        <v>87.88</v>
      </c>
      <c r="H99" s="6">
        <v>28.75</v>
      </c>
      <c r="I99" s="6">
        <v>6.89</v>
      </c>
      <c r="J99" s="6">
        <v>0.15</v>
      </c>
      <c r="K99" s="6">
        <v>217.2</v>
      </c>
      <c r="L99" s="6">
        <v>23.14</v>
      </c>
      <c r="M99" s="6">
        <v>57.42</v>
      </c>
      <c r="N99" s="6">
        <v>0</v>
      </c>
      <c r="O99" s="6">
        <v>0</v>
      </c>
      <c r="P99" s="6">
        <v>0.71</v>
      </c>
      <c r="Q99" s="6">
        <v>4.71</v>
      </c>
    </row>
    <row r="100" spans="1:22" customFormat="1">
      <c r="A100" s="82">
        <v>45352.958333333336</v>
      </c>
      <c r="B100" s="6">
        <v>8.6199999999999992</v>
      </c>
      <c r="C100" s="6">
        <v>16.98</v>
      </c>
      <c r="D100" s="6">
        <v>17.13</v>
      </c>
      <c r="E100" s="6">
        <v>9.4</v>
      </c>
      <c r="F100" s="6">
        <v>4.72</v>
      </c>
      <c r="G100" s="6">
        <v>80.09</v>
      </c>
      <c r="H100" s="6">
        <v>28.36</v>
      </c>
      <c r="I100" s="6">
        <v>6.87</v>
      </c>
      <c r="J100" s="6">
        <v>0.21</v>
      </c>
      <c r="K100" s="6">
        <v>157.53</v>
      </c>
      <c r="L100" s="6">
        <v>23.28</v>
      </c>
      <c r="M100" s="6">
        <v>53.49</v>
      </c>
      <c r="N100" s="6">
        <v>0</v>
      </c>
      <c r="O100" s="6">
        <v>0</v>
      </c>
      <c r="P100" s="6">
        <v>0.71</v>
      </c>
      <c r="Q100" s="6">
        <v>4.72</v>
      </c>
    </row>
    <row r="101" spans="1:22" customFormat="1">
      <c r="A101" s="82">
        <v>45352.96875</v>
      </c>
      <c r="B101" s="6">
        <v>8.5500000000000007</v>
      </c>
      <c r="C101" s="6">
        <v>17.16</v>
      </c>
      <c r="D101" s="6">
        <v>17.170000000000002</v>
      </c>
      <c r="E101" s="6">
        <v>9.5500000000000007</v>
      </c>
      <c r="F101" s="6">
        <v>4.54</v>
      </c>
      <c r="G101" s="6">
        <v>80.09</v>
      </c>
      <c r="H101" s="6">
        <v>28.36</v>
      </c>
      <c r="I101" s="6">
        <v>6.87</v>
      </c>
      <c r="J101" s="6">
        <v>0.21</v>
      </c>
      <c r="K101" s="6">
        <v>188.15</v>
      </c>
      <c r="L101" s="6">
        <v>23.21</v>
      </c>
      <c r="M101" s="6">
        <v>55.79</v>
      </c>
      <c r="N101" s="6">
        <v>0</v>
      </c>
      <c r="O101" s="6">
        <v>0</v>
      </c>
      <c r="P101" s="6">
        <v>0.71</v>
      </c>
      <c r="Q101" s="6">
        <v>4.71</v>
      </c>
    </row>
    <row r="102" spans="1:22" customFormat="1">
      <c r="A102" s="82">
        <v>45352.979166666664</v>
      </c>
      <c r="B102" s="6">
        <v>8.58</v>
      </c>
      <c r="C102" s="6">
        <v>17.07</v>
      </c>
      <c r="D102" s="6">
        <v>17.149999999999999</v>
      </c>
      <c r="E102" s="6">
        <v>9.1199999999999992</v>
      </c>
      <c r="F102" s="6">
        <v>4.7</v>
      </c>
      <c r="G102" s="6">
        <v>80.09</v>
      </c>
      <c r="H102" s="6">
        <v>28.36</v>
      </c>
      <c r="I102" s="6">
        <v>6.87</v>
      </c>
      <c r="J102" s="6">
        <v>0.17</v>
      </c>
      <c r="K102" s="6">
        <v>189.44</v>
      </c>
      <c r="L102" s="6">
        <v>22.85</v>
      </c>
      <c r="M102" s="6">
        <v>59.26</v>
      </c>
      <c r="N102" s="6">
        <v>0</v>
      </c>
      <c r="O102" s="6">
        <v>0</v>
      </c>
      <c r="P102" s="6">
        <v>0.71</v>
      </c>
      <c r="Q102" s="6">
        <v>4.72</v>
      </c>
    </row>
    <row r="103" spans="1:22" customFormat="1">
      <c r="A103" s="82">
        <v>45352.989583333336</v>
      </c>
      <c r="B103" s="6">
        <v>8.4600000000000009</v>
      </c>
      <c r="C103" s="6">
        <v>17.190000000000001</v>
      </c>
      <c r="D103" s="6">
        <v>17.11</v>
      </c>
      <c r="E103" s="6">
        <v>8.9700000000000006</v>
      </c>
      <c r="F103" s="6">
        <v>4.74</v>
      </c>
      <c r="G103" s="6">
        <v>73.28</v>
      </c>
      <c r="H103" s="6">
        <v>27.65</v>
      </c>
      <c r="I103" s="6">
        <v>6.9</v>
      </c>
      <c r="J103" s="6">
        <v>0.14000000000000001</v>
      </c>
      <c r="K103" s="6">
        <v>203.84</v>
      </c>
      <c r="L103" s="6">
        <v>22.85</v>
      </c>
      <c r="M103" s="6">
        <v>58.08</v>
      </c>
      <c r="N103" s="6">
        <v>0</v>
      </c>
      <c r="O103" s="6">
        <v>0</v>
      </c>
      <c r="P103" s="6">
        <v>0.72</v>
      </c>
      <c r="Q103" s="6">
        <v>4.72</v>
      </c>
    </row>
    <row r="104" spans="1:22" customFormat="1">
      <c r="A104" s="82">
        <v>45353</v>
      </c>
      <c r="B104" s="6">
        <v>8.4700000000000006</v>
      </c>
      <c r="C104" s="6">
        <v>17.27</v>
      </c>
      <c r="D104" s="6">
        <v>17.16</v>
      </c>
      <c r="E104" s="6">
        <v>9.7899999999999991</v>
      </c>
      <c r="F104" s="6">
        <v>4.7</v>
      </c>
      <c r="G104" s="6">
        <v>65.849999999999994</v>
      </c>
      <c r="H104" s="6">
        <v>27.25</v>
      </c>
      <c r="I104" s="6">
        <v>6.86</v>
      </c>
      <c r="J104" s="6">
        <v>0.2</v>
      </c>
      <c r="K104" s="6">
        <v>251.22</v>
      </c>
      <c r="L104" s="6">
        <v>22.81</v>
      </c>
      <c r="M104" s="6">
        <v>57.28</v>
      </c>
      <c r="N104" s="6">
        <v>0</v>
      </c>
      <c r="O104" s="6">
        <v>0</v>
      </c>
      <c r="P104" s="6">
        <v>0.71</v>
      </c>
      <c r="Q104" s="6">
        <v>4.72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6" t="s">
        <v>48</v>
      </c>
      <c r="B106" s="187">
        <f>MIN(B9:B104)</f>
        <v>4.42</v>
      </c>
      <c r="C106" s="187">
        <f>MIN(C9:C104)</f>
        <v>13.57</v>
      </c>
      <c r="D106" s="187">
        <f t="shared" ref="D106:Q106" si="0">MIN(D9:D104)</f>
        <v>13.84</v>
      </c>
      <c r="E106" s="187">
        <f t="shared" si="0"/>
        <v>6.95</v>
      </c>
      <c r="F106" s="187">
        <f t="shared" si="0"/>
        <v>4.3499999999999996</v>
      </c>
      <c r="G106" s="187">
        <f t="shared" si="0"/>
        <v>56.69</v>
      </c>
      <c r="H106" s="187">
        <f t="shared" si="0"/>
        <v>23.38</v>
      </c>
      <c r="I106" s="187">
        <f t="shared" si="0"/>
        <v>5.0599999999999996</v>
      </c>
      <c r="J106" s="187">
        <f t="shared" si="0"/>
        <v>0.01</v>
      </c>
      <c r="K106" s="187">
        <f t="shared" si="0"/>
        <v>4.67</v>
      </c>
      <c r="L106" s="187">
        <f t="shared" si="0"/>
        <v>19.34</v>
      </c>
      <c r="M106" s="187">
        <f t="shared" si="0"/>
        <v>16.02</v>
      </c>
      <c r="N106" s="187">
        <f t="shared" si="0"/>
        <v>0</v>
      </c>
      <c r="O106" s="187">
        <f t="shared" si="0"/>
        <v>0</v>
      </c>
      <c r="P106" s="187">
        <f t="shared" si="0"/>
        <v>0.59</v>
      </c>
      <c r="Q106" s="187">
        <f t="shared" si="0"/>
        <v>4.6399999999999997</v>
      </c>
      <c r="R106" s="192"/>
      <c r="S106" s="192"/>
      <c r="T106" s="192"/>
      <c r="U106" s="192"/>
    </row>
    <row r="107" spans="1:22">
      <c r="A107" s="186" t="s">
        <v>49</v>
      </c>
      <c r="B107" s="188">
        <f>MAX(B9:B104)</f>
        <v>37.61</v>
      </c>
      <c r="C107" s="188">
        <f t="shared" ref="C107:Q107" si="1">MAX(C9:C104)</f>
        <v>25.52</v>
      </c>
      <c r="D107" s="188">
        <f t="shared" si="1"/>
        <v>43.6</v>
      </c>
      <c r="E107" s="188">
        <f t="shared" si="1"/>
        <v>22.88</v>
      </c>
      <c r="F107" s="188">
        <f t="shared" si="1"/>
        <v>17.61</v>
      </c>
      <c r="G107" s="188">
        <f t="shared" si="1"/>
        <v>109.27</v>
      </c>
      <c r="H107" s="188">
        <f t="shared" si="1"/>
        <v>37.07</v>
      </c>
      <c r="I107" s="188">
        <f t="shared" si="1"/>
        <v>9.75</v>
      </c>
      <c r="J107" s="188">
        <f t="shared" si="1"/>
        <v>1.19</v>
      </c>
      <c r="K107" s="188">
        <f t="shared" si="1"/>
        <v>356.93</v>
      </c>
      <c r="L107" s="188">
        <f t="shared" si="1"/>
        <v>35.69</v>
      </c>
      <c r="M107" s="188">
        <f t="shared" si="1"/>
        <v>75.19</v>
      </c>
      <c r="N107" s="188">
        <f t="shared" si="1"/>
        <v>667.9</v>
      </c>
      <c r="O107" s="188">
        <f t="shared" si="1"/>
        <v>0</v>
      </c>
      <c r="P107" s="188">
        <f t="shared" si="1"/>
        <v>0.9</v>
      </c>
      <c r="Q107" s="188">
        <f t="shared" si="1"/>
        <v>4.88</v>
      </c>
      <c r="R107" s="193"/>
      <c r="S107" s="193"/>
      <c r="T107" s="193"/>
      <c r="U107" s="193"/>
    </row>
    <row r="108" spans="1:22">
      <c r="A108" s="186" t="s">
        <v>50</v>
      </c>
      <c r="B108" s="187">
        <f>AVERAGE(B9:B104)</f>
        <v>18.33583333333333</v>
      </c>
      <c r="C108" s="187">
        <f t="shared" ref="C108:Q108" si="2">AVERAGE(C9:C104)</f>
        <v>19.73510416666667</v>
      </c>
      <c r="D108" s="187">
        <f t="shared" si="2"/>
        <v>26.365729166666672</v>
      </c>
      <c r="E108" s="187">
        <f t="shared" si="2"/>
        <v>10.931354166666665</v>
      </c>
      <c r="F108" s="187">
        <f t="shared" si="2"/>
        <v>6.7460416666666676</v>
      </c>
      <c r="G108" s="187">
        <f t="shared" si="2"/>
        <v>79.656875000000042</v>
      </c>
      <c r="H108" s="187">
        <f t="shared" si="2"/>
        <v>29.239374999999992</v>
      </c>
      <c r="I108" s="187">
        <f t="shared" si="2"/>
        <v>7.1284374999999995</v>
      </c>
      <c r="J108" s="187">
        <f t="shared" si="2"/>
        <v>0.3754166666666669</v>
      </c>
      <c r="K108" s="187">
        <f t="shared" si="2"/>
        <v>163.80552083333336</v>
      </c>
      <c r="L108" s="187">
        <f t="shared" si="2"/>
        <v>26.492708333333336</v>
      </c>
      <c r="M108" s="187">
        <f t="shared" si="2"/>
        <v>44.813645833333339</v>
      </c>
      <c r="N108" s="187">
        <f t="shared" si="2"/>
        <v>162.58958333333334</v>
      </c>
      <c r="O108" s="187">
        <f t="shared" si="2"/>
        <v>0</v>
      </c>
      <c r="P108" s="187">
        <f t="shared" si="2"/>
        <v>0.71489583333333329</v>
      </c>
      <c r="Q108" s="187">
        <f t="shared" si="2"/>
        <v>4.7670833333333347</v>
      </c>
      <c r="R108" s="192"/>
      <c r="S108" s="192"/>
      <c r="T108" s="192"/>
      <c r="U108" s="192"/>
    </row>
    <row r="109" spans="1:22">
      <c r="A109" s="186" t="s">
        <v>51</v>
      </c>
      <c r="B109" s="187">
        <f>STDEV(B9:B104)</f>
        <v>12.909791442456356</v>
      </c>
      <c r="C109" s="187">
        <f t="shared" ref="C109:Q109" si="3">STDEV(C9:C104)</f>
        <v>3.0642677479522091</v>
      </c>
      <c r="D109" s="187">
        <f t="shared" si="3"/>
        <v>11.464415126798253</v>
      </c>
      <c r="E109" s="187">
        <f t="shared" si="3"/>
        <v>3.0576122847365732</v>
      </c>
      <c r="F109" s="187">
        <f t="shared" si="3"/>
        <v>3.5964355099449468</v>
      </c>
      <c r="G109" s="187">
        <f t="shared" si="3"/>
        <v>14.857591808301201</v>
      </c>
      <c r="H109" s="187">
        <f t="shared" si="3"/>
        <v>3.9358005438605961</v>
      </c>
      <c r="I109" s="187">
        <f t="shared" si="3"/>
        <v>1.3727040759985909</v>
      </c>
      <c r="J109" s="187">
        <f t="shared" si="3"/>
        <v>0.26900955438585644</v>
      </c>
      <c r="K109" s="187">
        <f t="shared" si="3"/>
        <v>92.740553349197427</v>
      </c>
      <c r="L109" s="187">
        <f t="shared" si="3"/>
        <v>5.6919375073624394</v>
      </c>
      <c r="M109" s="187">
        <f t="shared" si="3"/>
        <v>19.271652272309836</v>
      </c>
      <c r="N109" s="187">
        <f t="shared" si="3"/>
        <v>235.50401336580978</v>
      </c>
      <c r="O109" s="187">
        <f t="shared" si="3"/>
        <v>0</v>
      </c>
      <c r="P109" s="187">
        <f t="shared" si="3"/>
        <v>8.8281783203639747E-2</v>
      </c>
      <c r="Q109" s="187">
        <f t="shared" si="3"/>
        <v>7.2153588620741629E-2</v>
      </c>
      <c r="R109" s="192"/>
      <c r="S109" s="192"/>
      <c r="T109" s="192"/>
      <c r="U109" s="192"/>
    </row>
    <row r="110" spans="1:22">
      <c r="A110" s="186" t="s">
        <v>52</v>
      </c>
      <c r="B110" s="188">
        <f t="shared" ref="B110:Q110" si="4">COUNT(B9:B104)</f>
        <v>96</v>
      </c>
      <c r="C110" s="188">
        <f t="shared" si="4"/>
        <v>96</v>
      </c>
      <c r="D110" s="188">
        <f t="shared" si="4"/>
        <v>96</v>
      </c>
      <c r="E110" s="188">
        <f t="shared" si="4"/>
        <v>96</v>
      </c>
      <c r="F110" s="188">
        <f t="shared" si="4"/>
        <v>96</v>
      </c>
      <c r="G110" s="188">
        <f t="shared" si="4"/>
        <v>96</v>
      </c>
      <c r="H110" s="188">
        <f t="shared" si="4"/>
        <v>96</v>
      </c>
      <c r="I110" s="188">
        <f t="shared" si="4"/>
        <v>96</v>
      </c>
      <c r="J110" s="188">
        <f t="shared" si="4"/>
        <v>96</v>
      </c>
      <c r="K110" s="188">
        <f t="shared" si="4"/>
        <v>96</v>
      </c>
      <c r="L110" s="188">
        <f t="shared" si="4"/>
        <v>96</v>
      </c>
      <c r="M110" s="188">
        <f t="shared" si="4"/>
        <v>96</v>
      </c>
      <c r="N110" s="188">
        <f t="shared" si="4"/>
        <v>96</v>
      </c>
      <c r="O110" s="188">
        <f t="shared" si="4"/>
        <v>96</v>
      </c>
      <c r="P110" s="188">
        <f t="shared" si="4"/>
        <v>96</v>
      </c>
      <c r="Q110" s="188">
        <f t="shared" si="4"/>
        <v>96</v>
      </c>
      <c r="R110" s="193"/>
      <c r="S110" s="193"/>
      <c r="T110" s="193"/>
      <c r="U110" s="193"/>
      <c r="V110" s="188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91"/>
      <c r="O113" s="191"/>
      <c r="P113" s="191"/>
      <c r="Q113" s="191"/>
      <c r="R113" s="191"/>
      <c r="S113" s="191"/>
      <c r="T113" s="191"/>
      <c r="U113" s="191"/>
    </row>
    <row r="115" spans="1:21">
      <c r="A115" s="153" t="s">
        <v>55</v>
      </c>
      <c r="B115" s="197" t="s">
        <v>56</v>
      </c>
      <c r="C115" s="197"/>
      <c r="D115" s="197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9" t="s">
        <v>57</v>
      </c>
      <c r="B117" s="198"/>
      <c r="C117" s="198"/>
      <c r="D117" s="198"/>
      <c r="E117" s="198"/>
      <c r="F117" s="198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4" activePane="bottomRight" state="frozen"/>
      <selection activeCell="A9" sqref="A9"/>
      <selection pane="topRight" activeCell="A9" sqref="A9"/>
      <selection pane="bottomLeft" activeCell="A9" sqref="A9"/>
      <selection pane="bottomRight" activeCell="G110" sqref="G110:H110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45353.010416666664</v>
      </c>
      <c r="C2" s="196" t="s">
        <v>3</v>
      </c>
      <c r="D2" s="196"/>
      <c r="E2" s="196"/>
      <c r="F2" s="196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2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6" t="s">
        <v>11</v>
      </c>
      <c r="D3" s="196"/>
      <c r="E3" s="196"/>
      <c r="F3" s="196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2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6" t="s">
        <v>18</v>
      </c>
      <c r="D4" s="196"/>
      <c r="E4" s="196"/>
      <c r="F4" s="196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3" t="s">
        <v>43</v>
      </c>
      <c r="M8" s="114" t="s">
        <v>44</v>
      </c>
      <c r="N8" s="114" t="s">
        <v>45</v>
      </c>
      <c r="O8" s="183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2">
        <v>45353.010416666664</v>
      </c>
      <c r="B9" s="6">
        <v>7.48</v>
      </c>
      <c r="C9" s="6">
        <v>18.59</v>
      </c>
      <c r="D9" s="6">
        <v>17.07</v>
      </c>
      <c r="E9" s="6">
        <v>9.59</v>
      </c>
      <c r="F9" s="6">
        <v>4.58</v>
      </c>
      <c r="G9" s="6">
        <v>65.849999999999994</v>
      </c>
      <c r="H9" s="6">
        <v>27.25</v>
      </c>
      <c r="I9" s="6">
        <v>6.8</v>
      </c>
      <c r="J9" s="6">
        <v>0.13</v>
      </c>
      <c r="K9" s="6">
        <v>141.63999999999999</v>
      </c>
      <c r="L9" s="6">
        <v>23.03</v>
      </c>
      <c r="M9" s="6">
        <v>52.76</v>
      </c>
      <c r="N9" s="6">
        <v>0</v>
      </c>
      <c r="O9" s="6">
        <v>0</v>
      </c>
      <c r="P9" s="6">
        <v>0.71</v>
      </c>
      <c r="Q9" s="6">
        <v>4.72</v>
      </c>
    </row>
    <row r="10" spans="1:21" customFormat="1">
      <c r="A10" s="82">
        <v>45353.020833333336</v>
      </c>
      <c r="B10" s="6">
        <v>9.82</v>
      </c>
      <c r="C10" s="6">
        <v>19.46</v>
      </c>
      <c r="D10" s="6">
        <v>19.39</v>
      </c>
      <c r="E10" s="6">
        <v>9.48</v>
      </c>
      <c r="F10" s="6">
        <v>4.46</v>
      </c>
      <c r="G10" s="6">
        <v>65.849999999999994</v>
      </c>
      <c r="H10" s="6">
        <v>27.25</v>
      </c>
      <c r="I10" s="6">
        <v>6.76</v>
      </c>
      <c r="J10" s="6">
        <v>0.28999999999999998</v>
      </c>
      <c r="K10" s="6">
        <v>84.42</v>
      </c>
      <c r="L10" s="6">
        <v>23.42</v>
      </c>
      <c r="M10" s="6">
        <v>50.94</v>
      </c>
      <c r="N10" s="6">
        <v>0</v>
      </c>
      <c r="O10" s="6">
        <v>0</v>
      </c>
      <c r="P10" s="6">
        <v>0.72</v>
      </c>
      <c r="Q10" s="6">
        <v>4.7300000000000004</v>
      </c>
    </row>
    <row r="11" spans="1:21" customFormat="1">
      <c r="A11" s="82">
        <v>45353.03125</v>
      </c>
      <c r="B11" s="6">
        <v>12.37</v>
      </c>
      <c r="C11" s="6">
        <v>20.91</v>
      </c>
      <c r="D11" s="6">
        <v>22.2</v>
      </c>
      <c r="E11" s="6">
        <v>9.5399999999999991</v>
      </c>
      <c r="F11" s="6">
        <v>4.47</v>
      </c>
      <c r="G11" s="6">
        <v>82.72</v>
      </c>
      <c r="H11" s="6">
        <v>29.52</v>
      </c>
      <c r="I11" s="6">
        <v>6.74</v>
      </c>
      <c r="J11" s="6">
        <v>0.2</v>
      </c>
      <c r="K11" s="6">
        <v>155.88999999999999</v>
      </c>
      <c r="L11" s="6">
        <v>23.44</v>
      </c>
      <c r="M11" s="6">
        <v>52.77</v>
      </c>
      <c r="N11" s="6">
        <v>0</v>
      </c>
      <c r="O11" s="6">
        <v>0</v>
      </c>
      <c r="P11" s="6">
        <v>0.74</v>
      </c>
      <c r="Q11" s="6">
        <v>4.74</v>
      </c>
    </row>
    <row r="12" spans="1:21" customFormat="1">
      <c r="A12" s="82">
        <v>45353.041666666664</v>
      </c>
      <c r="B12" s="6">
        <v>13.73</v>
      </c>
      <c r="C12" s="6">
        <v>21.88</v>
      </c>
      <c r="D12" s="6">
        <v>23.79</v>
      </c>
      <c r="E12" s="6">
        <v>9.09</v>
      </c>
      <c r="F12" s="6">
        <v>4.47</v>
      </c>
      <c r="G12" s="6">
        <v>101.16</v>
      </c>
      <c r="H12" s="6">
        <v>30.82</v>
      </c>
      <c r="I12" s="6">
        <v>6.77</v>
      </c>
      <c r="J12" s="6">
        <v>0.2</v>
      </c>
      <c r="K12" s="6">
        <v>186.81</v>
      </c>
      <c r="L12" s="6">
        <v>22.61</v>
      </c>
      <c r="M12" s="6">
        <v>63.7</v>
      </c>
      <c r="N12" s="6">
        <v>0</v>
      </c>
      <c r="O12" s="6">
        <v>0</v>
      </c>
      <c r="P12" s="6">
        <v>0.74</v>
      </c>
      <c r="Q12" s="6">
        <v>4.75</v>
      </c>
    </row>
    <row r="13" spans="1:21" customFormat="1">
      <c r="A13" s="82">
        <v>45353.052083333336</v>
      </c>
      <c r="B13" s="6">
        <v>14.58</v>
      </c>
      <c r="C13" s="6">
        <v>22.3</v>
      </c>
      <c r="D13" s="6">
        <v>24.69</v>
      </c>
      <c r="E13" s="6">
        <v>9.3699999999999992</v>
      </c>
      <c r="F13" s="6">
        <v>4.5599999999999996</v>
      </c>
      <c r="G13" s="6">
        <v>101.16</v>
      </c>
      <c r="H13" s="6">
        <v>30.82</v>
      </c>
      <c r="I13" s="6">
        <v>6.8</v>
      </c>
      <c r="J13" s="6">
        <v>0.18</v>
      </c>
      <c r="K13" s="6">
        <v>216.62</v>
      </c>
      <c r="L13" s="6">
        <v>21.95</v>
      </c>
      <c r="M13" s="6">
        <v>65.069999999999993</v>
      </c>
      <c r="N13" s="6">
        <v>0</v>
      </c>
      <c r="O13" s="6">
        <v>0</v>
      </c>
      <c r="P13" s="6">
        <v>0.73</v>
      </c>
      <c r="Q13" s="6">
        <v>4.76</v>
      </c>
    </row>
    <row r="14" spans="1:21" customFormat="1">
      <c r="A14" s="82">
        <v>45353.0625</v>
      </c>
      <c r="B14" s="6">
        <v>14.87</v>
      </c>
      <c r="C14" s="6">
        <v>22.59</v>
      </c>
      <c r="D14" s="6">
        <v>25.08</v>
      </c>
      <c r="E14" s="6">
        <v>9.7200000000000006</v>
      </c>
      <c r="F14" s="6">
        <v>4.42</v>
      </c>
      <c r="G14" s="6">
        <v>101.16</v>
      </c>
      <c r="H14" s="6">
        <v>30.82</v>
      </c>
      <c r="I14" s="6">
        <v>6.86</v>
      </c>
      <c r="J14" s="6">
        <v>0.14000000000000001</v>
      </c>
      <c r="K14" s="6">
        <v>175.85</v>
      </c>
      <c r="L14" s="6">
        <v>21.84</v>
      </c>
      <c r="M14" s="6">
        <v>62.94</v>
      </c>
      <c r="N14" s="6">
        <v>0</v>
      </c>
      <c r="O14" s="6">
        <v>0</v>
      </c>
      <c r="P14" s="6">
        <v>0.74</v>
      </c>
      <c r="Q14" s="6">
        <v>4.76</v>
      </c>
    </row>
    <row r="15" spans="1:21" customFormat="1">
      <c r="A15" s="82">
        <v>45353.072916666664</v>
      </c>
      <c r="B15" s="6">
        <v>14.61</v>
      </c>
      <c r="C15" s="6">
        <v>22.88</v>
      </c>
      <c r="D15" s="6">
        <v>25.02</v>
      </c>
      <c r="E15" s="6">
        <v>9.86</v>
      </c>
      <c r="F15" s="6">
        <v>4.4000000000000004</v>
      </c>
      <c r="G15" s="6">
        <v>105.8</v>
      </c>
      <c r="H15" s="6">
        <v>30.99</v>
      </c>
      <c r="I15" s="6">
        <v>6.85</v>
      </c>
      <c r="J15" s="6">
        <v>0.19</v>
      </c>
      <c r="K15" s="6">
        <v>236.47</v>
      </c>
      <c r="L15" s="6">
        <v>21.63</v>
      </c>
      <c r="M15" s="6">
        <v>62.51</v>
      </c>
      <c r="N15" s="6">
        <v>0</v>
      </c>
      <c r="O15" s="6">
        <v>0</v>
      </c>
      <c r="P15" s="6">
        <v>0.74</v>
      </c>
      <c r="Q15" s="6">
        <v>4.75</v>
      </c>
    </row>
    <row r="16" spans="1:21" customFormat="1">
      <c r="A16" s="82">
        <v>45353.083333333336</v>
      </c>
      <c r="B16" s="6">
        <v>14.31</v>
      </c>
      <c r="C16" s="6">
        <v>22.23</v>
      </c>
      <c r="D16" s="6">
        <v>24.44</v>
      </c>
      <c r="E16" s="6">
        <v>8.93</v>
      </c>
      <c r="F16" s="6">
        <v>4.63</v>
      </c>
      <c r="G16" s="6">
        <v>110.88</v>
      </c>
      <c r="H16" s="6">
        <v>31.09</v>
      </c>
      <c r="I16" s="6">
        <v>6.85</v>
      </c>
      <c r="J16" s="6">
        <v>0.35</v>
      </c>
      <c r="K16" s="6">
        <v>279.89</v>
      </c>
      <c r="L16" s="6">
        <v>20.93</v>
      </c>
      <c r="M16" s="6">
        <v>64.430000000000007</v>
      </c>
      <c r="N16" s="6">
        <v>0</v>
      </c>
      <c r="O16" s="6">
        <v>0</v>
      </c>
      <c r="P16" s="6">
        <v>0.75</v>
      </c>
      <c r="Q16" s="6">
        <v>4.7699999999999996</v>
      </c>
    </row>
    <row r="17" spans="1:17" customFormat="1">
      <c r="A17" s="82">
        <v>45353.09375</v>
      </c>
      <c r="B17" s="6">
        <v>14.22</v>
      </c>
      <c r="C17" s="6">
        <v>20.399999999999999</v>
      </c>
      <c r="D17" s="6">
        <v>23.42</v>
      </c>
      <c r="E17" s="6">
        <v>6.72</v>
      </c>
      <c r="F17" s="6">
        <v>4.76</v>
      </c>
      <c r="G17" s="6">
        <v>110.88</v>
      </c>
      <c r="H17" s="6">
        <v>31.09</v>
      </c>
      <c r="I17" s="6">
        <v>6.83</v>
      </c>
      <c r="J17" s="6">
        <v>0.26</v>
      </c>
      <c r="K17" s="6">
        <v>270.07</v>
      </c>
      <c r="L17" s="6">
        <v>20.67</v>
      </c>
      <c r="M17" s="6">
        <v>64.510000000000005</v>
      </c>
      <c r="N17" s="6">
        <v>0</v>
      </c>
      <c r="O17" s="6">
        <v>0</v>
      </c>
      <c r="P17" s="6">
        <v>0.74</v>
      </c>
      <c r="Q17" s="6">
        <v>4.74</v>
      </c>
    </row>
    <row r="18" spans="1:17" customFormat="1">
      <c r="A18" s="82">
        <v>45353.104166666664</v>
      </c>
      <c r="B18" s="6">
        <v>14.04</v>
      </c>
      <c r="C18" s="6">
        <v>18.88</v>
      </c>
      <c r="D18" s="6">
        <v>22.47</v>
      </c>
      <c r="E18" s="6">
        <v>7.75</v>
      </c>
      <c r="F18" s="6">
        <v>4.8899999999999997</v>
      </c>
      <c r="G18" s="6">
        <v>110.88</v>
      </c>
      <c r="H18" s="6">
        <v>31.09</v>
      </c>
      <c r="I18" s="6">
        <v>6.85</v>
      </c>
      <c r="J18" s="6">
        <v>0.15</v>
      </c>
      <c r="K18" s="6">
        <v>156.12</v>
      </c>
      <c r="L18" s="6">
        <v>20.98</v>
      </c>
      <c r="M18" s="6">
        <v>62.3</v>
      </c>
      <c r="N18" s="6">
        <v>0</v>
      </c>
      <c r="O18" s="6">
        <v>0</v>
      </c>
      <c r="P18" s="6">
        <v>0.74</v>
      </c>
      <c r="Q18" s="6">
        <v>4.7300000000000004</v>
      </c>
    </row>
    <row r="19" spans="1:17" customFormat="1">
      <c r="A19" s="82">
        <v>45353.114583333336</v>
      </c>
      <c r="B19" s="6">
        <v>13.71</v>
      </c>
      <c r="C19" s="6">
        <v>17.690000000000001</v>
      </c>
      <c r="D19" s="6">
        <v>21.58</v>
      </c>
      <c r="E19" s="6">
        <v>7.86</v>
      </c>
      <c r="F19" s="6">
        <v>4.82</v>
      </c>
      <c r="G19" s="6">
        <v>98.55</v>
      </c>
      <c r="H19" s="6">
        <v>29.95</v>
      </c>
      <c r="I19" s="6">
        <v>6.92</v>
      </c>
      <c r="J19" s="6">
        <v>0.13</v>
      </c>
      <c r="K19" s="6">
        <v>179.09</v>
      </c>
      <c r="L19" s="6">
        <v>20.94</v>
      </c>
      <c r="M19" s="6">
        <v>63.98</v>
      </c>
      <c r="N19" s="6">
        <v>0</v>
      </c>
      <c r="O19" s="6">
        <v>0</v>
      </c>
      <c r="P19" s="6">
        <v>0.73</v>
      </c>
      <c r="Q19" s="6">
        <v>4.74</v>
      </c>
    </row>
    <row r="20" spans="1:17" customFormat="1">
      <c r="A20" s="82">
        <v>45353.125</v>
      </c>
      <c r="B20" s="6">
        <v>13.49</v>
      </c>
      <c r="C20" s="6">
        <v>16.760000000000002</v>
      </c>
      <c r="D20" s="6">
        <v>20.93</v>
      </c>
      <c r="E20" s="6">
        <v>7.33</v>
      </c>
      <c r="F20" s="6">
        <v>4.8</v>
      </c>
      <c r="G20" s="6">
        <v>84.46</v>
      </c>
      <c r="H20" s="6">
        <v>28.43</v>
      </c>
      <c r="I20" s="6">
        <v>6.99</v>
      </c>
      <c r="J20" s="6">
        <v>0.18</v>
      </c>
      <c r="K20" s="6">
        <v>171.77</v>
      </c>
      <c r="L20" s="6">
        <v>20.79</v>
      </c>
      <c r="M20" s="6">
        <v>68.55</v>
      </c>
      <c r="N20" s="6">
        <v>0</v>
      </c>
      <c r="O20" s="6">
        <v>0</v>
      </c>
      <c r="P20" s="6">
        <v>0.71</v>
      </c>
      <c r="Q20" s="6">
        <v>4.75</v>
      </c>
    </row>
    <row r="21" spans="1:17" customFormat="1">
      <c r="A21" s="82">
        <v>45353.135416666664</v>
      </c>
      <c r="B21" s="6">
        <v>13.19</v>
      </c>
      <c r="C21" s="6">
        <v>16.100000000000001</v>
      </c>
      <c r="D21" s="6">
        <v>20.34</v>
      </c>
      <c r="E21" s="6">
        <v>7.78</v>
      </c>
      <c r="F21" s="6">
        <v>4.6399999999999997</v>
      </c>
      <c r="G21" s="6">
        <v>84.46</v>
      </c>
      <c r="H21" s="6">
        <v>28.43</v>
      </c>
      <c r="I21" s="6">
        <v>7</v>
      </c>
      <c r="J21" s="6">
        <v>0.17</v>
      </c>
      <c r="K21" s="6">
        <v>166.43</v>
      </c>
      <c r="L21" s="6">
        <v>20.7</v>
      </c>
      <c r="M21" s="6">
        <v>65.42</v>
      </c>
      <c r="N21" s="6">
        <v>0</v>
      </c>
      <c r="O21" s="6">
        <v>0</v>
      </c>
      <c r="P21" s="6">
        <v>0.72</v>
      </c>
      <c r="Q21" s="6">
        <v>4.75</v>
      </c>
    </row>
    <row r="22" spans="1:17" customFormat="1">
      <c r="A22" s="82">
        <v>45353.145833333336</v>
      </c>
      <c r="B22" s="6">
        <v>12.8</v>
      </c>
      <c r="C22" s="6">
        <v>15.64</v>
      </c>
      <c r="D22" s="6">
        <v>19.79</v>
      </c>
      <c r="E22" s="6">
        <v>8.23</v>
      </c>
      <c r="F22" s="6">
        <v>4.87</v>
      </c>
      <c r="G22" s="6">
        <v>84.46</v>
      </c>
      <c r="H22" s="6">
        <v>28.43</v>
      </c>
      <c r="I22" s="6">
        <v>7.1</v>
      </c>
      <c r="J22" s="6">
        <v>0.16</v>
      </c>
      <c r="K22" s="6">
        <v>217.54</v>
      </c>
      <c r="L22" s="6">
        <v>20.25</v>
      </c>
      <c r="M22" s="6">
        <v>67.67</v>
      </c>
      <c r="N22" s="6">
        <v>0</v>
      </c>
      <c r="O22" s="6">
        <v>0</v>
      </c>
      <c r="P22" s="6">
        <v>0.72</v>
      </c>
      <c r="Q22" s="6">
        <v>4.7300000000000004</v>
      </c>
    </row>
    <row r="23" spans="1:17" customFormat="1">
      <c r="A23" s="82">
        <v>45353.15625</v>
      </c>
      <c r="B23" s="6">
        <v>12.41</v>
      </c>
      <c r="C23" s="6">
        <v>15.19</v>
      </c>
      <c r="D23" s="6">
        <v>19.239999999999998</v>
      </c>
      <c r="E23" s="6">
        <v>7.75</v>
      </c>
      <c r="F23" s="6">
        <v>4.78</v>
      </c>
      <c r="G23" s="6">
        <v>72.930000000000007</v>
      </c>
      <c r="H23" s="6">
        <v>22.81</v>
      </c>
      <c r="I23" s="6">
        <v>7.06</v>
      </c>
      <c r="J23" s="6">
        <v>0.18</v>
      </c>
      <c r="K23" s="6">
        <v>178.47</v>
      </c>
      <c r="L23" s="6">
        <v>20.079999999999998</v>
      </c>
      <c r="M23" s="6">
        <v>69.400000000000006</v>
      </c>
      <c r="N23" s="6">
        <v>0</v>
      </c>
      <c r="O23" s="6">
        <v>0</v>
      </c>
      <c r="P23" s="6">
        <v>0.71</v>
      </c>
      <c r="Q23" s="6">
        <v>4.72</v>
      </c>
    </row>
    <row r="24" spans="1:17" customFormat="1">
      <c r="A24" s="82">
        <v>45353.166666666664</v>
      </c>
      <c r="B24" s="6">
        <v>12.03</v>
      </c>
      <c r="C24" s="6">
        <v>14.81</v>
      </c>
      <c r="D24" s="6">
        <v>18.73</v>
      </c>
      <c r="E24" s="6">
        <v>7.69</v>
      </c>
      <c r="F24" s="6">
        <v>4.79</v>
      </c>
      <c r="G24" s="6">
        <v>60.33</v>
      </c>
      <c r="H24" s="6">
        <v>19.600000000000001</v>
      </c>
      <c r="I24" s="6">
        <v>7.06</v>
      </c>
      <c r="J24" s="6">
        <v>0.15</v>
      </c>
      <c r="K24" s="6">
        <v>188.07</v>
      </c>
      <c r="L24" s="6">
        <v>19.95</v>
      </c>
      <c r="M24" s="6">
        <v>72.489999999999995</v>
      </c>
      <c r="N24" s="6">
        <v>0</v>
      </c>
      <c r="O24" s="6">
        <v>0</v>
      </c>
      <c r="P24" s="6">
        <v>0.69</v>
      </c>
      <c r="Q24" s="6">
        <v>4.72</v>
      </c>
    </row>
    <row r="25" spans="1:17" customFormat="1">
      <c r="A25" s="82">
        <v>45353.177083333336</v>
      </c>
      <c r="B25" s="6">
        <v>11.85</v>
      </c>
      <c r="C25" s="6">
        <v>14.97</v>
      </c>
      <c r="D25" s="6">
        <v>18.68</v>
      </c>
      <c r="E25" s="6">
        <v>7.91</v>
      </c>
      <c r="F25" s="6">
        <v>4.5599999999999996</v>
      </c>
      <c r="G25" s="6">
        <v>60.33</v>
      </c>
      <c r="H25" s="6">
        <v>19.600000000000001</v>
      </c>
      <c r="I25" s="6">
        <v>7.11</v>
      </c>
      <c r="J25" s="6">
        <v>0.2</v>
      </c>
      <c r="K25" s="6">
        <v>165.24</v>
      </c>
      <c r="L25" s="6">
        <v>19.760000000000002</v>
      </c>
      <c r="M25" s="6">
        <v>71.87</v>
      </c>
      <c r="N25" s="6">
        <v>0</v>
      </c>
      <c r="O25" s="6">
        <v>0</v>
      </c>
      <c r="P25" s="6">
        <v>0.69</v>
      </c>
      <c r="Q25" s="6">
        <v>4.7</v>
      </c>
    </row>
    <row r="26" spans="1:17" customFormat="1">
      <c r="A26" s="82">
        <v>45353.1875</v>
      </c>
      <c r="B26" s="6">
        <v>11.65</v>
      </c>
      <c r="C26" s="6">
        <v>15.93</v>
      </c>
      <c r="D26" s="6">
        <v>19.010000000000002</v>
      </c>
      <c r="E26" s="6">
        <v>7.87</v>
      </c>
      <c r="F26" s="6">
        <v>4.4800000000000004</v>
      </c>
      <c r="G26" s="6">
        <v>60.33</v>
      </c>
      <c r="H26" s="6">
        <v>19.600000000000001</v>
      </c>
      <c r="I26" s="6">
        <v>7.08</v>
      </c>
      <c r="J26" s="6">
        <v>0.19</v>
      </c>
      <c r="K26" s="6">
        <v>168.35</v>
      </c>
      <c r="L26" s="6">
        <v>19.649999999999999</v>
      </c>
      <c r="M26" s="6">
        <v>72.150000000000006</v>
      </c>
      <c r="N26" s="6">
        <v>0</v>
      </c>
      <c r="O26" s="6">
        <v>0</v>
      </c>
      <c r="P26" s="6">
        <v>0.7</v>
      </c>
      <c r="Q26" s="6">
        <v>4.71</v>
      </c>
    </row>
    <row r="27" spans="1:17" customFormat="1">
      <c r="A27" s="82">
        <v>45353.197916666664</v>
      </c>
      <c r="B27" s="6">
        <v>11.4</v>
      </c>
      <c r="C27" s="6">
        <v>16.14</v>
      </c>
      <c r="D27" s="6">
        <v>18.93</v>
      </c>
      <c r="E27" s="6">
        <v>7.92</v>
      </c>
      <c r="F27" s="6">
        <v>4.5999999999999996</v>
      </c>
      <c r="G27" s="6">
        <v>50.47</v>
      </c>
      <c r="H27" s="6">
        <v>20.85</v>
      </c>
      <c r="I27" s="6">
        <v>7.08</v>
      </c>
      <c r="J27" s="6">
        <v>0.12</v>
      </c>
      <c r="K27" s="6">
        <v>201.57</v>
      </c>
      <c r="L27" s="6">
        <v>19.62</v>
      </c>
      <c r="M27" s="6">
        <v>70.930000000000007</v>
      </c>
      <c r="N27" s="6">
        <v>0</v>
      </c>
      <c r="O27" s="6">
        <v>0</v>
      </c>
      <c r="P27" s="6">
        <v>0.7</v>
      </c>
      <c r="Q27" s="6">
        <v>4.72</v>
      </c>
    </row>
    <row r="28" spans="1:17" customFormat="1">
      <c r="A28" s="82">
        <v>45353.208333333336</v>
      </c>
      <c r="B28" s="6">
        <v>11.27</v>
      </c>
      <c r="C28" s="6">
        <v>14.83</v>
      </c>
      <c r="D28" s="6">
        <v>18.14</v>
      </c>
      <c r="E28" s="6">
        <v>7.42</v>
      </c>
      <c r="F28" s="6">
        <v>4.6399999999999997</v>
      </c>
      <c r="G28" s="6">
        <v>39.68</v>
      </c>
      <c r="H28" s="6">
        <v>21.56</v>
      </c>
      <c r="I28" s="6">
        <v>7.08</v>
      </c>
      <c r="J28" s="6">
        <v>0.2</v>
      </c>
      <c r="K28" s="6">
        <v>179.61</v>
      </c>
      <c r="L28" s="6">
        <v>19.59</v>
      </c>
      <c r="M28" s="6">
        <v>73.709999999999994</v>
      </c>
      <c r="N28" s="6">
        <v>0</v>
      </c>
      <c r="O28" s="6">
        <v>0</v>
      </c>
      <c r="P28" s="6">
        <v>0.69</v>
      </c>
      <c r="Q28" s="6">
        <v>4.72</v>
      </c>
    </row>
    <row r="29" spans="1:17" customFormat="1">
      <c r="A29" s="82">
        <v>45353.21875</v>
      </c>
      <c r="B29" s="6">
        <v>11.04</v>
      </c>
      <c r="C29" s="6">
        <v>14.14</v>
      </c>
      <c r="D29" s="6">
        <v>17.59</v>
      </c>
      <c r="E29" s="6">
        <v>7.18</v>
      </c>
      <c r="F29" s="6">
        <v>4.7300000000000004</v>
      </c>
      <c r="G29" s="6">
        <v>39.68</v>
      </c>
      <c r="H29" s="6">
        <v>21.56</v>
      </c>
      <c r="I29" s="6">
        <v>7.05</v>
      </c>
      <c r="J29" s="6">
        <v>0.23</v>
      </c>
      <c r="K29" s="6">
        <v>181.44</v>
      </c>
      <c r="L29" s="6">
        <v>19.52</v>
      </c>
      <c r="M29" s="6">
        <v>73.290000000000006</v>
      </c>
      <c r="N29" s="6">
        <v>0</v>
      </c>
      <c r="O29" s="6">
        <v>0</v>
      </c>
      <c r="P29" s="6">
        <v>0.69</v>
      </c>
      <c r="Q29" s="6">
        <v>4.71</v>
      </c>
    </row>
    <row r="30" spans="1:17" customFormat="1">
      <c r="A30" s="82">
        <v>45353.229166666664</v>
      </c>
      <c r="B30" s="6">
        <v>10.79</v>
      </c>
      <c r="C30" s="6">
        <v>13.86</v>
      </c>
      <c r="D30" s="6">
        <v>17.25</v>
      </c>
      <c r="E30" s="6">
        <v>6.58</v>
      </c>
      <c r="F30" s="6">
        <v>4.7300000000000004</v>
      </c>
      <c r="G30" s="6">
        <v>39.68</v>
      </c>
      <c r="H30" s="6">
        <v>21.56</v>
      </c>
      <c r="I30" s="6">
        <v>7</v>
      </c>
      <c r="J30" s="6">
        <v>0.15</v>
      </c>
      <c r="K30" s="6">
        <v>128.22999999999999</v>
      </c>
      <c r="L30" s="6">
        <v>19.37</v>
      </c>
      <c r="M30" s="6">
        <v>72.819999999999993</v>
      </c>
      <c r="N30" s="6">
        <v>0</v>
      </c>
      <c r="O30" s="6">
        <v>0</v>
      </c>
      <c r="P30" s="6">
        <v>0.68</v>
      </c>
      <c r="Q30" s="6">
        <v>4.7</v>
      </c>
    </row>
    <row r="31" spans="1:17" customFormat="1">
      <c r="A31" s="82">
        <v>45353.239583333336</v>
      </c>
      <c r="B31" s="6">
        <v>11.22</v>
      </c>
      <c r="C31" s="6">
        <v>15.06</v>
      </c>
      <c r="D31" s="6">
        <v>18.22</v>
      </c>
      <c r="E31" s="6">
        <v>6.89</v>
      </c>
      <c r="F31" s="6">
        <v>4.5599999999999996</v>
      </c>
      <c r="G31" s="6">
        <v>44.48</v>
      </c>
      <c r="H31" s="6">
        <v>19.57</v>
      </c>
      <c r="I31" s="6">
        <v>6.96</v>
      </c>
      <c r="J31" s="6">
        <v>0.25</v>
      </c>
      <c r="K31" s="6">
        <v>113.47</v>
      </c>
      <c r="L31" s="6">
        <v>19.62</v>
      </c>
      <c r="M31" s="6">
        <v>67.61</v>
      </c>
      <c r="N31" s="6">
        <v>0</v>
      </c>
      <c r="O31" s="6">
        <v>0</v>
      </c>
      <c r="P31" s="6">
        <v>0.69</v>
      </c>
      <c r="Q31" s="6">
        <v>4.72</v>
      </c>
    </row>
    <row r="32" spans="1:17" customFormat="1">
      <c r="A32" s="82">
        <v>45353.25</v>
      </c>
      <c r="B32" s="6">
        <v>12.69</v>
      </c>
      <c r="C32" s="6">
        <v>16.440000000000001</v>
      </c>
      <c r="D32" s="6">
        <v>20.12</v>
      </c>
      <c r="E32" s="6">
        <v>7.85</v>
      </c>
      <c r="F32" s="6">
        <v>4.4000000000000004</v>
      </c>
      <c r="G32" s="6">
        <v>49.72</v>
      </c>
      <c r="H32" s="6">
        <v>18.43</v>
      </c>
      <c r="I32" s="6">
        <v>6.92</v>
      </c>
      <c r="J32" s="6">
        <v>0.22</v>
      </c>
      <c r="K32" s="6">
        <v>109.61</v>
      </c>
      <c r="L32" s="6">
        <v>20.079999999999998</v>
      </c>
      <c r="M32" s="6">
        <v>63.76</v>
      </c>
      <c r="N32" s="6">
        <v>0</v>
      </c>
      <c r="O32" s="6">
        <v>0</v>
      </c>
      <c r="P32" s="6">
        <v>0.7</v>
      </c>
      <c r="Q32" s="6">
        <v>4.7300000000000004</v>
      </c>
    </row>
    <row r="33" spans="1:17" customFormat="1">
      <c r="A33" s="82">
        <v>45353.260416666664</v>
      </c>
      <c r="B33" s="6">
        <v>14.45</v>
      </c>
      <c r="C33" s="6">
        <v>16.36</v>
      </c>
      <c r="D33" s="6">
        <v>21.48</v>
      </c>
      <c r="E33" s="6">
        <v>8.3000000000000007</v>
      </c>
      <c r="F33" s="6">
        <v>4.68</v>
      </c>
      <c r="G33" s="6">
        <v>49.72</v>
      </c>
      <c r="H33" s="6">
        <v>18.43</v>
      </c>
      <c r="I33" s="6">
        <v>6.91</v>
      </c>
      <c r="J33" s="6">
        <v>0.27</v>
      </c>
      <c r="K33" s="6">
        <v>189.4</v>
      </c>
      <c r="L33" s="6">
        <v>19.739999999999998</v>
      </c>
      <c r="M33" s="6">
        <v>70.91</v>
      </c>
      <c r="N33" s="6">
        <v>0</v>
      </c>
      <c r="O33" s="6">
        <v>0</v>
      </c>
      <c r="P33" s="6">
        <v>0.7</v>
      </c>
      <c r="Q33" s="6">
        <v>4.74</v>
      </c>
    </row>
    <row r="34" spans="1:17" customFormat="1">
      <c r="A34" s="82">
        <v>45353.270833333336</v>
      </c>
      <c r="B34" s="6">
        <v>15.3</v>
      </c>
      <c r="C34" s="6">
        <v>16.149999999999999</v>
      </c>
      <c r="D34" s="6">
        <v>22.06</v>
      </c>
      <c r="E34" s="6">
        <v>7.66</v>
      </c>
      <c r="F34" s="6">
        <v>4.6100000000000003</v>
      </c>
      <c r="G34" s="6">
        <v>49.72</v>
      </c>
      <c r="H34" s="6">
        <v>18.43</v>
      </c>
      <c r="I34" s="6">
        <v>6.95</v>
      </c>
      <c r="J34" s="6">
        <v>0.13</v>
      </c>
      <c r="K34" s="6">
        <v>179.32</v>
      </c>
      <c r="L34" s="6">
        <v>19.329999999999998</v>
      </c>
      <c r="M34" s="6">
        <v>72.040000000000006</v>
      </c>
      <c r="N34" s="6">
        <v>0.7</v>
      </c>
      <c r="O34" s="6">
        <v>0</v>
      </c>
      <c r="P34" s="6">
        <v>0.7</v>
      </c>
      <c r="Q34" s="6">
        <v>4.75</v>
      </c>
    </row>
    <row r="35" spans="1:17" customFormat="1">
      <c r="A35" s="82">
        <v>45353.28125</v>
      </c>
      <c r="B35" s="6">
        <v>15.28</v>
      </c>
      <c r="C35" s="6">
        <v>16.89</v>
      </c>
      <c r="D35" s="6">
        <v>22.42</v>
      </c>
      <c r="E35" s="6">
        <v>7.82</v>
      </c>
      <c r="F35" s="6">
        <v>4.57</v>
      </c>
      <c r="G35" s="6">
        <v>56.53</v>
      </c>
      <c r="H35" s="6">
        <v>22.59</v>
      </c>
      <c r="I35" s="6">
        <v>6.95</v>
      </c>
      <c r="J35" s="6">
        <v>0.14000000000000001</v>
      </c>
      <c r="K35" s="6">
        <v>209.97</v>
      </c>
      <c r="L35" s="6">
        <v>19.57</v>
      </c>
      <c r="M35" s="6">
        <v>73.849999999999994</v>
      </c>
      <c r="N35" s="6">
        <v>10.1</v>
      </c>
      <c r="O35" s="6">
        <v>0</v>
      </c>
      <c r="P35" s="6">
        <v>0.7</v>
      </c>
      <c r="Q35" s="6">
        <v>4.75</v>
      </c>
    </row>
    <row r="36" spans="1:17" customFormat="1">
      <c r="A36" s="82">
        <v>45353.291666666664</v>
      </c>
      <c r="B36" s="6">
        <v>15.03</v>
      </c>
      <c r="C36" s="6">
        <v>17.55</v>
      </c>
      <c r="D36" s="6">
        <v>22.57</v>
      </c>
      <c r="E36" s="6">
        <v>7.95</v>
      </c>
      <c r="F36" s="6">
        <v>4.5999999999999996</v>
      </c>
      <c r="G36" s="6">
        <v>63.97</v>
      </c>
      <c r="H36" s="6">
        <v>24.96</v>
      </c>
      <c r="I36" s="6">
        <v>6.93</v>
      </c>
      <c r="J36" s="6">
        <v>0.13</v>
      </c>
      <c r="K36" s="6">
        <v>246.56</v>
      </c>
      <c r="L36" s="6">
        <v>19.77</v>
      </c>
      <c r="M36" s="6">
        <v>72.180000000000007</v>
      </c>
      <c r="N36" s="6">
        <v>21</v>
      </c>
      <c r="O36" s="6">
        <v>0</v>
      </c>
      <c r="P36" s="6">
        <v>0.7</v>
      </c>
      <c r="Q36" s="6">
        <v>4.74</v>
      </c>
    </row>
    <row r="37" spans="1:17" customFormat="1">
      <c r="A37" s="82">
        <v>45353.302083333336</v>
      </c>
      <c r="B37" s="6">
        <v>14.83</v>
      </c>
      <c r="C37" s="6">
        <v>17.95</v>
      </c>
      <c r="D37" s="6">
        <v>22.63</v>
      </c>
      <c r="E37" s="6">
        <v>7.59</v>
      </c>
      <c r="F37" s="6">
        <v>4.62</v>
      </c>
      <c r="G37" s="6">
        <v>63.97</v>
      </c>
      <c r="H37" s="6">
        <v>24.96</v>
      </c>
      <c r="I37" s="6">
        <v>6.97</v>
      </c>
      <c r="J37" s="6">
        <v>0.09</v>
      </c>
      <c r="K37" s="6">
        <v>232.18</v>
      </c>
      <c r="L37" s="6">
        <v>20.45</v>
      </c>
      <c r="M37" s="6">
        <v>67.61</v>
      </c>
      <c r="N37" s="6">
        <v>33.4</v>
      </c>
      <c r="O37" s="6">
        <v>0</v>
      </c>
      <c r="P37" s="6">
        <v>0.69</v>
      </c>
      <c r="Q37" s="6">
        <v>4.75</v>
      </c>
    </row>
    <row r="38" spans="1:17" customFormat="1">
      <c r="A38" s="82">
        <v>45353.3125</v>
      </c>
      <c r="B38" s="6">
        <v>15.37</v>
      </c>
      <c r="C38" s="6">
        <v>18.649999999999999</v>
      </c>
      <c r="D38" s="6">
        <v>23.42</v>
      </c>
      <c r="E38" s="6">
        <v>7.63</v>
      </c>
      <c r="F38" s="6">
        <v>4.42</v>
      </c>
      <c r="G38" s="6">
        <v>63.97</v>
      </c>
      <c r="H38" s="6">
        <v>24.96</v>
      </c>
      <c r="I38" s="6">
        <v>6.98</v>
      </c>
      <c r="J38" s="6">
        <v>0.1</v>
      </c>
      <c r="K38" s="6">
        <v>311.3</v>
      </c>
      <c r="L38" s="6">
        <v>21.56</v>
      </c>
      <c r="M38" s="6">
        <v>63.86</v>
      </c>
      <c r="N38" s="6">
        <v>47.3</v>
      </c>
      <c r="O38" s="6">
        <v>0</v>
      </c>
      <c r="P38" s="6">
        <v>0.71</v>
      </c>
      <c r="Q38" s="6">
        <v>4.76</v>
      </c>
    </row>
    <row r="39" spans="1:17" customFormat="1">
      <c r="A39" s="82">
        <v>45353.322916666664</v>
      </c>
      <c r="B39" s="6">
        <v>17.5</v>
      </c>
      <c r="C39" s="6">
        <v>19.54</v>
      </c>
      <c r="D39" s="6">
        <v>25.6</v>
      </c>
      <c r="E39" s="6">
        <v>7.71</v>
      </c>
      <c r="F39" s="6">
        <v>4.49</v>
      </c>
      <c r="G39" s="6">
        <v>65.22</v>
      </c>
      <c r="H39" s="6">
        <v>25.48</v>
      </c>
      <c r="I39" s="6">
        <v>6.96</v>
      </c>
      <c r="J39" s="6">
        <v>0.16</v>
      </c>
      <c r="K39" s="6">
        <v>284.79000000000002</v>
      </c>
      <c r="L39" s="6">
        <v>22.71</v>
      </c>
      <c r="M39" s="6">
        <v>57.23</v>
      </c>
      <c r="N39" s="6">
        <v>78.900000000000006</v>
      </c>
      <c r="O39" s="6">
        <v>0</v>
      </c>
      <c r="P39" s="6">
        <v>0.73</v>
      </c>
      <c r="Q39" s="6">
        <v>4.76</v>
      </c>
    </row>
    <row r="40" spans="1:17" customFormat="1">
      <c r="A40" s="82">
        <v>45353.333333333336</v>
      </c>
      <c r="B40" s="6">
        <v>18.45</v>
      </c>
      <c r="C40" s="6">
        <v>20.41</v>
      </c>
      <c r="D40" s="6">
        <v>26.81</v>
      </c>
      <c r="E40" s="6">
        <v>8.2799999999999994</v>
      </c>
      <c r="F40" s="6">
        <v>4.53</v>
      </c>
      <c r="G40" s="6">
        <v>66.58</v>
      </c>
      <c r="H40" s="6">
        <v>25.78</v>
      </c>
      <c r="I40" s="6">
        <v>7.06</v>
      </c>
      <c r="J40" s="6">
        <v>0.18</v>
      </c>
      <c r="K40" s="6">
        <v>252.54</v>
      </c>
      <c r="L40" s="6">
        <v>23.94</v>
      </c>
      <c r="M40" s="6">
        <v>53.1</v>
      </c>
      <c r="N40" s="6">
        <v>91.1</v>
      </c>
      <c r="O40" s="6">
        <v>0</v>
      </c>
      <c r="P40" s="6">
        <v>0.74</v>
      </c>
      <c r="Q40" s="6">
        <v>4.78</v>
      </c>
    </row>
    <row r="41" spans="1:17" customFormat="1">
      <c r="A41" s="82">
        <v>45353.34375</v>
      </c>
      <c r="B41" s="6">
        <v>17.52</v>
      </c>
      <c r="C41" s="6">
        <v>20.72</v>
      </c>
      <c r="D41" s="6">
        <v>26.22</v>
      </c>
      <c r="E41" s="6">
        <v>8.1999999999999993</v>
      </c>
      <c r="F41" s="6">
        <v>4.7300000000000004</v>
      </c>
      <c r="G41" s="6">
        <v>66.58</v>
      </c>
      <c r="H41" s="6">
        <v>25.78</v>
      </c>
      <c r="I41" s="6">
        <v>7.22</v>
      </c>
      <c r="J41" s="6">
        <v>0.31</v>
      </c>
      <c r="K41" s="6">
        <v>269.97000000000003</v>
      </c>
      <c r="L41" s="6">
        <v>25</v>
      </c>
      <c r="M41" s="6">
        <v>49.6</v>
      </c>
      <c r="N41" s="6">
        <v>168.8</v>
      </c>
      <c r="O41" s="6">
        <v>0</v>
      </c>
      <c r="P41" s="6">
        <v>0.74</v>
      </c>
      <c r="Q41" s="6">
        <v>4.79</v>
      </c>
    </row>
    <row r="42" spans="1:17" customFormat="1">
      <c r="A42" s="82">
        <v>45353.354166666664</v>
      </c>
      <c r="B42" s="6">
        <v>16.059999999999999</v>
      </c>
      <c r="C42" s="6">
        <v>20.84</v>
      </c>
      <c r="D42" s="6">
        <v>25.12</v>
      </c>
      <c r="E42" s="6">
        <v>8.31</v>
      </c>
      <c r="F42" s="6">
        <v>4.71</v>
      </c>
      <c r="G42" s="6">
        <v>66.58</v>
      </c>
      <c r="H42" s="6">
        <v>25.78</v>
      </c>
      <c r="I42" s="6">
        <v>7.3</v>
      </c>
      <c r="J42" s="6">
        <v>0.47</v>
      </c>
      <c r="K42" s="6">
        <v>267.29000000000002</v>
      </c>
      <c r="L42" s="6">
        <v>25.72</v>
      </c>
      <c r="M42" s="6">
        <v>45.4</v>
      </c>
      <c r="N42" s="6">
        <v>235.5</v>
      </c>
      <c r="O42" s="6">
        <v>0</v>
      </c>
      <c r="P42" s="6">
        <v>0.73</v>
      </c>
      <c r="Q42" s="6">
        <v>4.78</v>
      </c>
    </row>
    <row r="43" spans="1:17" customFormat="1">
      <c r="A43" s="82">
        <v>45353.364583333336</v>
      </c>
      <c r="B43" s="6">
        <v>14.51</v>
      </c>
      <c r="C43" s="6">
        <v>20.96</v>
      </c>
      <c r="D43" s="6">
        <v>23.94</v>
      </c>
      <c r="E43" s="6">
        <v>8.84</v>
      </c>
      <c r="F43" s="6">
        <v>4.72</v>
      </c>
      <c r="G43" s="6">
        <v>60.79</v>
      </c>
      <c r="H43" s="6">
        <v>25.7</v>
      </c>
      <c r="I43" s="6">
        <v>7.36</v>
      </c>
      <c r="J43" s="6">
        <v>0.47</v>
      </c>
      <c r="K43" s="6">
        <v>276.24</v>
      </c>
      <c r="L43" s="6">
        <v>26.91</v>
      </c>
      <c r="M43" s="6">
        <v>41.88</v>
      </c>
      <c r="N43" s="6">
        <v>277.2</v>
      </c>
      <c r="O43" s="6">
        <v>0</v>
      </c>
      <c r="P43" s="6">
        <v>0.73</v>
      </c>
      <c r="Q43" s="6">
        <v>4.76</v>
      </c>
    </row>
    <row r="44" spans="1:17" customFormat="1">
      <c r="A44" s="82">
        <v>45353.375</v>
      </c>
      <c r="B44" s="6">
        <v>13.09</v>
      </c>
      <c r="C44" s="6">
        <v>21.39</v>
      </c>
      <c r="D44" s="6">
        <v>23.02</v>
      </c>
      <c r="E44" s="6">
        <v>8.2100000000000009</v>
      </c>
      <c r="F44" s="6">
        <v>4.8600000000000003</v>
      </c>
      <c r="G44" s="6">
        <v>54.47</v>
      </c>
      <c r="H44" s="6">
        <v>25.58</v>
      </c>
      <c r="I44" s="6">
        <v>7.31</v>
      </c>
      <c r="J44" s="6">
        <v>0.82</v>
      </c>
      <c r="K44" s="6">
        <v>310.69</v>
      </c>
      <c r="L44" s="6">
        <v>27.58</v>
      </c>
      <c r="M44" s="6">
        <v>40.35</v>
      </c>
      <c r="N44" s="6">
        <v>315.5</v>
      </c>
      <c r="O44" s="6">
        <v>0</v>
      </c>
      <c r="P44" s="6">
        <v>0.74</v>
      </c>
      <c r="Q44" s="6">
        <v>4.78</v>
      </c>
    </row>
    <row r="45" spans="1:17" customFormat="1">
      <c r="A45" s="82">
        <v>45353.385416666664</v>
      </c>
      <c r="B45" s="6">
        <v>11.79</v>
      </c>
      <c r="C45" s="6">
        <v>21.76</v>
      </c>
      <c r="D45" s="6">
        <v>22.18</v>
      </c>
      <c r="E45" s="6">
        <v>8.02</v>
      </c>
      <c r="F45" s="6">
        <v>4.93</v>
      </c>
      <c r="G45" s="6">
        <v>54.47</v>
      </c>
      <c r="H45" s="6">
        <v>25.58</v>
      </c>
      <c r="I45" s="6">
        <v>7.25</v>
      </c>
      <c r="J45" s="6">
        <v>0.67</v>
      </c>
      <c r="K45" s="6">
        <v>274.14999999999998</v>
      </c>
      <c r="L45" s="6">
        <v>28.17</v>
      </c>
      <c r="M45" s="6">
        <v>40.06</v>
      </c>
      <c r="N45" s="6">
        <v>348.9</v>
      </c>
      <c r="O45" s="6">
        <v>0</v>
      </c>
      <c r="P45" s="6">
        <v>0.74</v>
      </c>
      <c r="Q45" s="6">
        <v>4.7699999999999996</v>
      </c>
    </row>
    <row r="46" spans="1:17" customFormat="1">
      <c r="A46" s="82">
        <v>45353.395833333336</v>
      </c>
      <c r="B46" s="6">
        <v>10.36</v>
      </c>
      <c r="C46" s="6">
        <v>22.21</v>
      </c>
      <c r="D46" s="6">
        <v>21.26</v>
      </c>
      <c r="E46" s="6">
        <v>9.85</v>
      </c>
      <c r="F46" s="6">
        <v>5.46</v>
      </c>
      <c r="G46" s="6">
        <v>54.47</v>
      </c>
      <c r="H46" s="6">
        <v>25.58</v>
      </c>
      <c r="I46" s="6">
        <v>7.2</v>
      </c>
      <c r="J46" s="6">
        <v>0.56000000000000005</v>
      </c>
      <c r="K46" s="6">
        <v>320.83999999999997</v>
      </c>
      <c r="L46" s="6">
        <v>29.11</v>
      </c>
      <c r="M46" s="6">
        <v>40.06</v>
      </c>
      <c r="N46" s="6">
        <v>367.9</v>
      </c>
      <c r="O46" s="6">
        <v>0</v>
      </c>
      <c r="P46" s="6">
        <v>0.78</v>
      </c>
      <c r="Q46" s="6">
        <v>4.74</v>
      </c>
    </row>
    <row r="47" spans="1:17" customFormat="1">
      <c r="A47" s="82">
        <v>45353.40625</v>
      </c>
      <c r="B47" s="6">
        <v>9.24</v>
      </c>
      <c r="C47" s="6">
        <v>22.87</v>
      </c>
      <c r="D47" s="6">
        <v>20.71</v>
      </c>
      <c r="E47" s="6">
        <v>10.66</v>
      </c>
      <c r="F47" s="6">
        <v>7.43</v>
      </c>
      <c r="G47" s="6">
        <v>58.87</v>
      </c>
      <c r="H47" s="6">
        <v>25.87</v>
      </c>
      <c r="I47" s="6">
        <v>7.34</v>
      </c>
      <c r="J47" s="6">
        <v>1.1599999999999999</v>
      </c>
      <c r="K47" s="6">
        <v>323.01</v>
      </c>
      <c r="L47" s="6">
        <v>29.1</v>
      </c>
      <c r="M47" s="6">
        <v>42.46</v>
      </c>
      <c r="N47" s="6">
        <v>374.2</v>
      </c>
      <c r="O47" s="6">
        <v>0</v>
      </c>
      <c r="P47" s="6">
        <v>0.86</v>
      </c>
      <c r="Q47" s="6">
        <v>4.75</v>
      </c>
    </row>
    <row r="48" spans="1:17" customFormat="1">
      <c r="A48" s="82">
        <v>45353.416666666664</v>
      </c>
      <c r="B48" s="6">
        <v>8.2200000000000006</v>
      </c>
      <c r="C48" s="6">
        <v>23.77</v>
      </c>
      <c r="D48" s="6">
        <v>20.36</v>
      </c>
      <c r="E48" s="6">
        <v>10.88</v>
      </c>
      <c r="F48" s="6">
        <v>6.46</v>
      </c>
      <c r="G48" s="6">
        <v>63.68</v>
      </c>
      <c r="H48" s="6">
        <v>26.03</v>
      </c>
      <c r="I48" s="6">
        <v>8.52</v>
      </c>
      <c r="J48" s="6">
        <v>0.96</v>
      </c>
      <c r="K48" s="6">
        <v>303.44</v>
      </c>
      <c r="L48" s="6">
        <v>29.31</v>
      </c>
      <c r="M48" s="6">
        <v>43.81</v>
      </c>
      <c r="N48" s="6">
        <v>317.89999999999998</v>
      </c>
      <c r="O48" s="6">
        <v>0</v>
      </c>
      <c r="P48" s="6">
        <v>0.92</v>
      </c>
      <c r="Q48" s="6">
        <v>4.75</v>
      </c>
    </row>
    <row r="49" spans="1:17" customFormat="1">
      <c r="A49" s="82">
        <v>45353.427083333336</v>
      </c>
      <c r="B49" s="6">
        <v>7.32</v>
      </c>
      <c r="C49" s="6">
        <v>24.24</v>
      </c>
      <c r="D49" s="6">
        <v>19.88</v>
      </c>
      <c r="E49" s="6">
        <v>9.57</v>
      </c>
      <c r="F49" s="6">
        <v>5.91</v>
      </c>
      <c r="G49" s="6">
        <v>63.68</v>
      </c>
      <c r="H49" s="6">
        <v>26.03</v>
      </c>
      <c r="I49" s="6">
        <v>10.8</v>
      </c>
      <c r="J49" s="6">
        <v>0.86</v>
      </c>
      <c r="K49" s="6">
        <v>303.83</v>
      </c>
      <c r="L49" s="6">
        <v>29.88</v>
      </c>
      <c r="M49" s="6">
        <v>42.3</v>
      </c>
      <c r="N49" s="6">
        <v>337.4</v>
      </c>
      <c r="O49" s="6">
        <v>0</v>
      </c>
      <c r="P49" s="6">
        <v>0.95</v>
      </c>
      <c r="Q49" s="6">
        <v>4.74</v>
      </c>
    </row>
    <row r="50" spans="1:17" customFormat="1">
      <c r="A50" s="82">
        <v>45353.4375</v>
      </c>
      <c r="B50" s="6">
        <v>6.62</v>
      </c>
      <c r="C50" s="6">
        <v>23.86</v>
      </c>
      <c r="D50" s="6">
        <v>19.12</v>
      </c>
      <c r="E50" s="6">
        <v>11.61</v>
      </c>
      <c r="F50" s="6">
        <v>6.13</v>
      </c>
      <c r="G50" s="6">
        <v>63.68</v>
      </c>
      <c r="H50" s="6">
        <v>26.03</v>
      </c>
      <c r="I50" s="6">
        <v>11.48</v>
      </c>
      <c r="J50" s="6">
        <v>1.61</v>
      </c>
      <c r="K50" s="6">
        <v>315.74</v>
      </c>
      <c r="L50" s="6">
        <v>29.95</v>
      </c>
      <c r="M50" s="6">
        <v>41.24</v>
      </c>
      <c r="N50" s="6">
        <v>464.4</v>
      </c>
      <c r="O50" s="6">
        <v>0</v>
      </c>
      <c r="P50" s="6">
        <v>0.96</v>
      </c>
      <c r="Q50" s="6">
        <v>4.7300000000000004</v>
      </c>
    </row>
    <row r="51" spans="1:17" customFormat="1">
      <c r="A51" s="82">
        <v>45353.447916666664</v>
      </c>
      <c r="B51" s="6">
        <v>5.9</v>
      </c>
      <c r="C51" s="6">
        <v>23.67</v>
      </c>
      <c r="D51" s="6">
        <v>18.45</v>
      </c>
      <c r="E51" s="6">
        <v>11.42</v>
      </c>
      <c r="F51" s="6">
        <v>8.15</v>
      </c>
      <c r="G51" s="6">
        <v>68.17</v>
      </c>
      <c r="H51" s="6">
        <v>26.17</v>
      </c>
      <c r="I51" s="6">
        <v>11.71</v>
      </c>
      <c r="J51" s="6">
        <v>1.62</v>
      </c>
      <c r="K51" s="6">
        <v>320.73</v>
      </c>
      <c r="L51" s="6">
        <v>30.4</v>
      </c>
      <c r="M51" s="6">
        <v>38.479999999999997</v>
      </c>
      <c r="N51" s="6">
        <v>504.3</v>
      </c>
      <c r="O51" s="6">
        <v>0</v>
      </c>
      <c r="P51" s="6">
        <v>0.97</v>
      </c>
      <c r="Q51" s="6">
        <v>4.74</v>
      </c>
    </row>
    <row r="52" spans="1:17" customFormat="1">
      <c r="A52" s="82">
        <v>45353.458333333336</v>
      </c>
      <c r="B52" s="6">
        <v>5.51</v>
      </c>
      <c r="C52" s="6">
        <v>23.51</v>
      </c>
      <c r="D52" s="6">
        <v>18.05</v>
      </c>
      <c r="E52" s="6">
        <v>10.71</v>
      </c>
      <c r="F52" s="6">
        <v>7.26</v>
      </c>
      <c r="G52" s="6">
        <v>73.09</v>
      </c>
      <c r="H52" s="6">
        <v>26.25</v>
      </c>
      <c r="I52" s="6">
        <v>11.75</v>
      </c>
      <c r="J52" s="6">
        <v>1.1000000000000001</v>
      </c>
      <c r="K52" s="6">
        <v>297.36</v>
      </c>
      <c r="L52" s="6">
        <v>31.18</v>
      </c>
      <c r="M52" s="6">
        <v>36.64</v>
      </c>
      <c r="N52" s="6">
        <v>549.4</v>
      </c>
      <c r="O52" s="6">
        <v>0</v>
      </c>
      <c r="P52" s="6">
        <v>0.95</v>
      </c>
      <c r="Q52" s="6">
        <v>4.7300000000000004</v>
      </c>
    </row>
    <row r="53" spans="1:17" customFormat="1">
      <c r="A53" s="82">
        <v>45353.46875</v>
      </c>
      <c r="B53" s="6">
        <v>5.0199999999999996</v>
      </c>
      <c r="C53" s="6">
        <v>22.93</v>
      </c>
      <c r="D53" s="6">
        <v>17.36</v>
      </c>
      <c r="E53" s="6">
        <v>11.49</v>
      </c>
      <c r="F53" s="6">
        <v>9.06</v>
      </c>
      <c r="G53" s="6">
        <v>73.09</v>
      </c>
      <c r="H53" s="6">
        <v>26.25</v>
      </c>
      <c r="I53" s="6">
        <v>11.64</v>
      </c>
      <c r="J53" s="6">
        <v>1.22</v>
      </c>
      <c r="K53" s="6">
        <v>305.62</v>
      </c>
      <c r="L53" s="6">
        <v>31.62</v>
      </c>
      <c r="M53" s="6">
        <v>36.21</v>
      </c>
      <c r="N53" s="6">
        <v>488.3</v>
      </c>
      <c r="O53" s="6">
        <v>0</v>
      </c>
      <c r="P53" s="6">
        <v>0.93</v>
      </c>
      <c r="Q53" s="6">
        <v>4.72</v>
      </c>
    </row>
    <row r="54" spans="1:17" customFormat="1">
      <c r="A54" s="82">
        <v>45353.479166666664</v>
      </c>
      <c r="B54" s="6">
        <v>4.0599999999999996</v>
      </c>
      <c r="C54" s="6">
        <v>22</v>
      </c>
      <c r="D54" s="6">
        <v>16.100000000000001</v>
      </c>
      <c r="E54" s="6">
        <v>11.27</v>
      </c>
      <c r="F54" s="6">
        <v>8.6300000000000008</v>
      </c>
      <c r="G54" s="6">
        <v>73.09</v>
      </c>
      <c r="H54" s="6">
        <v>26.25</v>
      </c>
      <c r="I54" s="6">
        <v>11.52</v>
      </c>
      <c r="J54" s="6">
        <v>1.29</v>
      </c>
      <c r="K54" s="6">
        <v>325.74</v>
      </c>
      <c r="L54" s="6">
        <v>31.71</v>
      </c>
      <c r="M54" s="6">
        <v>36.380000000000003</v>
      </c>
      <c r="N54" s="6">
        <v>554.9</v>
      </c>
      <c r="O54" s="6">
        <v>0</v>
      </c>
      <c r="P54" s="6">
        <v>0.9</v>
      </c>
      <c r="Q54" s="6">
        <v>4.71</v>
      </c>
    </row>
    <row r="55" spans="1:17" customFormat="1">
      <c r="A55" s="82">
        <v>45353.489583333336</v>
      </c>
      <c r="B55" s="6">
        <v>3.23</v>
      </c>
      <c r="C55" s="6">
        <v>21.61</v>
      </c>
      <c r="D55" s="6">
        <v>15.23</v>
      </c>
      <c r="E55" s="6">
        <v>10.6</v>
      </c>
      <c r="F55" s="6">
        <v>8.15</v>
      </c>
      <c r="G55" s="6">
        <v>73.319999999999993</v>
      </c>
      <c r="H55" s="6">
        <v>25.92</v>
      </c>
      <c r="I55" s="6">
        <v>11.1</v>
      </c>
      <c r="J55" s="6">
        <v>1.1100000000000001</v>
      </c>
      <c r="K55" s="6">
        <v>302.45999999999998</v>
      </c>
      <c r="L55" s="6">
        <v>31.66</v>
      </c>
      <c r="M55" s="6">
        <v>36.86</v>
      </c>
      <c r="N55" s="6">
        <v>558.1</v>
      </c>
      <c r="O55" s="6">
        <v>0</v>
      </c>
      <c r="P55" s="6">
        <v>0.92</v>
      </c>
      <c r="Q55" s="6">
        <v>4.66</v>
      </c>
    </row>
    <row r="56" spans="1:17" customFormat="1">
      <c r="A56" s="82">
        <v>45353.5</v>
      </c>
      <c r="B56" s="6">
        <v>2.87</v>
      </c>
      <c r="C56" s="6">
        <v>20.71</v>
      </c>
      <c r="D56" s="6">
        <v>14.47</v>
      </c>
      <c r="E56" s="6">
        <v>10.27</v>
      </c>
      <c r="F56" s="6">
        <v>6.81</v>
      </c>
      <c r="G56" s="6">
        <v>73.58</v>
      </c>
      <c r="H56" s="6">
        <v>25.74</v>
      </c>
      <c r="I56" s="6">
        <v>10.75</v>
      </c>
      <c r="J56" s="6">
        <v>1.1100000000000001</v>
      </c>
      <c r="K56" s="6">
        <v>290.58</v>
      </c>
      <c r="L56" s="6">
        <v>31.99</v>
      </c>
      <c r="M56" s="6">
        <v>36.229999999999997</v>
      </c>
      <c r="N56" s="6">
        <v>558.70000000000005</v>
      </c>
      <c r="O56" s="6">
        <v>0</v>
      </c>
      <c r="P56" s="6">
        <v>0.94</v>
      </c>
      <c r="Q56" s="6">
        <v>4.6500000000000004</v>
      </c>
    </row>
    <row r="57" spans="1:17" customFormat="1">
      <c r="A57" s="82">
        <v>45353.510416666664</v>
      </c>
      <c r="B57" s="6">
        <v>2.64</v>
      </c>
      <c r="C57" s="6">
        <v>20.3</v>
      </c>
      <c r="D57" s="6">
        <v>14.07</v>
      </c>
      <c r="E57" s="6">
        <v>10.029999999999999</v>
      </c>
      <c r="F57" s="6">
        <v>6.51</v>
      </c>
      <c r="G57" s="6">
        <v>73.58</v>
      </c>
      <c r="H57" s="6">
        <v>25.74</v>
      </c>
      <c r="I57" s="6">
        <v>10.64</v>
      </c>
      <c r="J57" s="6">
        <v>1.32</v>
      </c>
      <c r="K57" s="6">
        <v>302.01</v>
      </c>
      <c r="L57" s="6">
        <v>31.94</v>
      </c>
      <c r="M57" s="6">
        <v>35.97</v>
      </c>
      <c r="N57" s="6">
        <v>585.6</v>
      </c>
      <c r="O57" s="6">
        <v>0</v>
      </c>
      <c r="P57" s="6">
        <v>0.95</v>
      </c>
      <c r="Q57" s="6">
        <v>4.63</v>
      </c>
    </row>
    <row r="58" spans="1:17" customFormat="1">
      <c r="A58" s="82">
        <v>45353.520833333336</v>
      </c>
      <c r="B58" s="6">
        <v>2.44</v>
      </c>
      <c r="C58" s="6">
        <v>20.18</v>
      </c>
      <c r="D58" s="6">
        <v>13.85</v>
      </c>
      <c r="E58" s="6">
        <v>9.92</v>
      </c>
      <c r="F58" s="6">
        <v>6.66</v>
      </c>
      <c r="G58" s="151" t="s">
        <v>12</v>
      </c>
      <c r="H58" s="151" t="s">
        <v>12</v>
      </c>
      <c r="I58" s="6">
        <v>10.64</v>
      </c>
      <c r="J58" s="6">
        <v>1.4</v>
      </c>
      <c r="K58" s="6">
        <v>299.75</v>
      </c>
      <c r="L58" s="6">
        <v>32.35</v>
      </c>
      <c r="M58" s="6">
        <v>35.69</v>
      </c>
      <c r="N58" s="6">
        <v>576.70000000000005</v>
      </c>
      <c r="O58" s="6">
        <v>0</v>
      </c>
      <c r="P58" s="6">
        <v>0.95</v>
      </c>
      <c r="Q58" s="6">
        <v>4.6100000000000003</v>
      </c>
    </row>
    <row r="59" spans="1:17" customFormat="1">
      <c r="A59" s="82">
        <v>45353.53125</v>
      </c>
      <c r="B59" s="6">
        <v>2.36</v>
      </c>
      <c r="C59" s="6">
        <v>20.34</v>
      </c>
      <c r="D59" s="6">
        <v>13.87</v>
      </c>
      <c r="E59" s="6">
        <v>10.72</v>
      </c>
      <c r="F59" s="6">
        <v>11.32</v>
      </c>
      <c r="G59" s="151" t="s">
        <v>12</v>
      </c>
      <c r="H59" s="151" t="s">
        <v>12</v>
      </c>
      <c r="I59" s="6">
        <v>10.46</v>
      </c>
      <c r="J59" s="6">
        <v>1.48</v>
      </c>
      <c r="K59" s="6">
        <v>313.43</v>
      </c>
      <c r="L59" s="6">
        <v>32.04</v>
      </c>
      <c r="M59" s="6">
        <v>36.08</v>
      </c>
      <c r="N59" s="6">
        <v>575.29999999999995</v>
      </c>
      <c r="O59" s="6">
        <v>0</v>
      </c>
      <c r="P59" s="6">
        <v>0.92</v>
      </c>
      <c r="Q59" s="6">
        <v>4.63</v>
      </c>
    </row>
    <row r="60" spans="1:17" customFormat="1">
      <c r="A60" s="82">
        <v>45353.541666666664</v>
      </c>
      <c r="B60" s="6">
        <v>1.72</v>
      </c>
      <c r="C60" s="6">
        <v>17.11</v>
      </c>
      <c r="D60" s="6">
        <v>11.67</v>
      </c>
      <c r="E60" s="6">
        <v>17.97</v>
      </c>
      <c r="F60" s="6">
        <v>47.21</v>
      </c>
      <c r="G60" s="151" t="s">
        <v>12</v>
      </c>
      <c r="H60" s="151" t="s">
        <v>12</v>
      </c>
      <c r="I60" s="6">
        <v>10.3</v>
      </c>
      <c r="J60" s="6">
        <v>0.93</v>
      </c>
      <c r="K60" s="6">
        <v>332.96</v>
      </c>
      <c r="L60" s="6">
        <v>32.42</v>
      </c>
      <c r="M60" s="6">
        <v>35.75</v>
      </c>
      <c r="N60" s="6">
        <v>564.5</v>
      </c>
      <c r="O60" s="6">
        <v>0</v>
      </c>
      <c r="P60" s="6">
        <v>0.75</v>
      </c>
      <c r="Q60" s="6">
        <v>4.62</v>
      </c>
    </row>
    <row r="61" spans="1:17" customFormat="1">
      <c r="A61" s="82">
        <v>45353.552083333336</v>
      </c>
      <c r="B61" s="6">
        <v>1.56</v>
      </c>
      <c r="C61" s="6">
        <v>16.87</v>
      </c>
      <c r="D61" s="6">
        <v>11.42</v>
      </c>
      <c r="E61" s="6">
        <v>14.88</v>
      </c>
      <c r="F61" s="6">
        <v>30.44</v>
      </c>
      <c r="G61" s="151" t="s">
        <v>12</v>
      </c>
      <c r="H61" s="151" t="s">
        <v>12</v>
      </c>
      <c r="I61" s="6">
        <v>9.93</v>
      </c>
      <c r="J61" s="6">
        <v>1.67</v>
      </c>
      <c r="K61" s="6">
        <v>320.64999999999998</v>
      </c>
      <c r="L61" s="6">
        <v>32.64</v>
      </c>
      <c r="M61" s="6">
        <v>36.130000000000003</v>
      </c>
      <c r="N61" s="6">
        <v>528.20000000000005</v>
      </c>
      <c r="O61" s="6">
        <v>0</v>
      </c>
      <c r="P61" s="6">
        <v>0.72</v>
      </c>
      <c r="Q61" s="6">
        <v>4.63</v>
      </c>
    </row>
    <row r="62" spans="1:17" customFormat="1">
      <c r="A62" s="82">
        <v>45353.5625</v>
      </c>
      <c r="B62" s="6">
        <v>1.37</v>
      </c>
      <c r="C62" s="6">
        <v>17.47</v>
      </c>
      <c r="D62" s="6">
        <v>11.58</v>
      </c>
      <c r="E62" s="6">
        <v>13.59</v>
      </c>
      <c r="F62" s="6">
        <v>24.64</v>
      </c>
      <c r="G62" s="151" t="s">
        <v>12</v>
      </c>
      <c r="H62" s="151" t="s">
        <v>12</v>
      </c>
      <c r="I62" s="6">
        <v>7.47</v>
      </c>
      <c r="J62" s="6">
        <v>0.89</v>
      </c>
      <c r="K62" s="6">
        <v>298.07</v>
      </c>
      <c r="L62" s="6">
        <v>32.799999999999997</v>
      </c>
      <c r="M62" s="6">
        <v>36.270000000000003</v>
      </c>
      <c r="N62" s="6">
        <v>520.20000000000005</v>
      </c>
      <c r="O62" s="6">
        <v>0</v>
      </c>
      <c r="P62" s="6">
        <v>0.69</v>
      </c>
      <c r="Q62" s="6">
        <v>4.63</v>
      </c>
    </row>
    <row r="63" spans="1:17" customFormat="1">
      <c r="A63" s="82">
        <v>45353.572916666664</v>
      </c>
      <c r="B63" s="6">
        <v>3.84</v>
      </c>
      <c r="C63" s="6">
        <v>17.84</v>
      </c>
      <c r="D63" s="6">
        <v>13.76</v>
      </c>
      <c r="E63" s="6">
        <v>13.84</v>
      </c>
      <c r="F63" s="6">
        <v>26.66</v>
      </c>
      <c r="G63" s="151" t="s">
        <v>12</v>
      </c>
      <c r="H63" s="151" t="s">
        <v>12</v>
      </c>
      <c r="I63" s="6">
        <v>6.29</v>
      </c>
      <c r="J63" s="6">
        <v>1.06</v>
      </c>
      <c r="K63" s="6">
        <v>302.7</v>
      </c>
      <c r="L63" s="6">
        <v>32.89</v>
      </c>
      <c r="M63" s="6">
        <v>35.5</v>
      </c>
      <c r="N63" s="6">
        <v>498</v>
      </c>
      <c r="O63" s="6">
        <v>0</v>
      </c>
      <c r="P63" s="6">
        <v>0.69</v>
      </c>
      <c r="Q63" s="6">
        <v>4.6100000000000003</v>
      </c>
    </row>
    <row r="64" spans="1:17" customFormat="1">
      <c r="A64" s="82">
        <v>45353.583333333336</v>
      </c>
      <c r="B64" s="6">
        <v>4.21</v>
      </c>
      <c r="C64" s="6">
        <v>19.36</v>
      </c>
      <c r="D64" s="6">
        <v>14.84</v>
      </c>
      <c r="E64" s="6">
        <v>12.34</v>
      </c>
      <c r="F64" s="6">
        <v>21.93</v>
      </c>
      <c r="G64" s="151" t="s">
        <v>12</v>
      </c>
      <c r="H64" s="151" t="s">
        <v>12</v>
      </c>
      <c r="I64" s="6">
        <v>5.92</v>
      </c>
      <c r="J64" s="6">
        <v>1.25</v>
      </c>
      <c r="K64" s="6">
        <v>323.87</v>
      </c>
      <c r="L64" s="6">
        <v>33.130000000000003</v>
      </c>
      <c r="M64" s="6">
        <v>35.270000000000003</v>
      </c>
      <c r="N64" s="6">
        <v>513.79999999999995</v>
      </c>
      <c r="O64" s="6">
        <v>0</v>
      </c>
      <c r="P64" s="6">
        <v>0.71</v>
      </c>
      <c r="Q64" s="6">
        <v>4.6100000000000003</v>
      </c>
    </row>
    <row r="65" spans="1:17" customFormat="1">
      <c r="A65" s="82">
        <v>45353.59375</v>
      </c>
      <c r="B65" s="6">
        <v>4.95</v>
      </c>
      <c r="C65" s="6">
        <v>19.73</v>
      </c>
      <c r="D65" s="6">
        <v>15.63</v>
      </c>
      <c r="E65" s="6">
        <v>12.25</v>
      </c>
      <c r="F65" s="6">
        <v>18.28</v>
      </c>
      <c r="G65" s="6">
        <v>39.25</v>
      </c>
      <c r="H65" s="151" t="s">
        <v>12</v>
      </c>
      <c r="I65" s="6">
        <v>5.82</v>
      </c>
      <c r="J65" s="6">
        <v>1.36</v>
      </c>
      <c r="K65" s="6">
        <v>306.33999999999997</v>
      </c>
      <c r="L65" s="6">
        <v>33.159999999999997</v>
      </c>
      <c r="M65" s="6">
        <v>34.58</v>
      </c>
      <c r="N65" s="6">
        <v>510.1</v>
      </c>
      <c r="O65" s="6">
        <v>0</v>
      </c>
      <c r="P65" s="6">
        <v>0.55000000000000004</v>
      </c>
      <c r="Q65" s="6">
        <v>4.5999999999999996</v>
      </c>
    </row>
    <row r="66" spans="1:17" customFormat="1">
      <c r="A66" s="82">
        <v>45353.604166666664</v>
      </c>
      <c r="B66" s="6">
        <v>4.38</v>
      </c>
      <c r="C66" s="6">
        <v>18.09</v>
      </c>
      <c r="D66" s="6">
        <v>14.31</v>
      </c>
      <c r="E66" s="6">
        <v>11.44</v>
      </c>
      <c r="F66" s="6">
        <v>23.56</v>
      </c>
      <c r="G66" s="6">
        <v>39.25</v>
      </c>
      <c r="H66" s="151" t="s">
        <v>12</v>
      </c>
      <c r="I66" s="6">
        <v>5.67</v>
      </c>
      <c r="J66" s="6">
        <v>1.08</v>
      </c>
      <c r="K66" s="6">
        <v>303.89</v>
      </c>
      <c r="L66" s="6">
        <v>33.56</v>
      </c>
      <c r="M66" s="6">
        <v>34.04</v>
      </c>
      <c r="N66" s="6">
        <v>482.8</v>
      </c>
      <c r="O66" s="6">
        <v>0</v>
      </c>
      <c r="P66" s="6">
        <v>0.53</v>
      </c>
      <c r="Q66" s="6">
        <v>4.62</v>
      </c>
    </row>
    <row r="67" spans="1:17" customFormat="1">
      <c r="A67" s="82">
        <v>45353.614583333336</v>
      </c>
      <c r="B67" s="6">
        <v>4.28</v>
      </c>
      <c r="C67" s="6">
        <v>15.29</v>
      </c>
      <c r="D67" s="6">
        <v>12.77</v>
      </c>
      <c r="E67" s="6">
        <v>12.7</v>
      </c>
      <c r="F67" s="6">
        <v>30.75</v>
      </c>
      <c r="G67" s="6">
        <v>39.25</v>
      </c>
      <c r="H67" s="151" t="s">
        <v>12</v>
      </c>
      <c r="I67" s="6">
        <v>5.59</v>
      </c>
      <c r="J67" s="6">
        <v>0.81</v>
      </c>
      <c r="K67" s="6">
        <v>308.29000000000002</v>
      </c>
      <c r="L67" s="6">
        <v>33.49</v>
      </c>
      <c r="M67" s="6">
        <v>34.119999999999997</v>
      </c>
      <c r="N67" s="6">
        <v>423</v>
      </c>
      <c r="O67" s="6">
        <v>0</v>
      </c>
      <c r="P67" s="6">
        <v>0.47</v>
      </c>
      <c r="Q67" s="6">
        <v>4.6500000000000004</v>
      </c>
    </row>
    <row r="68" spans="1:17" customFormat="1">
      <c r="A68" s="82">
        <v>45353.625</v>
      </c>
      <c r="B68" s="6">
        <v>4.08</v>
      </c>
      <c r="C68" s="6">
        <v>15.08</v>
      </c>
      <c r="D68" s="6">
        <v>12.5</v>
      </c>
      <c r="E68" s="6">
        <v>14.99</v>
      </c>
      <c r="F68" s="6">
        <v>28.76</v>
      </c>
      <c r="G68" s="6">
        <v>39.6</v>
      </c>
      <c r="H68" s="151" t="s">
        <v>12</v>
      </c>
      <c r="I68" s="6">
        <v>4.9800000000000004</v>
      </c>
      <c r="J68" s="6">
        <v>0.87</v>
      </c>
      <c r="K68" s="6">
        <v>333.35</v>
      </c>
      <c r="L68" s="6">
        <v>33.229999999999997</v>
      </c>
      <c r="M68" s="6">
        <v>34.93</v>
      </c>
      <c r="N68" s="6">
        <v>252.9</v>
      </c>
      <c r="O68" s="6">
        <v>0</v>
      </c>
      <c r="P68" s="6">
        <v>0.45</v>
      </c>
      <c r="Q68" s="6">
        <v>4.66</v>
      </c>
    </row>
    <row r="69" spans="1:17" customFormat="1">
      <c r="A69" s="82">
        <v>45353.635416666664</v>
      </c>
      <c r="B69" s="6">
        <v>5.0999999999999996</v>
      </c>
      <c r="C69" s="6">
        <v>13.97</v>
      </c>
      <c r="D69" s="6">
        <v>12.74</v>
      </c>
      <c r="E69" s="6">
        <v>27.49</v>
      </c>
      <c r="F69" s="6">
        <v>35.57</v>
      </c>
      <c r="G69" s="6">
        <v>44.61</v>
      </c>
      <c r="H69" s="6">
        <v>1.94</v>
      </c>
      <c r="I69" s="6">
        <v>4.58</v>
      </c>
      <c r="J69" s="6">
        <v>1.08</v>
      </c>
      <c r="K69" s="6">
        <v>17.88</v>
      </c>
      <c r="L69" s="6">
        <v>32.18</v>
      </c>
      <c r="M69" s="6">
        <v>37.72</v>
      </c>
      <c r="N69" s="6">
        <v>156.30000000000001</v>
      </c>
      <c r="O69" s="6">
        <v>0</v>
      </c>
      <c r="P69" s="6">
        <v>0.42</v>
      </c>
      <c r="Q69" s="6">
        <v>4.7</v>
      </c>
    </row>
    <row r="70" spans="1:17" customFormat="1">
      <c r="A70" s="82">
        <v>45353.645833333336</v>
      </c>
      <c r="B70" s="6">
        <v>6.13</v>
      </c>
      <c r="C70" s="6">
        <v>16.440000000000001</v>
      </c>
      <c r="D70" s="6">
        <v>14.86</v>
      </c>
      <c r="E70" s="6">
        <v>34.049999999999997</v>
      </c>
      <c r="F70" s="6">
        <v>29.61</v>
      </c>
      <c r="G70" s="6">
        <v>44.61</v>
      </c>
      <c r="H70" s="6">
        <v>1.94</v>
      </c>
      <c r="I70" s="6">
        <v>4.6500000000000004</v>
      </c>
      <c r="J70" s="6">
        <v>1.18</v>
      </c>
      <c r="K70" s="6">
        <v>13.11</v>
      </c>
      <c r="L70" s="6">
        <v>31.43</v>
      </c>
      <c r="M70" s="6">
        <v>38.53</v>
      </c>
      <c r="N70" s="6">
        <v>102.2</v>
      </c>
      <c r="O70" s="6">
        <v>0</v>
      </c>
      <c r="P70" s="6">
        <v>0.41</v>
      </c>
      <c r="Q70" s="6">
        <v>4.72</v>
      </c>
    </row>
    <row r="71" spans="1:17" customFormat="1">
      <c r="A71" s="82">
        <v>45353.65625</v>
      </c>
      <c r="B71" s="6">
        <v>5.28</v>
      </c>
      <c r="C71" s="6">
        <v>15.36</v>
      </c>
      <c r="D71" s="6">
        <v>13.61</v>
      </c>
      <c r="E71" s="6">
        <v>25.54</v>
      </c>
      <c r="F71" s="6">
        <v>21.84</v>
      </c>
      <c r="G71" s="6">
        <v>44.61</v>
      </c>
      <c r="H71" s="6">
        <v>1.94</v>
      </c>
      <c r="I71" s="6">
        <v>4.33</v>
      </c>
      <c r="J71" s="6">
        <v>1.55</v>
      </c>
      <c r="K71" s="6">
        <v>28.45</v>
      </c>
      <c r="L71" s="6">
        <v>31.14</v>
      </c>
      <c r="M71" s="6">
        <v>38.700000000000003</v>
      </c>
      <c r="N71" s="6">
        <v>180.1</v>
      </c>
      <c r="O71" s="6">
        <v>0</v>
      </c>
      <c r="P71" s="6">
        <v>0.4</v>
      </c>
      <c r="Q71" s="6">
        <v>4.72</v>
      </c>
    </row>
    <row r="72" spans="1:17" customFormat="1">
      <c r="A72" s="82">
        <v>45353.666666666664</v>
      </c>
      <c r="B72" s="6">
        <v>4.92</v>
      </c>
      <c r="C72" s="6">
        <v>15.3</v>
      </c>
      <c r="D72" s="6">
        <v>13.29</v>
      </c>
      <c r="E72" s="6">
        <v>25.59</v>
      </c>
      <c r="F72" s="6">
        <v>18.55</v>
      </c>
      <c r="G72" s="6">
        <v>45.49</v>
      </c>
      <c r="H72" s="6">
        <v>2.63</v>
      </c>
      <c r="I72" s="6">
        <v>4.21</v>
      </c>
      <c r="J72" s="6">
        <v>1.38</v>
      </c>
      <c r="K72" s="6">
        <v>16.86</v>
      </c>
      <c r="L72" s="6">
        <v>31.17</v>
      </c>
      <c r="M72" s="6">
        <v>38.01</v>
      </c>
      <c r="N72" s="6">
        <v>162.6</v>
      </c>
      <c r="O72" s="6">
        <v>0</v>
      </c>
      <c r="P72" s="6">
        <v>0.4</v>
      </c>
      <c r="Q72" s="6">
        <v>4.72</v>
      </c>
    </row>
    <row r="73" spans="1:17" customFormat="1">
      <c r="A73" s="82">
        <v>45353.677083333336</v>
      </c>
      <c r="B73" s="6">
        <v>4.8099999999999996</v>
      </c>
      <c r="C73" s="6">
        <v>16</v>
      </c>
      <c r="D73" s="6">
        <v>13.57</v>
      </c>
      <c r="E73" s="6">
        <v>25.76</v>
      </c>
      <c r="F73" s="6">
        <v>16.72</v>
      </c>
      <c r="G73" s="6">
        <v>57.79</v>
      </c>
      <c r="H73" s="6">
        <v>10.97</v>
      </c>
      <c r="I73" s="6">
        <v>4.79</v>
      </c>
      <c r="J73" s="6">
        <v>1.27</v>
      </c>
      <c r="K73" s="6">
        <v>22.06</v>
      </c>
      <c r="L73" s="6">
        <v>30.93</v>
      </c>
      <c r="M73" s="6">
        <v>37.26</v>
      </c>
      <c r="N73" s="6">
        <v>163.9</v>
      </c>
      <c r="O73" s="6">
        <v>0</v>
      </c>
      <c r="P73" s="6">
        <v>0.4</v>
      </c>
      <c r="Q73" s="6">
        <v>4.72</v>
      </c>
    </row>
    <row r="74" spans="1:17" customFormat="1">
      <c r="A74" s="82">
        <v>45353.6875</v>
      </c>
      <c r="B74" s="6">
        <v>5.29</v>
      </c>
      <c r="C74" s="6">
        <v>16.239999999999998</v>
      </c>
      <c r="D74" s="6">
        <v>14.08</v>
      </c>
      <c r="E74" s="6">
        <v>28.74</v>
      </c>
      <c r="F74" s="6">
        <v>16.95</v>
      </c>
      <c r="G74" s="6">
        <v>57.79</v>
      </c>
      <c r="H74" s="6">
        <v>10.97</v>
      </c>
      <c r="I74" s="6">
        <v>4.75</v>
      </c>
      <c r="J74" s="6">
        <v>1.42</v>
      </c>
      <c r="K74" s="6">
        <v>26.69</v>
      </c>
      <c r="L74" s="6">
        <v>30.7</v>
      </c>
      <c r="M74" s="6">
        <v>37.22</v>
      </c>
      <c r="N74" s="6">
        <v>112.1</v>
      </c>
      <c r="O74" s="6">
        <v>0</v>
      </c>
      <c r="P74" s="6">
        <v>0.42</v>
      </c>
      <c r="Q74" s="6">
        <v>4.71</v>
      </c>
    </row>
    <row r="75" spans="1:17" customFormat="1">
      <c r="A75" s="82">
        <v>45353.697916666664</v>
      </c>
      <c r="B75" s="6">
        <v>6.16</v>
      </c>
      <c r="C75" s="6">
        <v>15.5</v>
      </c>
      <c r="D75" s="6">
        <v>14.39</v>
      </c>
      <c r="E75" s="6">
        <v>24.84</v>
      </c>
      <c r="F75" s="6">
        <v>20.11</v>
      </c>
      <c r="G75" s="6">
        <v>57.79</v>
      </c>
      <c r="H75" s="6">
        <v>10.97</v>
      </c>
      <c r="I75" s="6">
        <v>4.8499999999999996</v>
      </c>
      <c r="J75" s="6">
        <v>1.46</v>
      </c>
      <c r="K75" s="6">
        <v>33.93</v>
      </c>
      <c r="L75" s="6">
        <v>30.4</v>
      </c>
      <c r="M75" s="6">
        <v>37.369999999999997</v>
      </c>
      <c r="N75" s="6">
        <v>110.9</v>
      </c>
      <c r="O75" s="6">
        <v>0</v>
      </c>
      <c r="P75" s="6">
        <v>0.42</v>
      </c>
      <c r="Q75" s="6">
        <v>4.7</v>
      </c>
    </row>
    <row r="76" spans="1:17" customFormat="1">
      <c r="A76" s="82">
        <v>45353.708333333336</v>
      </c>
      <c r="B76" s="6">
        <v>5.86</v>
      </c>
      <c r="C76" s="6">
        <v>19</v>
      </c>
      <c r="D76" s="6">
        <v>15.98</v>
      </c>
      <c r="E76" s="6">
        <v>29.77</v>
      </c>
      <c r="F76" s="6">
        <v>20.77</v>
      </c>
      <c r="G76" s="6">
        <v>58.81</v>
      </c>
      <c r="H76" s="6">
        <v>11.31</v>
      </c>
      <c r="I76" s="6">
        <v>4.8600000000000003</v>
      </c>
      <c r="J76" s="6">
        <v>1.29</v>
      </c>
      <c r="K76" s="6">
        <v>39.83</v>
      </c>
      <c r="L76" s="6">
        <v>30.34</v>
      </c>
      <c r="M76" s="6">
        <v>37.72</v>
      </c>
      <c r="N76" s="6">
        <v>81.8</v>
      </c>
      <c r="O76" s="6">
        <v>0</v>
      </c>
      <c r="P76" s="6">
        <v>0.44</v>
      </c>
      <c r="Q76" s="6">
        <v>4.7</v>
      </c>
    </row>
    <row r="77" spans="1:17" customFormat="1">
      <c r="A77" s="82">
        <v>45353.71875</v>
      </c>
      <c r="B77" s="6">
        <v>5.58</v>
      </c>
      <c r="C77" s="6">
        <v>19.96</v>
      </c>
      <c r="D77" s="6">
        <v>16.25</v>
      </c>
      <c r="E77" s="6">
        <v>24.93</v>
      </c>
      <c r="F77" s="6">
        <v>20.13</v>
      </c>
      <c r="G77" s="6">
        <v>73.02</v>
      </c>
      <c r="H77" s="6">
        <v>14.71</v>
      </c>
      <c r="I77" s="6">
        <v>4.82</v>
      </c>
      <c r="J77" s="6">
        <v>1.3</v>
      </c>
      <c r="K77" s="6">
        <v>43.49</v>
      </c>
      <c r="L77" s="6">
        <v>29.99</v>
      </c>
      <c r="M77" s="6">
        <v>38.35</v>
      </c>
      <c r="N77" s="6">
        <v>44.6</v>
      </c>
      <c r="O77" s="6">
        <v>0</v>
      </c>
      <c r="P77" s="6">
        <v>0.44</v>
      </c>
      <c r="Q77" s="6">
        <v>4.68</v>
      </c>
    </row>
    <row r="78" spans="1:17" customFormat="1">
      <c r="A78" s="82">
        <v>45353.729166666664</v>
      </c>
      <c r="B78" s="6">
        <v>5.6</v>
      </c>
      <c r="C78" s="6">
        <v>21.58</v>
      </c>
      <c r="D78" s="6">
        <v>17.12</v>
      </c>
      <c r="E78" s="6">
        <v>24.74</v>
      </c>
      <c r="F78" s="6">
        <v>17.78</v>
      </c>
      <c r="G78" s="6">
        <v>73.02</v>
      </c>
      <c r="H78" s="6">
        <v>14.71</v>
      </c>
      <c r="I78" s="6">
        <v>4.78</v>
      </c>
      <c r="J78" s="6">
        <v>1.19</v>
      </c>
      <c r="K78" s="6">
        <v>47.75</v>
      </c>
      <c r="L78" s="6">
        <v>29.71</v>
      </c>
      <c r="M78" s="6">
        <v>38.950000000000003</v>
      </c>
      <c r="N78" s="6">
        <v>20.5</v>
      </c>
      <c r="O78" s="6">
        <v>0</v>
      </c>
      <c r="P78" s="6">
        <v>0.45</v>
      </c>
      <c r="Q78" s="6">
        <v>4.6900000000000004</v>
      </c>
    </row>
    <row r="79" spans="1:17" customFormat="1">
      <c r="A79" s="82">
        <v>45353.739583333336</v>
      </c>
      <c r="B79" s="6">
        <v>7.22</v>
      </c>
      <c r="C79" s="6">
        <v>22.99</v>
      </c>
      <c r="D79" s="6">
        <v>19.149999999999999</v>
      </c>
      <c r="E79" s="6">
        <v>21.31</v>
      </c>
      <c r="F79" s="6">
        <v>16.71</v>
      </c>
      <c r="G79" s="6">
        <v>73.02</v>
      </c>
      <c r="H79" s="6">
        <v>14.71</v>
      </c>
      <c r="I79" s="6">
        <v>4.87</v>
      </c>
      <c r="J79" s="6">
        <v>1.37</v>
      </c>
      <c r="K79" s="6">
        <v>44.46</v>
      </c>
      <c r="L79" s="6">
        <v>29.45</v>
      </c>
      <c r="M79" s="6">
        <v>38.56</v>
      </c>
      <c r="N79" s="6">
        <v>4.3</v>
      </c>
      <c r="O79" s="6">
        <v>0</v>
      </c>
      <c r="P79" s="6">
        <v>0.47</v>
      </c>
      <c r="Q79" s="6">
        <v>4.68</v>
      </c>
    </row>
    <row r="80" spans="1:17" customFormat="1">
      <c r="A80" s="82">
        <v>45353.75</v>
      </c>
      <c r="B80" s="6">
        <v>9.4</v>
      </c>
      <c r="C80" s="6">
        <v>25.67</v>
      </c>
      <c r="D80" s="6">
        <v>22.3</v>
      </c>
      <c r="E80" s="6">
        <v>20.48</v>
      </c>
      <c r="F80" s="6">
        <v>15.77</v>
      </c>
      <c r="G80" s="6">
        <v>73.209999999999994</v>
      </c>
      <c r="H80" s="6">
        <v>15.51</v>
      </c>
      <c r="I80" s="6">
        <v>5.1100000000000003</v>
      </c>
      <c r="J80" s="6">
        <v>0.9</v>
      </c>
      <c r="K80" s="6">
        <v>43.78</v>
      </c>
      <c r="L80" s="6">
        <v>29.04</v>
      </c>
      <c r="M80" s="6">
        <v>39.14</v>
      </c>
      <c r="N80" s="6">
        <v>0</v>
      </c>
      <c r="O80" s="6">
        <v>0</v>
      </c>
      <c r="P80" s="6">
        <v>0.49</v>
      </c>
      <c r="Q80" s="6">
        <v>4.68</v>
      </c>
    </row>
    <row r="81" spans="1:17" customFormat="1">
      <c r="A81" s="82">
        <v>45353.760416666664</v>
      </c>
      <c r="B81" s="6">
        <v>7.99</v>
      </c>
      <c r="C81" s="6">
        <v>29.34</v>
      </c>
      <c r="D81" s="6">
        <v>23.09</v>
      </c>
      <c r="E81" s="6">
        <v>12.17</v>
      </c>
      <c r="F81" s="6">
        <v>15.8</v>
      </c>
      <c r="G81" s="6">
        <v>75.84</v>
      </c>
      <c r="H81" s="6">
        <v>25.22</v>
      </c>
      <c r="I81" s="6">
        <v>5.22</v>
      </c>
      <c r="J81" s="6">
        <v>0.94</v>
      </c>
      <c r="K81" s="6">
        <v>51.37</v>
      </c>
      <c r="L81" s="6">
        <v>28.71</v>
      </c>
      <c r="M81" s="6">
        <v>40.07</v>
      </c>
      <c r="N81" s="6">
        <v>0</v>
      </c>
      <c r="O81" s="6">
        <v>0</v>
      </c>
      <c r="P81" s="6">
        <v>0.49</v>
      </c>
      <c r="Q81" s="6">
        <v>4.68</v>
      </c>
    </row>
    <row r="82" spans="1:17" customFormat="1">
      <c r="A82" s="82">
        <v>45353.770833333336</v>
      </c>
      <c r="B82" s="6">
        <v>8.06</v>
      </c>
      <c r="C82" s="6">
        <v>29.32</v>
      </c>
      <c r="D82" s="6">
        <v>23.13</v>
      </c>
      <c r="E82" s="6">
        <v>13.05</v>
      </c>
      <c r="F82" s="6">
        <v>15.42</v>
      </c>
      <c r="G82" s="6">
        <v>75.84</v>
      </c>
      <c r="H82" s="6">
        <v>25.22</v>
      </c>
      <c r="I82" s="6">
        <v>5.23</v>
      </c>
      <c r="J82" s="6">
        <v>0.78</v>
      </c>
      <c r="K82" s="6">
        <v>56.06</v>
      </c>
      <c r="L82" s="6">
        <v>28.56</v>
      </c>
      <c r="M82" s="6">
        <v>40.630000000000003</v>
      </c>
      <c r="N82" s="6">
        <v>0</v>
      </c>
      <c r="O82" s="6">
        <v>0</v>
      </c>
      <c r="P82" s="6">
        <v>0.52</v>
      </c>
      <c r="Q82" s="6">
        <v>4.6900000000000004</v>
      </c>
    </row>
    <row r="83" spans="1:17" customFormat="1">
      <c r="A83" s="82">
        <v>45353.78125</v>
      </c>
      <c r="B83" s="6">
        <v>8.74</v>
      </c>
      <c r="C83" s="6">
        <v>31.36</v>
      </c>
      <c r="D83" s="6">
        <v>24.75</v>
      </c>
      <c r="E83" s="6">
        <v>13.66</v>
      </c>
      <c r="F83" s="6">
        <v>15.68</v>
      </c>
      <c r="G83" s="6">
        <v>75.84</v>
      </c>
      <c r="H83" s="6">
        <v>25.22</v>
      </c>
      <c r="I83" s="6">
        <v>5.34</v>
      </c>
      <c r="J83" s="6">
        <v>0.72</v>
      </c>
      <c r="K83" s="6">
        <v>57.54</v>
      </c>
      <c r="L83" s="6">
        <v>28.42</v>
      </c>
      <c r="M83" s="6">
        <v>41.34</v>
      </c>
      <c r="N83" s="6">
        <v>0</v>
      </c>
      <c r="O83" s="6">
        <v>0</v>
      </c>
      <c r="P83" s="6">
        <v>0.57999999999999996</v>
      </c>
      <c r="Q83" s="6">
        <v>4.67</v>
      </c>
    </row>
    <row r="84" spans="1:17" customFormat="1">
      <c r="A84" s="82">
        <v>45353.791666666664</v>
      </c>
      <c r="B84" s="6">
        <v>9.85</v>
      </c>
      <c r="C84" s="6">
        <v>32.29</v>
      </c>
      <c r="D84" s="6">
        <v>26.12</v>
      </c>
      <c r="E84" s="6">
        <v>13.75</v>
      </c>
      <c r="F84" s="6">
        <v>12.04</v>
      </c>
      <c r="G84" s="6">
        <v>76.33</v>
      </c>
      <c r="H84" s="6">
        <v>25.37</v>
      </c>
      <c r="I84" s="6">
        <v>5.39</v>
      </c>
      <c r="J84" s="6">
        <v>0.84</v>
      </c>
      <c r="K84" s="6">
        <v>58.59</v>
      </c>
      <c r="L84" s="6">
        <v>28.2</v>
      </c>
      <c r="M84" s="6">
        <v>41.74</v>
      </c>
      <c r="N84" s="6">
        <v>0</v>
      </c>
      <c r="O84" s="6">
        <v>0</v>
      </c>
      <c r="P84" s="6">
        <v>0.6</v>
      </c>
      <c r="Q84" s="6">
        <v>4.7</v>
      </c>
    </row>
    <row r="85" spans="1:17" customFormat="1">
      <c r="A85" s="82">
        <v>45353.802083333336</v>
      </c>
      <c r="B85" s="6">
        <v>10.32</v>
      </c>
      <c r="C85" s="6">
        <v>32.119999999999997</v>
      </c>
      <c r="D85" s="6">
        <v>26.41</v>
      </c>
      <c r="E85" s="6">
        <v>19.53</v>
      </c>
      <c r="F85" s="6">
        <v>17.37</v>
      </c>
      <c r="G85" s="6">
        <v>83.19</v>
      </c>
      <c r="H85" s="6">
        <v>27.19</v>
      </c>
      <c r="I85" s="6">
        <v>5.69</v>
      </c>
      <c r="J85" s="6">
        <v>0.74</v>
      </c>
      <c r="K85" s="6">
        <v>63.92</v>
      </c>
      <c r="L85" s="6">
        <v>27.92</v>
      </c>
      <c r="M85" s="6">
        <v>42.08</v>
      </c>
      <c r="N85" s="6">
        <v>0</v>
      </c>
      <c r="O85" s="6">
        <v>0</v>
      </c>
      <c r="P85" s="6">
        <v>0.65</v>
      </c>
      <c r="Q85" s="6">
        <v>4.6900000000000004</v>
      </c>
    </row>
    <row r="86" spans="1:17" customFormat="1">
      <c r="A86" s="82">
        <v>45353.8125</v>
      </c>
      <c r="B86" s="6">
        <v>11.15</v>
      </c>
      <c r="C86" s="6">
        <v>31.26</v>
      </c>
      <c r="D86" s="6">
        <v>26.62</v>
      </c>
      <c r="E86" s="6">
        <v>19.36</v>
      </c>
      <c r="F86" s="6">
        <v>13.22</v>
      </c>
      <c r="G86" s="6">
        <v>83.19</v>
      </c>
      <c r="H86" s="6">
        <v>27.19</v>
      </c>
      <c r="I86" s="6">
        <v>5.88</v>
      </c>
      <c r="J86" s="6">
        <v>0.27</v>
      </c>
      <c r="K86" s="6">
        <v>99.57</v>
      </c>
      <c r="L86" s="6">
        <v>27.57</v>
      </c>
      <c r="M86" s="6">
        <v>45.1</v>
      </c>
      <c r="N86" s="6">
        <v>0</v>
      </c>
      <c r="O86" s="6">
        <v>0</v>
      </c>
      <c r="P86" s="6">
        <v>0.64</v>
      </c>
      <c r="Q86" s="6">
        <v>4.7</v>
      </c>
    </row>
    <row r="87" spans="1:17" customFormat="1">
      <c r="A87" s="82">
        <v>45353.822916666664</v>
      </c>
      <c r="B87" s="6">
        <v>8.43</v>
      </c>
      <c r="C87" s="6">
        <v>26.43</v>
      </c>
      <c r="D87" s="6">
        <v>21.92</v>
      </c>
      <c r="E87" s="6">
        <v>15.87</v>
      </c>
      <c r="F87" s="6">
        <v>13.3</v>
      </c>
      <c r="G87" s="6">
        <v>83.19</v>
      </c>
      <c r="H87" s="6">
        <v>27.19</v>
      </c>
      <c r="I87" s="6">
        <v>6.86</v>
      </c>
      <c r="J87" s="6">
        <v>0.19</v>
      </c>
      <c r="K87" s="6">
        <v>167.06</v>
      </c>
      <c r="L87" s="6">
        <v>26.7</v>
      </c>
      <c r="M87" s="6">
        <v>50.21</v>
      </c>
      <c r="N87" s="6">
        <v>0</v>
      </c>
      <c r="O87" s="6">
        <v>0</v>
      </c>
      <c r="P87" s="6">
        <v>0.65</v>
      </c>
      <c r="Q87" s="6">
        <v>4.6900000000000004</v>
      </c>
    </row>
    <row r="88" spans="1:17" customFormat="1">
      <c r="A88" s="82">
        <v>45353.833333333336</v>
      </c>
      <c r="B88" s="6">
        <v>9.02</v>
      </c>
      <c r="C88" s="6">
        <v>26.61</v>
      </c>
      <c r="D88" s="6">
        <v>22.48</v>
      </c>
      <c r="E88" s="6">
        <v>14.6</v>
      </c>
      <c r="F88" s="6">
        <v>11.13</v>
      </c>
      <c r="G88" s="6">
        <v>84.14</v>
      </c>
      <c r="H88" s="6">
        <v>27.81</v>
      </c>
      <c r="I88" s="6">
        <v>6.78</v>
      </c>
      <c r="J88" s="6">
        <v>0.14000000000000001</v>
      </c>
      <c r="K88" s="6">
        <v>83.55</v>
      </c>
      <c r="L88" s="6">
        <v>26.32</v>
      </c>
      <c r="M88" s="6">
        <v>51.5</v>
      </c>
      <c r="N88" s="6">
        <v>0</v>
      </c>
      <c r="O88" s="6">
        <v>0</v>
      </c>
      <c r="P88" s="6">
        <v>0.7</v>
      </c>
      <c r="Q88" s="6">
        <v>4.68</v>
      </c>
    </row>
    <row r="89" spans="1:17" customFormat="1">
      <c r="A89" s="82">
        <v>45353.84375</v>
      </c>
      <c r="B89" s="6">
        <v>11.74</v>
      </c>
      <c r="C89" s="6">
        <v>29.06</v>
      </c>
      <c r="D89" s="6">
        <v>25.95</v>
      </c>
      <c r="E89" s="6">
        <v>16.84</v>
      </c>
      <c r="F89" s="6">
        <v>10.97</v>
      </c>
      <c r="G89" s="6">
        <v>97.47</v>
      </c>
      <c r="H89" s="6">
        <v>34.06</v>
      </c>
      <c r="I89" s="6">
        <v>6.87</v>
      </c>
      <c r="J89" s="6">
        <v>0.57999999999999996</v>
      </c>
      <c r="K89" s="6">
        <v>61.74</v>
      </c>
      <c r="L89" s="6">
        <v>26.79</v>
      </c>
      <c r="M89" s="6">
        <v>46.49</v>
      </c>
      <c r="N89" s="6">
        <v>0</v>
      </c>
      <c r="O89" s="6">
        <v>0</v>
      </c>
      <c r="P89" s="6">
        <v>0.71</v>
      </c>
      <c r="Q89" s="6">
        <v>4.68</v>
      </c>
    </row>
    <row r="90" spans="1:17" customFormat="1">
      <c r="A90" s="82">
        <v>45353.854166666664</v>
      </c>
      <c r="B90" s="6">
        <v>10.64</v>
      </c>
      <c r="C90" s="6">
        <v>24.28</v>
      </c>
      <c r="D90" s="6">
        <v>22.57</v>
      </c>
      <c r="E90" s="6">
        <v>14.88</v>
      </c>
      <c r="F90" s="6">
        <v>13.68</v>
      </c>
      <c r="G90" s="6">
        <v>97.47</v>
      </c>
      <c r="H90" s="6">
        <v>34.06</v>
      </c>
      <c r="I90" s="6">
        <v>7.36</v>
      </c>
      <c r="J90" s="6">
        <v>0.72</v>
      </c>
      <c r="K90" s="6">
        <v>63.27</v>
      </c>
      <c r="L90" s="6">
        <v>26.91</v>
      </c>
      <c r="M90" s="6">
        <v>45.82</v>
      </c>
      <c r="N90" s="6">
        <v>0</v>
      </c>
      <c r="O90" s="6">
        <v>0</v>
      </c>
      <c r="P90" s="6">
        <v>0.68</v>
      </c>
      <c r="Q90" s="6">
        <v>4.6900000000000004</v>
      </c>
    </row>
    <row r="91" spans="1:17" customFormat="1">
      <c r="A91" s="82">
        <v>45353.864583333336</v>
      </c>
      <c r="B91" s="6">
        <v>9.64</v>
      </c>
      <c r="C91" s="6">
        <v>23.22</v>
      </c>
      <c r="D91" s="6">
        <v>21.22</v>
      </c>
      <c r="E91" s="6">
        <v>13.61</v>
      </c>
      <c r="F91" s="6">
        <v>12.53</v>
      </c>
      <c r="G91" s="6">
        <v>97.47</v>
      </c>
      <c r="H91" s="6">
        <v>34.06</v>
      </c>
      <c r="I91" s="6">
        <v>7.33</v>
      </c>
      <c r="J91" s="6">
        <v>0.5</v>
      </c>
      <c r="K91" s="6">
        <v>72.64</v>
      </c>
      <c r="L91" s="6">
        <v>26.66</v>
      </c>
      <c r="M91" s="6">
        <v>46.66</v>
      </c>
      <c r="N91" s="6">
        <v>0</v>
      </c>
      <c r="O91" s="6">
        <v>0</v>
      </c>
      <c r="P91" s="6">
        <v>0.67</v>
      </c>
      <c r="Q91" s="6">
        <v>4.68</v>
      </c>
    </row>
    <row r="92" spans="1:17" customFormat="1">
      <c r="A92" s="82">
        <v>45353.875</v>
      </c>
      <c r="B92" s="6">
        <v>8.75</v>
      </c>
      <c r="C92" s="6">
        <v>22.49</v>
      </c>
      <c r="D92" s="6">
        <v>20.12</v>
      </c>
      <c r="E92" s="6">
        <v>11.91</v>
      </c>
      <c r="F92" s="6">
        <v>12.93</v>
      </c>
      <c r="G92" s="6">
        <v>97.79</v>
      </c>
      <c r="H92" s="6">
        <v>34.06</v>
      </c>
      <c r="I92" s="6">
        <v>7.14</v>
      </c>
      <c r="J92" s="6">
        <v>0.47</v>
      </c>
      <c r="K92" s="6">
        <v>75.540000000000006</v>
      </c>
      <c r="L92" s="6">
        <v>26.51</v>
      </c>
      <c r="M92" s="6">
        <v>46.94</v>
      </c>
      <c r="N92" s="6">
        <v>0</v>
      </c>
      <c r="O92" s="6">
        <v>0</v>
      </c>
      <c r="P92" s="6">
        <v>0.66</v>
      </c>
      <c r="Q92" s="6">
        <v>4.7</v>
      </c>
    </row>
    <row r="93" spans="1:17" customFormat="1">
      <c r="A93" s="82">
        <v>45353.885416666664</v>
      </c>
      <c r="B93" s="6">
        <v>8.93</v>
      </c>
      <c r="C93" s="6">
        <v>24.06</v>
      </c>
      <c r="D93" s="6">
        <v>21.08</v>
      </c>
      <c r="E93" s="6">
        <v>9.65</v>
      </c>
      <c r="F93" s="6">
        <v>9.6</v>
      </c>
      <c r="G93" s="6">
        <v>102.17</v>
      </c>
      <c r="H93" s="6">
        <v>34.19</v>
      </c>
      <c r="I93" s="6">
        <v>6.87</v>
      </c>
      <c r="J93" s="6">
        <v>0.22</v>
      </c>
      <c r="K93" s="6">
        <v>141.75</v>
      </c>
      <c r="L93" s="6">
        <v>26.31</v>
      </c>
      <c r="M93" s="6">
        <v>49.85</v>
      </c>
      <c r="N93" s="6">
        <v>0</v>
      </c>
      <c r="O93" s="6">
        <v>0</v>
      </c>
      <c r="P93" s="6">
        <v>0.65</v>
      </c>
      <c r="Q93" s="6">
        <v>4.7300000000000004</v>
      </c>
    </row>
    <row r="94" spans="1:17" customFormat="1">
      <c r="A94" s="82">
        <v>45353.895833333336</v>
      </c>
      <c r="B94" s="6">
        <v>8.51</v>
      </c>
      <c r="C94" s="6">
        <v>24.18</v>
      </c>
      <c r="D94" s="6">
        <v>20.81</v>
      </c>
      <c r="E94" s="6">
        <v>11.97</v>
      </c>
      <c r="F94" s="6">
        <v>9.2899999999999991</v>
      </c>
      <c r="G94" s="6">
        <v>102.17</v>
      </c>
      <c r="H94" s="6">
        <v>34.19</v>
      </c>
      <c r="I94" s="6">
        <v>6.76</v>
      </c>
      <c r="J94" s="6">
        <v>0.55000000000000004</v>
      </c>
      <c r="K94" s="6">
        <v>70.06</v>
      </c>
      <c r="L94" s="6">
        <v>26.23</v>
      </c>
      <c r="M94" s="6">
        <v>48.6</v>
      </c>
      <c r="N94" s="6">
        <v>0</v>
      </c>
      <c r="O94" s="6">
        <v>0</v>
      </c>
      <c r="P94" s="6">
        <v>0.65</v>
      </c>
      <c r="Q94" s="6">
        <v>4.71</v>
      </c>
    </row>
    <row r="95" spans="1:17" customFormat="1">
      <c r="A95" s="82">
        <v>45353.90625</v>
      </c>
      <c r="B95" s="6">
        <v>10.72</v>
      </c>
      <c r="C95" s="6">
        <v>27.61</v>
      </c>
      <c r="D95" s="6">
        <v>24.37</v>
      </c>
      <c r="E95" s="6">
        <v>11.79</v>
      </c>
      <c r="F95" s="6">
        <v>8.09</v>
      </c>
      <c r="G95" s="6">
        <v>102.17</v>
      </c>
      <c r="H95" s="6">
        <v>34.19</v>
      </c>
      <c r="I95" s="6">
        <v>6.84</v>
      </c>
      <c r="J95" s="6">
        <v>0.49</v>
      </c>
      <c r="K95" s="6">
        <v>83.94</v>
      </c>
      <c r="L95" s="6">
        <v>26.42</v>
      </c>
      <c r="M95" s="6">
        <v>46.84</v>
      </c>
      <c r="N95" s="6">
        <v>0</v>
      </c>
      <c r="O95" s="6">
        <v>0</v>
      </c>
      <c r="P95" s="6">
        <v>0.64</v>
      </c>
      <c r="Q95" s="6">
        <v>4.72</v>
      </c>
    </row>
    <row r="96" spans="1:17" customFormat="1">
      <c r="A96" s="82">
        <v>45353.916666666664</v>
      </c>
      <c r="B96" s="6">
        <v>8.39</v>
      </c>
      <c r="C96" s="6">
        <v>25.91</v>
      </c>
      <c r="D96" s="6">
        <v>21.62</v>
      </c>
      <c r="E96" s="6">
        <v>11.11</v>
      </c>
      <c r="F96" s="6">
        <v>8.7799999999999994</v>
      </c>
      <c r="G96" s="6">
        <v>102.46</v>
      </c>
      <c r="H96" s="6">
        <v>34.47</v>
      </c>
      <c r="I96" s="6">
        <v>6.82</v>
      </c>
      <c r="J96" s="6">
        <v>0.71</v>
      </c>
      <c r="K96" s="6">
        <v>73</v>
      </c>
      <c r="L96" s="6">
        <v>26.32</v>
      </c>
      <c r="M96" s="6">
        <v>46.52</v>
      </c>
      <c r="N96" s="6">
        <v>0</v>
      </c>
      <c r="O96" s="6">
        <v>0</v>
      </c>
      <c r="P96" s="6">
        <v>0.62</v>
      </c>
      <c r="Q96" s="6">
        <v>4.72</v>
      </c>
    </row>
    <row r="97" spans="1:22" customFormat="1">
      <c r="A97" s="82">
        <v>45353.927083333336</v>
      </c>
      <c r="B97" s="6">
        <v>7.69</v>
      </c>
      <c r="C97" s="6">
        <v>25.68</v>
      </c>
      <c r="D97" s="6">
        <v>20.93</v>
      </c>
      <c r="E97" s="6">
        <v>10.71</v>
      </c>
      <c r="F97" s="6">
        <v>9.2200000000000006</v>
      </c>
      <c r="G97" s="6">
        <v>106.49</v>
      </c>
      <c r="H97" s="6">
        <v>37.9</v>
      </c>
      <c r="I97" s="6">
        <v>6.72</v>
      </c>
      <c r="J97" s="6">
        <v>0.36</v>
      </c>
      <c r="K97" s="6">
        <v>85.94</v>
      </c>
      <c r="L97" s="6">
        <v>26.09</v>
      </c>
      <c r="M97" s="6">
        <v>47.64</v>
      </c>
      <c r="N97" s="6">
        <v>0</v>
      </c>
      <c r="O97" s="6">
        <v>0</v>
      </c>
      <c r="P97" s="6">
        <v>0.6</v>
      </c>
      <c r="Q97" s="6">
        <v>4.72</v>
      </c>
    </row>
    <row r="98" spans="1:22" customFormat="1">
      <c r="A98" s="82">
        <v>45353.9375</v>
      </c>
      <c r="B98" s="6">
        <v>7.11</v>
      </c>
      <c r="C98" s="6">
        <v>24.79</v>
      </c>
      <c r="D98" s="6">
        <v>20.010000000000002</v>
      </c>
      <c r="E98" s="6">
        <v>8.15</v>
      </c>
      <c r="F98" s="6">
        <v>8.6999999999999993</v>
      </c>
      <c r="G98" s="6">
        <v>106.49</v>
      </c>
      <c r="H98" s="6">
        <v>37.9</v>
      </c>
      <c r="I98" s="6">
        <v>6.59</v>
      </c>
      <c r="J98" s="6">
        <v>0.45</v>
      </c>
      <c r="K98" s="6">
        <v>152.26</v>
      </c>
      <c r="L98" s="6">
        <v>26.17</v>
      </c>
      <c r="M98" s="6">
        <v>46.91</v>
      </c>
      <c r="N98" s="6">
        <v>0</v>
      </c>
      <c r="O98" s="6">
        <v>0</v>
      </c>
      <c r="P98" s="6">
        <v>0.6</v>
      </c>
      <c r="Q98" s="6">
        <v>4.72</v>
      </c>
    </row>
    <row r="99" spans="1:22" customFormat="1">
      <c r="A99" s="82">
        <v>45353.947916666664</v>
      </c>
      <c r="B99" s="6">
        <v>6.48</v>
      </c>
      <c r="C99" s="6">
        <v>23.97</v>
      </c>
      <c r="D99" s="6">
        <v>19.07</v>
      </c>
      <c r="E99" s="6">
        <v>9.35</v>
      </c>
      <c r="F99" s="6">
        <v>8.16</v>
      </c>
      <c r="G99" s="6">
        <v>106.49</v>
      </c>
      <c r="H99" s="6">
        <v>37.9</v>
      </c>
      <c r="I99" s="6">
        <v>6.48</v>
      </c>
      <c r="J99" s="6">
        <v>0.4</v>
      </c>
      <c r="K99" s="6">
        <v>148.61000000000001</v>
      </c>
      <c r="L99" s="6">
        <v>26.21</v>
      </c>
      <c r="M99" s="6">
        <v>45.44</v>
      </c>
      <c r="N99" s="6">
        <v>0</v>
      </c>
      <c r="O99" s="6">
        <v>0</v>
      </c>
      <c r="P99" s="6">
        <v>0.57999999999999996</v>
      </c>
      <c r="Q99" s="6">
        <v>4.7300000000000004</v>
      </c>
    </row>
    <row r="100" spans="1:22" customFormat="1">
      <c r="A100" s="82">
        <v>45353.958333333336</v>
      </c>
      <c r="B100" s="6">
        <v>5.95</v>
      </c>
      <c r="C100" s="6">
        <v>22.86</v>
      </c>
      <c r="D100" s="6">
        <v>18.07</v>
      </c>
      <c r="E100" s="6">
        <v>9</v>
      </c>
      <c r="F100" s="6">
        <v>9.09</v>
      </c>
      <c r="G100" s="6">
        <v>105.34</v>
      </c>
      <c r="H100" s="6">
        <v>37.32</v>
      </c>
      <c r="I100" s="6">
        <v>6.41</v>
      </c>
      <c r="J100" s="6">
        <v>0.27</v>
      </c>
      <c r="K100" s="6">
        <v>151.16999999999999</v>
      </c>
      <c r="L100" s="6">
        <v>26.31</v>
      </c>
      <c r="M100" s="6">
        <v>44.22</v>
      </c>
      <c r="N100" s="6">
        <v>0</v>
      </c>
      <c r="O100" s="6">
        <v>0</v>
      </c>
      <c r="P100" s="6">
        <v>0.56000000000000005</v>
      </c>
      <c r="Q100" s="6">
        <v>4.72</v>
      </c>
    </row>
    <row r="101" spans="1:22" customFormat="1">
      <c r="A101" s="82">
        <v>45353.96875</v>
      </c>
      <c r="B101" s="6">
        <v>5.46</v>
      </c>
      <c r="C101" s="6">
        <v>22</v>
      </c>
      <c r="D101" s="6">
        <v>17.22</v>
      </c>
      <c r="E101" s="6">
        <v>8.83</v>
      </c>
      <c r="F101" s="6">
        <v>10.29</v>
      </c>
      <c r="G101" s="6">
        <v>91.75</v>
      </c>
      <c r="H101" s="6">
        <v>31.37</v>
      </c>
      <c r="I101" s="6">
        <v>6.35</v>
      </c>
      <c r="J101" s="6">
        <v>0.28999999999999998</v>
      </c>
      <c r="K101" s="6">
        <v>163.99</v>
      </c>
      <c r="L101" s="6">
        <v>26.16</v>
      </c>
      <c r="M101" s="6">
        <v>44.56</v>
      </c>
      <c r="N101" s="6">
        <v>0</v>
      </c>
      <c r="O101" s="6">
        <v>0</v>
      </c>
      <c r="P101" s="6">
        <v>0.53</v>
      </c>
      <c r="Q101" s="6">
        <v>4.7</v>
      </c>
    </row>
    <row r="102" spans="1:22" customFormat="1">
      <c r="A102" s="82">
        <v>45353.979166666664</v>
      </c>
      <c r="B102" s="6">
        <v>5.19</v>
      </c>
      <c r="C102" s="6">
        <v>20.93</v>
      </c>
      <c r="D102" s="6">
        <v>16.45</v>
      </c>
      <c r="E102" s="6">
        <v>8.9600000000000009</v>
      </c>
      <c r="F102" s="6">
        <v>11.3</v>
      </c>
      <c r="G102" s="6">
        <v>91.75</v>
      </c>
      <c r="H102" s="6">
        <v>31.37</v>
      </c>
      <c r="I102" s="6">
        <v>6.19</v>
      </c>
      <c r="J102" s="6">
        <v>0.18</v>
      </c>
      <c r="K102" s="6">
        <v>175.61</v>
      </c>
      <c r="L102" s="6">
        <v>25.44</v>
      </c>
      <c r="M102" s="6">
        <v>48.94</v>
      </c>
      <c r="N102" s="6">
        <v>0</v>
      </c>
      <c r="O102" s="6">
        <v>0</v>
      </c>
      <c r="P102" s="6">
        <v>0.51</v>
      </c>
      <c r="Q102" s="6">
        <v>4.7</v>
      </c>
    </row>
    <row r="103" spans="1:22" customFormat="1">
      <c r="A103" s="82">
        <v>45353.989583333336</v>
      </c>
      <c r="B103" s="6">
        <v>5.21</v>
      </c>
      <c r="C103" s="6">
        <v>19.71</v>
      </c>
      <c r="D103" s="6">
        <v>15.82</v>
      </c>
      <c r="E103" s="6">
        <v>8.3699999999999992</v>
      </c>
      <c r="F103" s="6">
        <v>10.82</v>
      </c>
      <c r="G103" s="6">
        <v>91.75</v>
      </c>
      <c r="H103" s="6">
        <v>31.37</v>
      </c>
      <c r="I103" s="6">
        <v>6.06</v>
      </c>
      <c r="J103" s="6">
        <v>0.15</v>
      </c>
      <c r="K103" s="6">
        <v>173.18</v>
      </c>
      <c r="L103" s="6">
        <v>24.8</v>
      </c>
      <c r="M103" s="6">
        <v>51.11</v>
      </c>
      <c r="N103" s="6">
        <v>0</v>
      </c>
      <c r="O103" s="6">
        <v>0</v>
      </c>
      <c r="P103" s="6">
        <v>0.5</v>
      </c>
      <c r="Q103" s="6">
        <v>4.6900000000000004</v>
      </c>
    </row>
    <row r="104" spans="1:22" customFormat="1">
      <c r="A104" s="82">
        <v>45354</v>
      </c>
      <c r="B104" s="6">
        <v>5.0999999999999996</v>
      </c>
      <c r="C104" s="6">
        <v>18.97</v>
      </c>
      <c r="D104" s="6">
        <v>15.35</v>
      </c>
      <c r="E104" s="6">
        <v>8.09</v>
      </c>
      <c r="F104" s="6">
        <v>10.41</v>
      </c>
      <c r="G104" s="6">
        <v>90.48</v>
      </c>
      <c r="H104" s="6">
        <v>31.34</v>
      </c>
      <c r="I104" s="6">
        <v>5.9</v>
      </c>
      <c r="J104" s="6">
        <v>0.2</v>
      </c>
      <c r="K104" s="6">
        <v>243.01</v>
      </c>
      <c r="L104" s="6">
        <v>24.19</v>
      </c>
      <c r="M104" s="6">
        <v>56.36</v>
      </c>
      <c r="N104" s="6">
        <v>0</v>
      </c>
      <c r="O104" s="6">
        <v>0</v>
      </c>
      <c r="P104" s="6">
        <v>0.48</v>
      </c>
      <c r="Q104" s="6">
        <v>4.7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6" t="s">
        <v>48</v>
      </c>
      <c r="B106" s="187">
        <f>MIN(B9:B104)</f>
        <v>1.37</v>
      </c>
      <c r="C106" s="187">
        <f>MIN(C9:C104)</f>
        <v>13.86</v>
      </c>
      <c r="D106" s="187">
        <f t="shared" ref="D106:Q106" si="0">MIN(D9:D104)</f>
        <v>11.42</v>
      </c>
      <c r="E106" s="187">
        <f t="shared" si="0"/>
        <v>6.58</v>
      </c>
      <c r="F106" s="187">
        <f t="shared" si="0"/>
        <v>4.4000000000000004</v>
      </c>
      <c r="G106" s="187">
        <f t="shared" si="0"/>
        <v>39.25</v>
      </c>
      <c r="H106" s="187">
        <f t="shared" si="0"/>
        <v>1.94</v>
      </c>
      <c r="I106" s="187">
        <f t="shared" si="0"/>
        <v>4.21</v>
      </c>
      <c r="J106" s="187">
        <f t="shared" si="0"/>
        <v>0.09</v>
      </c>
      <c r="K106" s="187">
        <f t="shared" si="0"/>
        <v>13.11</v>
      </c>
      <c r="L106" s="187">
        <f t="shared" si="0"/>
        <v>19.329999999999998</v>
      </c>
      <c r="M106" s="187">
        <f t="shared" si="0"/>
        <v>34.04</v>
      </c>
      <c r="N106" s="187">
        <f t="shared" si="0"/>
        <v>0</v>
      </c>
      <c r="O106" s="187">
        <f t="shared" si="0"/>
        <v>0</v>
      </c>
      <c r="P106" s="187">
        <f t="shared" si="0"/>
        <v>0.4</v>
      </c>
      <c r="Q106" s="187">
        <f t="shared" si="0"/>
        <v>4.5999999999999996</v>
      </c>
      <c r="R106" s="192"/>
      <c r="S106" s="192"/>
      <c r="T106" s="192"/>
      <c r="U106" s="192"/>
    </row>
    <row r="107" spans="1:22">
      <c r="A107" s="186" t="s">
        <v>49</v>
      </c>
      <c r="B107" s="188">
        <f>MAX(B9:B104)</f>
        <v>18.45</v>
      </c>
      <c r="C107" s="188">
        <f t="shared" ref="C107:Q107" si="1">MAX(C9:C104)</f>
        <v>32.29</v>
      </c>
      <c r="D107" s="188">
        <f t="shared" si="1"/>
        <v>26.81</v>
      </c>
      <c r="E107" s="188">
        <f t="shared" si="1"/>
        <v>34.049999999999997</v>
      </c>
      <c r="F107" s="188">
        <f t="shared" si="1"/>
        <v>47.21</v>
      </c>
      <c r="G107" s="188">
        <f t="shared" si="1"/>
        <v>110.88</v>
      </c>
      <c r="H107" s="188">
        <f t="shared" si="1"/>
        <v>37.9</v>
      </c>
      <c r="I107" s="188">
        <f t="shared" si="1"/>
        <v>11.75</v>
      </c>
      <c r="J107" s="188">
        <f t="shared" si="1"/>
        <v>1.67</v>
      </c>
      <c r="K107" s="188">
        <f t="shared" si="1"/>
        <v>333.35</v>
      </c>
      <c r="L107" s="188">
        <f t="shared" si="1"/>
        <v>33.56</v>
      </c>
      <c r="M107" s="188">
        <f t="shared" si="1"/>
        <v>73.849999999999994</v>
      </c>
      <c r="N107" s="188">
        <f t="shared" si="1"/>
        <v>585.6</v>
      </c>
      <c r="O107" s="188">
        <f t="shared" si="1"/>
        <v>0</v>
      </c>
      <c r="P107" s="188">
        <f t="shared" si="1"/>
        <v>0.97</v>
      </c>
      <c r="Q107" s="188">
        <f t="shared" si="1"/>
        <v>4.79</v>
      </c>
      <c r="R107" s="193"/>
      <c r="S107" s="193"/>
      <c r="T107" s="193"/>
      <c r="U107" s="193"/>
    </row>
    <row r="108" spans="1:22">
      <c r="A108" s="186" t="s">
        <v>50</v>
      </c>
      <c r="B108" s="187">
        <f>AVERAGE(B9:B104)</f>
        <v>9.1182291666666693</v>
      </c>
      <c r="C108" s="187">
        <f t="shared" ref="C108:Q108" si="2">AVERAGE(C9:C104)</f>
        <v>20.649479166666655</v>
      </c>
      <c r="D108" s="187">
        <f t="shared" si="2"/>
        <v>19.451770833333324</v>
      </c>
      <c r="E108" s="187">
        <f t="shared" si="2"/>
        <v>12.315416666666664</v>
      </c>
      <c r="F108" s="187">
        <f t="shared" si="2"/>
        <v>11.000104166666667</v>
      </c>
      <c r="G108" s="187">
        <f t="shared" si="2"/>
        <v>73.136629213483133</v>
      </c>
      <c r="H108" s="187">
        <f t="shared" si="2"/>
        <v>24.934823529411776</v>
      </c>
      <c r="I108" s="187">
        <f t="shared" si="2"/>
        <v>7.0403125000000024</v>
      </c>
      <c r="J108" s="187">
        <f t="shared" si="2"/>
        <v>0.64406249999999987</v>
      </c>
      <c r="K108" s="187">
        <f t="shared" si="2"/>
        <v>183.99364583333332</v>
      </c>
      <c r="L108" s="187">
        <f t="shared" si="2"/>
        <v>26.425312500000015</v>
      </c>
      <c r="M108" s="187">
        <f t="shared" si="2"/>
        <v>49.497395833333321</v>
      </c>
      <c r="N108" s="187">
        <f t="shared" si="2"/>
        <v>144.52395833333333</v>
      </c>
      <c r="O108" s="187">
        <f t="shared" si="2"/>
        <v>0</v>
      </c>
      <c r="P108" s="187">
        <f t="shared" si="2"/>
        <v>0.67302083333333329</v>
      </c>
      <c r="Q108" s="187">
        <f t="shared" si="2"/>
        <v>4.709687500000002</v>
      </c>
      <c r="R108" s="192"/>
      <c r="S108" s="192"/>
      <c r="T108" s="192"/>
      <c r="U108" s="192"/>
    </row>
    <row r="109" spans="1:22">
      <c r="A109" s="186" t="s">
        <v>51</v>
      </c>
      <c r="B109" s="187">
        <f>STDEV(B9:B104)</f>
        <v>4.2572773594576612</v>
      </c>
      <c r="C109" s="187">
        <f t="shared" ref="C109:Q109" si="3">STDEV(C9:C104)</f>
        <v>4.4176782112903119</v>
      </c>
      <c r="D109" s="187">
        <f t="shared" si="3"/>
        <v>4.1130516254049354</v>
      </c>
      <c r="E109" s="187">
        <f t="shared" si="3"/>
        <v>6.0294196136272582</v>
      </c>
      <c r="F109" s="187">
        <f t="shared" si="3"/>
        <v>8.329032608866493</v>
      </c>
      <c r="G109" s="187">
        <f t="shared" si="3"/>
        <v>20.997893614264161</v>
      </c>
      <c r="H109" s="187">
        <f t="shared" si="3"/>
        <v>8.0565598252906234</v>
      </c>
      <c r="I109" s="187">
        <f t="shared" si="3"/>
        <v>1.7968384241128621</v>
      </c>
      <c r="J109" s="187">
        <f t="shared" si="3"/>
        <v>0.48617211187852116</v>
      </c>
      <c r="K109" s="187">
        <f t="shared" si="3"/>
        <v>102.37308405630637</v>
      </c>
      <c r="L109" s="187">
        <f t="shared" si="3"/>
        <v>4.5750163538677029</v>
      </c>
      <c r="M109" s="187">
        <f t="shared" si="3"/>
        <v>12.945179411233967</v>
      </c>
      <c r="N109" s="187">
        <f t="shared" si="3"/>
        <v>207.86916621293645</v>
      </c>
      <c r="O109" s="187">
        <f t="shared" si="3"/>
        <v>0</v>
      </c>
      <c r="P109" s="187">
        <f t="shared" si="3"/>
        <v>0.1473564942698791</v>
      </c>
      <c r="Q109" s="187">
        <f t="shared" si="3"/>
        <v>4.2881798985239944E-2</v>
      </c>
      <c r="R109" s="192"/>
      <c r="S109" s="192"/>
      <c r="T109" s="192"/>
      <c r="U109" s="192"/>
    </row>
    <row r="110" spans="1:22">
      <c r="A110" s="186" t="s">
        <v>52</v>
      </c>
      <c r="B110" s="188">
        <f t="shared" ref="B110:Q110" si="4">COUNT(B9:B104)</f>
        <v>96</v>
      </c>
      <c r="C110" s="188">
        <f t="shared" si="4"/>
        <v>96</v>
      </c>
      <c r="D110" s="188">
        <f t="shared" si="4"/>
        <v>96</v>
      </c>
      <c r="E110" s="188">
        <f t="shared" si="4"/>
        <v>96</v>
      </c>
      <c r="F110" s="188">
        <f t="shared" si="4"/>
        <v>96</v>
      </c>
      <c r="G110" s="188">
        <v>96</v>
      </c>
      <c r="H110" s="188">
        <v>96</v>
      </c>
      <c r="I110" s="188">
        <f t="shared" si="4"/>
        <v>96</v>
      </c>
      <c r="J110" s="188">
        <f t="shared" si="4"/>
        <v>96</v>
      </c>
      <c r="K110" s="188">
        <f t="shared" si="4"/>
        <v>96</v>
      </c>
      <c r="L110" s="188">
        <f t="shared" si="4"/>
        <v>96</v>
      </c>
      <c r="M110" s="188">
        <f t="shared" si="4"/>
        <v>96</v>
      </c>
      <c r="N110" s="188">
        <f t="shared" si="4"/>
        <v>96</v>
      </c>
      <c r="O110" s="188">
        <f t="shared" si="4"/>
        <v>96</v>
      </c>
      <c r="P110" s="188">
        <f t="shared" si="4"/>
        <v>96</v>
      </c>
      <c r="Q110" s="188">
        <f t="shared" si="4"/>
        <v>96</v>
      </c>
      <c r="R110" s="193"/>
      <c r="S110" s="193"/>
      <c r="T110" s="193"/>
      <c r="U110" s="193"/>
      <c r="V110" s="188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91"/>
      <c r="O113" s="191"/>
      <c r="P113" s="191"/>
      <c r="Q113" s="191"/>
      <c r="R113" s="191"/>
      <c r="S113" s="191"/>
      <c r="T113" s="191"/>
      <c r="U113" s="191"/>
    </row>
    <row r="115" spans="1:21">
      <c r="A115" s="153" t="s">
        <v>55</v>
      </c>
      <c r="B115" s="197" t="s">
        <v>56</v>
      </c>
      <c r="C115" s="197"/>
      <c r="D115" s="197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9" t="s">
        <v>57</v>
      </c>
      <c r="B117" s="198"/>
      <c r="C117" s="198"/>
      <c r="D117" s="198"/>
      <c r="E117" s="198"/>
      <c r="F117" s="198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45354.010416666664</v>
      </c>
      <c r="C2" s="196" t="s">
        <v>3</v>
      </c>
      <c r="D2" s="196"/>
      <c r="E2" s="196"/>
      <c r="F2" s="196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2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6" t="s">
        <v>11</v>
      </c>
      <c r="D3" s="196"/>
      <c r="E3" s="196"/>
      <c r="F3" s="196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2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6" t="s">
        <v>18</v>
      </c>
      <c r="D4" s="196"/>
      <c r="E4" s="196"/>
      <c r="F4" s="196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3" t="s">
        <v>43</v>
      </c>
      <c r="M8" s="114" t="s">
        <v>44</v>
      </c>
      <c r="N8" s="114" t="s">
        <v>45</v>
      </c>
      <c r="O8" s="183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2">
        <v>45354.010416666664</v>
      </c>
      <c r="B9" s="6">
        <v>4.04</v>
      </c>
      <c r="C9" s="6">
        <v>19.11</v>
      </c>
      <c r="D9" s="6">
        <v>14.58</v>
      </c>
      <c r="E9" s="6">
        <v>7.7</v>
      </c>
      <c r="F9" s="6">
        <v>9.39</v>
      </c>
      <c r="G9" s="6">
        <v>72.62</v>
      </c>
      <c r="H9" s="6">
        <v>31</v>
      </c>
      <c r="I9" s="6">
        <v>5.74</v>
      </c>
      <c r="J9" s="6">
        <v>0.2</v>
      </c>
      <c r="K9" s="6">
        <v>255.53</v>
      </c>
      <c r="L9" s="6">
        <v>23.78</v>
      </c>
      <c r="M9" s="6">
        <v>57.51</v>
      </c>
      <c r="N9" s="6">
        <v>0</v>
      </c>
      <c r="O9" s="6">
        <v>0</v>
      </c>
      <c r="P9" s="6">
        <v>0.47</v>
      </c>
      <c r="Q9" s="6">
        <v>4.67</v>
      </c>
    </row>
    <row r="10" spans="1:21" customFormat="1">
      <c r="A10" s="82">
        <v>45354.020833333336</v>
      </c>
      <c r="B10" s="6">
        <v>3.78</v>
      </c>
      <c r="C10" s="6">
        <v>18.36</v>
      </c>
      <c r="D10" s="6">
        <v>13.98</v>
      </c>
      <c r="E10" s="6">
        <v>7.4</v>
      </c>
      <c r="F10" s="6">
        <v>8.52</v>
      </c>
      <c r="G10" s="6">
        <v>72.62</v>
      </c>
      <c r="H10" s="6">
        <v>31</v>
      </c>
      <c r="I10" s="6">
        <v>5.65</v>
      </c>
      <c r="J10" s="6">
        <v>0.16</v>
      </c>
      <c r="K10" s="6">
        <v>216.26</v>
      </c>
      <c r="L10" s="6">
        <v>23.76</v>
      </c>
      <c r="M10" s="6">
        <v>58.11</v>
      </c>
      <c r="N10" s="6">
        <v>0</v>
      </c>
      <c r="O10" s="6">
        <v>0</v>
      </c>
      <c r="P10" s="6">
        <v>0.47</v>
      </c>
      <c r="Q10" s="6">
        <v>4.6500000000000004</v>
      </c>
    </row>
    <row r="11" spans="1:21" customFormat="1">
      <c r="A11" s="82">
        <v>45354.03125</v>
      </c>
      <c r="B11" s="6">
        <v>3.81</v>
      </c>
      <c r="C11" s="6">
        <v>17.79</v>
      </c>
      <c r="D11" s="6">
        <v>13.7</v>
      </c>
      <c r="E11" s="6">
        <v>6.77</v>
      </c>
      <c r="F11" s="6">
        <v>7.81</v>
      </c>
      <c r="G11" s="6">
        <v>72.62</v>
      </c>
      <c r="H11" s="6">
        <v>31</v>
      </c>
      <c r="I11" s="6">
        <v>5.63</v>
      </c>
      <c r="J11" s="6">
        <v>0.21</v>
      </c>
      <c r="K11" s="6">
        <v>239.19</v>
      </c>
      <c r="L11" s="6">
        <v>23.67</v>
      </c>
      <c r="M11" s="6">
        <v>61.11</v>
      </c>
      <c r="N11" s="6">
        <v>0</v>
      </c>
      <c r="O11" s="6">
        <v>0</v>
      </c>
      <c r="P11" s="6">
        <v>0.46</v>
      </c>
      <c r="Q11" s="6">
        <v>4.67</v>
      </c>
    </row>
    <row r="12" spans="1:21" customFormat="1">
      <c r="A12" s="82">
        <v>45354.041666666664</v>
      </c>
      <c r="B12" s="6">
        <v>3.87</v>
      </c>
      <c r="C12" s="6">
        <v>17.34</v>
      </c>
      <c r="D12" s="6">
        <v>13.51</v>
      </c>
      <c r="E12" s="6">
        <v>6.44</v>
      </c>
      <c r="F12" s="6">
        <v>7.83</v>
      </c>
      <c r="G12" s="6">
        <v>72.95</v>
      </c>
      <c r="H12" s="6">
        <v>30.65</v>
      </c>
      <c r="I12" s="6">
        <v>5.58</v>
      </c>
      <c r="J12" s="6">
        <v>0.19</v>
      </c>
      <c r="K12" s="6">
        <v>233.03</v>
      </c>
      <c r="L12" s="6">
        <v>23.29</v>
      </c>
      <c r="M12" s="6">
        <v>64.239999999999995</v>
      </c>
      <c r="N12" s="6">
        <v>0</v>
      </c>
      <c r="O12" s="6">
        <v>0</v>
      </c>
      <c r="P12" s="6">
        <v>0.45</v>
      </c>
      <c r="Q12" s="6">
        <v>4.67</v>
      </c>
    </row>
    <row r="13" spans="1:21" customFormat="1">
      <c r="A13" s="82">
        <v>45354.052083333336</v>
      </c>
      <c r="B13" s="6">
        <v>3.84</v>
      </c>
      <c r="C13" s="6">
        <v>17.010000000000002</v>
      </c>
      <c r="D13" s="6">
        <v>13.32</v>
      </c>
      <c r="E13" s="6">
        <v>7.05</v>
      </c>
      <c r="F13" s="6">
        <v>8.31</v>
      </c>
      <c r="G13" s="6">
        <v>76.760000000000005</v>
      </c>
      <c r="H13" s="6">
        <v>26.31</v>
      </c>
      <c r="I13" s="6">
        <v>5.49</v>
      </c>
      <c r="J13" s="6">
        <v>0.12</v>
      </c>
      <c r="K13" s="6">
        <v>194.9</v>
      </c>
      <c r="L13" s="6">
        <v>23.15</v>
      </c>
      <c r="M13" s="6">
        <v>62.34</v>
      </c>
      <c r="N13" s="6">
        <v>0</v>
      </c>
      <c r="O13" s="6">
        <v>0</v>
      </c>
      <c r="P13" s="6">
        <v>0.43</v>
      </c>
      <c r="Q13" s="6">
        <v>4.67</v>
      </c>
    </row>
    <row r="14" spans="1:21" customFormat="1">
      <c r="A14" s="82">
        <v>45354.0625</v>
      </c>
      <c r="B14" s="6">
        <v>3.93</v>
      </c>
      <c r="C14" s="6">
        <v>16.68</v>
      </c>
      <c r="D14" s="6">
        <v>13.22</v>
      </c>
      <c r="E14" s="6">
        <v>7.02</v>
      </c>
      <c r="F14" s="6">
        <v>7.84</v>
      </c>
      <c r="G14" s="6">
        <v>76.760000000000005</v>
      </c>
      <c r="H14" s="6">
        <v>26.31</v>
      </c>
      <c r="I14" s="6">
        <v>5.42</v>
      </c>
      <c r="J14" s="6">
        <v>0.11</v>
      </c>
      <c r="K14" s="6">
        <v>207.07</v>
      </c>
      <c r="L14" s="6">
        <v>23.24</v>
      </c>
      <c r="M14" s="6">
        <v>61.8</v>
      </c>
      <c r="N14" s="6">
        <v>0</v>
      </c>
      <c r="O14" s="6">
        <v>0</v>
      </c>
      <c r="P14" s="6">
        <v>0.43</v>
      </c>
      <c r="Q14" s="6">
        <v>4.7</v>
      </c>
    </row>
    <row r="15" spans="1:21" customFormat="1">
      <c r="A15" s="82">
        <v>45354.072916666664</v>
      </c>
      <c r="B15" s="6">
        <v>3.97</v>
      </c>
      <c r="C15" s="6">
        <v>16.940000000000001</v>
      </c>
      <c r="D15" s="6">
        <v>13.38</v>
      </c>
      <c r="E15" s="6">
        <v>6.78</v>
      </c>
      <c r="F15" s="6">
        <v>6.84</v>
      </c>
      <c r="G15" s="6">
        <v>76.760000000000005</v>
      </c>
      <c r="H15" s="6">
        <v>26.31</v>
      </c>
      <c r="I15" s="6">
        <v>5.34</v>
      </c>
      <c r="J15" s="6">
        <v>0.16</v>
      </c>
      <c r="K15" s="6">
        <v>247.47</v>
      </c>
      <c r="L15" s="6">
        <v>23.32</v>
      </c>
      <c r="M15" s="6">
        <v>62.64</v>
      </c>
      <c r="N15" s="6">
        <v>0</v>
      </c>
      <c r="O15" s="6">
        <v>0</v>
      </c>
      <c r="P15" s="6">
        <v>0.43</v>
      </c>
      <c r="Q15" s="6">
        <v>4.7</v>
      </c>
    </row>
    <row r="16" spans="1:21" customFormat="1">
      <c r="A16" s="82">
        <v>45354.083333333336</v>
      </c>
      <c r="B16" s="6">
        <v>4.28</v>
      </c>
      <c r="C16" s="6">
        <v>16.59</v>
      </c>
      <c r="D16" s="6">
        <v>13.45</v>
      </c>
      <c r="E16" s="6">
        <v>5.56</v>
      </c>
      <c r="F16" s="6">
        <v>6.41</v>
      </c>
      <c r="G16" s="6">
        <v>76</v>
      </c>
      <c r="H16" s="6">
        <v>26.34</v>
      </c>
      <c r="I16" s="6">
        <v>5.3</v>
      </c>
      <c r="J16" s="6">
        <v>0.11</v>
      </c>
      <c r="K16" s="6">
        <v>255.82</v>
      </c>
      <c r="L16" s="6">
        <v>23.38</v>
      </c>
      <c r="M16" s="6">
        <v>61.12</v>
      </c>
      <c r="N16" s="6">
        <v>0</v>
      </c>
      <c r="O16" s="6">
        <v>0</v>
      </c>
      <c r="P16" s="6">
        <v>0.43</v>
      </c>
      <c r="Q16" s="6">
        <v>4.68</v>
      </c>
    </row>
    <row r="17" spans="1:17" customFormat="1">
      <c r="A17" s="82">
        <v>45354.09375</v>
      </c>
      <c r="B17" s="6">
        <v>5.33</v>
      </c>
      <c r="C17" s="6">
        <v>15.82</v>
      </c>
      <c r="D17" s="6">
        <v>13.89</v>
      </c>
      <c r="E17" s="6">
        <v>4.71</v>
      </c>
      <c r="F17" s="6">
        <v>5.72</v>
      </c>
      <c r="G17" s="6">
        <v>65.42</v>
      </c>
      <c r="H17" s="6">
        <v>26.72</v>
      </c>
      <c r="I17" s="6">
        <v>5.27</v>
      </c>
      <c r="J17" s="6">
        <v>0.11</v>
      </c>
      <c r="K17" s="6">
        <v>214.88</v>
      </c>
      <c r="L17" s="6">
        <v>23.36</v>
      </c>
      <c r="M17" s="6">
        <v>61.18</v>
      </c>
      <c r="N17" s="6">
        <v>0</v>
      </c>
      <c r="O17" s="6">
        <v>0</v>
      </c>
      <c r="P17" s="6">
        <v>0.42</v>
      </c>
      <c r="Q17" s="6">
        <v>4.67</v>
      </c>
    </row>
    <row r="18" spans="1:17" customFormat="1">
      <c r="A18" s="82">
        <v>45354.104166666664</v>
      </c>
      <c r="B18" s="6">
        <v>6.11</v>
      </c>
      <c r="C18" s="6">
        <v>14.5</v>
      </c>
      <c r="D18" s="6">
        <v>13.82</v>
      </c>
      <c r="E18" s="6">
        <v>4.17</v>
      </c>
      <c r="F18" s="6">
        <v>5.24</v>
      </c>
      <c r="G18" s="6">
        <v>65.42</v>
      </c>
      <c r="H18" s="6">
        <v>26.72</v>
      </c>
      <c r="I18" s="6">
        <v>5.23</v>
      </c>
      <c r="J18" s="6">
        <v>0.24</v>
      </c>
      <c r="K18" s="6">
        <v>168.09</v>
      </c>
      <c r="L18" s="6">
        <v>22.9</v>
      </c>
      <c r="M18" s="6">
        <v>67.66</v>
      </c>
      <c r="N18" s="6">
        <v>0</v>
      </c>
      <c r="O18" s="6">
        <v>0</v>
      </c>
      <c r="P18" s="6">
        <v>0.41</v>
      </c>
      <c r="Q18" s="6">
        <v>4.66</v>
      </c>
    </row>
    <row r="19" spans="1:17" customFormat="1">
      <c r="A19" s="82">
        <v>45354.114583333336</v>
      </c>
      <c r="B19" s="6">
        <v>7.41</v>
      </c>
      <c r="C19" s="6">
        <v>14.78</v>
      </c>
      <c r="D19" s="6">
        <v>15.01</v>
      </c>
      <c r="E19" s="6">
        <v>3.66</v>
      </c>
      <c r="F19" s="6">
        <v>5.14</v>
      </c>
      <c r="G19" s="6">
        <v>65.42</v>
      </c>
      <c r="H19" s="6">
        <v>26.72</v>
      </c>
      <c r="I19" s="6">
        <v>5.3</v>
      </c>
      <c r="J19" s="6">
        <v>0.1</v>
      </c>
      <c r="K19" s="6">
        <v>119.71</v>
      </c>
      <c r="L19" s="6">
        <v>22.6</v>
      </c>
      <c r="M19" s="6">
        <v>67.17</v>
      </c>
      <c r="N19" s="6">
        <v>0</v>
      </c>
      <c r="O19" s="6">
        <v>0</v>
      </c>
      <c r="P19" s="6">
        <v>0.41</v>
      </c>
      <c r="Q19" s="6">
        <v>4.66</v>
      </c>
    </row>
    <row r="20" spans="1:17" customFormat="1">
      <c r="A20" s="82">
        <v>45354.125</v>
      </c>
      <c r="B20" s="6">
        <v>12.7</v>
      </c>
      <c r="C20" s="6">
        <v>18.829999999999998</v>
      </c>
      <c r="D20" s="6">
        <v>21.38</v>
      </c>
      <c r="E20" s="6">
        <v>3.87</v>
      </c>
      <c r="F20" s="6">
        <v>4.79</v>
      </c>
      <c r="G20" s="6">
        <v>65.78</v>
      </c>
      <c r="H20" s="6">
        <v>26.77</v>
      </c>
      <c r="I20" s="6">
        <v>5.32</v>
      </c>
      <c r="J20" s="6">
        <v>0.17</v>
      </c>
      <c r="K20" s="6">
        <v>90.71</v>
      </c>
      <c r="L20" s="6">
        <v>23.06</v>
      </c>
      <c r="M20" s="6">
        <v>62.91</v>
      </c>
      <c r="N20" s="6">
        <v>0</v>
      </c>
      <c r="O20" s="6">
        <v>0</v>
      </c>
      <c r="P20" s="6">
        <v>0.41</v>
      </c>
      <c r="Q20" s="6">
        <v>4.67</v>
      </c>
    </row>
    <row r="21" spans="1:17" customFormat="1">
      <c r="A21" s="82">
        <v>45354.135416666664</v>
      </c>
      <c r="B21" s="6">
        <v>11.65</v>
      </c>
      <c r="C21" s="6">
        <v>18.149999999999999</v>
      </c>
      <c r="D21" s="6">
        <v>20.170000000000002</v>
      </c>
      <c r="E21" s="6">
        <v>4.7</v>
      </c>
      <c r="F21" s="6">
        <v>4.93</v>
      </c>
      <c r="G21" s="6">
        <v>70.7</v>
      </c>
      <c r="H21" s="6">
        <v>27.42</v>
      </c>
      <c r="I21" s="6">
        <v>5.31</v>
      </c>
      <c r="J21" s="6">
        <v>0.08</v>
      </c>
      <c r="K21" s="6">
        <v>197.51</v>
      </c>
      <c r="L21" s="6">
        <v>22.99</v>
      </c>
      <c r="M21" s="6">
        <v>64.19</v>
      </c>
      <c r="N21" s="6">
        <v>0</v>
      </c>
      <c r="O21" s="6">
        <v>0</v>
      </c>
      <c r="P21" s="6">
        <v>0.39</v>
      </c>
      <c r="Q21" s="6">
        <v>4.71</v>
      </c>
    </row>
    <row r="22" spans="1:17" customFormat="1">
      <c r="A22" s="82">
        <v>45354.145833333336</v>
      </c>
      <c r="B22" s="6">
        <v>11.76</v>
      </c>
      <c r="C22" s="6">
        <v>18.25</v>
      </c>
      <c r="D22" s="6">
        <v>20.32</v>
      </c>
      <c r="E22" s="6">
        <v>4.43</v>
      </c>
      <c r="F22" s="6">
        <v>5.33</v>
      </c>
      <c r="G22" s="6">
        <v>70.7</v>
      </c>
      <c r="H22" s="6">
        <v>27.42</v>
      </c>
      <c r="I22" s="6">
        <v>5.31</v>
      </c>
      <c r="J22" s="6">
        <v>0.13</v>
      </c>
      <c r="K22" s="6">
        <v>10.83</v>
      </c>
      <c r="L22" s="6">
        <v>23.2</v>
      </c>
      <c r="M22" s="6">
        <v>61.94</v>
      </c>
      <c r="N22" s="6">
        <v>0</v>
      </c>
      <c r="O22" s="6">
        <v>0</v>
      </c>
      <c r="P22" s="6">
        <v>0.4</v>
      </c>
      <c r="Q22" s="6">
        <v>4.7</v>
      </c>
    </row>
    <row r="23" spans="1:17" customFormat="1">
      <c r="A23" s="82">
        <v>45354.15625</v>
      </c>
      <c r="B23" s="6">
        <v>11.12</v>
      </c>
      <c r="C23" s="6">
        <v>17.41</v>
      </c>
      <c r="D23" s="6">
        <v>19.36</v>
      </c>
      <c r="E23" s="6">
        <v>5.22</v>
      </c>
      <c r="F23" s="6">
        <v>5.88</v>
      </c>
      <c r="G23" s="6">
        <v>70.7</v>
      </c>
      <c r="H23" s="6">
        <v>27.42</v>
      </c>
      <c r="I23" s="6">
        <v>5.29</v>
      </c>
      <c r="J23" s="6">
        <v>0.41</v>
      </c>
      <c r="K23" s="6">
        <v>57.53</v>
      </c>
      <c r="L23" s="6">
        <v>23.5</v>
      </c>
      <c r="M23" s="6">
        <v>60.21</v>
      </c>
      <c r="N23" s="6">
        <v>0</v>
      </c>
      <c r="O23" s="6">
        <v>0</v>
      </c>
      <c r="P23" s="6">
        <v>0.42</v>
      </c>
      <c r="Q23" s="6">
        <v>4.71</v>
      </c>
    </row>
    <row r="24" spans="1:17" customFormat="1">
      <c r="A24" s="82">
        <v>45354.166666666664</v>
      </c>
      <c r="B24" s="6">
        <v>12.44</v>
      </c>
      <c r="C24" s="6">
        <v>19.13</v>
      </c>
      <c r="D24" s="6">
        <v>21.32</v>
      </c>
      <c r="E24" s="6">
        <v>5.67</v>
      </c>
      <c r="F24" s="6">
        <v>5.51</v>
      </c>
      <c r="G24" s="6">
        <v>70.819999999999993</v>
      </c>
      <c r="H24" s="6">
        <v>27.58</v>
      </c>
      <c r="I24" s="6">
        <v>5.29</v>
      </c>
      <c r="J24" s="6">
        <v>0.47</v>
      </c>
      <c r="K24" s="6">
        <v>54.35</v>
      </c>
      <c r="L24" s="6">
        <v>23.56</v>
      </c>
      <c r="M24" s="6">
        <v>60.23</v>
      </c>
      <c r="N24" s="6">
        <v>0</v>
      </c>
      <c r="O24" s="6">
        <v>0</v>
      </c>
      <c r="P24" s="6">
        <v>0.45</v>
      </c>
      <c r="Q24" s="6">
        <v>4.76</v>
      </c>
    </row>
    <row r="25" spans="1:17" customFormat="1">
      <c r="A25" s="82">
        <v>45354.177083333336</v>
      </c>
      <c r="B25" s="6">
        <v>12.3</v>
      </c>
      <c r="C25" s="6">
        <v>19.59</v>
      </c>
      <c r="D25" s="6">
        <v>21.45</v>
      </c>
      <c r="E25" s="6">
        <v>6.37</v>
      </c>
      <c r="F25" s="6">
        <v>6</v>
      </c>
      <c r="G25" s="6">
        <v>72.489999999999995</v>
      </c>
      <c r="H25" s="6">
        <v>29.59</v>
      </c>
      <c r="I25" s="6">
        <v>5.33</v>
      </c>
      <c r="J25" s="6">
        <v>0.57999999999999996</v>
      </c>
      <c r="K25" s="6">
        <v>42.51</v>
      </c>
      <c r="L25" s="6">
        <v>23.34</v>
      </c>
      <c r="M25" s="6">
        <v>60.5</v>
      </c>
      <c r="N25" s="6">
        <v>0</v>
      </c>
      <c r="O25" s="6">
        <v>0</v>
      </c>
      <c r="P25" s="6">
        <v>0.45</v>
      </c>
      <c r="Q25" s="6">
        <v>4.78</v>
      </c>
    </row>
    <row r="26" spans="1:17" customFormat="1">
      <c r="A26" s="82">
        <v>45354.1875</v>
      </c>
      <c r="B26" s="6">
        <v>13.25</v>
      </c>
      <c r="C26" s="6">
        <v>19.82</v>
      </c>
      <c r="D26" s="6">
        <v>22.33</v>
      </c>
      <c r="E26" s="6">
        <v>6.53</v>
      </c>
      <c r="F26" s="6">
        <v>5.97</v>
      </c>
      <c r="G26" s="6">
        <v>72.489999999999995</v>
      </c>
      <c r="H26" s="6">
        <v>29.59</v>
      </c>
      <c r="I26" s="6">
        <v>5.39</v>
      </c>
      <c r="J26" s="6">
        <v>0.54</v>
      </c>
      <c r="K26" s="6">
        <v>57.21</v>
      </c>
      <c r="L26" s="6">
        <v>23.23</v>
      </c>
      <c r="M26" s="6">
        <v>61.15</v>
      </c>
      <c r="N26" s="6">
        <v>0</v>
      </c>
      <c r="O26" s="6">
        <v>0</v>
      </c>
      <c r="P26" s="6">
        <v>0.47</v>
      </c>
      <c r="Q26" s="6">
        <v>4.78</v>
      </c>
    </row>
    <row r="27" spans="1:17" customFormat="1">
      <c r="A27" s="82">
        <v>45354.197916666664</v>
      </c>
      <c r="B27" s="6">
        <v>12.39</v>
      </c>
      <c r="C27" s="6">
        <v>20.03</v>
      </c>
      <c r="D27" s="6">
        <v>21.76</v>
      </c>
      <c r="E27" s="6">
        <v>5.94</v>
      </c>
      <c r="F27" s="6">
        <v>5.37</v>
      </c>
      <c r="G27" s="6">
        <v>72.489999999999995</v>
      </c>
      <c r="H27" s="6">
        <v>29.59</v>
      </c>
      <c r="I27" s="6">
        <v>5.47</v>
      </c>
      <c r="J27" s="6">
        <v>0.35</v>
      </c>
      <c r="K27" s="6">
        <v>30.57</v>
      </c>
      <c r="L27" s="6">
        <v>22.97</v>
      </c>
      <c r="M27" s="6">
        <v>63.11</v>
      </c>
      <c r="N27" s="6">
        <v>0</v>
      </c>
      <c r="O27" s="6">
        <v>0</v>
      </c>
      <c r="P27" s="6">
        <v>0.48</v>
      </c>
      <c r="Q27" s="6">
        <v>4.78</v>
      </c>
    </row>
    <row r="28" spans="1:17" customFormat="1">
      <c r="A28" s="82">
        <v>45354.208333333336</v>
      </c>
      <c r="B28" s="6">
        <v>12.65</v>
      </c>
      <c r="C28" s="6">
        <v>21.3</v>
      </c>
      <c r="D28" s="6">
        <v>22.63</v>
      </c>
      <c r="E28" s="6">
        <v>6.03</v>
      </c>
      <c r="F28" s="6">
        <v>4.9000000000000004</v>
      </c>
      <c r="G28" s="6">
        <v>72.650000000000006</v>
      </c>
      <c r="H28" s="6">
        <v>29.65</v>
      </c>
      <c r="I28" s="6">
        <v>5.74</v>
      </c>
      <c r="J28" s="6">
        <v>0.22</v>
      </c>
      <c r="K28" s="6">
        <v>335.32</v>
      </c>
      <c r="L28" s="6">
        <v>22.98</v>
      </c>
      <c r="M28" s="6">
        <v>63.8</v>
      </c>
      <c r="N28" s="6">
        <v>0</v>
      </c>
      <c r="O28" s="6">
        <v>0</v>
      </c>
      <c r="P28" s="6">
        <v>0.5</v>
      </c>
      <c r="Q28" s="6">
        <v>4.79</v>
      </c>
    </row>
    <row r="29" spans="1:17" customFormat="1">
      <c r="A29" s="82">
        <v>45354.21875</v>
      </c>
      <c r="B29" s="6">
        <v>13.03</v>
      </c>
      <c r="C29" s="6">
        <v>22.11</v>
      </c>
      <c r="D29" s="6">
        <v>23.35</v>
      </c>
      <c r="E29" s="6">
        <v>5.09</v>
      </c>
      <c r="F29" s="6">
        <v>4.8</v>
      </c>
      <c r="G29" s="6">
        <v>74.930000000000007</v>
      </c>
      <c r="H29" s="6">
        <v>30.31</v>
      </c>
      <c r="I29" s="6">
        <v>5.96</v>
      </c>
      <c r="J29" s="6">
        <v>0.44</v>
      </c>
      <c r="K29" s="6">
        <v>328.7</v>
      </c>
      <c r="L29" s="6">
        <v>22.96</v>
      </c>
      <c r="M29" s="6">
        <v>64.39</v>
      </c>
      <c r="N29" s="6">
        <v>0</v>
      </c>
      <c r="O29" s="6">
        <v>0</v>
      </c>
      <c r="P29" s="6">
        <v>0.52</v>
      </c>
      <c r="Q29" s="6">
        <v>4.78</v>
      </c>
    </row>
    <row r="30" spans="1:17" customFormat="1">
      <c r="A30" s="82">
        <v>45354.229166666664</v>
      </c>
      <c r="B30" s="6">
        <v>14.26</v>
      </c>
      <c r="C30" s="6">
        <v>23.12</v>
      </c>
      <c r="D30" s="6">
        <v>24.87</v>
      </c>
      <c r="E30" s="6">
        <v>5.84</v>
      </c>
      <c r="F30" s="6">
        <v>4.87</v>
      </c>
      <c r="G30" s="6">
        <v>74.930000000000007</v>
      </c>
      <c r="H30" s="6">
        <v>30.31</v>
      </c>
      <c r="I30" s="6">
        <v>6.23</v>
      </c>
      <c r="J30" s="6">
        <v>0.43</v>
      </c>
      <c r="K30" s="6">
        <v>354.19</v>
      </c>
      <c r="L30" s="6">
        <v>23.03</v>
      </c>
      <c r="M30" s="6">
        <v>65.599999999999994</v>
      </c>
      <c r="N30" s="6">
        <v>0</v>
      </c>
      <c r="O30" s="6">
        <v>0</v>
      </c>
      <c r="P30" s="6">
        <v>0.55000000000000004</v>
      </c>
      <c r="Q30" s="6">
        <v>4.8</v>
      </c>
    </row>
    <row r="31" spans="1:17" customFormat="1">
      <c r="A31" s="82">
        <v>45354.239583333336</v>
      </c>
      <c r="B31" s="6">
        <v>14.63</v>
      </c>
      <c r="C31" s="6">
        <v>23.2</v>
      </c>
      <c r="D31" s="6">
        <v>25.2</v>
      </c>
      <c r="E31" s="6">
        <v>6.72</v>
      </c>
      <c r="F31" s="6">
        <v>4.63</v>
      </c>
      <c r="G31" s="6">
        <v>74.930000000000007</v>
      </c>
      <c r="H31" s="6">
        <v>30.31</v>
      </c>
      <c r="I31" s="6">
        <v>6.42</v>
      </c>
      <c r="J31" s="6">
        <v>0.87</v>
      </c>
      <c r="K31" s="6">
        <v>326.12</v>
      </c>
      <c r="L31" s="6">
        <v>23.12</v>
      </c>
      <c r="M31" s="6">
        <v>67.12</v>
      </c>
      <c r="N31" s="6">
        <v>0</v>
      </c>
      <c r="O31" s="6">
        <v>0</v>
      </c>
      <c r="P31" s="6">
        <v>0.6</v>
      </c>
      <c r="Q31" s="6">
        <v>4.8</v>
      </c>
    </row>
    <row r="32" spans="1:17" customFormat="1">
      <c r="A32" s="82">
        <v>45354.25</v>
      </c>
      <c r="B32" s="6">
        <v>15.58</v>
      </c>
      <c r="C32" s="6">
        <v>23.91</v>
      </c>
      <c r="D32" s="6">
        <v>26.34</v>
      </c>
      <c r="E32" s="6">
        <v>9.1</v>
      </c>
      <c r="F32" s="6">
        <v>4.6399999999999997</v>
      </c>
      <c r="G32" s="6">
        <v>76.989999999999995</v>
      </c>
      <c r="H32" s="6">
        <v>31.04</v>
      </c>
      <c r="I32" s="6">
        <v>6.67</v>
      </c>
      <c r="J32" s="6">
        <v>1.03</v>
      </c>
      <c r="K32" s="6">
        <v>27.8</v>
      </c>
      <c r="L32" s="6">
        <v>22.61</v>
      </c>
      <c r="M32" s="6">
        <v>67.88</v>
      </c>
      <c r="N32" s="6">
        <v>0</v>
      </c>
      <c r="O32" s="6">
        <v>0</v>
      </c>
      <c r="P32" s="6">
        <v>0.68</v>
      </c>
      <c r="Q32" s="6">
        <v>4.8099999999999996</v>
      </c>
    </row>
    <row r="33" spans="1:17" customFormat="1">
      <c r="A33" s="82">
        <v>45354.260416666664</v>
      </c>
      <c r="B33" s="6">
        <v>15.21</v>
      </c>
      <c r="C33" s="6">
        <v>23.71</v>
      </c>
      <c r="D33" s="6">
        <v>25.94</v>
      </c>
      <c r="E33" s="6">
        <v>7.97</v>
      </c>
      <c r="F33" s="6">
        <v>4.95</v>
      </c>
      <c r="G33" s="6">
        <v>105.86</v>
      </c>
      <c r="H33" s="6">
        <v>39.86</v>
      </c>
      <c r="I33" s="6">
        <v>7.12</v>
      </c>
      <c r="J33" s="6">
        <v>0.76</v>
      </c>
      <c r="K33" s="6">
        <v>34.22</v>
      </c>
      <c r="L33" s="6">
        <v>21.98</v>
      </c>
      <c r="M33" s="6">
        <v>67.89</v>
      </c>
      <c r="N33" s="6">
        <v>0</v>
      </c>
      <c r="O33" s="6">
        <v>0</v>
      </c>
      <c r="P33" s="6">
        <v>0.66</v>
      </c>
      <c r="Q33" s="6">
        <v>4.79</v>
      </c>
    </row>
    <row r="34" spans="1:17" customFormat="1">
      <c r="A34" s="82">
        <v>45354.270833333336</v>
      </c>
      <c r="B34" s="6">
        <v>15.16</v>
      </c>
      <c r="C34" s="6">
        <v>23.79</v>
      </c>
      <c r="D34" s="6">
        <v>25.94</v>
      </c>
      <c r="E34" s="6">
        <v>6.73</v>
      </c>
      <c r="F34" s="6">
        <v>4.59</v>
      </c>
      <c r="G34" s="6">
        <v>105.86</v>
      </c>
      <c r="H34" s="6">
        <v>39.86</v>
      </c>
      <c r="I34" s="6">
        <v>7.76</v>
      </c>
      <c r="J34" s="6">
        <v>0.67</v>
      </c>
      <c r="K34" s="6">
        <v>45.69</v>
      </c>
      <c r="L34" s="6">
        <v>21.88</v>
      </c>
      <c r="M34" s="6">
        <v>68.709999999999994</v>
      </c>
      <c r="N34" s="6">
        <v>0</v>
      </c>
      <c r="O34" s="6">
        <v>0</v>
      </c>
      <c r="P34" s="6">
        <v>0.68</v>
      </c>
      <c r="Q34" s="6">
        <v>4.76</v>
      </c>
    </row>
    <row r="35" spans="1:17" customFormat="1">
      <c r="A35" s="82">
        <v>45354.28125</v>
      </c>
      <c r="B35" s="6">
        <v>16.52</v>
      </c>
      <c r="C35" s="6">
        <v>24.27</v>
      </c>
      <c r="D35" s="6">
        <v>27.28</v>
      </c>
      <c r="E35" s="6">
        <v>8.7799999999999994</v>
      </c>
      <c r="F35" s="6">
        <v>4.46</v>
      </c>
      <c r="G35" s="6">
        <v>105.86</v>
      </c>
      <c r="H35" s="6">
        <v>39.86</v>
      </c>
      <c r="I35" s="6">
        <v>7.76</v>
      </c>
      <c r="J35" s="6">
        <v>0.59</v>
      </c>
      <c r="K35" s="6">
        <v>40.79</v>
      </c>
      <c r="L35" s="6">
        <v>21.88</v>
      </c>
      <c r="M35" s="6">
        <v>67.97</v>
      </c>
      <c r="N35" s="6">
        <v>3.6</v>
      </c>
      <c r="O35" s="6">
        <v>0</v>
      </c>
      <c r="P35" s="6">
        <v>0.7</v>
      </c>
      <c r="Q35" s="6">
        <v>4.78</v>
      </c>
    </row>
    <row r="36" spans="1:17" customFormat="1">
      <c r="A36" s="82">
        <v>45354.291666666664</v>
      </c>
      <c r="B36" s="6">
        <v>17.52</v>
      </c>
      <c r="C36" s="6">
        <v>24.68</v>
      </c>
      <c r="D36" s="6">
        <v>28.3</v>
      </c>
      <c r="E36" s="6">
        <v>9.84</v>
      </c>
      <c r="F36" s="6">
        <v>4.5199999999999996</v>
      </c>
      <c r="G36" s="6">
        <v>105.67</v>
      </c>
      <c r="H36" s="6">
        <v>40.01</v>
      </c>
      <c r="I36" s="6">
        <v>7.78</v>
      </c>
      <c r="J36" s="6">
        <v>0.3</v>
      </c>
      <c r="K36" s="6">
        <v>55.81</v>
      </c>
      <c r="L36" s="6">
        <v>22.14</v>
      </c>
      <c r="M36" s="6">
        <v>64.760000000000005</v>
      </c>
      <c r="N36" s="6">
        <v>12.9</v>
      </c>
      <c r="O36" s="6">
        <v>0</v>
      </c>
      <c r="P36" s="6">
        <v>0.72</v>
      </c>
      <c r="Q36" s="6">
        <v>4.78</v>
      </c>
    </row>
    <row r="37" spans="1:17" customFormat="1">
      <c r="A37" s="82">
        <v>45354.302083333336</v>
      </c>
      <c r="B37" s="6">
        <v>18.05</v>
      </c>
      <c r="C37" s="6">
        <v>25.05</v>
      </c>
      <c r="D37" s="6">
        <v>28.91</v>
      </c>
      <c r="E37" s="6">
        <v>9.0500000000000007</v>
      </c>
      <c r="F37" s="6">
        <v>4.71</v>
      </c>
      <c r="G37" s="6">
        <v>103.08</v>
      </c>
      <c r="H37" s="6">
        <v>41.74</v>
      </c>
      <c r="I37" s="6">
        <v>7.88</v>
      </c>
      <c r="J37" s="6">
        <v>0.7</v>
      </c>
      <c r="K37" s="6">
        <v>59.24</v>
      </c>
      <c r="L37" s="6">
        <v>22.32</v>
      </c>
      <c r="M37" s="6">
        <v>63.15</v>
      </c>
      <c r="N37" s="6">
        <v>26.4</v>
      </c>
      <c r="O37" s="6">
        <v>0</v>
      </c>
      <c r="P37" s="6">
        <v>0.72</v>
      </c>
      <c r="Q37" s="6">
        <v>4.78</v>
      </c>
    </row>
    <row r="38" spans="1:17" customFormat="1">
      <c r="A38" s="82">
        <v>45354.3125</v>
      </c>
      <c r="B38" s="6">
        <v>18.399999999999999</v>
      </c>
      <c r="C38" s="6">
        <v>25.5</v>
      </c>
      <c r="D38" s="6">
        <v>29.43</v>
      </c>
      <c r="E38" s="6">
        <v>7.82</v>
      </c>
      <c r="F38" s="6">
        <v>4.7699999999999996</v>
      </c>
      <c r="G38" s="6">
        <v>103.08</v>
      </c>
      <c r="H38" s="6">
        <v>41.74</v>
      </c>
      <c r="I38" s="6">
        <v>8.15</v>
      </c>
      <c r="J38" s="6">
        <v>0.73</v>
      </c>
      <c r="K38" s="6">
        <v>59.47</v>
      </c>
      <c r="L38" s="6">
        <v>22.54</v>
      </c>
      <c r="M38" s="6">
        <v>63.02</v>
      </c>
      <c r="N38" s="6">
        <v>49.7</v>
      </c>
      <c r="O38" s="6">
        <v>0</v>
      </c>
      <c r="P38" s="6">
        <v>0.72</v>
      </c>
      <c r="Q38" s="6">
        <v>4.7699999999999996</v>
      </c>
    </row>
    <row r="39" spans="1:17" customFormat="1">
      <c r="A39" s="82">
        <v>45354.322916666664</v>
      </c>
      <c r="B39" s="6">
        <v>17.73</v>
      </c>
      <c r="C39" s="6">
        <v>25.1</v>
      </c>
      <c r="D39" s="6">
        <v>28.68</v>
      </c>
      <c r="E39" s="6">
        <v>6.89</v>
      </c>
      <c r="F39" s="6">
        <v>4.83</v>
      </c>
      <c r="G39" s="6">
        <v>103.08</v>
      </c>
      <c r="H39" s="6">
        <v>41.74</v>
      </c>
      <c r="I39" s="6">
        <v>8.3699999999999992</v>
      </c>
      <c r="J39" s="6">
        <v>1.07</v>
      </c>
      <c r="K39" s="6">
        <v>64.8</v>
      </c>
      <c r="L39" s="6">
        <v>22.8</v>
      </c>
      <c r="M39" s="6">
        <v>63.11</v>
      </c>
      <c r="N39" s="6">
        <v>77</v>
      </c>
      <c r="O39" s="6">
        <v>0</v>
      </c>
      <c r="P39" s="6">
        <v>0.71</v>
      </c>
      <c r="Q39" s="6">
        <v>4.78</v>
      </c>
    </row>
    <row r="40" spans="1:17" customFormat="1">
      <c r="A40" s="82">
        <v>45354.333333333336</v>
      </c>
      <c r="B40" s="6">
        <v>16.7</v>
      </c>
      <c r="C40" s="6">
        <v>24.99</v>
      </c>
      <c r="D40" s="6">
        <v>27.8</v>
      </c>
      <c r="E40" s="6">
        <v>7.54</v>
      </c>
      <c r="F40" s="6">
        <v>4.91</v>
      </c>
      <c r="G40" s="6">
        <v>102.59</v>
      </c>
      <c r="H40" s="6">
        <v>41.58</v>
      </c>
      <c r="I40" s="6">
        <v>8.42</v>
      </c>
      <c r="J40" s="6">
        <v>0.93</v>
      </c>
      <c r="K40" s="6">
        <v>65.760000000000005</v>
      </c>
      <c r="L40" s="6">
        <v>23.39</v>
      </c>
      <c r="M40" s="6">
        <v>61.55</v>
      </c>
      <c r="N40" s="6">
        <v>91.8</v>
      </c>
      <c r="O40" s="6">
        <v>0</v>
      </c>
      <c r="P40" s="6">
        <v>0.71</v>
      </c>
      <c r="Q40" s="6">
        <v>4.7699999999999996</v>
      </c>
    </row>
    <row r="41" spans="1:17" customFormat="1">
      <c r="A41" s="82">
        <v>45354.34375</v>
      </c>
      <c r="B41" s="6">
        <v>16.22</v>
      </c>
      <c r="C41" s="6">
        <v>25</v>
      </c>
      <c r="D41" s="6">
        <v>27.42</v>
      </c>
      <c r="E41" s="6">
        <v>8.1</v>
      </c>
      <c r="F41" s="6">
        <v>4.96</v>
      </c>
      <c r="G41" s="6">
        <v>95.79</v>
      </c>
      <c r="H41" s="6">
        <v>39.65</v>
      </c>
      <c r="I41" s="6">
        <v>8.3800000000000008</v>
      </c>
      <c r="J41" s="6">
        <v>1.03</v>
      </c>
      <c r="K41" s="6">
        <v>63.28</v>
      </c>
      <c r="L41" s="6">
        <v>24.23</v>
      </c>
      <c r="M41" s="6">
        <v>58.94</v>
      </c>
      <c r="N41" s="6">
        <v>151.80000000000001</v>
      </c>
      <c r="O41" s="6">
        <v>0</v>
      </c>
      <c r="P41" s="6">
        <v>0.7</v>
      </c>
      <c r="Q41" s="6">
        <v>4.7699999999999996</v>
      </c>
    </row>
    <row r="42" spans="1:17" customFormat="1">
      <c r="A42" s="82">
        <v>45354.354166666664</v>
      </c>
      <c r="B42" s="6">
        <v>15.71</v>
      </c>
      <c r="C42" s="6">
        <v>25.5</v>
      </c>
      <c r="D42" s="6">
        <v>27.27</v>
      </c>
      <c r="E42" s="6">
        <v>8.5399999999999991</v>
      </c>
      <c r="F42" s="6">
        <v>4.95</v>
      </c>
      <c r="G42" s="6">
        <v>95.79</v>
      </c>
      <c r="H42" s="6">
        <v>39.65</v>
      </c>
      <c r="I42" s="6">
        <v>8.3800000000000008</v>
      </c>
      <c r="J42" s="6">
        <v>1.08</v>
      </c>
      <c r="K42" s="6">
        <v>57.94</v>
      </c>
      <c r="L42" s="6">
        <v>25</v>
      </c>
      <c r="M42" s="6">
        <v>56.8</v>
      </c>
      <c r="N42" s="6">
        <v>193.9</v>
      </c>
      <c r="O42" s="6">
        <v>0</v>
      </c>
      <c r="P42" s="6">
        <v>0.7</v>
      </c>
      <c r="Q42" s="6">
        <v>4.74</v>
      </c>
    </row>
    <row r="43" spans="1:17" customFormat="1">
      <c r="A43" s="82">
        <v>45354.364583333336</v>
      </c>
      <c r="B43" s="6">
        <v>15.7</v>
      </c>
      <c r="C43" s="6">
        <v>23.27</v>
      </c>
      <c r="D43" s="6">
        <v>26.1</v>
      </c>
      <c r="E43" s="6">
        <v>9.4600000000000009</v>
      </c>
      <c r="F43" s="6">
        <v>5.93</v>
      </c>
      <c r="G43" s="6">
        <v>95.79</v>
      </c>
      <c r="H43" s="6">
        <v>39.65</v>
      </c>
      <c r="I43" s="6">
        <v>8.34</v>
      </c>
      <c r="J43" s="6">
        <v>1.1000000000000001</v>
      </c>
      <c r="K43" s="6">
        <v>67.349999999999994</v>
      </c>
      <c r="L43" s="6">
        <v>25.8</v>
      </c>
      <c r="M43" s="6">
        <v>53.92</v>
      </c>
      <c r="N43" s="6">
        <v>245.8</v>
      </c>
      <c r="O43" s="6">
        <v>0</v>
      </c>
      <c r="P43" s="6">
        <v>0.7</v>
      </c>
      <c r="Q43" s="6">
        <v>4.7300000000000004</v>
      </c>
    </row>
    <row r="44" spans="1:17" customFormat="1">
      <c r="A44" s="82">
        <v>45354.375</v>
      </c>
      <c r="B44" s="6">
        <v>15.69</v>
      </c>
      <c r="C44" s="6">
        <v>21.59</v>
      </c>
      <c r="D44" s="6">
        <v>25.21</v>
      </c>
      <c r="E44" s="6">
        <v>10.44</v>
      </c>
      <c r="F44" s="6">
        <v>6.71</v>
      </c>
      <c r="G44" s="6">
        <v>95.9</v>
      </c>
      <c r="H44" s="6">
        <v>39.56</v>
      </c>
      <c r="I44" s="6">
        <v>8.3699999999999992</v>
      </c>
      <c r="J44" s="6">
        <v>0.92</v>
      </c>
      <c r="K44" s="6">
        <v>60.78</v>
      </c>
      <c r="L44" s="6">
        <v>26.73</v>
      </c>
      <c r="M44" s="6">
        <v>51.8</v>
      </c>
      <c r="N44" s="6">
        <v>286.8</v>
      </c>
      <c r="O44" s="6">
        <v>0</v>
      </c>
      <c r="P44" s="6">
        <v>0.69</v>
      </c>
      <c r="Q44" s="6">
        <v>4.7300000000000004</v>
      </c>
    </row>
    <row r="45" spans="1:17" customFormat="1">
      <c r="A45" s="82">
        <v>45354.385416666664</v>
      </c>
      <c r="B45" s="6">
        <v>15.38</v>
      </c>
      <c r="C45" s="6">
        <v>21.34</v>
      </c>
      <c r="D45" s="6">
        <v>24.83</v>
      </c>
      <c r="E45" s="6">
        <v>10.3</v>
      </c>
      <c r="F45" s="6">
        <v>6.95</v>
      </c>
      <c r="G45" s="6">
        <v>97.47</v>
      </c>
      <c r="H45" s="6">
        <v>38.409999999999997</v>
      </c>
      <c r="I45" s="6">
        <v>8.3000000000000007</v>
      </c>
      <c r="J45" s="6">
        <v>0.79</v>
      </c>
      <c r="K45" s="6">
        <v>68.63</v>
      </c>
      <c r="L45" s="6">
        <v>27.79</v>
      </c>
      <c r="M45" s="6">
        <v>48.76</v>
      </c>
      <c r="N45" s="6">
        <v>290.7</v>
      </c>
      <c r="O45" s="6">
        <v>0</v>
      </c>
      <c r="P45" s="6">
        <v>0.69</v>
      </c>
      <c r="Q45" s="6">
        <v>4.7300000000000004</v>
      </c>
    </row>
    <row r="46" spans="1:17" customFormat="1">
      <c r="A46" s="82">
        <v>45354.395833333336</v>
      </c>
      <c r="B46" s="6">
        <v>14.16</v>
      </c>
      <c r="C46" s="6">
        <v>20.22</v>
      </c>
      <c r="D46" s="6">
        <v>23.27</v>
      </c>
      <c r="E46" s="6">
        <v>12.94</v>
      </c>
      <c r="F46" s="6">
        <v>9.26</v>
      </c>
      <c r="G46" s="6">
        <v>97.47</v>
      </c>
      <c r="H46" s="6">
        <v>38.409999999999997</v>
      </c>
      <c r="I46" s="6">
        <v>8.24</v>
      </c>
      <c r="J46" s="6">
        <v>0.33</v>
      </c>
      <c r="K46" s="6">
        <v>88.71</v>
      </c>
      <c r="L46" s="6">
        <v>28.2</v>
      </c>
      <c r="M46" s="6">
        <v>47.29</v>
      </c>
      <c r="N46" s="6">
        <v>268.5</v>
      </c>
      <c r="O46" s="6">
        <v>0</v>
      </c>
      <c r="P46" s="6">
        <v>0.67</v>
      </c>
      <c r="Q46" s="6">
        <v>4.72</v>
      </c>
    </row>
    <row r="47" spans="1:17" customFormat="1">
      <c r="A47" s="82">
        <v>45354.40625</v>
      </c>
      <c r="B47" s="6">
        <v>13.35</v>
      </c>
      <c r="C47" s="6">
        <v>20</v>
      </c>
      <c r="D47" s="6">
        <v>22.5</v>
      </c>
      <c r="E47" s="6">
        <v>7.58</v>
      </c>
      <c r="F47" s="6">
        <v>7.47</v>
      </c>
      <c r="G47" s="6">
        <v>97.47</v>
      </c>
      <c r="H47" s="6">
        <v>38.409999999999997</v>
      </c>
      <c r="I47" s="6">
        <v>8.17</v>
      </c>
      <c r="J47" s="6">
        <v>0.37</v>
      </c>
      <c r="K47" s="6">
        <v>85.73</v>
      </c>
      <c r="L47" s="6">
        <v>28.88</v>
      </c>
      <c r="M47" s="6">
        <v>44.98</v>
      </c>
      <c r="N47" s="6">
        <v>384.4</v>
      </c>
      <c r="O47" s="6">
        <v>0</v>
      </c>
      <c r="P47" s="6">
        <v>0.68</v>
      </c>
      <c r="Q47" s="6">
        <v>4.75</v>
      </c>
    </row>
    <row r="48" spans="1:17" customFormat="1">
      <c r="A48" s="82">
        <v>45354.416666666664</v>
      </c>
      <c r="B48" s="6">
        <v>12.51</v>
      </c>
      <c r="C48" s="6">
        <v>19.510000000000002</v>
      </c>
      <c r="D48" s="6">
        <v>21.58</v>
      </c>
      <c r="E48" s="6">
        <v>8.1999999999999993</v>
      </c>
      <c r="F48" s="6">
        <v>8.9</v>
      </c>
      <c r="G48" s="6">
        <v>97.32</v>
      </c>
      <c r="H48" s="6">
        <v>38.270000000000003</v>
      </c>
      <c r="I48" s="6">
        <v>7.99</v>
      </c>
      <c r="J48" s="6">
        <v>0.26</v>
      </c>
      <c r="K48" s="6">
        <v>326.27</v>
      </c>
      <c r="L48" s="6">
        <v>29.98</v>
      </c>
      <c r="M48" s="6">
        <v>42.95</v>
      </c>
      <c r="N48" s="6">
        <v>347.2</v>
      </c>
      <c r="O48" s="6">
        <v>0</v>
      </c>
      <c r="P48" s="6">
        <v>0.67</v>
      </c>
      <c r="Q48" s="6">
        <v>4.7300000000000004</v>
      </c>
    </row>
    <row r="49" spans="1:17" customFormat="1">
      <c r="A49" s="82">
        <v>45354.427083333336</v>
      </c>
      <c r="B49" s="6">
        <v>11.32</v>
      </c>
      <c r="C49" s="6">
        <v>19.670000000000002</v>
      </c>
      <c r="D49" s="6">
        <v>20.7</v>
      </c>
      <c r="E49" s="6">
        <v>9.9600000000000009</v>
      </c>
      <c r="F49" s="6">
        <v>8.0399999999999991</v>
      </c>
      <c r="G49" s="6">
        <v>95.21</v>
      </c>
      <c r="H49" s="6">
        <v>36.5</v>
      </c>
      <c r="I49" s="6">
        <v>8</v>
      </c>
      <c r="J49" s="6">
        <v>0.38</v>
      </c>
      <c r="K49" s="6">
        <v>273.52</v>
      </c>
      <c r="L49" s="6">
        <v>30.68</v>
      </c>
      <c r="M49" s="6">
        <v>41.22</v>
      </c>
      <c r="N49" s="6">
        <v>369.8</v>
      </c>
      <c r="O49" s="6">
        <v>0</v>
      </c>
      <c r="P49" s="6">
        <v>0.66</v>
      </c>
      <c r="Q49" s="6">
        <v>4.7</v>
      </c>
    </row>
    <row r="50" spans="1:17" customFormat="1">
      <c r="A50" s="82">
        <v>45354.4375</v>
      </c>
      <c r="B50" s="6">
        <v>9.11</v>
      </c>
      <c r="C50" s="6">
        <v>19.93</v>
      </c>
      <c r="D50" s="6">
        <v>19.07</v>
      </c>
      <c r="E50" s="6">
        <v>10.44</v>
      </c>
      <c r="F50" s="6">
        <v>8.7799999999999994</v>
      </c>
      <c r="G50" s="6">
        <v>95.21</v>
      </c>
      <c r="H50" s="6">
        <v>36.5</v>
      </c>
      <c r="I50" s="6">
        <v>7.82</v>
      </c>
      <c r="J50" s="6">
        <v>0.71</v>
      </c>
      <c r="K50" s="6">
        <v>265.5</v>
      </c>
      <c r="L50" s="6">
        <v>30.76</v>
      </c>
      <c r="M50" s="6">
        <v>40.869999999999997</v>
      </c>
      <c r="N50" s="6">
        <v>228.9</v>
      </c>
      <c r="O50" s="6">
        <v>0</v>
      </c>
      <c r="P50" s="6">
        <v>0.66</v>
      </c>
      <c r="Q50" s="6">
        <v>4.74</v>
      </c>
    </row>
    <row r="51" spans="1:17" customFormat="1">
      <c r="A51" s="82">
        <v>45354.447916666664</v>
      </c>
      <c r="B51" s="6">
        <v>7.35</v>
      </c>
      <c r="C51" s="6">
        <v>21.4</v>
      </c>
      <c r="D51" s="6">
        <v>18.43</v>
      </c>
      <c r="E51" s="6">
        <v>12.02</v>
      </c>
      <c r="F51" s="6">
        <v>10.31</v>
      </c>
      <c r="G51" s="6">
        <v>95.21</v>
      </c>
      <c r="H51" s="6">
        <v>36.5</v>
      </c>
      <c r="I51" s="6">
        <v>7.83</v>
      </c>
      <c r="J51" s="6">
        <v>0.57999999999999996</v>
      </c>
      <c r="K51" s="6">
        <v>306.27999999999997</v>
      </c>
      <c r="L51" s="6">
        <v>30.36</v>
      </c>
      <c r="M51" s="6">
        <v>41.39</v>
      </c>
      <c r="N51" s="6">
        <v>347.7</v>
      </c>
      <c r="O51" s="6">
        <v>0</v>
      </c>
      <c r="P51" s="6">
        <v>0.63</v>
      </c>
      <c r="Q51" s="6">
        <v>4.75</v>
      </c>
    </row>
    <row r="52" spans="1:17" customFormat="1">
      <c r="A52" s="82">
        <v>45354.458333333336</v>
      </c>
      <c r="B52" s="6">
        <v>5.69</v>
      </c>
      <c r="C52" s="6">
        <v>21.76</v>
      </c>
      <c r="D52" s="6">
        <v>17.28</v>
      </c>
      <c r="E52" s="6">
        <v>12.76</v>
      </c>
      <c r="F52" s="6">
        <v>17</v>
      </c>
      <c r="G52" s="6">
        <v>94.87</v>
      </c>
      <c r="H52" s="6">
        <v>36.32</v>
      </c>
      <c r="I52" s="6">
        <v>7.59</v>
      </c>
      <c r="J52" s="6">
        <v>0.61</v>
      </c>
      <c r="K52" s="6">
        <v>299.67</v>
      </c>
      <c r="L52" s="6">
        <v>30.97</v>
      </c>
      <c r="M52" s="6">
        <v>39.53</v>
      </c>
      <c r="N52" s="6">
        <v>512.70000000000005</v>
      </c>
      <c r="O52" s="6">
        <v>0</v>
      </c>
      <c r="P52" s="6">
        <v>0.59</v>
      </c>
      <c r="Q52" s="6">
        <v>4.7300000000000004</v>
      </c>
    </row>
    <row r="53" spans="1:17" customFormat="1">
      <c r="A53" s="82">
        <v>45354.46875</v>
      </c>
      <c r="B53" s="6">
        <v>4.3899999999999997</v>
      </c>
      <c r="C53" s="6">
        <v>21.45</v>
      </c>
      <c r="D53" s="6">
        <v>16.079999999999998</v>
      </c>
      <c r="E53" s="6">
        <v>14.42</v>
      </c>
      <c r="F53" s="6">
        <v>13.15</v>
      </c>
      <c r="G53" s="6">
        <v>90.12</v>
      </c>
      <c r="H53" s="6">
        <v>34.11</v>
      </c>
      <c r="I53" s="6">
        <v>7.39</v>
      </c>
      <c r="J53" s="6">
        <v>0.71</v>
      </c>
      <c r="K53" s="6">
        <v>282</v>
      </c>
      <c r="L53" s="6">
        <v>31.16</v>
      </c>
      <c r="M53" s="6">
        <v>39.21</v>
      </c>
      <c r="N53" s="6">
        <v>363.1</v>
      </c>
      <c r="O53" s="6">
        <v>0</v>
      </c>
      <c r="P53" s="6">
        <v>0.56999999999999995</v>
      </c>
      <c r="Q53" s="6">
        <v>4.72</v>
      </c>
    </row>
    <row r="54" spans="1:17" customFormat="1">
      <c r="A54" s="82">
        <v>45354.479166666664</v>
      </c>
      <c r="B54" s="6">
        <v>3.65</v>
      </c>
      <c r="C54" s="6">
        <v>21.16</v>
      </c>
      <c r="D54" s="6">
        <v>15.33</v>
      </c>
      <c r="E54" s="6">
        <v>13.78</v>
      </c>
      <c r="F54" s="6">
        <v>15.37</v>
      </c>
      <c r="G54" s="6">
        <v>90.12</v>
      </c>
      <c r="H54" s="6">
        <v>34.11</v>
      </c>
      <c r="I54" s="6">
        <v>7.19</v>
      </c>
      <c r="J54" s="6">
        <v>0.93</v>
      </c>
      <c r="K54" s="6">
        <v>289.25</v>
      </c>
      <c r="L54" s="6">
        <v>31.14</v>
      </c>
      <c r="M54" s="6">
        <v>39.08</v>
      </c>
      <c r="N54" s="6">
        <v>497.4</v>
      </c>
      <c r="O54" s="6">
        <v>0</v>
      </c>
      <c r="P54" s="6">
        <v>0.56999999999999995</v>
      </c>
      <c r="Q54" s="6">
        <v>4.7300000000000004</v>
      </c>
    </row>
    <row r="55" spans="1:17" customFormat="1">
      <c r="A55" s="82">
        <v>45354.489583333336</v>
      </c>
      <c r="B55" s="6">
        <v>3.41</v>
      </c>
      <c r="C55" s="6">
        <v>20.84</v>
      </c>
      <c r="D55" s="6">
        <v>14.98</v>
      </c>
      <c r="E55" s="6">
        <v>14.52</v>
      </c>
      <c r="F55" s="6">
        <v>14.09</v>
      </c>
      <c r="G55" s="6">
        <v>90.12</v>
      </c>
      <c r="H55" s="6">
        <v>34.11</v>
      </c>
      <c r="I55" s="6">
        <v>7.19</v>
      </c>
      <c r="J55" s="6">
        <v>0.96</v>
      </c>
      <c r="K55" s="6">
        <v>295.11</v>
      </c>
      <c r="L55" s="6">
        <v>30.73</v>
      </c>
      <c r="M55" s="6">
        <v>39.99</v>
      </c>
      <c r="N55" s="6">
        <v>265.7</v>
      </c>
      <c r="O55" s="6">
        <v>0</v>
      </c>
      <c r="P55" s="6">
        <v>0.57999999999999996</v>
      </c>
      <c r="Q55" s="6">
        <v>4.71</v>
      </c>
    </row>
    <row r="56" spans="1:17" customFormat="1">
      <c r="A56" s="82">
        <v>45354.5</v>
      </c>
      <c r="B56" s="6">
        <v>3.37</v>
      </c>
      <c r="C56" s="6">
        <v>20.59</v>
      </c>
      <c r="D56" s="6">
        <v>14.81</v>
      </c>
      <c r="E56" s="6">
        <v>16.149999999999999</v>
      </c>
      <c r="F56" s="6">
        <v>17.5</v>
      </c>
      <c r="G56" s="6">
        <v>89.17</v>
      </c>
      <c r="H56" s="6">
        <v>33.979999999999997</v>
      </c>
      <c r="I56" s="6">
        <v>7.22</v>
      </c>
      <c r="J56" s="6">
        <v>1.02</v>
      </c>
      <c r="K56" s="6">
        <v>303.25</v>
      </c>
      <c r="L56" s="6">
        <v>30.61</v>
      </c>
      <c r="M56" s="6">
        <v>40.090000000000003</v>
      </c>
      <c r="N56" s="6">
        <v>323.2</v>
      </c>
      <c r="O56" s="6">
        <v>0</v>
      </c>
      <c r="P56" s="6">
        <v>0.6</v>
      </c>
      <c r="Q56" s="6">
        <v>4.7</v>
      </c>
    </row>
    <row r="57" spans="1:17" customFormat="1">
      <c r="A57" s="82">
        <v>45354.510416666664</v>
      </c>
      <c r="B57" s="6">
        <v>3.31</v>
      </c>
      <c r="C57" s="6">
        <v>20.09</v>
      </c>
      <c r="D57" s="6">
        <v>14.5</v>
      </c>
      <c r="E57" s="6">
        <v>19.739999999999998</v>
      </c>
      <c r="F57" s="6">
        <v>18.41</v>
      </c>
      <c r="G57" s="6">
        <v>75.760000000000005</v>
      </c>
      <c r="H57" s="6">
        <v>32.35</v>
      </c>
      <c r="I57" s="6">
        <v>7.51</v>
      </c>
      <c r="J57" s="6">
        <v>0.46</v>
      </c>
      <c r="K57" s="6">
        <v>267.89999999999998</v>
      </c>
      <c r="L57" s="6">
        <v>31.07</v>
      </c>
      <c r="M57" s="6">
        <v>38.86</v>
      </c>
      <c r="N57" s="6">
        <v>280.8</v>
      </c>
      <c r="O57" s="6">
        <v>0</v>
      </c>
      <c r="P57" s="6">
        <v>0.61</v>
      </c>
      <c r="Q57" s="6">
        <v>4.7300000000000004</v>
      </c>
    </row>
    <row r="58" spans="1:17" customFormat="1">
      <c r="A58" s="82">
        <v>45354.520833333336</v>
      </c>
      <c r="B58" s="6">
        <v>3.23</v>
      </c>
      <c r="C58" s="6">
        <v>19.61</v>
      </c>
      <c r="D58" s="6">
        <v>14.19</v>
      </c>
      <c r="E58" s="6">
        <v>16.510000000000002</v>
      </c>
      <c r="F58" s="6">
        <v>16.71</v>
      </c>
      <c r="G58" s="6">
        <v>75.760000000000005</v>
      </c>
      <c r="H58" s="6">
        <v>32.35</v>
      </c>
      <c r="I58" s="6">
        <v>7.81</v>
      </c>
      <c r="J58" s="6">
        <v>0.61</v>
      </c>
      <c r="K58" s="6">
        <v>279.08</v>
      </c>
      <c r="L58" s="6">
        <v>31.47</v>
      </c>
      <c r="M58" s="6">
        <v>37.96</v>
      </c>
      <c r="N58" s="6">
        <v>325</v>
      </c>
      <c r="O58" s="6">
        <v>0</v>
      </c>
      <c r="P58" s="6">
        <v>0.6</v>
      </c>
      <c r="Q58" s="6">
        <v>4.7300000000000004</v>
      </c>
    </row>
    <row r="59" spans="1:17" customFormat="1">
      <c r="A59" s="82">
        <v>45354.53125</v>
      </c>
      <c r="B59" s="6">
        <v>3.22</v>
      </c>
      <c r="C59" s="6">
        <v>19.260000000000002</v>
      </c>
      <c r="D59" s="6">
        <v>14</v>
      </c>
      <c r="E59" s="6">
        <v>15.59</v>
      </c>
      <c r="F59" s="6">
        <v>17.27</v>
      </c>
      <c r="G59" s="6">
        <v>75.760000000000005</v>
      </c>
      <c r="H59" s="6">
        <v>32.35</v>
      </c>
      <c r="I59" s="6">
        <v>7.91</v>
      </c>
      <c r="J59" s="6">
        <v>0.61</v>
      </c>
      <c r="K59" s="6">
        <v>275.70999999999998</v>
      </c>
      <c r="L59" s="6">
        <v>32.049999999999997</v>
      </c>
      <c r="M59" s="6">
        <v>36.93</v>
      </c>
      <c r="N59" s="6">
        <v>458.9</v>
      </c>
      <c r="O59" s="6">
        <v>0</v>
      </c>
      <c r="P59" s="6">
        <v>0.59</v>
      </c>
      <c r="Q59" s="6">
        <v>4.71</v>
      </c>
    </row>
    <row r="60" spans="1:17" customFormat="1">
      <c r="A60" s="82">
        <v>45354.541666666664</v>
      </c>
      <c r="B60" s="6">
        <v>3.31</v>
      </c>
      <c r="C60" s="6">
        <v>18.75</v>
      </c>
      <c r="D60" s="6">
        <v>13.81</v>
      </c>
      <c r="E60" s="6">
        <v>14.26</v>
      </c>
      <c r="F60" s="6">
        <v>15.65</v>
      </c>
      <c r="G60" s="6">
        <v>75.84</v>
      </c>
      <c r="H60" s="6">
        <v>32.17</v>
      </c>
      <c r="I60" s="6">
        <v>7.83</v>
      </c>
      <c r="J60" s="6">
        <v>0.95</v>
      </c>
      <c r="K60" s="6">
        <v>301.17</v>
      </c>
      <c r="L60" s="6">
        <v>32.520000000000003</v>
      </c>
      <c r="M60" s="6">
        <v>35.58</v>
      </c>
      <c r="N60" s="6">
        <v>534.9</v>
      </c>
      <c r="O60" s="6">
        <v>0</v>
      </c>
      <c r="P60" s="6">
        <v>0.56999999999999995</v>
      </c>
      <c r="Q60" s="6">
        <v>4.72</v>
      </c>
    </row>
    <row r="61" spans="1:17" customFormat="1">
      <c r="A61" s="82">
        <v>45354.552083333336</v>
      </c>
      <c r="B61" s="6">
        <v>3.53</v>
      </c>
      <c r="C61" s="6">
        <v>18.03</v>
      </c>
      <c r="D61" s="6">
        <v>13.6</v>
      </c>
      <c r="E61" s="6">
        <v>14.93</v>
      </c>
      <c r="F61" s="6">
        <v>19.71</v>
      </c>
      <c r="G61" s="6">
        <v>76.89</v>
      </c>
      <c r="H61" s="6">
        <v>30.42</v>
      </c>
      <c r="I61" s="6">
        <v>7.73</v>
      </c>
      <c r="J61" s="6">
        <v>0.75</v>
      </c>
      <c r="K61" s="6">
        <v>285.45</v>
      </c>
      <c r="L61" s="6">
        <v>33.130000000000003</v>
      </c>
      <c r="M61" s="6">
        <v>34.32</v>
      </c>
      <c r="N61" s="6">
        <v>528.6</v>
      </c>
      <c r="O61" s="6">
        <v>0</v>
      </c>
      <c r="P61" s="6">
        <v>0.54</v>
      </c>
      <c r="Q61" s="6">
        <v>4.72</v>
      </c>
    </row>
    <row r="62" spans="1:17" customFormat="1">
      <c r="A62" s="82">
        <v>45354.5625</v>
      </c>
      <c r="B62" s="6">
        <v>3.26</v>
      </c>
      <c r="C62" s="6">
        <v>18.04</v>
      </c>
      <c r="D62" s="6">
        <v>13.39</v>
      </c>
      <c r="E62" s="6">
        <v>13.28</v>
      </c>
      <c r="F62" s="6">
        <v>14.77</v>
      </c>
      <c r="G62" s="6">
        <v>76.89</v>
      </c>
      <c r="H62" s="6">
        <v>30.42</v>
      </c>
      <c r="I62" s="6">
        <v>7.51</v>
      </c>
      <c r="J62" s="6">
        <v>0.6</v>
      </c>
      <c r="K62" s="6">
        <v>282.48</v>
      </c>
      <c r="L62" s="6">
        <v>33.090000000000003</v>
      </c>
      <c r="M62" s="6">
        <v>33.68</v>
      </c>
      <c r="N62" s="6">
        <v>508.5</v>
      </c>
      <c r="O62" s="6">
        <v>0</v>
      </c>
      <c r="P62" s="6">
        <v>0.52</v>
      </c>
      <c r="Q62" s="6">
        <v>4.7</v>
      </c>
    </row>
    <row r="63" spans="1:17" customFormat="1">
      <c r="A63" s="82">
        <v>45354.572916666664</v>
      </c>
      <c r="B63" s="6">
        <v>3.27</v>
      </c>
      <c r="C63" s="6">
        <v>17.670000000000002</v>
      </c>
      <c r="D63" s="6">
        <v>13.2</v>
      </c>
      <c r="E63" s="6">
        <v>13.15</v>
      </c>
      <c r="F63" s="6">
        <v>15.86</v>
      </c>
      <c r="G63" s="6">
        <v>76.89</v>
      </c>
      <c r="H63" s="6">
        <v>30.42</v>
      </c>
      <c r="I63" s="6">
        <v>7.04</v>
      </c>
      <c r="J63" s="6">
        <v>0.62</v>
      </c>
      <c r="K63" s="6">
        <v>272.49</v>
      </c>
      <c r="L63" s="6">
        <v>34.07</v>
      </c>
      <c r="M63" s="6">
        <v>30.4</v>
      </c>
      <c r="N63" s="6">
        <v>524.9</v>
      </c>
      <c r="O63" s="6">
        <v>0</v>
      </c>
      <c r="P63" s="6">
        <v>0.5</v>
      </c>
      <c r="Q63" s="6">
        <v>4.68</v>
      </c>
    </row>
    <row r="64" spans="1:17" customFormat="1">
      <c r="A64" s="82">
        <v>45354.583333333336</v>
      </c>
      <c r="B64" s="6">
        <v>3.41</v>
      </c>
      <c r="C64" s="6">
        <v>17.25</v>
      </c>
      <c r="D64" s="6">
        <v>13.1</v>
      </c>
      <c r="E64" s="6">
        <v>13.13</v>
      </c>
      <c r="F64" s="6">
        <v>15.08</v>
      </c>
      <c r="G64" s="6">
        <v>76.209999999999994</v>
      </c>
      <c r="H64" s="6">
        <v>30.13</v>
      </c>
      <c r="I64" s="6">
        <v>6.9</v>
      </c>
      <c r="J64" s="6">
        <v>1.22</v>
      </c>
      <c r="K64" s="6">
        <v>279.74</v>
      </c>
      <c r="L64" s="6">
        <v>33.590000000000003</v>
      </c>
      <c r="M64" s="6">
        <v>28.16</v>
      </c>
      <c r="N64" s="6">
        <v>520.79999999999995</v>
      </c>
      <c r="O64" s="6">
        <v>0</v>
      </c>
      <c r="P64" s="6">
        <v>0.47</v>
      </c>
      <c r="Q64" s="6">
        <v>4.68</v>
      </c>
    </row>
    <row r="65" spans="1:17" customFormat="1">
      <c r="A65" s="82">
        <v>45354.59375</v>
      </c>
      <c r="B65" s="6">
        <v>3.43</v>
      </c>
      <c r="C65" s="6">
        <v>16.7</v>
      </c>
      <c r="D65" s="6">
        <v>12.82</v>
      </c>
      <c r="E65" s="6">
        <v>13.78</v>
      </c>
      <c r="F65" s="6">
        <v>14.86</v>
      </c>
      <c r="G65" s="6">
        <v>66.64</v>
      </c>
      <c r="H65" s="6">
        <v>26.62</v>
      </c>
      <c r="I65" s="6">
        <v>6.54</v>
      </c>
      <c r="J65" s="6">
        <v>1.1000000000000001</v>
      </c>
      <c r="K65" s="6">
        <v>277.02999999999997</v>
      </c>
      <c r="L65" s="6">
        <v>33.619999999999997</v>
      </c>
      <c r="M65" s="6">
        <v>27.89</v>
      </c>
      <c r="N65" s="6">
        <v>515.29999999999995</v>
      </c>
      <c r="O65" s="6">
        <v>0</v>
      </c>
      <c r="P65" s="6">
        <v>0.55000000000000004</v>
      </c>
      <c r="Q65" s="6">
        <v>4.6900000000000004</v>
      </c>
    </row>
    <row r="66" spans="1:17" customFormat="1">
      <c r="A66" s="82">
        <v>45354.604166666664</v>
      </c>
      <c r="B66" s="6">
        <v>3.39</v>
      </c>
      <c r="C66" s="6">
        <v>16.77</v>
      </c>
      <c r="D66" s="6">
        <v>12.83</v>
      </c>
      <c r="E66" s="6">
        <v>12.73</v>
      </c>
      <c r="F66" s="6">
        <v>14.64</v>
      </c>
      <c r="G66" s="6">
        <v>66.64</v>
      </c>
      <c r="H66" s="6">
        <v>26.62</v>
      </c>
      <c r="I66" s="6">
        <v>6.06</v>
      </c>
      <c r="J66" s="6">
        <v>0.98</v>
      </c>
      <c r="K66" s="6">
        <v>261.18</v>
      </c>
      <c r="L66" s="6">
        <v>34</v>
      </c>
      <c r="M66" s="6">
        <v>26.66</v>
      </c>
      <c r="N66" s="6">
        <v>474.5</v>
      </c>
      <c r="O66" s="6">
        <v>0</v>
      </c>
      <c r="P66" s="6">
        <v>0.56000000000000005</v>
      </c>
      <c r="Q66" s="6">
        <v>4.7</v>
      </c>
    </row>
    <row r="67" spans="1:17" customFormat="1">
      <c r="A67" s="82">
        <v>45354.614583333336</v>
      </c>
      <c r="B67" s="6">
        <v>3.4</v>
      </c>
      <c r="C67" s="6">
        <v>16.73</v>
      </c>
      <c r="D67" s="6">
        <v>12.82</v>
      </c>
      <c r="E67" s="6">
        <v>13</v>
      </c>
      <c r="F67" s="6">
        <v>13.86</v>
      </c>
      <c r="G67" s="6">
        <v>66.64</v>
      </c>
      <c r="H67" s="6">
        <v>26.62</v>
      </c>
      <c r="I67" s="6">
        <v>5.72</v>
      </c>
      <c r="J67" s="6">
        <v>1.18</v>
      </c>
      <c r="K67" s="6">
        <v>276.92</v>
      </c>
      <c r="L67" s="6">
        <v>33.71</v>
      </c>
      <c r="M67" s="6">
        <v>26.83</v>
      </c>
      <c r="N67" s="6">
        <v>444.4</v>
      </c>
      <c r="O67" s="6">
        <v>0</v>
      </c>
      <c r="P67" s="6">
        <v>0.54</v>
      </c>
      <c r="Q67" s="6">
        <v>4.7</v>
      </c>
    </row>
    <row r="68" spans="1:17" customFormat="1">
      <c r="A68" s="82">
        <v>45354.625</v>
      </c>
      <c r="B68" s="6">
        <v>3.5</v>
      </c>
      <c r="C68" s="6">
        <v>16.23</v>
      </c>
      <c r="D68" s="6">
        <v>12.64</v>
      </c>
      <c r="E68" s="6">
        <v>13.87</v>
      </c>
      <c r="F68" s="6">
        <v>16.59</v>
      </c>
      <c r="G68" s="6">
        <v>66.02</v>
      </c>
      <c r="H68" s="6">
        <v>26.35</v>
      </c>
      <c r="I68" s="6">
        <v>5.6</v>
      </c>
      <c r="J68" s="6">
        <v>1.31</v>
      </c>
      <c r="K68" s="6">
        <v>285.67</v>
      </c>
      <c r="L68" s="6">
        <v>33.58</v>
      </c>
      <c r="M68" s="6">
        <v>26.64</v>
      </c>
      <c r="N68" s="6">
        <v>292.60000000000002</v>
      </c>
      <c r="O68" s="6">
        <v>0</v>
      </c>
      <c r="P68" s="6">
        <v>0.5</v>
      </c>
      <c r="Q68" s="6">
        <v>4.68</v>
      </c>
    </row>
    <row r="69" spans="1:17" customFormat="1">
      <c r="A69" s="82">
        <v>45354.635416666664</v>
      </c>
      <c r="B69" s="6">
        <v>3.56</v>
      </c>
      <c r="C69" s="6">
        <v>15.08</v>
      </c>
      <c r="D69" s="6">
        <v>12.09</v>
      </c>
      <c r="E69" s="6">
        <v>13.11</v>
      </c>
      <c r="F69" s="6">
        <v>18.440000000000001</v>
      </c>
      <c r="G69" s="6">
        <v>57.41</v>
      </c>
      <c r="H69" s="6">
        <v>23.09</v>
      </c>
      <c r="I69" s="6">
        <v>5.22</v>
      </c>
      <c r="J69" s="6">
        <v>0.84</v>
      </c>
      <c r="K69" s="6">
        <v>271.52999999999997</v>
      </c>
      <c r="L69" s="6">
        <v>33.49</v>
      </c>
      <c r="M69" s="6">
        <v>26.93</v>
      </c>
      <c r="N69" s="6">
        <v>178.2</v>
      </c>
      <c r="O69" s="6">
        <v>0</v>
      </c>
      <c r="P69" s="6">
        <v>0.49</v>
      </c>
      <c r="Q69" s="6">
        <v>4.67</v>
      </c>
    </row>
    <row r="70" spans="1:17" customFormat="1">
      <c r="A70" s="82">
        <v>45354.645833333336</v>
      </c>
      <c r="B70" s="6">
        <v>3.5</v>
      </c>
      <c r="C70" s="6">
        <v>14.24</v>
      </c>
      <c r="D70" s="6">
        <v>11.6</v>
      </c>
      <c r="E70" s="6">
        <v>12.17</v>
      </c>
      <c r="F70" s="6">
        <v>16.920000000000002</v>
      </c>
      <c r="G70" s="6">
        <v>57.41</v>
      </c>
      <c r="H70" s="6">
        <v>23.09</v>
      </c>
      <c r="I70" s="6">
        <v>4.82</v>
      </c>
      <c r="J70" s="6">
        <v>0.76</v>
      </c>
      <c r="K70" s="6">
        <v>275.55</v>
      </c>
      <c r="L70" s="6">
        <v>33.47</v>
      </c>
      <c r="M70" s="6">
        <v>27.16</v>
      </c>
      <c r="N70" s="6">
        <v>127.5</v>
      </c>
      <c r="O70" s="6">
        <v>0</v>
      </c>
      <c r="P70" s="6">
        <v>0.5</v>
      </c>
      <c r="Q70" s="6">
        <v>4.6500000000000004</v>
      </c>
    </row>
    <row r="71" spans="1:17" customFormat="1">
      <c r="A71" s="82">
        <v>45354.65625</v>
      </c>
      <c r="B71" s="6">
        <v>3.71</v>
      </c>
      <c r="C71" s="6">
        <v>13.89</v>
      </c>
      <c r="D71" s="6">
        <v>11.59</v>
      </c>
      <c r="E71" s="6">
        <v>11.99</v>
      </c>
      <c r="F71" s="6">
        <v>14.77</v>
      </c>
      <c r="G71" s="6">
        <v>57.41</v>
      </c>
      <c r="H71" s="6">
        <v>23.09</v>
      </c>
      <c r="I71" s="6">
        <v>4.5999999999999996</v>
      </c>
      <c r="J71" s="6">
        <v>0.77</v>
      </c>
      <c r="K71" s="6">
        <v>271.99</v>
      </c>
      <c r="L71" s="6">
        <v>33.46</v>
      </c>
      <c r="M71" s="6">
        <v>27.07</v>
      </c>
      <c r="N71" s="6">
        <v>170.6</v>
      </c>
      <c r="O71" s="6">
        <v>0</v>
      </c>
      <c r="P71" s="6">
        <v>0.51</v>
      </c>
      <c r="Q71" s="6">
        <v>4.6399999999999997</v>
      </c>
    </row>
    <row r="72" spans="1:17" customFormat="1">
      <c r="A72" s="82">
        <v>45354.666666666664</v>
      </c>
      <c r="B72" s="6">
        <v>3.83</v>
      </c>
      <c r="C72" s="6">
        <v>13.46</v>
      </c>
      <c r="D72" s="6">
        <v>11.46</v>
      </c>
      <c r="E72" s="6">
        <v>11.12</v>
      </c>
      <c r="F72" s="6">
        <v>14.9</v>
      </c>
      <c r="G72" s="6">
        <v>56.51</v>
      </c>
      <c r="H72" s="6">
        <v>22.85</v>
      </c>
      <c r="I72" s="6">
        <v>4.5199999999999996</v>
      </c>
      <c r="J72" s="6">
        <v>0.76</v>
      </c>
      <c r="K72" s="6">
        <v>267.2</v>
      </c>
      <c r="L72" s="6">
        <v>33.450000000000003</v>
      </c>
      <c r="M72" s="6">
        <v>27.2</v>
      </c>
      <c r="N72" s="6">
        <v>177.9</v>
      </c>
      <c r="O72" s="6">
        <v>0</v>
      </c>
      <c r="P72" s="6">
        <v>0.52</v>
      </c>
      <c r="Q72" s="6">
        <v>4.6500000000000004</v>
      </c>
    </row>
    <row r="73" spans="1:17" customFormat="1">
      <c r="A73" s="82">
        <v>45354.677083333336</v>
      </c>
      <c r="B73" s="6">
        <v>3.92</v>
      </c>
      <c r="C73" s="6">
        <v>13.22</v>
      </c>
      <c r="D73" s="6">
        <v>11.4</v>
      </c>
      <c r="E73" s="6">
        <v>11.74</v>
      </c>
      <c r="F73" s="6">
        <v>15.94</v>
      </c>
      <c r="G73" s="6">
        <v>43.99</v>
      </c>
      <c r="H73" s="6">
        <v>20.38</v>
      </c>
      <c r="I73" s="6">
        <v>4.49</v>
      </c>
      <c r="J73" s="6">
        <v>0.56000000000000005</v>
      </c>
      <c r="K73" s="6">
        <v>270.41000000000003</v>
      </c>
      <c r="L73" s="6">
        <v>33.29</v>
      </c>
      <c r="M73" s="6">
        <v>28.22</v>
      </c>
      <c r="N73" s="6">
        <v>204.5</v>
      </c>
      <c r="O73" s="6">
        <v>0</v>
      </c>
      <c r="P73" s="6">
        <v>0.51</v>
      </c>
      <c r="Q73" s="6">
        <v>4.6399999999999997</v>
      </c>
    </row>
    <row r="74" spans="1:17" customFormat="1">
      <c r="A74" s="82">
        <v>45354.6875</v>
      </c>
      <c r="B74" s="6">
        <v>4.08</v>
      </c>
      <c r="C74" s="6">
        <v>13.63</v>
      </c>
      <c r="D74" s="6">
        <v>11.75</v>
      </c>
      <c r="E74" s="6">
        <v>11.21</v>
      </c>
      <c r="F74" s="6">
        <v>15.23</v>
      </c>
      <c r="G74" s="6">
        <v>43.99</v>
      </c>
      <c r="H74" s="6">
        <v>20.38</v>
      </c>
      <c r="I74" s="6">
        <v>4.4400000000000004</v>
      </c>
      <c r="J74" s="6">
        <v>0.82</v>
      </c>
      <c r="K74" s="6">
        <v>290.95</v>
      </c>
      <c r="L74" s="6">
        <v>33.31</v>
      </c>
      <c r="M74" s="6">
        <v>27.83</v>
      </c>
      <c r="N74" s="6">
        <v>163.5</v>
      </c>
      <c r="O74" s="6">
        <v>0</v>
      </c>
      <c r="P74" s="6">
        <v>0.53</v>
      </c>
      <c r="Q74" s="6">
        <v>4.62</v>
      </c>
    </row>
    <row r="75" spans="1:17" customFormat="1">
      <c r="A75" s="82">
        <v>45354.697916666664</v>
      </c>
      <c r="B75" s="6">
        <v>3.85</v>
      </c>
      <c r="C75" s="6">
        <v>13.63</v>
      </c>
      <c r="D75" s="6">
        <v>11.56</v>
      </c>
      <c r="E75" s="6">
        <v>11.23</v>
      </c>
      <c r="F75" s="6">
        <v>16.440000000000001</v>
      </c>
      <c r="G75" s="6">
        <v>43.99</v>
      </c>
      <c r="H75" s="6">
        <v>20.38</v>
      </c>
      <c r="I75" s="6">
        <v>4.3</v>
      </c>
      <c r="J75" s="6">
        <v>0.33</v>
      </c>
      <c r="K75" s="6">
        <v>237.67</v>
      </c>
      <c r="L75" s="6">
        <v>33</v>
      </c>
      <c r="M75" s="6">
        <v>29.45</v>
      </c>
      <c r="N75" s="6">
        <v>129.4</v>
      </c>
      <c r="O75" s="6">
        <v>0</v>
      </c>
      <c r="P75" s="6">
        <v>0.51</v>
      </c>
      <c r="Q75" s="6">
        <v>4.62</v>
      </c>
    </row>
    <row r="76" spans="1:17" customFormat="1">
      <c r="A76" s="82">
        <v>45354.708333333336</v>
      </c>
      <c r="B76" s="6">
        <v>3.78</v>
      </c>
      <c r="C76" s="6">
        <v>12.78</v>
      </c>
      <c r="D76" s="6">
        <v>11.06</v>
      </c>
      <c r="E76" s="6">
        <v>12.18</v>
      </c>
      <c r="F76" s="6">
        <v>24.51</v>
      </c>
      <c r="G76" s="6">
        <v>44.38</v>
      </c>
      <c r="H76" s="6">
        <v>20.49</v>
      </c>
      <c r="I76" s="6">
        <v>4.37</v>
      </c>
      <c r="J76" s="6">
        <v>0.27</v>
      </c>
      <c r="K76" s="6">
        <v>244.2</v>
      </c>
      <c r="L76" s="6">
        <v>33.07</v>
      </c>
      <c r="M76" s="6">
        <v>30.77</v>
      </c>
      <c r="N76" s="6">
        <v>99.5</v>
      </c>
      <c r="O76" s="6">
        <v>0</v>
      </c>
      <c r="P76" s="6">
        <v>0.51</v>
      </c>
      <c r="Q76" s="6">
        <v>4.6500000000000004</v>
      </c>
    </row>
    <row r="77" spans="1:17" customFormat="1">
      <c r="A77" s="82">
        <v>45354.71875</v>
      </c>
      <c r="B77" s="6">
        <v>3.55</v>
      </c>
      <c r="C77" s="6">
        <v>11.01</v>
      </c>
      <c r="D77" s="6">
        <v>9.9499999999999993</v>
      </c>
      <c r="E77" s="6">
        <v>12.46</v>
      </c>
      <c r="F77" s="6">
        <v>30.59</v>
      </c>
      <c r="G77" s="6">
        <v>49.9</v>
      </c>
      <c r="H77" s="6">
        <v>21.57</v>
      </c>
      <c r="I77" s="6">
        <v>4.26</v>
      </c>
      <c r="J77" s="6">
        <v>0.15</v>
      </c>
      <c r="K77" s="6">
        <v>243.77</v>
      </c>
      <c r="L77" s="6">
        <v>32.89</v>
      </c>
      <c r="M77" s="6">
        <v>31.64</v>
      </c>
      <c r="N77" s="6">
        <v>52.4</v>
      </c>
      <c r="O77" s="6">
        <v>0</v>
      </c>
      <c r="P77" s="6">
        <v>0.47</v>
      </c>
      <c r="Q77" s="6">
        <v>4.67</v>
      </c>
    </row>
    <row r="78" spans="1:17" customFormat="1">
      <c r="A78" s="82">
        <v>45354.729166666664</v>
      </c>
      <c r="B78" s="6">
        <v>3.13</v>
      </c>
      <c r="C78" s="6">
        <v>11.28</v>
      </c>
      <c r="D78" s="6">
        <v>9.76</v>
      </c>
      <c r="E78" s="6">
        <v>13.71</v>
      </c>
      <c r="F78" s="6">
        <v>34.119999999999997</v>
      </c>
      <c r="G78" s="6">
        <v>49.9</v>
      </c>
      <c r="H78" s="6">
        <v>21.57</v>
      </c>
      <c r="I78" s="6">
        <v>3.97</v>
      </c>
      <c r="J78" s="6">
        <v>0.19</v>
      </c>
      <c r="K78" s="6">
        <v>232.45</v>
      </c>
      <c r="L78" s="6">
        <v>32.08</v>
      </c>
      <c r="M78" s="6">
        <v>33.630000000000003</v>
      </c>
      <c r="N78" s="6">
        <v>19.899999999999999</v>
      </c>
      <c r="O78" s="6">
        <v>0</v>
      </c>
      <c r="P78" s="6">
        <v>0.43</v>
      </c>
      <c r="Q78" s="6">
        <v>4.6900000000000004</v>
      </c>
    </row>
    <row r="79" spans="1:17" customFormat="1">
      <c r="A79" s="82">
        <v>45354.739583333336</v>
      </c>
      <c r="B79" s="6">
        <v>2.95</v>
      </c>
      <c r="C79" s="6">
        <v>11.97</v>
      </c>
      <c r="D79" s="6">
        <v>9.98</v>
      </c>
      <c r="E79" s="6">
        <v>16.18</v>
      </c>
      <c r="F79" s="6">
        <v>31.69</v>
      </c>
      <c r="G79" s="6">
        <v>49.9</v>
      </c>
      <c r="H79" s="6">
        <v>21.57</v>
      </c>
      <c r="I79" s="6">
        <v>3.61</v>
      </c>
      <c r="J79" s="6">
        <v>0.25</v>
      </c>
      <c r="K79" s="6">
        <v>241.47</v>
      </c>
      <c r="L79" s="6">
        <v>31.33</v>
      </c>
      <c r="M79" s="6">
        <v>35.89</v>
      </c>
      <c r="N79" s="6">
        <v>5.6</v>
      </c>
      <c r="O79" s="6">
        <v>0</v>
      </c>
      <c r="P79" s="6">
        <v>0.43</v>
      </c>
      <c r="Q79" s="6">
        <v>4.7</v>
      </c>
    </row>
    <row r="80" spans="1:17" customFormat="1">
      <c r="A80" s="82">
        <v>45354.75</v>
      </c>
      <c r="B80" s="6">
        <v>2.93</v>
      </c>
      <c r="C80" s="6">
        <v>13.3</v>
      </c>
      <c r="D80" s="6">
        <v>10.65</v>
      </c>
      <c r="E80" s="6">
        <v>20.420000000000002</v>
      </c>
      <c r="F80" s="6">
        <v>27.24</v>
      </c>
      <c r="G80" s="6">
        <v>50.01</v>
      </c>
      <c r="H80" s="6">
        <v>21.58</v>
      </c>
      <c r="I80" s="6">
        <v>3.51</v>
      </c>
      <c r="J80" s="6">
        <v>0.27</v>
      </c>
      <c r="K80" s="6">
        <v>248.52</v>
      </c>
      <c r="L80" s="6">
        <v>30.74</v>
      </c>
      <c r="M80" s="6">
        <v>37.159999999999997</v>
      </c>
      <c r="N80" s="6">
        <v>0</v>
      </c>
      <c r="O80" s="6">
        <v>0</v>
      </c>
      <c r="P80" s="6">
        <v>0.46</v>
      </c>
      <c r="Q80" s="6">
        <v>4.6900000000000004</v>
      </c>
    </row>
    <row r="81" spans="1:17" customFormat="1">
      <c r="A81" s="82">
        <v>45354.760416666664</v>
      </c>
      <c r="B81" s="6">
        <v>2.96</v>
      </c>
      <c r="C81" s="6">
        <v>15.23</v>
      </c>
      <c r="D81" s="6">
        <v>11.68</v>
      </c>
      <c r="E81" s="6">
        <v>13.72</v>
      </c>
      <c r="F81" s="6">
        <v>23.8</v>
      </c>
      <c r="G81" s="6">
        <v>51.37</v>
      </c>
      <c r="H81" s="6">
        <v>21.75</v>
      </c>
      <c r="I81" s="6">
        <v>3.62</v>
      </c>
      <c r="J81" s="6">
        <v>0.24</v>
      </c>
      <c r="K81" s="6">
        <v>222.15</v>
      </c>
      <c r="L81" s="6">
        <v>30.52</v>
      </c>
      <c r="M81" s="6">
        <v>38.74</v>
      </c>
      <c r="N81" s="6">
        <v>0</v>
      </c>
      <c r="O81" s="6">
        <v>0</v>
      </c>
      <c r="P81" s="6">
        <v>0.48</v>
      </c>
      <c r="Q81" s="6">
        <v>4.67</v>
      </c>
    </row>
    <row r="82" spans="1:17" customFormat="1">
      <c r="A82" s="82">
        <v>45354.770833333336</v>
      </c>
      <c r="B82" s="6">
        <v>3.08</v>
      </c>
      <c r="C82" s="6">
        <v>16.7</v>
      </c>
      <c r="D82" s="6">
        <v>12.55</v>
      </c>
      <c r="E82" s="6">
        <v>12.58</v>
      </c>
      <c r="F82" s="6">
        <v>17.75</v>
      </c>
      <c r="G82" s="6">
        <v>51.37</v>
      </c>
      <c r="H82" s="6">
        <v>21.75</v>
      </c>
      <c r="I82" s="6">
        <v>3.93</v>
      </c>
      <c r="J82" s="6">
        <v>0.28000000000000003</v>
      </c>
      <c r="K82" s="6">
        <v>194.85</v>
      </c>
      <c r="L82" s="6">
        <v>29.67</v>
      </c>
      <c r="M82" s="6">
        <v>48.03</v>
      </c>
      <c r="N82" s="6">
        <v>0</v>
      </c>
      <c r="O82" s="6">
        <v>0</v>
      </c>
      <c r="P82" s="6">
        <v>0.51</v>
      </c>
      <c r="Q82" s="6">
        <v>4.68</v>
      </c>
    </row>
    <row r="83" spans="1:17" customFormat="1">
      <c r="A83" s="82">
        <v>45354.78125</v>
      </c>
      <c r="B83" s="6">
        <v>3.21</v>
      </c>
      <c r="C83" s="6">
        <v>15.63</v>
      </c>
      <c r="D83" s="6">
        <v>12.09</v>
      </c>
      <c r="E83" s="6">
        <v>11.73</v>
      </c>
      <c r="F83" s="6">
        <v>19.170000000000002</v>
      </c>
      <c r="G83" s="6">
        <v>51.37</v>
      </c>
      <c r="H83" s="6">
        <v>21.75</v>
      </c>
      <c r="I83" s="6">
        <v>4.2</v>
      </c>
      <c r="J83" s="6">
        <v>0.2</v>
      </c>
      <c r="K83" s="6">
        <v>187.1</v>
      </c>
      <c r="L83" s="6">
        <v>28.93</v>
      </c>
      <c r="M83" s="6">
        <v>49.76</v>
      </c>
      <c r="N83" s="6">
        <v>0</v>
      </c>
      <c r="O83" s="6">
        <v>0</v>
      </c>
      <c r="P83" s="6">
        <v>0.52</v>
      </c>
      <c r="Q83" s="6">
        <v>4.6900000000000004</v>
      </c>
    </row>
    <row r="84" spans="1:17" customFormat="1">
      <c r="A84" s="82">
        <v>45354.791666666664</v>
      </c>
      <c r="B84" s="6">
        <v>3.29</v>
      </c>
      <c r="C84" s="6">
        <v>15.62</v>
      </c>
      <c r="D84" s="6">
        <v>12.15</v>
      </c>
      <c r="E84" s="6">
        <v>10.88</v>
      </c>
      <c r="F84" s="6">
        <v>16.82</v>
      </c>
      <c r="G84" s="6">
        <v>50.83</v>
      </c>
      <c r="H84" s="6">
        <v>21.6</v>
      </c>
      <c r="I84" s="6">
        <v>4.62</v>
      </c>
      <c r="J84" s="6">
        <v>0.22</v>
      </c>
      <c r="K84" s="6">
        <v>172.86</v>
      </c>
      <c r="L84" s="6">
        <v>28.3</v>
      </c>
      <c r="M84" s="6">
        <v>53.63</v>
      </c>
      <c r="N84" s="6">
        <v>0</v>
      </c>
      <c r="O84" s="6">
        <v>0</v>
      </c>
      <c r="P84" s="6">
        <v>0.55000000000000004</v>
      </c>
      <c r="Q84" s="6">
        <v>4.7</v>
      </c>
    </row>
    <row r="85" spans="1:17" customFormat="1">
      <c r="A85" s="82">
        <v>45354.802083333336</v>
      </c>
      <c r="B85" s="6">
        <v>3.3</v>
      </c>
      <c r="C85" s="6">
        <v>16.03</v>
      </c>
      <c r="D85" s="6">
        <v>12.37</v>
      </c>
      <c r="E85" s="6">
        <v>10.16</v>
      </c>
      <c r="F85" s="6">
        <v>12.5</v>
      </c>
      <c r="G85" s="6">
        <v>44.34</v>
      </c>
      <c r="H85" s="6">
        <v>19.79</v>
      </c>
      <c r="I85" s="6">
        <v>4.46</v>
      </c>
      <c r="J85" s="6">
        <v>0.23</v>
      </c>
      <c r="K85" s="6">
        <v>183.77</v>
      </c>
      <c r="L85" s="6">
        <v>28.04</v>
      </c>
      <c r="M85" s="6">
        <v>56.93</v>
      </c>
      <c r="N85" s="6">
        <v>0</v>
      </c>
      <c r="O85" s="6">
        <v>0</v>
      </c>
      <c r="P85" s="6">
        <v>0.56000000000000005</v>
      </c>
      <c r="Q85" s="6">
        <v>4.6900000000000004</v>
      </c>
    </row>
    <row r="86" spans="1:17" customFormat="1">
      <c r="A86" s="82">
        <v>45354.8125</v>
      </c>
      <c r="B86" s="6">
        <v>3.45</v>
      </c>
      <c r="C86" s="6">
        <v>16.899999999999999</v>
      </c>
      <c r="D86" s="6">
        <v>12.95</v>
      </c>
      <c r="E86" s="6">
        <v>10.47</v>
      </c>
      <c r="F86" s="6">
        <v>11.96</v>
      </c>
      <c r="G86" s="6">
        <v>44.34</v>
      </c>
      <c r="H86" s="6">
        <v>19.79</v>
      </c>
      <c r="I86" s="6">
        <v>4.72</v>
      </c>
      <c r="J86" s="6">
        <v>0.24</v>
      </c>
      <c r="K86" s="6">
        <v>174.26</v>
      </c>
      <c r="L86" s="6">
        <v>27.59</v>
      </c>
      <c r="M86" s="6">
        <v>55.43</v>
      </c>
      <c r="N86" s="6">
        <v>0</v>
      </c>
      <c r="O86" s="6">
        <v>0</v>
      </c>
      <c r="P86" s="6">
        <v>0.6</v>
      </c>
      <c r="Q86" s="6">
        <v>4.68</v>
      </c>
    </row>
    <row r="87" spans="1:17" customFormat="1">
      <c r="A87" s="82">
        <v>45354.822916666664</v>
      </c>
      <c r="B87" s="6">
        <v>3.64</v>
      </c>
      <c r="C87" s="6">
        <v>17.62</v>
      </c>
      <c r="D87" s="6">
        <v>13.47</v>
      </c>
      <c r="E87" s="6">
        <v>10.68</v>
      </c>
      <c r="F87" s="6">
        <v>10.25</v>
      </c>
      <c r="G87" s="6">
        <v>44.34</v>
      </c>
      <c r="H87" s="6">
        <v>19.79</v>
      </c>
      <c r="I87" s="6">
        <v>4.91</v>
      </c>
      <c r="J87" s="6">
        <v>0.28000000000000003</v>
      </c>
      <c r="K87" s="6">
        <v>170.03</v>
      </c>
      <c r="L87" s="6">
        <v>27.49</v>
      </c>
      <c r="M87" s="6">
        <v>54.52</v>
      </c>
      <c r="N87" s="6">
        <v>0</v>
      </c>
      <c r="O87" s="6">
        <v>0</v>
      </c>
      <c r="P87" s="6">
        <v>0.64</v>
      </c>
      <c r="Q87" s="6">
        <v>4.71</v>
      </c>
    </row>
    <row r="88" spans="1:17" customFormat="1">
      <c r="A88" s="82">
        <v>45354.833333333336</v>
      </c>
      <c r="B88" s="6">
        <v>3.75</v>
      </c>
      <c r="C88" s="6">
        <v>18.059999999999999</v>
      </c>
      <c r="D88" s="6">
        <v>13.79</v>
      </c>
      <c r="E88" s="6">
        <v>9.9</v>
      </c>
      <c r="F88" s="6">
        <v>10.01</v>
      </c>
      <c r="G88" s="6">
        <v>44.87</v>
      </c>
      <c r="H88" s="6">
        <v>20.010000000000002</v>
      </c>
      <c r="I88" s="6">
        <v>5.52</v>
      </c>
      <c r="J88" s="6">
        <v>0.27</v>
      </c>
      <c r="K88" s="6">
        <v>171.95</v>
      </c>
      <c r="L88" s="6">
        <v>27.21</v>
      </c>
      <c r="M88" s="6">
        <v>58.38</v>
      </c>
      <c r="N88" s="6">
        <v>0</v>
      </c>
      <c r="O88" s="6">
        <v>0</v>
      </c>
      <c r="P88" s="6">
        <v>0.66</v>
      </c>
      <c r="Q88" s="6">
        <v>4.68</v>
      </c>
    </row>
    <row r="89" spans="1:17" customFormat="1">
      <c r="A89" s="82">
        <v>45354.84375</v>
      </c>
      <c r="B89" s="6">
        <v>3.91</v>
      </c>
      <c r="C89" s="6">
        <v>18.32</v>
      </c>
      <c r="D89" s="6">
        <v>14.06</v>
      </c>
      <c r="E89" s="6">
        <v>9.82</v>
      </c>
      <c r="F89" s="6">
        <v>9.33</v>
      </c>
      <c r="G89" s="6">
        <v>52.31</v>
      </c>
      <c r="H89" s="6">
        <v>22.22</v>
      </c>
      <c r="I89" s="6">
        <v>5.93</v>
      </c>
      <c r="J89" s="6">
        <v>0.28999999999999998</v>
      </c>
      <c r="K89" s="6">
        <v>168.57</v>
      </c>
      <c r="L89" s="6">
        <v>26.84</v>
      </c>
      <c r="M89" s="6">
        <v>60.04</v>
      </c>
      <c r="N89" s="6">
        <v>0</v>
      </c>
      <c r="O89" s="6">
        <v>0</v>
      </c>
      <c r="P89" s="6">
        <v>0.69</v>
      </c>
      <c r="Q89" s="6">
        <v>4.68</v>
      </c>
    </row>
    <row r="90" spans="1:17" customFormat="1">
      <c r="A90" s="82">
        <v>45354.854166666664</v>
      </c>
      <c r="B90" s="6">
        <v>7.46</v>
      </c>
      <c r="C90" s="6">
        <v>20.64</v>
      </c>
      <c r="D90" s="6">
        <v>18.12</v>
      </c>
      <c r="E90" s="6">
        <v>10.5</v>
      </c>
      <c r="F90" s="6">
        <v>8.61</v>
      </c>
      <c r="G90" s="6">
        <v>52.31</v>
      </c>
      <c r="H90" s="6">
        <v>22.22</v>
      </c>
      <c r="I90" s="6">
        <v>6.26</v>
      </c>
      <c r="J90" s="6">
        <v>0.32</v>
      </c>
      <c r="K90" s="6">
        <v>107.75</v>
      </c>
      <c r="L90" s="6">
        <v>27.19</v>
      </c>
      <c r="M90" s="6">
        <v>53.16</v>
      </c>
      <c r="N90" s="6">
        <v>0</v>
      </c>
      <c r="O90" s="6">
        <v>0</v>
      </c>
      <c r="P90" s="6">
        <v>0.78</v>
      </c>
      <c r="Q90" s="6">
        <v>4.7</v>
      </c>
    </row>
    <row r="91" spans="1:17" customFormat="1">
      <c r="A91" s="82">
        <v>45354.864583333336</v>
      </c>
      <c r="B91" s="6">
        <v>9.1</v>
      </c>
      <c r="C91" s="6">
        <v>24.99</v>
      </c>
      <c r="D91" s="6">
        <v>21.7</v>
      </c>
      <c r="E91" s="6">
        <v>10.61</v>
      </c>
      <c r="F91" s="6">
        <v>5.86</v>
      </c>
      <c r="G91" s="6">
        <v>52.31</v>
      </c>
      <c r="H91" s="6">
        <v>22.22</v>
      </c>
      <c r="I91" s="6">
        <v>6.59</v>
      </c>
      <c r="J91" s="6">
        <v>0.27</v>
      </c>
      <c r="K91" s="6">
        <v>101.48</v>
      </c>
      <c r="L91" s="6">
        <v>27.54</v>
      </c>
      <c r="M91" s="6">
        <v>50.37</v>
      </c>
      <c r="N91" s="6">
        <v>0</v>
      </c>
      <c r="O91" s="6">
        <v>0</v>
      </c>
      <c r="P91" s="6">
        <v>0.83</v>
      </c>
      <c r="Q91" s="6">
        <v>4.6900000000000004</v>
      </c>
    </row>
    <row r="92" spans="1:17" customFormat="1">
      <c r="A92" s="82">
        <v>45354.875</v>
      </c>
      <c r="B92" s="6">
        <v>7.33</v>
      </c>
      <c r="C92" s="6">
        <v>25.79</v>
      </c>
      <c r="D92" s="6">
        <v>20.71</v>
      </c>
      <c r="E92" s="6">
        <v>11.49</v>
      </c>
      <c r="F92" s="6">
        <v>8.15</v>
      </c>
      <c r="G92" s="6">
        <v>53.37</v>
      </c>
      <c r="H92" s="6">
        <v>22.58</v>
      </c>
      <c r="I92" s="6">
        <v>7</v>
      </c>
      <c r="J92" s="6">
        <v>0.42</v>
      </c>
      <c r="K92" s="6">
        <v>83.31</v>
      </c>
      <c r="L92" s="6">
        <v>27.57</v>
      </c>
      <c r="M92" s="6">
        <v>49.19</v>
      </c>
      <c r="N92" s="6">
        <v>0</v>
      </c>
      <c r="O92" s="6">
        <v>0</v>
      </c>
      <c r="P92" s="6">
        <v>0.82</v>
      </c>
      <c r="Q92" s="6">
        <v>4.71</v>
      </c>
    </row>
    <row r="93" spans="1:17" customFormat="1">
      <c r="A93" s="82">
        <v>45354.885416666664</v>
      </c>
      <c r="B93" s="6">
        <v>6.27</v>
      </c>
      <c r="C93" s="6">
        <v>25.18</v>
      </c>
      <c r="D93" s="6">
        <v>19.54</v>
      </c>
      <c r="E93" s="6">
        <v>11.94</v>
      </c>
      <c r="F93" s="6">
        <v>10.56</v>
      </c>
      <c r="G93" s="6">
        <v>68.3</v>
      </c>
      <c r="H93" s="6">
        <v>26.28</v>
      </c>
      <c r="I93" s="6">
        <v>7.46</v>
      </c>
      <c r="J93" s="6">
        <v>0.16</v>
      </c>
      <c r="K93" s="6">
        <v>94.63</v>
      </c>
      <c r="L93" s="6">
        <v>27.61</v>
      </c>
      <c r="M93" s="6">
        <v>50.39</v>
      </c>
      <c r="N93" s="6">
        <v>0</v>
      </c>
      <c r="O93" s="6">
        <v>0</v>
      </c>
      <c r="P93" s="6">
        <v>0.8</v>
      </c>
      <c r="Q93" s="6">
        <v>4.72</v>
      </c>
    </row>
    <row r="94" spans="1:17" customFormat="1">
      <c r="A94" s="82">
        <v>45354.895833333336</v>
      </c>
      <c r="B94" s="6">
        <v>6.15</v>
      </c>
      <c r="C94" s="6">
        <v>26.64</v>
      </c>
      <c r="D94" s="6">
        <v>20.21</v>
      </c>
      <c r="E94" s="6">
        <v>10.61</v>
      </c>
      <c r="F94" s="6">
        <v>9.65</v>
      </c>
      <c r="G94" s="6">
        <v>68.3</v>
      </c>
      <c r="H94" s="6">
        <v>26.28</v>
      </c>
      <c r="I94" s="6">
        <v>7.36</v>
      </c>
      <c r="J94" s="6">
        <v>0.14000000000000001</v>
      </c>
      <c r="K94" s="6">
        <v>134.16999999999999</v>
      </c>
      <c r="L94" s="6">
        <v>27.09</v>
      </c>
      <c r="M94" s="6">
        <v>53.6</v>
      </c>
      <c r="N94" s="6">
        <v>0</v>
      </c>
      <c r="O94" s="6">
        <v>0</v>
      </c>
      <c r="P94" s="6">
        <v>0.82</v>
      </c>
      <c r="Q94" s="6">
        <v>4.72</v>
      </c>
    </row>
    <row r="95" spans="1:17" customFormat="1">
      <c r="A95" s="82">
        <v>45354.90625</v>
      </c>
      <c r="B95" s="6">
        <v>5.68</v>
      </c>
      <c r="C95" s="6">
        <v>26.62</v>
      </c>
      <c r="D95" s="6">
        <v>19.82</v>
      </c>
      <c r="E95" s="6">
        <v>10.26</v>
      </c>
      <c r="F95" s="6">
        <v>8.6</v>
      </c>
      <c r="G95" s="6">
        <v>68.3</v>
      </c>
      <c r="H95" s="6">
        <v>26.28</v>
      </c>
      <c r="I95" s="6">
        <v>7.26</v>
      </c>
      <c r="J95" s="6">
        <v>0.19</v>
      </c>
      <c r="K95" s="6">
        <v>197.53</v>
      </c>
      <c r="L95" s="6">
        <v>26.04</v>
      </c>
      <c r="M95" s="6">
        <v>59.38</v>
      </c>
      <c r="N95" s="6">
        <v>0</v>
      </c>
      <c r="O95" s="6">
        <v>0</v>
      </c>
      <c r="P95" s="6">
        <v>0.81</v>
      </c>
      <c r="Q95" s="6">
        <v>4.71</v>
      </c>
    </row>
    <row r="96" spans="1:17" customFormat="1">
      <c r="A96" s="82">
        <v>45354.916666666664</v>
      </c>
      <c r="B96" s="6">
        <v>5.39</v>
      </c>
      <c r="C96" s="6">
        <v>23.57</v>
      </c>
      <c r="D96" s="6">
        <v>17.989999999999998</v>
      </c>
      <c r="E96" s="6">
        <v>12.12</v>
      </c>
      <c r="F96" s="6">
        <v>14.65</v>
      </c>
      <c r="G96" s="6">
        <v>69.08</v>
      </c>
      <c r="H96" s="6">
        <v>26.58</v>
      </c>
      <c r="I96" s="6">
        <v>7.34</v>
      </c>
      <c r="J96" s="6">
        <v>0.18</v>
      </c>
      <c r="K96" s="6">
        <v>197.01</v>
      </c>
      <c r="L96" s="6">
        <v>25.48</v>
      </c>
      <c r="M96" s="6">
        <v>60.28</v>
      </c>
      <c r="N96" s="6">
        <v>0</v>
      </c>
      <c r="O96" s="6">
        <v>0</v>
      </c>
      <c r="P96" s="6">
        <v>0.8</v>
      </c>
      <c r="Q96" s="6">
        <v>4.71</v>
      </c>
    </row>
    <row r="97" spans="1:22" customFormat="1">
      <c r="A97" s="82">
        <v>45354.927083333336</v>
      </c>
      <c r="B97" s="6">
        <v>5.44</v>
      </c>
      <c r="C97" s="6">
        <v>21.43</v>
      </c>
      <c r="D97" s="6">
        <v>16.91</v>
      </c>
      <c r="E97" s="6">
        <v>10.42</v>
      </c>
      <c r="F97" s="6">
        <v>12.17</v>
      </c>
      <c r="G97" s="6">
        <v>80.06</v>
      </c>
      <c r="H97" s="6">
        <v>29.67</v>
      </c>
      <c r="I97" s="6">
        <v>7.29</v>
      </c>
      <c r="J97" s="6">
        <v>0.21</v>
      </c>
      <c r="K97" s="6">
        <v>167.21</v>
      </c>
      <c r="L97" s="6">
        <v>25.35</v>
      </c>
      <c r="M97" s="6">
        <v>63.35</v>
      </c>
      <c r="N97" s="6">
        <v>0</v>
      </c>
      <c r="O97" s="6">
        <v>0</v>
      </c>
      <c r="P97" s="6">
        <v>0.81</v>
      </c>
      <c r="Q97" s="6">
        <v>4.71</v>
      </c>
    </row>
    <row r="98" spans="1:22" customFormat="1">
      <c r="A98" s="82">
        <v>45354.9375</v>
      </c>
      <c r="B98" s="6">
        <v>5.68</v>
      </c>
      <c r="C98" s="6">
        <v>21.87</v>
      </c>
      <c r="D98" s="6">
        <v>17.329999999999998</v>
      </c>
      <c r="E98" s="6">
        <v>9.94</v>
      </c>
      <c r="F98" s="6">
        <v>9.18</v>
      </c>
      <c r="G98" s="6">
        <v>80.06</v>
      </c>
      <c r="H98" s="6">
        <v>29.67</v>
      </c>
      <c r="I98" s="6">
        <v>7.17</v>
      </c>
      <c r="J98" s="6">
        <v>0.24</v>
      </c>
      <c r="K98" s="6">
        <v>174.07</v>
      </c>
      <c r="L98" s="6">
        <v>25.04</v>
      </c>
      <c r="M98" s="6">
        <v>63.27</v>
      </c>
      <c r="N98" s="6">
        <v>0</v>
      </c>
      <c r="O98" s="6">
        <v>0</v>
      </c>
      <c r="P98" s="6">
        <v>0.82</v>
      </c>
      <c r="Q98" s="6">
        <v>4.71</v>
      </c>
    </row>
    <row r="99" spans="1:22" customFormat="1">
      <c r="A99" s="82">
        <v>45354.947916666664</v>
      </c>
      <c r="B99" s="6">
        <v>5.57</v>
      </c>
      <c r="C99" s="6">
        <v>19.98</v>
      </c>
      <c r="D99" s="6">
        <v>16.260000000000002</v>
      </c>
      <c r="E99" s="6">
        <v>8.23</v>
      </c>
      <c r="F99" s="6">
        <v>10.32</v>
      </c>
      <c r="G99" s="6">
        <v>80.06</v>
      </c>
      <c r="H99" s="6">
        <v>29.67</v>
      </c>
      <c r="I99" s="6">
        <v>7.31</v>
      </c>
      <c r="J99" s="6">
        <v>0.22</v>
      </c>
      <c r="K99" s="6">
        <v>171.4</v>
      </c>
      <c r="L99" s="6">
        <v>24.82</v>
      </c>
      <c r="M99" s="6">
        <v>66.739999999999995</v>
      </c>
      <c r="N99" s="6">
        <v>0</v>
      </c>
      <c r="O99" s="6">
        <v>0</v>
      </c>
      <c r="P99" s="6">
        <v>0.8</v>
      </c>
      <c r="Q99" s="6">
        <v>4.7</v>
      </c>
    </row>
    <row r="100" spans="1:22" customFormat="1">
      <c r="A100" s="82">
        <v>45354.958333333336</v>
      </c>
      <c r="B100" s="6">
        <v>5.41</v>
      </c>
      <c r="C100" s="6">
        <v>18.600000000000001</v>
      </c>
      <c r="D100" s="6">
        <v>15.41</v>
      </c>
      <c r="E100" s="6">
        <v>8.02</v>
      </c>
      <c r="F100" s="6">
        <v>10.79</v>
      </c>
      <c r="G100" s="6">
        <v>80.19</v>
      </c>
      <c r="H100" s="6">
        <v>29.75</v>
      </c>
      <c r="I100" s="6">
        <v>7.33</v>
      </c>
      <c r="J100" s="6">
        <v>0.19</v>
      </c>
      <c r="K100" s="6">
        <v>172.04</v>
      </c>
      <c r="L100" s="6">
        <v>24.56</v>
      </c>
      <c r="M100" s="6">
        <v>67.430000000000007</v>
      </c>
      <c r="N100" s="6">
        <v>0</v>
      </c>
      <c r="O100" s="6">
        <v>0</v>
      </c>
      <c r="P100" s="6">
        <v>0.78</v>
      </c>
      <c r="Q100" s="6">
        <v>4.7</v>
      </c>
    </row>
    <row r="101" spans="1:22" customFormat="1">
      <c r="A101" s="82">
        <v>45354.96875</v>
      </c>
      <c r="B101" s="6">
        <v>7.48</v>
      </c>
      <c r="C101" s="6">
        <v>19.739999999999998</v>
      </c>
      <c r="D101" s="6">
        <v>17.66</v>
      </c>
      <c r="E101" s="6">
        <v>8.6300000000000008</v>
      </c>
      <c r="F101" s="6">
        <v>10.82</v>
      </c>
      <c r="G101" s="6">
        <v>81.69</v>
      </c>
      <c r="H101" s="6">
        <v>30.74</v>
      </c>
      <c r="I101" s="6">
        <v>7.29</v>
      </c>
      <c r="J101" s="6">
        <v>0.14000000000000001</v>
      </c>
      <c r="K101" s="6">
        <v>157.16999999999999</v>
      </c>
      <c r="L101" s="6">
        <v>24.5</v>
      </c>
      <c r="M101" s="6">
        <v>67.72</v>
      </c>
      <c r="N101" s="6">
        <v>0</v>
      </c>
      <c r="O101" s="6">
        <v>0</v>
      </c>
      <c r="P101" s="6">
        <v>0.8</v>
      </c>
      <c r="Q101" s="6">
        <v>4.6900000000000004</v>
      </c>
    </row>
    <row r="102" spans="1:22" customFormat="1">
      <c r="A102" s="82">
        <v>45354.979166666664</v>
      </c>
      <c r="B102" s="6">
        <v>18.54</v>
      </c>
      <c r="C102" s="6">
        <v>27.14</v>
      </c>
      <c r="D102" s="6">
        <v>30.4</v>
      </c>
      <c r="E102" s="6">
        <v>8.81</v>
      </c>
      <c r="F102" s="6">
        <v>6.14</v>
      </c>
      <c r="G102" s="6">
        <v>81.69</v>
      </c>
      <c r="H102" s="6">
        <v>30.74</v>
      </c>
      <c r="I102" s="6">
        <v>7.31</v>
      </c>
      <c r="J102" s="6">
        <v>0.2</v>
      </c>
      <c r="K102" s="6">
        <v>184.39</v>
      </c>
      <c r="L102" s="6">
        <v>24.54</v>
      </c>
      <c r="M102" s="6">
        <v>65.709999999999994</v>
      </c>
      <c r="N102" s="6">
        <v>0</v>
      </c>
      <c r="O102" s="6">
        <v>0</v>
      </c>
      <c r="P102" s="6">
        <v>0.87</v>
      </c>
      <c r="Q102" s="6">
        <v>4.7</v>
      </c>
    </row>
    <row r="103" spans="1:22" customFormat="1">
      <c r="A103" s="82">
        <v>45354.989583333336</v>
      </c>
      <c r="B103" s="6">
        <v>9.9</v>
      </c>
      <c r="C103" s="6">
        <v>21.71</v>
      </c>
      <c r="D103" s="6">
        <v>20.63</v>
      </c>
      <c r="E103" s="6">
        <v>7.33</v>
      </c>
      <c r="F103" s="6">
        <v>5.7</v>
      </c>
      <c r="G103" s="6">
        <v>81.69</v>
      </c>
      <c r="H103" s="6">
        <v>30.74</v>
      </c>
      <c r="I103" s="6">
        <v>7.36</v>
      </c>
      <c r="J103" s="6">
        <v>0.23</v>
      </c>
      <c r="K103" s="6">
        <v>195.2</v>
      </c>
      <c r="L103" s="6">
        <v>24.39</v>
      </c>
      <c r="M103" s="6">
        <v>68.38</v>
      </c>
      <c r="N103" s="6">
        <v>0</v>
      </c>
      <c r="O103" s="6">
        <v>0</v>
      </c>
      <c r="P103" s="6">
        <v>0.82</v>
      </c>
      <c r="Q103" s="6">
        <v>4.7</v>
      </c>
    </row>
    <row r="104" spans="1:22" customFormat="1">
      <c r="A104" s="82">
        <v>45355</v>
      </c>
      <c r="B104" s="6">
        <v>8.2100000000000009</v>
      </c>
      <c r="C104" s="6">
        <v>21</v>
      </c>
      <c r="D104" s="6">
        <v>18.91</v>
      </c>
      <c r="E104" s="6">
        <v>7.16</v>
      </c>
      <c r="F104" s="6">
        <v>6.25</v>
      </c>
      <c r="G104" s="6">
        <v>82.32</v>
      </c>
      <c r="H104" s="6">
        <v>30.81</v>
      </c>
      <c r="I104" s="6">
        <v>7.68</v>
      </c>
      <c r="J104" s="6">
        <v>0.16</v>
      </c>
      <c r="K104" s="6">
        <v>191.4</v>
      </c>
      <c r="L104" s="6">
        <v>23.89</v>
      </c>
      <c r="M104" s="6">
        <v>70.98</v>
      </c>
      <c r="N104" s="6">
        <v>0</v>
      </c>
      <c r="O104" s="6">
        <v>0</v>
      </c>
      <c r="P104" s="6">
        <v>0.83</v>
      </c>
      <c r="Q104" s="6">
        <v>4.71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6" t="s">
        <v>48</v>
      </c>
      <c r="B106" s="187">
        <f>MIN(B9:B104)</f>
        <v>2.93</v>
      </c>
      <c r="C106" s="187">
        <f>MIN(C9:C104)</f>
        <v>11.01</v>
      </c>
      <c r="D106" s="187">
        <f t="shared" ref="D106:Q106" si="0">MIN(D9:D104)</f>
        <v>9.76</v>
      </c>
      <c r="E106" s="187">
        <f t="shared" si="0"/>
        <v>3.66</v>
      </c>
      <c r="F106" s="187">
        <f t="shared" si="0"/>
        <v>4.46</v>
      </c>
      <c r="G106" s="187">
        <f t="shared" si="0"/>
        <v>43.99</v>
      </c>
      <c r="H106" s="187">
        <f t="shared" si="0"/>
        <v>19.79</v>
      </c>
      <c r="I106" s="187">
        <f t="shared" si="0"/>
        <v>3.51</v>
      </c>
      <c r="J106" s="187">
        <f t="shared" si="0"/>
        <v>0.08</v>
      </c>
      <c r="K106" s="187">
        <f t="shared" si="0"/>
        <v>10.83</v>
      </c>
      <c r="L106" s="187">
        <f t="shared" si="0"/>
        <v>21.88</v>
      </c>
      <c r="M106" s="187">
        <f t="shared" si="0"/>
        <v>26.64</v>
      </c>
      <c r="N106" s="187">
        <f t="shared" si="0"/>
        <v>0</v>
      </c>
      <c r="O106" s="187">
        <f t="shared" si="0"/>
        <v>0</v>
      </c>
      <c r="P106" s="187">
        <f t="shared" si="0"/>
        <v>0.39</v>
      </c>
      <c r="Q106" s="187">
        <f t="shared" si="0"/>
        <v>4.62</v>
      </c>
      <c r="R106" s="192"/>
      <c r="S106" s="192"/>
      <c r="T106" s="192"/>
      <c r="U106" s="192"/>
    </row>
    <row r="107" spans="1:22">
      <c r="A107" s="186" t="s">
        <v>49</v>
      </c>
      <c r="B107" s="188">
        <f>MAX(B9:B104)</f>
        <v>18.54</v>
      </c>
      <c r="C107" s="188">
        <f t="shared" ref="C107:Q107" si="1">MAX(C9:C104)</f>
        <v>27.14</v>
      </c>
      <c r="D107" s="188">
        <f t="shared" si="1"/>
        <v>30.4</v>
      </c>
      <c r="E107" s="188">
        <f t="shared" si="1"/>
        <v>20.420000000000002</v>
      </c>
      <c r="F107" s="188">
        <f t="shared" si="1"/>
        <v>34.119999999999997</v>
      </c>
      <c r="G107" s="188">
        <f t="shared" si="1"/>
        <v>105.86</v>
      </c>
      <c r="H107" s="188">
        <f t="shared" si="1"/>
        <v>41.74</v>
      </c>
      <c r="I107" s="188">
        <f t="shared" si="1"/>
        <v>8.42</v>
      </c>
      <c r="J107" s="188">
        <f t="shared" si="1"/>
        <v>1.31</v>
      </c>
      <c r="K107" s="188">
        <f t="shared" si="1"/>
        <v>354.19</v>
      </c>
      <c r="L107" s="188">
        <f t="shared" si="1"/>
        <v>34.07</v>
      </c>
      <c r="M107" s="188">
        <f t="shared" si="1"/>
        <v>70.98</v>
      </c>
      <c r="N107" s="188">
        <f t="shared" si="1"/>
        <v>534.9</v>
      </c>
      <c r="O107" s="188">
        <f t="shared" si="1"/>
        <v>0</v>
      </c>
      <c r="P107" s="188">
        <f t="shared" si="1"/>
        <v>0.87</v>
      </c>
      <c r="Q107" s="188">
        <f t="shared" si="1"/>
        <v>4.8099999999999996</v>
      </c>
      <c r="R107" s="193"/>
      <c r="S107" s="193"/>
      <c r="T107" s="193"/>
      <c r="U107" s="193"/>
    </row>
    <row r="108" spans="1:22">
      <c r="A108" s="186" t="s">
        <v>50</v>
      </c>
      <c r="B108" s="187">
        <f>AVERAGE(B9:B104)</f>
        <v>7.7883333333333304</v>
      </c>
      <c r="C108" s="187">
        <f t="shared" ref="C108:Q108" si="2">AVERAGE(C9:C104)</f>
        <v>19.351250000000004</v>
      </c>
      <c r="D108" s="187">
        <f t="shared" si="2"/>
        <v>17.707708333333333</v>
      </c>
      <c r="E108" s="187">
        <f t="shared" si="2"/>
        <v>10.046874999999998</v>
      </c>
      <c r="F108" s="187">
        <f t="shared" si="2"/>
        <v>11.114791666666667</v>
      </c>
      <c r="G108" s="187">
        <f t="shared" si="2"/>
        <v>73.725729166666682</v>
      </c>
      <c r="H108" s="187">
        <f t="shared" si="2"/>
        <v>29.439062499999991</v>
      </c>
      <c r="I108" s="187">
        <f t="shared" si="2"/>
        <v>6.3490624999999996</v>
      </c>
      <c r="J108" s="187">
        <f t="shared" si="2"/>
        <v>0.48791666666666678</v>
      </c>
      <c r="K108" s="187">
        <f t="shared" si="2"/>
        <v>189.99145833333333</v>
      </c>
      <c r="L108" s="187">
        <f t="shared" si="2"/>
        <v>27.381562499999998</v>
      </c>
      <c r="M108" s="187">
        <f t="shared" si="2"/>
        <v>50.907916666666665</v>
      </c>
      <c r="N108" s="187">
        <f t="shared" si="2"/>
        <v>125.80416666666666</v>
      </c>
      <c r="O108" s="187">
        <f t="shared" si="2"/>
        <v>0</v>
      </c>
      <c r="P108" s="187">
        <f t="shared" si="2"/>
        <v>0.59302083333333322</v>
      </c>
      <c r="Q108" s="187">
        <f t="shared" si="2"/>
        <v>4.7109374999999973</v>
      </c>
      <c r="R108" s="192"/>
      <c r="S108" s="192"/>
      <c r="T108" s="192"/>
      <c r="U108" s="192"/>
    </row>
    <row r="109" spans="1:22">
      <c r="A109" s="186" t="s">
        <v>51</v>
      </c>
      <c r="B109" s="187">
        <f>STDEV(B9:B104)</f>
        <v>5.0720484114132214</v>
      </c>
      <c r="C109" s="187">
        <f t="shared" ref="C109:Q109" si="3">STDEV(C9:C104)</f>
        <v>3.8574142552805903</v>
      </c>
      <c r="D109" s="187">
        <f t="shared" si="3"/>
        <v>5.6174917570345375</v>
      </c>
      <c r="E109" s="187">
        <f t="shared" si="3"/>
        <v>3.4726026376404389</v>
      </c>
      <c r="F109" s="187">
        <f t="shared" si="3"/>
        <v>6.4913790569803798</v>
      </c>
      <c r="G109" s="187">
        <f t="shared" si="3"/>
        <v>17.737174150104551</v>
      </c>
      <c r="H109" s="187">
        <f t="shared" si="3"/>
        <v>6.3393063007714439</v>
      </c>
      <c r="I109" s="187">
        <f t="shared" si="3"/>
        <v>1.4026509323983276</v>
      </c>
      <c r="J109" s="187">
        <f t="shared" si="3"/>
        <v>0.33065458735718561</v>
      </c>
      <c r="K109" s="187">
        <f t="shared" si="3"/>
        <v>93.326393073806642</v>
      </c>
      <c r="L109" s="187">
        <f t="shared" si="3"/>
        <v>4.0811846391961719</v>
      </c>
      <c r="M109" s="187">
        <f t="shared" si="3"/>
        <v>14.064620706369418</v>
      </c>
      <c r="N109" s="187">
        <f t="shared" si="3"/>
        <v>177.72297953877649</v>
      </c>
      <c r="O109" s="187">
        <f t="shared" si="3"/>
        <v>0</v>
      </c>
      <c r="P109" s="187">
        <f t="shared" si="3"/>
        <v>0.13191799519451666</v>
      </c>
      <c r="Q109" s="187">
        <f t="shared" si="3"/>
        <v>4.2798871726397548E-2</v>
      </c>
      <c r="R109" s="192"/>
      <c r="S109" s="192"/>
      <c r="T109" s="192"/>
      <c r="U109" s="192"/>
    </row>
    <row r="110" spans="1:22">
      <c r="A110" s="186" t="s">
        <v>52</v>
      </c>
      <c r="B110" s="188">
        <f t="shared" ref="B110:Q110" si="4">COUNT(B9:B104)</f>
        <v>96</v>
      </c>
      <c r="C110" s="188">
        <f t="shared" si="4"/>
        <v>96</v>
      </c>
      <c r="D110" s="188">
        <f t="shared" si="4"/>
        <v>96</v>
      </c>
      <c r="E110" s="188">
        <f t="shared" si="4"/>
        <v>96</v>
      </c>
      <c r="F110" s="188">
        <f t="shared" si="4"/>
        <v>96</v>
      </c>
      <c r="G110" s="188">
        <f t="shared" si="4"/>
        <v>96</v>
      </c>
      <c r="H110" s="188">
        <f t="shared" si="4"/>
        <v>96</v>
      </c>
      <c r="I110" s="188">
        <f t="shared" si="4"/>
        <v>96</v>
      </c>
      <c r="J110" s="188">
        <f t="shared" si="4"/>
        <v>96</v>
      </c>
      <c r="K110" s="188">
        <f t="shared" si="4"/>
        <v>96</v>
      </c>
      <c r="L110" s="188">
        <f t="shared" si="4"/>
        <v>96</v>
      </c>
      <c r="M110" s="188">
        <f t="shared" si="4"/>
        <v>96</v>
      </c>
      <c r="N110" s="188">
        <f t="shared" si="4"/>
        <v>96</v>
      </c>
      <c r="O110" s="188">
        <f t="shared" si="4"/>
        <v>96</v>
      </c>
      <c r="P110" s="188">
        <f t="shared" si="4"/>
        <v>96</v>
      </c>
      <c r="Q110" s="188">
        <f t="shared" si="4"/>
        <v>96</v>
      </c>
      <c r="R110" s="193"/>
      <c r="S110" s="193"/>
      <c r="T110" s="193"/>
      <c r="U110" s="193"/>
      <c r="V110" s="188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91"/>
      <c r="O113" s="191"/>
      <c r="P113" s="191"/>
      <c r="Q113" s="191"/>
      <c r="R113" s="191"/>
      <c r="S113" s="191"/>
      <c r="T113" s="191"/>
      <c r="U113" s="191"/>
    </row>
    <row r="115" spans="1:21">
      <c r="A115" s="153" t="s">
        <v>55</v>
      </c>
      <c r="B115" s="197" t="s">
        <v>56</v>
      </c>
      <c r="C115" s="197"/>
      <c r="D115" s="197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9" t="s">
        <v>57</v>
      </c>
      <c r="B117" s="198"/>
      <c r="C117" s="198"/>
      <c r="D117" s="198"/>
      <c r="E117" s="198"/>
      <c r="F117" s="198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2" activePane="bottomRight" state="frozen"/>
      <selection activeCell="A9" sqref="A9"/>
      <selection pane="topRight" activeCell="A9" sqref="A9"/>
      <selection pane="bottomLeft" activeCell="A9" sqref="A9"/>
      <selection pane="bottomRight" activeCell="G111" sqref="G111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45355.010416666664</v>
      </c>
      <c r="C2" s="196" t="s">
        <v>3</v>
      </c>
      <c r="D2" s="196"/>
      <c r="E2" s="196"/>
      <c r="F2" s="196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2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6" t="s">
        <v>11</v>
      </c>
      <c r="D3" s="196"/>
      <c r="E3" s="196"/>
      <c r="F3" s="196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2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6" t="s">
        <v>18</v>
      </c>
      <c r="D4" s="196"/>
      <c r="E4" s="196"/>
      <c r="F4" s="196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3" t="s">
        <v>43</v>
      </c>
      <c r="M8" s="114" t="s">
        <v>44</v>
      </c>
      <c r="N8" s="114" t="s">
        <v>45</v>
      </c>
      <c r="O8" s="183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2">
        <v>45355.010416666664</v>
      </c>
      <c r="B9" s="6">
        <v>8.7799999999999994</v>
      </c>
      <c r="C9" s="6">
        <v>20.59</v>
      </c>
      <c r="D9" s="6">
        <v>19.149999999999999</v>
      </c>
      <c r="E9" s="6">
        <v>7.23</v>
      </c>
      <c r="F9" s="6">
        <v>6.83</v>
      </c>
      <c r="G9" s="6">
        <v>89.71</v>
      </c>
      <c r="H9" s="6">
        <v>31.62</v>
      </c>
      <c r="I9" s="6">
        <v>7.43</v>
      </c>
      <c r="J9" s="6">
        <v>0.12</v>
      </c>
      <c r="K9" s="6">
        <v>204.66</v>
      </c>
      <c r="L9" s="6">
        <v>23.67</v>
      </c>
      <c r="M9" s="6">
        <v>69.37</v>
      </c>
      <c r="N9" s="6">
        <v>0</v>
      </c>
      <c r="O9" s="6">
        <v>0</v>
      </c>
      <c r="P9" s="6">
        <v>0.83</v>
      </c>
      <c r="Q9" s="6">
        <v>4.6900000000000004</v>
      </c>
    </row>
    <row r="10" spans="1:21" customFormat="1">
      <c r="A10" s="82">
        <v>45355.020833333336</v>
      </c>
      <c r="B10" s="6">
        <v>9.36</v>
      </c>
      <c r="C10" s="6">
        <v>21.91</v>
      </c>
      <c r="D10" s="6">
        <v>20.309999999999999</v>
      </c>
      <c r="E10" s="6">
        <v>7.73</v>
      </c>
      <c r="F10" s="6">
        <v>6.44</v>
      </c>
      <c r="G10" s="6">
        <v>89.71</v>
      </c>
      <c r="H10" s="6">
        <v>31.62</v>
      </c>
      <c r="I10" s="6">
        <v>7.4</v>
      </c>
      <c r="J10" s="6">
        <v>0.17</v>
      </c>
      <c r="K10" s="6">
        <v>189.66</v>
      </c>
      <c r="L10" s="6">
        <v>24.17</v>
      </c>
      <c r="M10" s="6">
        <v>66.680000000000007</v>
      </c>
      <c r="N10" s="6">
        <v>0</v>
      </c>
      <c r="O10" s="6">
        <v>0</v>
      </c>
      <c r="P10" s="6">
        <v>0.83</v>
      </c>
      <c r="Q10" s="6">
        <v>4.71</v>
      </c>
    </row>
    <row r="11" spans="1:21" customFormat="1">
      <c r="A11" s="82">
        <v>45355.03125</v>
      </c>
      <c r="B11" s="6">
        <v>7.96</v>
      </c>
      <c r="C11" s="6">
        <v>22</v>
      </c>
      <c r="D11" s="6">
        <v>19.23</v>
      </c>
      <c r="E11" s="6">
        <v>7.36</v>
      </c>
      <c r="F11" s="6">
        <v>6.26</v>
      </c>
      <c r="G11" s="6">
        <v>89.71</v>
      </c>
      <c r="H11" s="6">
        <v>31.62</v>
      </c>
      <c r="I11" s="6">
        <v>7.45</v>
      </c>
      <c r="J11" s="6">
        <v>0.24</v>
      </c>
      <c r="K11" s="6">
        <v>185.1</v>
      </c>
      <c r="L11" s="6">
        <v>24.41</v>
      </c>
      <c r="M11" s="6">
        <v>69.73</v>
      </c>
      <c r="N11" s="6">
        <v>0</v>
      </c>
      <c r="O11" s="6">
        <v>0</v>
      </c>
      <c r="P11" s="6">
        <v>0.83</v>
      </c>
      <c r="Q11" s="6">
        <v>4.71</v>
      </c>
    </row>
    <row r="12" spans="1:21" customFormat="1">
      <c r="A12" s="82">
        <v>45355.041666666664</v>
      </c>
      <c r="B12" s="6">
        <v>7.2</v>
      </c>
      <c r="C12" s="6">
        <v>21.74</v>
      </c>
      <c r="D12" s="6">
        <v>18.48</v>
      </c>
      <c r="E12" s="6">
        <v>7.3</v>
      </c>
      <c r="F12" s="6">
        <v>6.81</v>
      </c>
      <c r="G12" s="6">
        <v>89.5</v>
      </c>
      <c r="H12" s="6">
        <v>31.73</v>
      </c>
      <c r="I12" s="6">
        <v>7.43</v>
      </c>
      <c r="J12" s="6">
        <v>0.24</v>
      </c>
      <c r="K12" s="6">
        <v>197.74</v>
      </c>
      <c r="L12" s="6">
        <v>24.18</v>
      </c>
      <c r="M12" s="6">
        <v>69.09</v>
      </c>
      <c r="N12" s="6">
        <v>0</v>
      </c>
      <c r="O12" s="6">
        <v>0</v>
      </c>
      <c r="P12" s="6">
        <v>0.82</v>
      </c>
      <c r="Q12" s="6">
        <v>4.6900000000000004</v>
      </c>
    </row>
    <row r="13" spans="1:21" customFormat="1">
      <c r="A13" s="82">
        <v>45355.052083333336</v>
      </c>
      <c r="B13" s="6">
        <v>6.87</v>
      </c>
      <c r="C13" s="6">
        <v>21.37</v>
      </c>
      <c r="D13" s="6">
        <v>18.03</v>
      </c>
      <c r="E13" s="6">
        <v>7.48</v>
      </c>
      <c r="F13" s="6">
        <v>6.72</v>
      </c>
      <c r="G13" s="6">
        <v>86.66</v>
      </c>
      <c r="H13" s="6">
        <v>33.11</v>
      </c>
      <c r="I13" s="6">
        <v>7.52</v>
      </c>
      <c r="J13" s="6">
        <v>0.19</v>
      </c>
      <c r="K13" s="6">
        <v>196.35</v>
      </c>
      <c r="L13" s="6">
        <v>23.74</v>
      </c>
      <c r="M13" s="6">
        <v>69.22</v>
      </c>
      <c r="N13" s="6">
        <v>0</v>
      </c>
      <c r="O13" s="6">
        <v>0</v>
      </c>
      <c r="P13" s="6">
        <v>0.81</v>
      </c>
      <c r="Q13" s="6">
        <v>4.71</v>
      </c>
    </row>
    <row r="14" spans="1:21" customFormat="1">
      <c r="A14" s="82">
        <v>45355.0625</v>
      </c>
      <c r="B14" s="6">
        <v>6.59</v>
      </c>
      <c r="C14" s="6">
        <v>21.33</v>
      </c>
      <c r="D14" s="6">
        <v>17.78</v>
      </c>
      <c r="E14" s="6">
        <v>7.52</v>
      </c>
      <c r="F14" s="6">
        <v>6.28</v>
      </c>
      <c r="G14" s="6">
        <v>86.66</v>
      </c>
      <c r="H14" s="6">
        <v>33.11</v>
      </c>
      <c r="I14" s="6">
        <v>7.63</v>
      </c>
      <c r="J14" s="6">
        <v>0.24</v>
      </c>
      <c r="K14" s="6">
        <v>228.62</v>
      </c>
      <c r="L14" s="6">
        <v>23.53</v>
      </c>
      <c r="M14" s="6">
        <v>69.260000000000005</v>
      </c>
      <c r="N14" s="6">
        <v>0</v>
      </c>
      <c r="O14" s="6">
        <v>0</v>
      </c>
      <c r="P14" s="6">
        <v>0.81</v>
      </c>
      <c r="Q14" s="6">
        <v>4.71</v>
      </c>
    </row>
    <row r="15" spans="1:21" customFormat="1">
      <c r="A15" s="82">
        <v>45355.072916666664</v>
      </c>
      <c r="B15" s="6">
        <v>6.37</v>
      </c>
      <c r="C15" s="6">
        <v>21.24</v>
      </c>
      <c r="D15" s="6">
        <v>17.559999999999999</v>
      </c>
      <c r="E15" s="6">
        <v>7.72</v>
      </c>
      <c r="F15" s="6">
        <v>5.87</v>
      </c>
      <c r="G15" s="6">
        <v>86.66</v>
      </c>
      <c r="H15" s="6">
        <v>33.11</v>
      </c>
      <c r="I15" s="6">
        <v>7.66</v>
      </c>
      <c r="J15" s="6">
        <v>0.08</v>
      </c>
      <c r="K15" s="6">
        <v>195.01</v>
      </c>
      <c r="L15" s="6">
        <v>23.38</v>
      </c>
      <c r="M15" s="6">
        <v>69.709999999999994</v>
      </c>
      <c r="N15" s="6">
        <v>0</v>
      </c>
      <c r="O15" s="6">
        <v>0</v>
      </c>
      <c r="P15" s="6">
        <v>0.82</v>
      </c>
      <c r="Q15" s="6">
        <v>4.7300000000000004</v>
      </c>
    </row>
    <row r="16" spans="1:21" customFormat="1">
      <c r="A16" s="82">
        <v>45355.083333333336</v>
      </c>
      <c r="B16" s="6">
        <v>6.34</v>
      </c>
      <c r="C16" s="6">
        <v>21.7</v>
      </c>
      <c r="D16" s="6">
        <v>17.77</v>
      </c>
      <c r="E16" s="6">
        <v>7.29</v>
      </c>
      <c r="F16" s="6">
        <v>5.78</v>
      </c>
      <c r="G16" s="6">
        <v>86.18</v>
      </c>
      <c r="H16" s="6">
        <v>32.880000000000003</v>
      </c>
      <c r="I16" s="6">
        <v>7.69</v>
      </c>
      <c r="J16" s="6">
        <v>0.17</v>
      </c>
      <c r="K16" s="6">
        <v>245.72</v>
      </c>
      <c r="L16" s="6">
        <v>23.47</v>
      </c>
      <c r="M16" s="6">
        <v>67.83</v>
      </c>
      <c r="N16" s="6">
        <v>0</v>
      </c>
      <c r="O16" s="6">
        <v>0</v>
      </c>
      <c r="P16" s="6">
        <v>0.83</v>
      </c>
      <c r="Q16" s="6">
        <v>4.72</v>
      </c>
    </row>
    <row r="17" spans="1:17" customFormat="1">
      <c r="A17" s="82">
        <v>45355.09375</v>
      </c>
      <c r="B17" s="6">
        <v>6.25</v>
      </c>
      <c r="C17" s="6">
        <v>22.1</v>
      </c>
      <c r="D17" s="6">
        <v>17.91</v>
      </c>
      <c r="E17" s="6">
        <v>7.48</v>
      </c>
      <c r="F17" s="6">
        <v>6.68</v>
      </c>
      <c r="G17" s="6">
        <v>79.42</v>
      </c>
      <c r="H17" s="6">
        <v>30.09</v>
      </c>
      <c r="I17" s="6">
        <v>7.74</v>
      </c>
      <c r="J17" s="6">
        <v>0.15</v>
      </c>
      <c r="K17" s="6">
        <v>200.7</v>
      </c>
      <c r="L17" s="6">
        <v>23.95</v>
      </c>
      <c r="M17" s="6">
        <v>64.34</v>
      </c>
      <c r="N17" s="6">
        <v>0</v>
      </c>
      <c r="O17" s="6">
        <v>0</v>
      </c>
      <c r="P17" s="6">
        <v>0.81</v>
      </c>
      <c r="Q17" s="6">
        <v>4.72</v>
      </c>
    </row>
    <row r="18" spans="1:17" customFormat="1">
      <c r="A18" s="82">
        <v>45355.104166666664</v>
      </c>
      <c r="B18" s="6">
        <v>6.17</v>
      </c>
      <c r="C18" s="6">
        <v>21.82</v>
      </c>
      <c r="D18" s="6">
        <v>17.7</v>
      </c>
      <c r="E18" s="6">
        <v>9.11</v>
      </c>
      <c r="F18" s="6">
        <v>7.4</v>
      </c>
      <c r="G18" s="6">
        <v>79.42</v>
      </c>
      <c r="H18" s="6">
        <v>30.09</v>
      </c>
      <c r="I18" s="6">
        <v>7.8</v>
      </c>
      <c r="J18" s="6">
        <v>0.23</v>
      </c>
      <c r="K18" s="6">
        <v>29.33</v>
      </c>
      <c r="L18" s="6">
        <v>24.2</v>
      </c>
      <c r="M18" s="6">
        <v>61.94</v>
      </c>
      <c r="N18" s="6">
        <v>0</v>
      </c>
      <c r="O18" s="6">
        <v>0</v>
      </c>
      <c r="P18" s="6">
        <v>0.8</v>
      </c>
      <c r="Q18" s="6">
        <v>4.71</v>
      </c>
    </row>
    <row r="19" spans="1:17" customFormat="1">
      <c r="A19" s="82">
        <v>45355.114583333336</v>
      </c>
      <c r="B19" s="6">
        <v>6.39</v>
      </c>
      <c r="C19" s="6">
        <v>22.74</v>
      </c>
      <c r="D19" s="6">
        <v>18.36</v>
      </c>
      <c r="E19" s="6">
        <v>8.65</v>
      </c>
      <c r="F19" s="6">
        <v>6.57</v>
      </c>
      <c r="G19" s="6">
        <v>79.42</v>
      </c>
      <c r="H19" s="6">
        <v>30.09</v>
      </c>
      <c r="I19" s="6">
        <v>7.74</v>
      </c>
      <c r="J19" s="6">
        <v>0.46</v>
      </c>
      <c r="K19" s="6">
        <v>58.2</v>
      </c>
      <c r="L19" s="6">
        <v>24.63</v>
      </c>
      <c r="M19" s="6">
        <v>60.42</v>
      </c>
      <c r="N19" s="6">
        <v>0</v>
      </c>
      <c r="O19" s="6">
        <v>0</v>
      </c>
      <c r="P19" s="6">
        <v>0.8</v>
      </c>
      <c r="Q19" s="6">
        <v>4.7</v>
      </c>
    </row>
    <row r="20" spans="1:17" customFormat="1">
      <c r="A20" s="82">
        <v>45355.125</v>
      </c>
      <c r="B20" s="6">
        <v>6.76</v>
      </c>
      <c r="C20" s="6">
        <v>23.04</v>
      </c>
      <c r="D20" s="6">
        <v>18.809999999999999</v>
      </c>
      <c r="E20" s="6">
        <v>9.59</v>
      </c>
      <c r="F20" s="6">
        <v>6.29</v>
      </c>
      <c r="G20" s="6">
        <v>79.349999999999994</v>
      </c>
      <c r="H20" s="6">
        <v>30.31</v>
      </c>
      <c r="I20" s="6">
        <v>7.58</v>
      </c>
      <c r="J20" s="6">
        <v>1.1000000000000001</v>
      </c>
      <c r="K20" s="6">
        <v>59.63</v>
      </c>
      <c r="L20" s="6">
        <v>24.45</v>
      </c>
      <c r="M20" s="6">
        <v>63.21</v>
      </c>
      <c r="N20" s="6">
        <v>0</v>
      </c>
      <c r="O20" s="6">
        <v>0</v>
      </c>
      <c r="P20" s="6">
        <v>0.8</v>
      </c>
      <c r="Q20" s="6">
        <v>4.72</v>
      </c>
    </row>
    <row r="21" spans="1:17" customFormat="1">
      <c r="A21" s="82">
        <v>45355.135416666664</v>
      </c>
      <c r="B21" s="6">
        <v>6.9</v>
      </c>
      <c r="C21" s="6">
        <v>23.34</v>
      </c>
      <c r="D21" s="6">
        <v>19.079999999999998</v>
      </c>
      <c r="E21" s="6">
        <v>11.34</v>
      </c>
      <c r="F21" s="6">
        <v>6.18</v>
      </c>
      <c r="G21" s="6">
        <v>78.39</v>
      </c>
      <c r="H21" s="6">
        <v>32.979999999999997</v>
      </c>
      <c r="I21" s="6">
        <v>7.47</v>
      </c>
      <c r="J21" s="6">
        <v>0.66</v>
      </c>
      <c r="K21" s="6">
        <v>53.34</v>
      </c>
      <c r="L21" s="6">
        <v>24.11</v>
      </c>
      <c r="M21" s="6">
        <v>66.040000000000006</v>
      </c>
      <c r="N21" s="6">
        <v>0</v>
      </c>
      <c r="O21" s="6">
        <v>0</v>
      </c>
      <c r="P21" s="6">
        <v>0.82</v>
      </c>
      <c r="Q21" s="6">
        <v>4.72</v>
      </c>
    </row>
    <row r="22" spans="1:17" customFormat="1">
      <c r="A22" s="82">
        <v>45355.145833333336</v>
      </c>
      <c r="B22" s="6">
        <v>7.08</v>
      </c>
      <c r="C22" s="6">
        <v>24.15</v>
      </c>
      <c r="D22" s="6">
        <v>19.64</v>
      </c>
      <c r="E22" s="6">
        <v>12.16</v>
      </c>
      <c r="F22" s="6">
        <v>5.56</v>
      </c>
      <c r="G22" s="6">
        <v>78.39</v>
      </c>
      <c r="H22" s="6">
        <v>32.979999999999997</v>
      </c>
      <c r="I22" s="6">
        <v>7.54</v>
      </c>
      <c r="J22" s="6">
        <v>0.3</v>
      </c>
      <c r="K22" s="6">
        <v>192.19</v>
      </c>
      <c r="L22" s="6">
        <v>24.42</v>
      </c>
      <c r="M22" s="6">
        <v>66.900000000000006</v>
      </c>
      <c r="N22" s="6">
        <v>0</v>
      </c>
      <c r="O22" s="6">
        <v>0</v>
      </c>
      <c r="P22" s="6">
        <v>0.86</v>
      </c>
      <c r="Q22" s="6">
        <v>4.7300000000000004</v>
      </c>
    </row>
    <row r="23" spans="1:17" customFormat="1">
      <c r="A23" s="82">
        <v>45355.15625</v>
      </c>
      <c r="B23" s="6">
        <v>6.9</v>
      </c>
      <c r="C23" s="6">
        <v>24.68</v>
      </c>
      <c r="D23" s="6">
        <v>19.78</v>
      </c>
      <c r="E23" s="6">
        <v>10.85</v>
      </c>
      <c r="F23" s="6">
        <v>5.19</v>
      </c>
      <c r="G23" s="6">
        <v>78.39</v>
      </c>
      <c r="H23" s="6">
        <v>32.979999999999997</v>
      </c>
      <c r="I23" s="6">
        <v>7.69</v>
      </c>
      <c r="J23" s="6">
        <v>0.26</v>
      </c>
      <c r="K23" s="6">
        <v>201.09</v>
      </c>
      <c r="L23" s="6">
        <v>24.03</v>
      </c>
      <c r="M23" s="6">
        <v>69.099999999999994</v>
      </c>
      <c r="N23" s="6">
        <v>0</v>
      </c>
      <c r="O23" s="6">
        <v>0</v>
      </c>
      <c r="P23" s="6">
        <v>0.89</v>
      </c>
      <c r="Q23" s="6">
        <v>4.72</v>
      </c>
    </row>
    <row r="24" spans="1:17" customFormat="1">
      <c r="A24" s="82">
        <v>45355.166666666664</v>
      </c>
      <c r="B24" s="6">
        <v>6.89</v>
      </c>
      <c r="C24" s="6">
        <v>24.77</v>
      </c>
      <c r="D24" s="6">
        <v>19.82</v>
      </c>
      <c r="E24" s="6">
        <v>10.31</v>
      </c>
      <c r="F24" s="6">
        <v>5.03</v>
      </c>
      <c r="G24" s="6">
        <v>80.03</v>
      </c>
      <c r="H24" s="6">
        <v>33.56</v>
      </c>
      <c r="I24" s="6">
        <v>7.86</v>
      </c>
      <c r="J24" s="6">
        <v>0.1</v>
      </c>
      <c r="K24" s="6">
        <v>241.35</v>
      </c>
      <c r="L24" s="6">
        <v>23.39</v>
      </c>
      <c r="M24" s="6">
        <v>71.34</v>
      </c>
      <c r="N24" s="6">
        <v>0</v>
      </c>
      <c r="O24" s="6">
        <v>0</v>
      </c>
      <c r="P24" s="6">
        <v>0.92</v>
      </c>
      <c r="Q24" s="6">
        <v>4.71</v>
      </c>
    </row>
    <row r="25" spans="1:17" customFormat="1">
      <c r="A25" s="82">
        <v>45355.177083333336</v>
      </c>
      <c r="B25" s="6">
        <v>7.44</v>
      </c>
      <c r="C25" s="6">
        <v>25.38</v>
      </c>
      <c r="D25" s="6">
        <v>20.58</v>
      </c>
      <c r="E25" s="6">
        <v>10.76</v>
      </c>
      <c r="F25" s="6">
        <v>4.7300000000000004</v>
      </c>
      <c r="G25" s="6">
        <v>102.98</v>
      </c>
      <c r="H25" s="6">
        <v>40.6</v>
      </c>
      <c r="I25" s="6">
        <v>7.98</v>
      </c>
      <c r="J25" s="6">
        <v>0.19</v>
      </c>
      <c r="K25" s="6">
        <v>9.59</v>
      </c>
      <c r="L25" s="6">
        <v>23.39</v>
      </c>
      <c r="M25" s="6">
        <v>70.260000000000005</v>
      </c>
      <c r="N25" s="6">
        <v>0</v>
      </c>
      <c r="O25" s="6">
        <v>0</v>
      </c>
      <c r="P25" s="6">
        <v>0.95</v>
      </c>
      <c r="Q25" s="6">
        <v>4.74</v>
      </c>
    </row>
    <row r="26" spans="1:17" customFormat="1">
      <c r="A26" s="82">
        <v>45355.1875</v>
      </c>
      <c r="B26" s="6">
        <v>8.11</v>
      </c>
      <c r="C26" s="6">
        <v>26.18</v>
      </c>
      <c r="D26" s="6">
        <v>21.53</v>
      </c>
      <c r="E26" s="6">
        <v>10.56</v>
      </c>
      <c r="F26" s="6">
        <v>4.71</v>
      </c>
      <c r="G26" s="6">
        <v>102.98</v>
      </c>
      <c r="H26" s="6">
        <v>40.6</v>
      </c>
      <c r="I26" s="6">
        <v>8.15</v>
      </c>
      <c r="J26" s="6">
        <v>0.14000000000000001</v>
      </c>
      <c r="K26" s="6">
        <v>303.12</v>
      </c>
      <c r="L26" s="6">
        <v>23.54</v>
      </c>
      <c r="M26" s="6">
        <v>69.89</v>
      </c>
      <c r="N26" s="6">
        <v>0</v>
      </c>
      <c r="O26" s="6">
        <v>0</v>
      </c>
      <c r="P26" s="6">
        <v>0.95</v>
      </c>
      <c r="Q26" s="6">
        <v>4.71</v>
      </c>
    </row>
    <row r="27" spans="1:17" customFormat="1">
      <c r="A27" s="82">
        <v>45355.197916666664</v>
      </c>
      <c r="B27" s="6">
        <v>8.7200000000000006</v>
      </c>
      <c r="C27" s="6">
        <v>24.38</v>
      </c>
      <c r="D27" s="6">
        <v>21.08</v>
      </c>
      <c r="E27" s="6">
        <v>9.8800000000000008</v>
      </c>
      <c r="F27" s="6">
        <v>5.33</v>
      </c>
      <c r="G27" s="6">
        <v>102.98</v>
      </c>
      <c r="H27" s="6">
        <v>40.6</v>
      </c>
      <c r="I27" s="6">
        <v>8.23</v>
      </c>
      <c r="J27" s="6">
        <v>0.15</v>
      </c>
      <c r="K27" s="6">
        <v>196.37</v>
      </c>
      <c r="L27" s="6">
        <v>23.39</v>
      </c>
      <c r="M27" s="6">
        <v>71.89</v>
      </c>
      <c r="N27" s="6">
        <v>0</v>
      </c>
      <c r="O27" s="6">
        <v>0</v>
      </c>
      <c r="P27" s="6">
        <v>0.96</v>
      </c>
      <c r="Q27" s="6">
        <v>4.72</v>
      </c>
    </row>
    <row r="28" spans="1:17" customFormat="1">
      <c r="A28" s="82">
        <v>45355.208333333336</v>
      </c>
      <c r="B28" s="6">
        <v>9.09</v>
      </c>
      <c r="C28" s="6">
        <v>22.25</v>
      </c>
      <c r="D28" s="6">
        <v>20.27</v>
      </c>
      <c r="E28" s="6">
        <v>7.6</v>
      </c>
      <c r="F28" s="6">
        <v>5.33</v>
      </c>
      <c r="G28" s="6">
        <v>103.35</v>
      </c>
      <c r="H28" s="6">
        <v>40.98</v>
      </c>
      <c r="I28" s="6">
        <v>8.3699999999999992</v>
      </c>
      <c r="J28" s="6">
        <v>0.21</v>
      </c>
      <c r="K28" s="6">
        <v>171.17</v>
      </c>
      <c r="L28" s="6">
        <v>22.73</v>
      </c>
      <c r="M28" s="6">
        <v>76.569999999999993</v>
      </c>
      <c r="N28" s="6">
        <v>0</v>
      </c>
      <c r="O28" s="6">
        <v>0</v>
      </c>
      <c r="P28" s="6">
        <v>0.96</v>
      </c>
      <c r="Q28" s="6">
        <v>4.72</v>
      </c>
    </row>
    <row r="29" spans="1:17" customFormat="1">
      <c r="A29" s="82">
        <v>45355.21875</v>
      </c>
      <c r="B29" s="6">
        <v>9.33</v>
      </c>
      <c r="C29" s="6">
        <v>20.68</v>
      </c>
      <c r="D29" s="6">
        <v>19.64</v>
      </c>
      <c r="E29" s="6">
        <v>7.36</v>
      </c>
      <c r="F29" s="6">
        <v>5.0999999999999996</v>
      </c>
      <c r="G29" s="6">
        <v>108.45</v>
      </c>
      <c r="H29" s="6">
        <v>45.63</v>
      </c>
      <c r="I29" s="6">
        <v>8.43</v>
      </c>
      <c r="J29" s="6">
        <v>0.28000000000000003</v>
      </c>
      <c r="K29" s="6">
        <v>192.62</v>
      </c>
      <c r="L29" s="6">
        <v>22.46</v>
      </c>
      <c r="M29" s="6">
        <v>77.709999999999994</v>
      </c>
      <c r="N29" s="6">
        <v>0</v>
      </c>
      <c r="O29" s="6">
        <v>0</v>
      </c>
      <c r="P29" s="6">
        <v>0.95</v>
      </c>
      <c r="Q29" s="6">
        <v>4.72</v>
      </c>
    </row>
    <row r="30" spans="1:17" customFormat="1">
      <c r="A30" s="82">
        <v>45355.229166666664</v>
      </c>
      <c r="B30" s="6">
        <v>9.26</v>
      </c>
      <c r="C30" s="6">
        <v>19.62</v>
      </c>
      <c r="D30" s="6">
        <v>19.03</v>
      </c>
      <c r="E30" s="6">
        <v>6.33</v>
      </c>
      <c r="F30" s="6">
        <v>5.0999999999999996</v>
      </c>
      <c r="G30" s="6">
        <v>108.45</v>
      </c>
      <c r="H30" s="6">
        <v>45.63</v>
      </c>
      <c r="I30" s="6">
        <v>8.4600000000000009</v>
      </c>
      <c r="J30" s="6">
        <v>0.09</v>
      </c>
      <c r="K30" s="6">
        <v>128.94</v>
      </c>
      <c r="L30" s="6">
        <v>22.37</v>
      </c>
      <c r="M30" s="6">
        <v>76.89</v>
      </c>
      <c r="N30" s="6">
        <v>0</v>
      </c>
      <c r="O30" s="6">
        <v>0</v>
      </c>
      <c r="P30" s="6">
        <v>0.94</v>
      </c>
      <c r="Q30" s="6">
        <v>4.71</v>
      </c>
    </row>
    <row r="31" spans="1:17" customFormat="1">
      <c r="A31" s="82">
        <v>45355.239583333336</v>
      </c>
      <c r="B31" s="6">
        <v>9.93</v>
      </c>
      <c r="C31" s="6">
        <v>19.48</v>
      </c>
      <c r="D31" s="6">
        <v>19.489999999999998</v>
      </c>
      <c r="E31" s="6">
        <v>7</v>
      </c>
      <c r="F31" s="6">
        <v>4.99</v>
      </c>
      <c r="G31" s="6">
        <v>108.45</v>
      </c>
      <c r="H31" s="6">
        <v>45.63</v>
      </c>
      <c r="I31" s="6">
        <v>8.49</v>
      </c>
      <c r="J31" s="6">
        <v>0.24</v>
      </c>
      <c r="K31" s="6">
        <v>65.52</v>
      </c>
      <c r="L31" s="6">
        <v>22.5</v>
      </c>
      <c r="M31" s="6">
        <v>75.510000000000005</v>
      </c>
      <c r="N31" s="6">
        <v>0</v>
      </c>
      <c r="O31" s="6">
        <v>0</v>
      </c>
      <c r="P31" s="6">
        <v>0.96</v>
      </c>
      <c r="Q31" s="6">
        <v>4.7</v>
      </c>
    </row>
    <row r="32" spans="1:17" customFormat="1">
      <c r="A32" s="82">
        <v>45355.25</v>
      </c>
      <c r="B32" s="6">
        <v>13.39</v>
      </c>
      <c r="C32" s="6">
        <v>21.06</v>
      </c>
      <c r="D32" s="6">
        <v>23.1</v>
      </c>
      <c r="E32" s="6">
        <v>8.0399999999999991</v>
      </c>
      <c r="F32" s="6">
        <v>4.78</v>
      </c>
      <c r="G32" s="6">
        <v>108.62</v>
      </c>
      <c r="H32" s="6">
        <v>45.44</v>
      </c>
      <c r="I32" s="6">
        <v>8.5</v>
      </c>
      <c r="J32" s="6">
        <v>0.12</v>
      </c>
      <c r="K32" s="6">
        <v>129.37</v>
      </c>
      <c r="L32" s="6">
        <v>22.67</v>
      </c>
      <c r="M32" s="6">
        <v>75.819999999999993</v>
      </c>
      <c r="N32" s="6">
        <v>0</v>
      </c>
      <c r="O32" s="6">
        <v>0</v>
      </c>
      <c r="P32" s="6">
        <v>0.96</v>
      </c>
      <c r="Q32" s="6">
        <v>4.71</v>
      </c>
    </row>
    <row r="33" spans="1:17" customFormat="1">
      <c r="A33" s="82">
        <v>45355.260416666664</v>
      </c>
      <c r="B33" s="6">
        <v>16.63</v>
      </c>
      <c r="C33" s="6">
        <v>20.91</v>
      </c>
      <c r="D33" s="6">
        <v>25.61</v>
      </c>
      <c r="E33" s="6">
        <v>9.83</v>
      </c>
      <c r="F33" s="6">
        <v>4.96</v>
      </c>
      <c r="G33" s="6">
        <v>111.1</v>
      </c>
      <c r="H33" s="6">
        <v>43.15</v>
      </c>
      <c r="I33" s="6">
        <v>8.61</v>
      </c>
      <c r="J33" s="6">
        <v>0.43</v>
      </c>
      <c r="K33" s="6">
        <v>52.05</v>
      </c>
      <c r="L33" s="6">
        <v>22.91</v>
      </c>
      <c r="M33" s="6">
        <v>73.209999999999994</v>
      </c>
      <c r="N33" s="6">
        <v>0</v>
      </c>
      <c r="O33" s="6">
        <v>0</v>
      </c>
      <c r="P33" s="6">
        <v>0.98</v>
      </c>
      <c r="Q33" s="6">
        <v>4.75</v>
      </c>
    </row>
    <row r="34" spans="1:17" customFormat="1">
      <c r="A34" s="82">
        <v>45355.270833333336</v>
      </c>
      <c r="B34" s="6">
        <v>13.79</v>
      </c>
      <c r="C34" s="6">
        <v>22.18</v>
      </c>
      <c r="D34" s="6">
        <v>24</v>
      </c>
      <c r="E34" s="6">
        <v>9.35</v>
      </c>
      <c r="F34" s="6">
        <v>5.42</v>
      </c>
      <c r="G34" s="6">
        <v>111.1</v>
      </c>
      <c r="H34" s="6">
        <v>43.15</v>
      </c>
      <c r="I34" s="6">
        <v>8.7100000000000009</v>
      </c>
      <c r="J34" s="6">
        <v>0.66</v>
      </c>
      <c r="K34" s="6">
        <v>57.95</v>
      </c>
      <c r="L34" s="6">
        <v>23.12</v>
      </c>
      <c r="M34" s="6">
        <v>72.03</v>
      </c>
      <c r="N34" s="6">
        <v>0.1</v>
      </c>
      <c r="O34" s="6">
        <v>0</v>
      </c>
      <c r="P34" s="6">
        <v>1</v>
      </c>
      <c r="Q34" s="6">
        <v>4.7300000000000004</v>
      </c>
    </row>
    <row r="35" spans="1:17" customFormat="1">
      <c r="A35" s="82">
        <v>45355.28125</v>
      </c>
      <c r="B35" s="6">
        <v>12.84</v>
      </c>
      <c r="C35" s="6">
        <v>22.12</v>
      </c>
      <c r="D35" s="6">
        <v>23.21</v>
      </c>
      <c r="E35" s="6">
        <v>9.51</v>
      </c>
      <c r="F35" s="6">
        <v>5.67</v>
      </c>
      <c r="G35" s="6">
        <v>111.1</v>
      </c>
      <c r="H35" s="6">
        <v>43.15</v>
      </c>
      <c r="I35" s="6">
        <v>8.86</v>
      </c>
      <c r="J35" s="6">
        <v>0.62</v>
      </c>
      <c r="K35" s="6">
        <v>37.96</v>
      </c>
      <c r="L35" s="6">
        <v>22.99</v>
      </c>
      <c r="M35" s="6">
        <v>73.39</v>
      </c>
      <c r="N35" s="6">
        <v>4.2</v>
      </c>
      <c r="O35" s="6">
        <v>0</v>
      </c>
      <c r="P35" s="6">
        <v>1.03</v>
      </c>
      <c r="Q35" s="6">
        <v>4.72</v>
      </c>
    </row>
    <row r="36" spans="1:17" customFormat="1">
      <c r="A36" s="82">
        <v>45355.291666666664</v>
      </c>
      <c r="B36" s="6">
        <v>13.54</v>
      </c>
      <c r="C36" s="6">
        <v>23.44</v>
      </c>
      <c r="D36" s="6">
        <v>24.45</v>
      </c>
      <c r="E36" s="6">
        <v>10.35</v>
      </c>
      <c r="F36" s="6">
        <v>5.36</v>
      </c>
      <c r="G36" s="6">
        <v>111.38</v>
      </c>
      <c r="H36" s="6">
        <v>43.43</v>
      </c>
      <c r="I36" s="6">
        <v>8.94</v>
      </c>
      <c r="J36" s="6">
        <v>0.27</v>
      </c>
      <c r="K36" s="6">
        <v>352.48</v>
      </c>
      <c r="L36" s="6">
        <v>23.02</v>
      </c>
      <c r="M36" s="6">
        <v>73.97</v>
      </c>
      <c r="N36" s="6">
        <v>15.4</v>
      </c>
      <c r="O36" s="6">
        <v>0</v>
      </c>
      <c r="P36" s="6">
        <v>1.05</v>
      </c>
      <c r="Q36" s="6">
        <v>4.74</v>
      </c>
    </row>
    <row r="37" spans="1:17" customFormat="1">
      <c r="A37" s="82">
        <v>45355.302083333336</v>
      </c>
      <c r="B37" s="6">
        <v>14.29</v>
      </c>
      <c r="C37" s="6">
        <v>24.67</v>
      </c>
      <c r="D37" s="6">
        <v>25.7</v>
      </c>
      <c r="E37" s="6">
        <v>11.02</v>
      </c>
      <c r="F37" s="6">
        <v>5.35</v>
      </c>
      <c r="G37" s="6">
        <v>115.27</v>
      </c>
      <c r="H37" s="6">
        <v>46.9</v>
      </c>
      <c r="I37" s="6">
        <v>9.07</v>
      </c>
      <c r="J37" s="6">
        <v>0.39</v>
      </c>
      <c r="K37" s="6">
        <v>33.72</v>
      </c>
      <c r="L37" s="6">
        <v>23.26</v>
      </c>
      <c r="M37" s="6">
        <v>72.86</v>
      </c>
      <c r="N37" s="6">
        <v>19.5</v>
      </c>
      <c r="O37" s="6">
        <v>0</v>
      </c>
      <c r="P37" s="6">
        <v>1.06</v>
      </c>
      <c r="Q37" s="6">
        <v>4.7699999999999996</v>
      </c>
    </row>
    <row r="38" spans="1:17" customFormat="1">
      <c r="A38" s="82">
        <v>45355.3125</v>
      </c>
      <c r="B38" s="6">
        <v>13.3</v>
      </c>
      <c r="C38" s="6">
        <v>25.31</v>
      </c>
      <c r="D38" s="6">
        <v>25.24</v>
      </c>
      <c r="E38" s="6">
        <v>12.12</v>
      </c>
      <c r="F38" s="6">
        <v>5.2</v>
      </c>
      <c r="G38" s="6">
        <v>115.27</v>
      </c>
      <c r="H38" s="6">
        <v>46.9</v>
      </c>
      <c r="I38" s="6">
        <v>9.36</v>
      </c>
      <c r="J38" s="6">
        <v>0.36</v>
      </c>
      <c r="K38" s="6">
        <v>42.27</v>
      </c>
      <c r="L38" s="6">
        <v>23.5</v>
      </c>
      <c r="M38" s="6">
        <v>72.239999999999995</v>
      </c>
      <c r="N38" s="6">
        <v>39.4</v>
      </c>
      <c r="O38" s="6">
        <v>0</v>
      </c>
      <c r="P38" s="6">
        <v>1.07</v>
      </c>
      <c r="Q38" s="6">
        <v>4.76</v>
      </c>
    </row>
    <row r="39" spans="1:17" customFormat="1">
      <c r="A39" s="82">
        <v>45355.322916666664</v>
      </c>
      <c r="B39" s="6">
        <v>13.41</v>
      </c>
      <c r="C39" s="6">
        <v>26.45</v>
      </c>
      <c r="D39" s="6">
        <v>25.93</v>
      </c>
      <c r="E39" s="6">
        <v>14.14</v>
      </c>
      <c r="F39" s="6">
        <v>5.27</v>
      </c>
      <c r="G39" s="6">
        <v>115.27</v>
      </c>
      <c r="H39" s="6">
        <v>46.9</v>
      </c>
      <c r="I39" s="6">
        <v>9.4600000000000009</v>
      </c>
      <c r="J39" s="6">
        <v>0.41</v>
      </c>
      <c r="K39" s="6">
        <v>31.06</v>
      </c>
      <c r="L39" s="6">
        <v>24.03</v>
      </c>
      <c r="M39" s="6">
        <v>70.459999999999994</v>
      </c>
      <c r="N39" s="6">
        <v>74.599999999999994</v>
      </c>
      <c r="O39" s="6">
        <v>0</v>
      </c>
      <c r="P39" s="6">
        <v>1.1000000000000001</v>
      </c>
      <c r="Q39" s="6">
        <v>4.78</v>
      </c>
    </row>
    <row r="40" spans="1:17" customFormat="1">
      <c r="A40" s="82">
        <v>45355.333333333336</v>
      </c>
      <c r="B40" s="6">
        <v>15.11</v>
      </c>
      <c r="C40" s="6">
        <v>27.65</v>
      </c>
      <c r="D40" s="6">
        <v>27.91</v>
      </c>
      <c r="E40" s="6">
        <v>19.309999999999999</v>
      </c>
      <c r="F40" s="6">
        <v>5.4</v>
      </c>
      <c r="G40" s="6">
        <v>116.04</v>
      </c>
      <c r="H40" s="6">
        <v>47.05</v>
      </c>
      <c r="I40" s="6">
        <v>9.5500000000000007</v>
      </c>
      <c r="J40" s="6">
        <v>0.7</v>
      </c>
      <c r="K40" s="6">
        <v>54.6</v>
      </c>
      <c r="L40" s="6">
        <v>24.46</v>
      </c>
      <c r="M40" s="6">
        <v>68.66</v>
      </c>
      <c r="N40" s="6">
        <v>87.4</v>
      </c>
      <c r="O40" s="6">
        <v>0</v>
      </c>
      <c r="P40" s="6">
        <v>1.18</v>
      </c>
      <c r="Q40" s="6">
        <v>4.7699999999999996</v>
      </c>
    </row>
    <row r="41" spans="1:17" customFormat="1">
      <c r="A41" s="82">
        <v>45355.34375</v>
      </c>
      <c r="B41" s="6">
        <v>14.78</v>
      </c>
      <c r="C41" s="6">
        <v>28.23</v>
      </c>
      <c r="D41" s="6">
        <v>27.95</v>
      </c>
      <c r="E41" s="6">
        <v>17.36</v>
      </c>
      <c r="F41" s="6">
        <v>5.44</v>
      </c>
      <c r="G41" s="6">
        <v>126.84</v>
      </c>
      <c r="H41" s="6">
        <v>48.94</v>
      </c>
      <c r="I41" s="6">
        <v>9.7100000000000009</v>
      </c>
      <c r="J41" s="6">
        <v>0.9</v>
      </c>
      <c r="K41" s="6">
        <v>54.12</v>
      </c>
      <c r="L41" s="6">
        <v>24.64</v>
      </c>
      <c r="M41" s="6">
        <v>67.61</v>
      </c>
      <c r="N41" s="6">
        <v>128.69999999999999</v>
      </c>
      <c r="O41" s="6">
        <v>0</v>
      </c>
      <c r="P41" s="6">
        <v>1.17</v>
      </c>
      <c r="Q41" s="6">
        <v>4.8</v>
      </c>
    </row>
    <row r="42" spans="1:17" customFormat="1">
      <c r="A42" s="82">
        <v>45355.354166666664</v>
      </c>
      <c r="B42" s="6">
        <v>15.18</v>
      </c>
      <c r="C42" s="6">
        <v>29.24</v>
      </c>
      <c r="D42" s="6">
        <v>28.8</v>
      </c>
      <c r="E42" s="6">
        <v>17.239999999999998</v>
      </c>
      <c r="F42" s="6">
        <v>5.61</v>
      </c>
      <c r="G42" s="6">
        <v>126.84</v>
      </c>
      <c r="H42" s="6">
        <v>48.94</v>
      </c>
      <c r="I42" s="6">
        <v>9.9499999999999993</v>
      </c>
      <c r="J42" s="6">
        <v>0.76</v>
      </c>
      <c r="K42" s="6">
        <v>30.77</v>
      </c>
      <c r="L42" s="6">
        <v>25.22</v>
      </c>
      <c r="M42" s="6">
        <v>65.08</v>
      </c>
      <c r="N42" s="6">
        <v>180.2</v>
      </c>
      <c r="O42" s="6">
        <v>0</v>
      </c>
      <c r="P42" s="6">
        <v>1.19</v>
      </c>
      <c r="Q42" s="6">
        <v>4.79</v>
      </c>
    </row>
    <row r="43" spans="1:17" customFormat="1">
      <c r="A43" s="82">
        <v>45355.364583333336</v>
      </c>
      <c r="B43" s="6">
        <v>15.54</v>
      </c>
      <c r="C43" s="6">
        <v>30.5</v>
      </c>
      <c r="D43" s="6">
        <v>29.75</v>
      </c>
      <c r="E43" s="6">
        <v>17.14</v>
      </c>
      <c r="F43" s="6">
        <v>5.76</v>
      </c>
      <c r="G43" s="6">
        <v>126.84</v>
      </c>
      <c r="H43" s="6">
        <v>48.94</v>
      </c>
      <c r="I43" s="6">
        <v>10.01</v>
      </c>
      <c r="J43" s="6">
        <v>0.68</v>
      </c>
      <c r="K43" s="6">
        <v>44.71</v>
      </c>
      <c r="L43" s="6">
        <v>25.8</v>
      </c>
      <c r="M43" s="6">
        <v>63.27</v>
      </c>
      <c r="N43" s="6">
        <v>154.9</v>
      </c>
      <c r="O43" s="6">
        <v>0</v>
      </c>
      <c r="P43" s="6">
        <v>1.19</v>
      </c>
      <c r="Q43" s="6">
        <v>4.79</v>
      </c>
    </row>
    <row r="44" spans="1:17" customFormat="1">
      <c r="A44" s="82">
        <v>45355.375</v>
      </c>
      <c r="B44" s="6">
        <v>15.13</v>
      </c>
      <c r="C44" s="6">
        <v>30.74</v>
      </c>
      <c r="D44" s="6">
        <v>29.54</v>
      </c>
      <c r="E44" s="6">
        <v>16.329999999999998</v>
      </c>
      <c r="F44" s="6">
        <v>6.4</v>
      </c>
      <c r="G44" s="6">
        <v>126.91</v>
      </c>
      <c r="H44" s="6">
        <v>49.12</v>
      </c>
      <c r="I44" s="6">
        <v>10.09</v>
      </c>
      <c r="J44" s="6">
        <v>0.46</v>
      </c>
      <c r="K44" s="6">
        <v>48.44</v>
      </c>
      <c r="L44" s="6">
        <v>25.98</v>
      </c>
      <c r="M44" s="6">
        <v>62.36</v>
      </c>
      <c r="N44" s="6">
        <v>127.6</v>
      </c>
      <c r="O44" s="6">
        <v>0</v>
      </c>
      <c r="P44" s="6">
        <v>1.19</v>
      </c>
      <c r="Q44" s="6">
        <v>4.79</v>
      </c>
    </row>
    <row r="45" spans="1:17" customFormat="1">
      <c r="A45" s="82">
        <v>45355.385416666664</v>
      </c>
      <c r="B45" s="6">
        <v>14.42</v>
      </c>
      <c r="C45" s="6">
        <v>30.75</v>
      </c>
      <c r="D45" s="6">
        <v>28.98</v>
      </c>
      <c r="E45" s="6">
        <v>21.04</v>
      </c>
      <c r="F45" s="6">
        <v>6.96</v>
      </c>
      <c r="G45" s="6">
        <v>127.9</v>
      </c>
      <c r="H45" s="6">
        <v>51.37</v>
      </c>
      <c r="I45" s="6">
        <v>10.199999999999999</v>
      </c>
      <c r="J45" s="6">
        <v>0.6</v>
      </c>
      <c r="K45" s="6">
        <v>35.82</v>
      </c>
      <c r="L45" s="6">
        <v>26.31</v>
      </c>
      <c r="M45" s="6">
        <v>61.72</v>
      </c>
      <c r="N45" s="6">
        <v>238.9</v>
      </c>
      <c r="O45" s="6">
        <v>0</v>
      </c>
      <c r="P45" s="6">
        <v>1.18</v>
      </c>
      <c r="Q45" s="6">
        <v>4.8</v>
      </c>
    </row>
    <row r="46" spans="1:17" customFormat="1">
      <c r="A46" s="82">
        <v>45355.395833333336</v>
      </c>
      <c r="B46" s="6">
        <v>14.62</v>
      </c>
      <c r="C46" s="6">
        <v>32.89</v>
      </c>
      <c r="D46" s="6">
        <v>30.26</v>
      </c>
      <c r="E46" s="6">
        <v>19.489999999999998</v>
      </c>
      <c r="F46" s="6">
        <v>6.79</v>
      </c>
      <c r="G46" s="6">
        <v>127.9</v>
      </c>
      <c r="H46" s="6">
        <v>51.37</v>
      </c>
      <c r="I46" s="6">
        <v>10.15</v>
      </c>
      <c r="J46" s="6">
        <v>0.84</v>
      </c>
      <c r="K46" s="6">
        <v>44.34</v>
      </c>
      <c r="L46" s="6">
        <v>27.03</v>
      </c>
      <c r="M46" s="6">
        <v>59.03</v>
      </c>
      <c r="N46" s="6">
        <v>305.5</v>
      </c>
      <c r="O46" s="6">
        <v>0</v>
      </c>
      <c r="P46" s="6">
        <v>1.19</v>
      </c>
      <c r="Q46" s="6">
        <v>4.79</v>
      </c>
    </row>
    <row r="47" spans="1:17" customFormat="1">
      <c r="A47" s="82">
        <v>45355.40625</v>
      </c>
      <c r="B47" s="6">
        <v>14.23</v>
      </c>
      <c r="C47" s="6">
        <v>31.46</v>
      </c>
      <c r="D47" s="6">
        <v>29.2</v>
      </c>
      <c r="E47" s="6">
        <v>18.84</v>
      </c>
      <c r="F47" s="6">
        <v>8.11</v>
      </c>
      <c r="G47" s="6">
        <v>127.9</v>
      </c>
      <c r="H47" s="6">
        <v>51.37</v>
      </c>
      <c r="I47" s="6">
        <v>10.18</v>
      </c>
      <c r="J47" s="6">
        <v>1.39</v>
      </c>
      <c r="K47" s="6">
        <v>53.24</v>
      </c>
      <c r="L47" s="6">
        <v>27.45</v>
      </c>
      <c r="M47" s="6">
        <v>56.15</v>
      </c>
      <c r="N47" s="6">
        <v>349.3</v>
      </c>
      <c r="O47" s="6">
        <v>0</v>
      </c>
      <c r="P47" s="6">
        <v>1.18</v>
      </c>
      <c r="Q47" s="6">
        <v>4.7699999999999996</v>
      </c>
    </row>
    <row r="48" spans="1:17" customFormat="1">
      <c r="A48" s="82">
        <v>45355.416666666664</v>
      </c>
      <c r="B48" s="6">
        <v>13.73</v>
      </c>
      <c r="C48" s="6">
        <v>31.69</v>
      </c>
      <c r="D48" s="6">
        <v>28.92</v>
      </c>
      <c r="E48" s="6">
        <v>21.66</v>
      </c>
      <c r="F48" s="6">
        <v>8.56</v>
      </c>
      <c r="G48" s="6">
        <v>127.82</v>
      </c>
      <c r="H48" s="6">
        <v>51.17</v>
      </c>
      <c r="I48" s="6">
        <v>10.15</v>
      </c>
      <c r="J48" s="6">
        <v>1.1399999999999999</v>
      </c>
      <c r="K48" s="6">
        <v>50.46</v>
      </c>
      <c r="L48" s="6">
        <v>27.87</v>
      </c>
      <c r="M48" s="6">
        <v>54.55</v>
      </c>
      <c r="N48" s="6">
        <v>309.8</v>
      </c>
      <c r="O48" s="6">
        <v>0</v>
      </c>
      <c r="P48" s="6">
        <v>1.1599999999999999</v>
      </c>
      <c r="Q48" s="6">
        <v>4.8099999999999996</v>
      </c>
    </row>
    <row r="49" spans="1:17" customFormat="1">
      <c r="A49" s="82">
        <v>45355.427083333336</v>
      </c>
      <c r="B49" s="6">
        <v>12.7</v>
      </c>
      <c r="C49" s="6">
        <v>31.7</v>
      </c>
      <c r="D49" s="6">
        <v>28.1</v>
      </c>
      <c r="E49" s="6">
        <v>12.57</v>
      </c>
      <c r="F49" s="6">
        <v>9.2899999999999991</v>
      </c>
      <c r="G49" s="6">
        <v>126.73</v>
      </c>
      <c r="H49" s="6">
        <v>48.8</v>
      </c>
      <c r="I49" s="6">
        <v>10</v>
      </c>
      <c r="J49" s="6">
        <v>0.78</v>
      </c>
      <c r="K49" s="6">
        <v>24.11</v>
      </c>
      <c r="L49" s="6">
        <v>28.59</v>
      </c>
      <c r="M49" s="6">
        <v>51.99</v>
      </c>
      <c r="N49" s="6">
        <v>312</v>
      </c>
      <c r="O49" s="6">
        <v>0</v>
      </c>
      <c r="P49" s="6">
        <v>1.1200000000000001</v>
      </c>
      <c r="Q49" s="6">
        <v>4.8099999999999996</v>
      </c>
    </row>
    <row r="50" spans="1:17" customFormat="1">
      <c r="A50" s="82">
        <v>45355.4375</v>
      </c>
      <c r="B50" s="6">
        <v>11.35</v>
      </c>
      <c r="C50" s="6">
        <v>31.84</v>
      </c>
      <c r="D50" s="6">
        <v>27.09</v>
      </c>
      <c r="E50" s="6">
        <v>15.76</v>
      </c>
      <c r="F50" s="6">
        <v>9.51</v>
      </c>
      <c r="G50" s="6">
        <v>126.73</v>
      </c>
      <c r="H50" s="6">
        <v>48.8</v>
      </c>
      <c r="I50" s="6">
        <v>9.74</v>
      </c>
      <c r="J50" s="6">
        <v>0.77</v>
      </c>
      <c r="K50" s="6">
        <v>27.35</v>
      </c>
      <c r="L50" s="6">
        <v>28.91</v>
      </c>
      <c r="M50" s="6">
        <v>50.38</v>
      </c>
      <c r="N50" s="6">
        <v>427.1</v>
      </c>
      <c r="O50" s="6">
        <v>0</v>
      </c>
      <c r="P50" s="6">
        <v>1.1000000000000001</v>
      </c>
      <c r="Q50" s="6">
        <v>4.8099999999999996</v>
      </c>
    </row>
    <row r="51" spans="1:17" customFormat="1">
      <c r="A51" s="82">
        <v>45355.447916666664</v>
      </c>
      <c r="B51" s="6">
        <v>9.9499999999999993</v>
      </c>
      <c r="C51" s="6">
        <v>30.76</v>
      </c>
      <c r="D51" s="6">
        <v>25.4</v>
      </c>
      <c r="E51" s="6">
        <v>13.96</v>
      </c>
      <c r="F51" s="6">
        <v>10.89</v>
      </c>
      <c r="G51" s="6">
        <v>126.73</v>
      </c>
      <c r="H51" s="6">
        <v>48.8</v>
      </c>
      <c r="I51" s="6">
        <v>9.57</v>
      </c>
      <c r="J51" s="6">
        <v>1.1599999999999999</v>
      </c>
      <c r="K51" s="6">
        <v>55.26</v>
      </c>
      <c r="L51" s="6">
        <v>29.13</v>
      </c>
      <c r="M51" s="6">
        <v>49.94</v>
      </c>
      <c r="N51" s="6">
        <v>460.4</v>
      </c>
      <c r="O51" s="6">
        <v>0</v>
      </c>
      <c r="P51" s="6">
        <v>1.07</v>
      </c>
      <c r="Q51" s="6">
        <v>4.8099999999999996</v>
      </c>
    </row>
    <row r="52" spans="1:17" customFormat="1">
      <c r="A52" s="82">
        <v>45355.458333333336</v>
      </c>
      <c r="B52" s="6">
        <v>8.77</v>
      </c>
      <c r="C52" s="6">
        <v>29.81</v>
      </c>
      <c r="D52" s="6">
        <v>23.96</v>
      </c>
      <c r="E52" s="6">
        <v>15.32</v>
      </c>
      <c r="F52" s="6">
        <v>16.32</v>
      </c>
      <c r="G52" s="6">
        <v>125.9</v>
      </c>
      <c r="H52" s="6">
        <v>48.64</v>
      </c>
      <c r="I52" s="6">
        <v>9.3800000000000008</v>
      </c>
      <c r="J52" s="6">
        <v>0.95</v>
      </c>
      <c r="K52" s="6">
        <v>27.77</v>
      </c>
      <c r="L52" s="6">
        <v>29.6</v>
      </c>
      <c r="M52" s="6">
        <v>46.8</v>
      </c>
      <c r="N52" s="6">
        <v>487.7</v>
      </c>
      <c r="O52" s="6">
        <v>0</v>
      </c>
      <c r="P52" s="6">
        <v>1.03</v>
      </c>
      <c r="Q52" s="6">
        <v>4.79</v>
      </c>
    </row>
    <row r="53" spans="1:17" customFormat="1">
      <c r="A53" s="82">
        <v>45355.46875</v>
      </c>
      <c r="B53" s="6">
        <v>7.87</v>
      </c>
      <c r="C53" s="6">
        <v>28.43</v>
      </c>
      <c r="D53" s="6">
        <v>22.52</v>
      </c>
      <c r="E53" s="6">
        <v>16.059999999999999</v>
      </c>
      <c r="F53" s="6">
        <v>11.05</v>
      </c>
      <c r="G53" s="6">
        <v>114.26</v>
      </c>
      <c r="H53" s="6">
        <v>46.76</v>
      </c>
      <c r="I53" s="6">
        <v>9.1</v>
      </c>
      <c r="J53" s="6">
        <v>0.26</v>
      </c>
      <c r="K53" s="6">
        <v>20.77</v>
      </c>
      <c r="L53" s="6">
        <v>30.21</v>
      </c>
      <c r="M53" s="6">
        <v>45.03</v>
      </c>
      <c r="N53" s="6">
        <v>449.2</v>
      </c>
      <c r="O53" s="6">
        <v>0</v>
      </c>
      <c r="P53" s="6">
        <v>1.03</v>
      </c>
      <c r="Q53" s="6">
        <v>4.7699999999999996</v>
      </c>
    </row>
    <row r="54" spans="1:17" customFormat="1">
      <c r="A54" s="82">
        <v>45355.479166666664</v>
      </c>
      <c r="B54" s="6">
        <v>7.65</v>
      </c>
      <c r="C54" s="6">
        <v>28.16</v>
      </c>
      <c r="D54" s="6">
        <v>22.2</v>
      </c>
      <c r="E54" s="6">
        <v>18.61</v>
      </c>
      <c r="F54" s="6">
        <v>10.82</v>
      </c>
      <c r="G54" s="6">
        <v>114.26</v>
      </c>
      <c r="H54" s="6">
        <v>46.76</v>
      </c>
      <c r="I54" s="6">
        <v>8.61</v>
      </c>
      <c r="J54" s="6">
        <v>0.64</v>
      </c>
      <c r="K54" s="6">
        <v>357.76</v>
      </c>
      <c r="L54" s="6">
        <v>30.52</v>
      </c>
      <c r="M54" s="6">
        <v>44.47</v>
      </c>
      <c r="N54" s="6">
        <v>455.5</v>
      </c>
      <c r="O54" s="6">
        <v>0</v>
      </c>
      <c r="P54" s="6">
        <v>1.03</v>
      </c>
      <c r="Q54" s="6">
        <v>4.76</v>
      </c>
    </row>
    <row r="55" spans="1:17" customFormat="1">
      <c r="A55" s="82">
        <v>45355.489583333336</v>
      </c>
      <c r="B55" s="6">
        <v>7.09</v>
      </c>
      <c r="C55" s="6">
        <v>27.83</v>
      </c>
      <c r="D55" s="6">
        <v>21.58</v>
      </c>
      <c r="E55" s="6">
        <v>14.13</v>
      </c>
      <c r="F55" s="6">
        <v>9.92</v>
      </c>
      <c r="G55" s="6">
        <v>114.26</v>
      </c>
      <c r="H55" s="6">
        <v>46.76</v>
      </c>
      <c r="I55" s="6">
        <v>8.7200000000000006</v>
      </c>
      <c r="J55" s="6">
        <v>0.65</v>
      </c>
      <c r="K55" s="6">
        <v>39.770000000000003</v>
      </c>
      <c r="L55" s="6">
        <v>30.5</v>
      </c>
      <c r="M55" s="6">
        <v>43.99</v>
      </c>
      <c r="N55" s="6">
        <v>395.2</v>
      </c>
      <c r="O55" s="6">
        <v>0</v>
      </c>
      <c r="P55" s="6">
        <v>1.04</v>
      </c>
      <c r="Q55" s="6">
        <v>4.72</v>
      </c>
    </row>
    <row r="56" spans="1:17" customFormat="1">
      <c r="A56" s="82">
        <v>45355.5</v>
      </c>
      <c r="B56" s="6">
        <v>6.85</v>
      </c>
      <c r="C56" s="6">
        <v>26.99</v>
      </c>
      <c r="D56" s="6">
        <v>20.94</v>
      </c>
      <c r="E56" s="6">
        <v>15.76</v>
      </c>
      <c r="F56" s="6">
        <v>10.039999999999999</v>
      </c>
      <c r="G56" s="6">
        <v>112.88</v>
      </c>
      <c r="H56" s="6">
        <v>46.13</v>
      </c>
      <c r="I56" s="6">
        <v>8.65</v>
      </c>
      <c r="J56" s="6">
        <v>0.69</v>
      </c>
      <c r="K56" s="6">
        <v>62.14</v>
      </c>
      <c r="L56" s="6">
        <v>30.3</v>
      </c>
      <c r="M56" s="6">
        <v>43.58</v>
      </c>
      <c r="N56" s="6">
        <v>354.2</v>
      </c>
      <c r="O56" s="6">
        <v>0</v>
      </c>
      <c r="P56" s="6">
        <v>1.04</v>
      </c>
      <c r="Q56" s="6">
        <v>4.71</v>
      </c>
    </row>
    <row r="57" spans="1:17" customFormat="1">
      <c r="A57" s="82">
        <v>45355.510416666664</v>
      </c>
      <c r="B57" s="6">
        <v>6.5</v>
      </c>
      <c r="C57" s="6">
        <v>25.92</v>
      </c>
      <c r="D57" s="6">
        <v>20.100000000000001</v>
      </c>
      <c r="E57" s="6">
        <v>10.52</v>
      </c>
      <c r="F57" s="6">
        <v>9.23</v>
      </c>
      <c r="G57" s="6">
        <v>93.59</v>
      </c>
      <c r="H57" s="6">
        <v>38.39</v>
      </c>
      <c r="I57" s="6">
        <v>8.6</v>
      </c>
      <c r="J57" s="6">
        <v>0.5</v>
      </c>
      <c r="K57" s="6">
        <v>55</v>
      </c>
      <c r="L57" s="6">
        <v>30.88</v>
      </c>
      <c r="M57" s="6">
        <v>42.26</v>
      </c>
      <c r="N57" s="6">
        <v>376.7</v>
      </c>
      <c r="O57" s="6">
        <v>0</v>
      </c>
      <c r="P57" s="6">
        <v>1.04</v>
      </c>
      <c r="Q57" s="6">
        <v>4.71</v>
      </c>
    </row>
    <row r="58" spans="1:17" customFormat="1">
      <c r="A58" s="82">
        <v>45355.520833333336</v>
      </c>
      <c r="B58" s="6">
        <v>6.91</v>
      </c>
      <c r="C58" s="6">
        <v>23.75</v>
      </c>
      <c r="D58" s="6">
        <v>19.309999999999999</v>
      </c>
      <c r="E58" s="6">
        <v>12.86</v>
      </c>
      <c r="F58" s="6">
        <v>10.35</v>
      </c>
      <c r="G58" s="6">
        <v>93.59</v>
      </c>
      <c r="H58" s="6">
        <v>38.39</v>
      </c>
      <c r="I58" s="6">
        <v>8.4700000000000006</v>
      </c>
      <c r="J58" s="6">
        <v>0.9</v>
      </c>
      <c r="K58" s="6">
        <v>51.49</v>
      </c>
      <c r="L58" s="6">
        <v>31.22</v>
      </c>
      <c r="M58" s="6">
        <v>40.75</v>
      </c>
      <c r="N58" s="6">
        <v>488</v>
      </c>
      <c r="O58" s="6">
        <v>0</v>
      </c>
      <c r="P58" s="6">
        <v>1.03</v>
      </c>
      <c r="Q58" s="6">
        <v>4.68</v>
      </c>
    </row>
    <row r="59" spans="1:17" customFormat="1">
      <c r="A59" s="82">
        <v>45355.53125</v>
      </c>
      <c r="B59" s="6">
        <v>6.39</v>
      </c>
      <c r="C59" s="6">
        <v>24.21</v>
      </c>
      <c r="D59" s="6">
        <v>19.12</v>
      </c>
      <c r="E59" s="6">
        <v>17.52</v>
      </c>
      <c r="F59" s="6">
        <v>10.119999999999999</v>
      </c>
      <c r="G59" s="6">
        <v>93.59</v>
      </c>
      <c r="H59" s="6">
        <v>38.39</v>
      </c>
      <c r="I59" s="6">
        <v>8.49</v>
      </c>
      <c r="J59" s="6">
        <v>0.27</v>
      </c>
      <c r="K59" s="6">
        <v>31.46</v>
      </c>
      <c r="L59" s="6">
        <v>31.44</v>
      </c>
      <c r="M59" s="6">
        <v>40.29</v>
      </c>
      <c r="N59" s="6">
        <v>378.9</v>
      </c>
      <c r="O59" s="6">
        <v>0</v>
      </c>
      <c r="P59" s="6">
        <v>1.02</v>
      </c>
      <c r="Q59" s="6">
        <v>4.67</v>
      </c>
    </row>
    <row r="60" spans="1:17" customFormat="1">
      <c r="A60" s="82">
        <v>45355.541666666664</v>
      </c>
      <c r="B60" s="6">
        <v>5.79</v>
      </c>
      <c r="C60" s="6">
        <v>23.45</v>
      </c>
      <c r="D60" s="6">
        <v>18.25</v>
      </c>
      <c r="E60" s="6">
        <v>16.329999999999998</v>
      </c>
      <c r="F60" s="6">
        <v>17.36</v>
      </c>
      <c r="G60" s="6">
        <v>93.4</v>
      </c>
      <c r="H60" s="6">
        <v>38.53</v>
      </c>
      <c r="I60" s="6">
        <v>8.27</v>
      </c>
      <c r="J60" s="6">
        <v>0.56999999999999995</v>
      </c>
      <c r="K60" s="6">
        <v>325.77999999999997</v>
      </c>
      <c r="L60" s="6">
        <v>32.119999999999997</v>
      </c>
      <c r="M60" s="6">
        <v>38.69</v>
      </c>
      <c r="N60" s="6">
        <v>504.4</v>
      </c>
      <c r="O60" s="6">
        <v>0</v>
      </c>
      <c r="P60" s="6">
        <v>1</v>
      </c>
      <c r="Q60" s="6">
        <v>4.68</v>
      </c>
    </row>
    <row r="61" spans="1:17" customFormat="1">
      <c r="A61" s="82">
        <v>45355.552083333336</v>
      </c>
      <c r="B61" s="6">
        <v>5.04</v>
      </c>
      <c r="C61" s="6">
        <v>21.09</v>
      </c>
      <c r="D61" s="6">
        <v>16.420000000000002</v>
      </c>
      <c r="E61" s="6">
        <v>14.75</v>
      </c>
      <c r="F61" s="6">
        <v>18.34</v>
      </c>
      <c r="G61" s="6">
        <v>90.72</v>
      </c>
      <c r="H61" s="6">
        <v>40.270000000000003</v>
      </c>
      <c r="I61" s="6">
        <v>8.2899999999999991</v>
      </c>
      <c r="J61" s="6">
        <v>0.86</v>
      </c>
      <c r="K61" s="6">
        <v>348.87</v>
      </c>
      <c r="L61" s="6">
        <v>31.98</v>
      </c>
      <c r="M61" s="6">
        <v>38.31</v>
      </c>
      <c r="N61" s="6">
        <v>455.9</v>
      </c>
      <c r="O61" s="6">
        <v>0</v>
      </c>
      <c r="P61" s="6">
        <v>0.95</v>
      </c>
      <c r="Q61" s="6">
        <v>4.71</v>
      </c>
    </row>
    <row r="62" spans="1:17" customFormat="1">
      <c r="A62" s="82">
        <v>45355.5625</v>
      </c>
      <c r="B62" s="6">
        <v>4.2300000000000004</v>
      </c>
      <c r="C62" s="6">
        <v>21.8</v>
      </c>
      <c r="D62" s="6">
        <v>16.13</v>
      </c>
      <c r="E62" s="6">
        <v>11.72</v>
      </c>
      <c r="F62" s="6">
        <v>18.190000000000001</v>
      </c>
      <c r="G62" s="6">
        <v>90.72</v>
      </c>
      <c r="H62" s="6">
        <v>40.270000000000003</v>
      </c>
      <c r="I62" s="6">
        <v>7.9</v>
      </c>
      <c r="J62" s="6">
        <v>0.64</v>
      </c>
      <c r="K62" s="6">
        <v>298.75</v>
      </c>
      <c r="L62" s="6">
        <v>32.31</v>
      </c>
      <c r="M62" s="6">
        <v>37.6</v>
      </c>
      <c r="N62" s="6">
        <v>503.5</v>
      </c>
      <c r="O62" s="6">
        <v>0</v>
      </c>
      <c r="P62" s="6">
        <v>0.9</v>
      </c>
      <c r="Q62" s="6">
        <v>4.7300000000000004</v>
      </c>
    </row>
    <row r="63" spans="1:17" customFormat="1">
      <c r="A63" s="82">
        <v>45355.572916666664</v>
      </c>
      <c r="B63" s="6">
        <v>3.8</v>
      </c>
      <c r="C63" s="6">
        <v>23.51</v>
      </c>
      <c r="D63" s="6">
        <v>16.68</v>
      </c>
      <c r="E63" s="6">
        <v>13.23</v>
      </c>
      <c r="F63" s="6">
        <v>21.5</v>
      </c>
      <c r="G63" s="6">
        <v>90.72</v>
      </c>
      <c r="H63" s="6">
        <v>40.270000000000003</v>
      </c>
      <c r="I63" s="6">
        <v>7.71</v>
      </c>
      <c r="J63" s="6">
        <v>0.43</v>
      </c>
      <c r="K63" s="6">
        <v>331.23</v>
      </c>
      <c r="L63" s="6">
        <v>32.92</v>
      </c>
      <c r="M63" s="6">
        <v>36.42</v>
      </c>
      <c r="N63" s="6">
        <v>487.4</v>
      </c>
      <c r="O63" s="6">
        <v>0</v>
      </c>
      <c r="P63" s="6">
        <v>0.85</v>
      </c>
      <c r="Q63" s="6">
        <v>4.72</v>
      </c>
    </row>
    <row r="64" spans="1:17" customFormat="1">
      <c r="A64" s="82">
        <v>45355.583333333336</v>
      </c>
      <c r="B64" s="6">
        <v>3.75</v>
      </c>
      <c r="C64" s="6">
        <v>24.66</v>
      </c>
      <c r="D64" s="6">
        <v>17.239999999999998</v>
      </c>
      <c r="E64" s="6">
        <v>13.38</v>
      </c>
      <c r="F64" s="6">
        <v>21.46</v>
      </c>
      <c r="G64" s="6">
        <v>90.14</v>
      </c>
      <c r="H64" s="6">
        <v>39.97</v>
      </c>
      <c r="I64" s="6">
        <v>7.63</v>
      </c>
      <c r="J64" s="6">
        <v>0.51</v>
      </c>
      <c r="K64" s="6">
        <v>265.64999999999998</v>
      </c>
      <c r="L64" s="6">
        <v>33.380000000000003</v>
      </c>
      <c r="M64" s="6">
        <v>34.520000000000003</v>
      </c>
      <c r="N64" s="6">
        <v>476.9</v>
      </c>
      <c r="O64" s="6">
        <v>0</v>
      </c>
      <c r="P64" s="6">
        <v>0.84</v>
      </c>
      <c r="Q64" s="6">
        <v>4.7300000000000004</v>
      </c>
    </row>
    <row r="65" spans="1:17" customFormat="1">
      <c r="A65" s="82">
        <v>45355.59375</v>
      </c>
      <c r="B65" s="6">
        <v>3.66</v>
      </c>
      <c r="C65" s="6">
        <v>23.16</v>
      </c>
      <c r="D65" s="6">
        <v>16.38</v>
      </c>
      <c r="E65" s="6">
        <v>14.27</v>
      </c>
      <c r="F65" s="6">
        <v>27.42</v>
      </c>
      <c r="G65" s="6">
        <v>82.06</v>
      </c>
      <c r="H65" s="6">
        <v>36.33</v>
      </c>
      <c r="I65" s="6">
        <v>7.33</v>
      </c>
      <c r="J65" s="6">
        <v>0.31</v>
      </c>
      <c r="K65" s="6">
        <v>322.37</v>
      </c>
      <c r="L65" s="6">
        <v>33.659999999999997</v>
      </c>
      <c r="M65" s="6">
        <v>34.200000000000003</v>
      </c>
      <c r="N65" s="6">
        <v>398</v>
      </c>
      <c r="O65" s="6">
        <v>0</v>
      </c>
      <c r="P65" s="6">
        <v>0.8</v>
      </c>
      <c r="Q65" s="6">
        <v>4.7</v>
      </c>
    </row>
    <row r="66" spans="1:17" customFormat="1">
      <c r="A66" s="82">
        <v>45355.604166666664</v>
      </c>
      <c r="B66" s="6">
        <v>4.08</v>
      </c>
      <c r="C66" s="6">
        <v>21.88</v>
      </c>
      <c r="D66" s="6">
        <v>16.059999999999999</v>
      </c>
      <c r="E66" s="6">
        <v>16</v>
      </c>
      <c r="F66" s="6">
        <v>24.32</v>
      </c>
      <c r="G66" s="6">
        <v>82.06</v>
      </c>
      <c r="H66" s="6">
        <v>36.33</v>
      </c>
      <c r="I66" s="6">
        <v>7.43</v>
      </c>
      <c r="J66" s="6">
        <v>0.66</v>
      </c>
      <c r="K66" s="6">
        <v>341.47</v>
      </c>
      <c r="L66" s="6">
        <v>32.380000000000003</v>
      </c>
      <c r="M66" s="6">
        <v>38.81</v>
      </c>
      <c r="N66" s="6">
        <v>183.5</v>
      </c>
      <c r="O66" s="6">
        <v>0</v>
      </c>
      <c r="P66" s="6">
        <v>0.81</v>
      </c>
      <c r="Q66" s="6">
        <v>4.7</v>
      </c>
    </row>
    <row r="67" spans="1:17" customFormat="1">
      <c r="A67" s="82">
        <v>45355.614583333336</v>
      </c>
      <c r="B67" s="6">
        <v>6.26</v>
      </c>
      <c r="C67" s="6">
        <v>23.02</v>
      </c>
      <c r="D67" s="6">
        <v>18.399999999999999</v>
      </c>
      <c r="E67" s="6">
        <v>26.41</v>
      </c>
      <c r="F67" s="6">
        <v>31.04</v>
      </c>
      <c r="G67" s="6">
        <v>82.06</v>
      </c>
      <c r="H67" s="6">
        <v>36.33</v>
      </c>
      <c r="I67" s="6">
        <v>7.52</v>
      </c>
      <c r="J67" s="6">
        <v>1.06</v>
      </c>
      <c r="K67" s="6">
        <v>36.72</v>
      </c>
      <c r="L67" s="6">
        <v>31.64</v>
      </c>
      <c r="M67" s="6">
        <v>39.950000000000003</v>
      </c>
      <c r="N67" s="6">
        <v>114.5</v>
      </c>
      <c r="O67" s="6">
        <v>0</v>
      </c>
      <c r="P67" s="6">
        <v>0.8</v>
      </c>
      <c r="Q67" s="6">
        <v>4.71</v>
      </c>
    </row>
    <row r="68" spans="1:17" customFormat="1">
      <c r="A68" s="82">
        <v>45355.625</v>
      </c>
      <c r="B68" s="6">
        <v>7.76</v>
      </c>
      <c r="C68" s="6">
        <v>28.34</v>
      </c>
      <c r="D68" s="6">
        <v>22.38</v>
      </c>
      <c r="E68" s="6">
        <v>26.56</v>
      </c>
      <c r="F68" s="6">
        <v>23.67</v>
      </c>
      <c r="G68" s="6">
        <v>82.94</v>
      </c>
      <c r="H68" s="6">
        <v>36.369999999999997</v>
      </c>
      <c r="I68" s="6">
        <v>7.3</v>
      </c>
      <c r="J68" s="6">
        <v>1.07</v>
      </c>
      <c r="K68" s="6">
        <v>42.51</v>
      </c>
      <c r="L68" s="6">
        <v>31.41</v>
      </c>
      <c r="M68" s="6">
        <v>40.57</v>
      </c>
      <c r="N68" s="6">
        <v>187.5</v>
      </c>
      <c r="O68" s="6">
        <v>0</v>
      </c>
      <c r="P68" s="6">
        <v>0.79</v>
      </c>
      <c r="Q68" s="6">
        <v>4.71</v>
      </c>
    </row>
    <row r="69" spans="1:17" customFormat="1">
      <c r="A69" s="82">
        <v>45355.635416666664</v>
      </c>
      <c r="B69" s="6">
        <v>5.93</v>
      </c>
      <c r="C69" s="6">
        <v>28.27</v>
      </c>
      <c r="D69" s="6">
        <v>20.87</v>
      </c>
      <c r="E69" s="6">
        <v>25.32</v>
      </c>
      <c r="F69" s="6">
        <v>21.79</v>
      </c>
      <c r="G69" s="6">
        <v>95.2</v>
      </c>
      <c r="H69" s="6">
        <v>36.86</v>
      </c>
      <c r="I69" s="6">
        <v>7.05</v>
      </c>
      <c r="J69" s="6">
        <v>0.69</v>
      </c>
      <c r="K69" s="6">
        <v>15.25</v>
      </c>
      <c r="L69" s="6">
        <v>31.41</v>
      </c>
      <c r="M69" s="6">
        <v>40.04</v>
      </c>
      <c r="N69" s="6">
        <v>117.2</v>
      </c>
      <c r="O69" s="6">
        <v>0</v>
      </c>
      <c r="P69" s="6">
        <v>0.79</v>
      </c>
      <c r="Q69" s="6">
        <v>4.71</v>
      </c>
    </row>
    <row r="70" spans="1:17" customFormat="1">
      <c r="A70" s="82">
        <v>45355.645833333336</v>
      </c>
      <c r="B70" s="6">
        <v>8.81</v>
      </c>
      <c r="C70" s="6">
        <v>29.62</v>
      </c>
      <c r="D70" s="6">
        <v>23.9</v>
      </c>
      <c r="E70" s="6">
        <v>24.66</v>
      </c>
      <c r="F70" s="6">
        <v>23.46</v>
      </c>
      <c r="G70" s="6">
        <v>95.2</v>
      </c>
      <c r="H70" s="6">
        <v>36.86</v>
      </c>
      <c r="I70" s="6">
        <v>6.84</v>
      </c>
      <c r="J70" s="6">
        <v>0.96</v>
      </c>
      <c r="K70" s="6">
        <v>49.29</v>
      </c>
      <c r="L70" s="6">
        <v>31.25</v>
      </c>
      <c r="M70" s="6">
        <v>41.27</v>
      </c>
      <c r="N70" s="6">
        <v>99.5</v>
      </c>
      <c r="O70" s="6">
        <v>0</v>
      </c>
      <c r="P70" s="6">
        <v>0.78</v>
      </c>
      <c r="Q70" s="6">
        <v>4.7300000000000004</v>
      </c>
    </row>
    <row r="71" spans="1:17" customFormat="1">
      <c r="A71" s="82">
        <v>45355.65625</v>
      </c>
      <c r="B71" s="6">
        <v>7.14</v>
      </c>
      <c r="C71" s="6">
        <v>28.74</v>
      </c>
      <c r="D71" s="6">
        <v>22.09</v>
      </c>
      <c r="E71" s="6">
        <v>29.02</v>
      </c>
      <c r="F71" s="6">
        <v>25.21</v>
      </c>
      <c r="G71" s="6">
        <v>95.2</v>
      </c>
      <c r="H71" s="6">
        <v>36.86</v>
      </c>
      <c r="I71" s="6">
        <v>6.84</v>
      </c>
      <c r="J71" s="6">
        <v>0.7</v>
      </c>
      <c r="K71" s="6">
        <v>52.54</v>
      </c>
      <c r="L71" s="6">
        <v>31.48</v>
      </c>
      <c r="M71" s="6">
        <v>40.729999999999997</v>
      </c>
      <c r="N71" s="6">
        <v>140.6</v>
      </c>
      <c r="O71" s="6">
        <v>0</v>
      </c>
      <c r="P71" s="6">
        <v>0.77</v>
      </c>
      <c r="Q71" s="6">
        <v>4.7300000000000004</v>
      </c>
    </row>
    <row r="72" spans="1:17" customFormat="1">
      <c r="A72" s="82">
        <v>45355.666666666664</v>
      </c>
      <c r="B72" s="6">
        <v>8.18</v>
      </c>
      <c r="C72" s="6">
        <v>30.91</v>
      </c>
      <c r="D72" s="6">
        <v>24.06</v>
      </c>
      <c r="E72" s="6">
        <v>27.48</v>
      </c>
      <c r="F72" s="6">
        <v>24.85</v>
      </c>
      <c r="G72" s="6">
        <v>102.57</v>
      </c>
      <c r="H72" s="6">
        <v>37.17</v>
      </c>
      <c r="I72" s="6">
        <v>6.52</v>
      </c>
      <c r="J72" s="6">
        <v>1.18</v>
      </c>
      <c r="K72" s="6">
        <v>42.94</v>
      </c>
      <c r="L72" s="6">
        <v>31.52</v>
      </c>
      <c r="M72" s="6">
        <v>40.950000000000003</v>
      </c>
      <c r="N72" s="6">
        <v>195</v>
      </c>
      <c r="O72" s="6">
        <v>0</v>
      </c>
      <c r="P72" s="6">
        <v>0.78</v>
      </c>
      <c r="Q72" s="6">
        <v>4.75</v>
      </c>
    </row>
    <row r="73" spans="1:17" customFormat="1">
      <c r="A73" s="82">
        <v>45355.677083333336</v>
      </c>
      <c r="B73" s="6">
        <v>8.18</v>
      </c>
      <c r="C73" s="6">
        <v>28.77</v>
      </c>
      <c r="D73" s="6">
        <v>22.94</v>
      </c>
      <c r="E73" s="6">
        <v>26.93</v>
      </c>
      <c r="F73" s="6">
        <v>18.059999999999999</v>
      </c>
      <c r="G73" s="6">
        <v>205.65</v>
      </c>
      <c r="H73" s="6">
        <v>40.98</v>
      </c>
      <c r="I73" s="6">
        <v>6.43</v>
      </c>
      <c r="J73" s="6">
        <v>1.22</v>
      </c>
      <c r="K73" s="6">
        <v>48.79</v>
      </c>
      <c r="L73" s="6">
        <v>31.36</v>
      </c>
      <c r="M73" s="6">
        <v>40.909999999999997</v>
      </c>
      <c r="N73" s="6">
        <v>162.4</v>
      </c>
      <c r="O73" s="6">
        <v>0</v>
      </c>
      <c r="P73" s="6">
        <v>0.77</v>
      </c>
      <c r="Q73" s="6">
        <v>4.75</v>
      </c>
    </row>
    <row r="74" spans="1:17" customFormat="1">
      <c r="A74" s="82">
        <v>45355.6875</v>
      </c>
      <c r="B74" s="6">
        <v>10.06</v>
      </c>
      <c r="C74" s="6">
        <v>32.68</v>
      </c>
      <c r="D74" s="6">
        <v>26.49</v>
      </c>
      <c r="E74" s="6">
        <v>27.03</v>
      </c>
      <c r="F74" s="6">
        <v>26.17</v>
      </c>
      <c r="G74" s="6">
        <v>205.65</v>
      </c>
      <c r="H74" s="6">
        <v>40.98</v>
      </c>
      <c r="I74" s="6">
        <v>6.36</v>
      </c>
      <c r="J74" s="6">
        <v>0.74</v>
      </c>
      <c r="K74" s="6">
        <v>31.95</v>
      </c>
      <c r="L74" s="6">
        <v>31.41</v>
      </c>
      <c r="M74" s="6">
        <v>40.520000000000003</v>
      </c>
      <c r="N74" s="6">
        <v>128.30000000000001</v>
      </c>
      <c r="O74" s="6">
        <v>0</v>
      </c>
      <c r="P74" s="6">
        <v>0.76</v>
      </c>
      <c r="Q74" s="6">
        <v>4.74</v>
      </c>
    </row>
    <row r="75" spans="1:17" customFormat="1">
      <c r="A75" s="82">
        <v>45355.697916666664</v>
      </c>
      <c r="B75" s="6">
        <v>14.85</v>
      </c>
      <c r="C75" s="6">
        <v>34.72</v>
      </c>
      <c r="D75" s="6">
        <v>31.45</v>
      </c>
      <c r="E75" s="6">
        <v>28.12</v>
      </c>
      <c r="F75" s="6">
        <v>24.61</v>
      </c>
      <c r="G75" s="6">
        <v>205.65</v>
      </c>
      <c r="H75" s="6">
        <v>40.98</v>
      </c>
      <c r="I75" s="6">
        <v>6.37</v>
      </c>
      <c r="J75" s="6">
        <v>0.62</v>
      </c>
      <c r="K75" s="6">
        <v>43.17</v>
      </c>
      <c r="L75" s="6">
        <v>31.54</v>
      </c>
      <c r="M75" s="6">
        <v>40.1</v>
      </c>
      <c r="N75" s="6">
        <v>104.7</v>
      </c>
      <c r="O75" s="6">
        <v>0</v>
      </c>
      <c r="P75" s="6">
        <v>0.77</v>
      </c>
      <c r="Q75" s="6">
        <v>4.75</v>
      </c>
    </row>
    <row r="76" spans="1:17" customFormat="1">
      <c r="A76" s="82">
        <v>45355.708333333336</v>
      </c>
      <c r="B76" s="6">
        <v>18.22</v>
      </c>
      <c r="C76" s="6">
        <v>40.65</v>
      </c>
      <c r="D76" s="6">
        <v>41.03</v>
      </c>
      <c r="E76" s="6">
        <v>26.74</v>
      </c>
      <c r="F76" s="6">
        <v>21.22</v>
      </c>
      <c r="G76" s="6">
        <v>205.65</v>
      </c>
      <c r="H76" s="6">
        <v>42.44</v>
      </c>
      <c r="I76" s="6">
        <v>6.16</v>
      </c>
      <c r="J76" s="6">
        <v>0.62</v>
      </c>
      <c r="K76" s="6">
        <v>38.35</v>
      </c>
      <c r="L76" s="6">
        <v>31.47</v>
      </c>
      <c r="M76" s="6">
        <v>40.42</v>
      </c>
      <c r="N76" s="6">
        <v>80.5</v>
      </c>
      <c r="O76" s="6">
        <v>0</v>
      </c>
      <c r="P76" s="6">
        <v>0.8</v>
      </c>
      <c r="Q76" s="6">
        <v>4.75</v>
      </c>
    </row>
    <row r="77" spans="1:17" customFormat="1">
      <c r="A77" s="82">
        <v>45355.71875</v>
      </c>
      <c r="B77" s="6">
        <v>10.54</v>
      </c>
      <c r="C77" s="6">
        <v>36.06</v>
      </c>
      <c r="D77" s="6">
        <v>28.65</v>
      </c>
      <c r="E77" s="6">
        <v>29.03</v>
      </c>
      <c r="F77" s="6">
        <v>28.07</v>
      </c>
      <c r="G77" s="172" t="s">
        <v>8</v>
      </c>
      <c r="H77" s="6">
        <v>57.25</v>
      </c>
      <c r="I77" s="6">
        <v>6.14</v>
      </c>
      <c r="J77" s="6">
        <v>0.87</v>
      </c>
      <c r="K77" s="6">
        <v>51.21</v>
      </c>
      <c r="L77" s="6">
        <v>31.06</v>
      </c>
      <c r="M77" s="6">
        <v>41.58</v>
      </c>
      <c r="N77" s="6">
        <v>41.3</v>
      </c>
      <c r="O77" s="6">
        <v>0</v>
      </c>
      <c r="P77" s="6">
        <v>0.8</v>
      </c>
      <c r="Q77" s="6">
        <v>4.76</v>
      </c>
    </row>
    <row r="78" spans="1:17" customFormat="1">
      <c r="A78" s="82">
        <v>45355.729166666664</v>
      </c>
      <c r="B78" s="6">
        <v>10.59</v>
      </c>
      <c r="C78" s="6">
        <v>39.56</v>
      </c>
      <c r="D78" s="6">
        <v>30.51</v>
      </c>
      <c r="E78" s="6">
        <v>26.79</v>
      </c>
      <c r="F78" s="6">
        <v>17.739999999999998</v>
      </c>
      <c r="G78" s="172" t="s">
        <v>8</v>
      </c>
      <c r="H78" s="6">
        <v>57.25</v>
      </c>
      <c r="I78" s="6">
        <v>6.23</v>
      </c>
      <c r="J78" s="6">
        <v>0.86</v>
      </c>
      <c r="K78" s="6">
        <v>53.56</v>
      </c>
      <c r="L78" s="6">
        <v>30.64</v>
      </c>
      <c r="M78" s="6">
        <v>42.93</v>
      </c>
      <c r="N78" s="6">
        <v>17</v>
      </c>
      <c r="O78" s="6">
        <v>0</v>
      </c>
      <c r="P78" s="6">
        <v>0.8</v>
      </c>
      <c r="Q78" s="6">
        <v>4.76</v>
      </c>
    </row>
    <row r="79" spans="1:17" customFormat="1">
      <c r="A79" s="82">
        <v>45355.739583333336</v>
      </c>
      <c r="B79" s="6">
        <v>11.13</v>
      </c>
      <c r="C79" s="6">
        <v>38.81</v>
      </c>
      <c r="D79" s="6">
        <v>30.55</v>
      </c>
      <c r="E79" s="6">
        <v>29.64</v>
      </c>
      <c r="F79" s="6">
        <v>22.39</v>
      </c>
      <c r="G79" s="172" t="s">
        <v>8</v>
      </c>
      <c r="H79" s="6">
        <v>57.25</v>
      </c>
      <c r="I79" s="6">
        <v>6.15</v>
      </c>
      <c r="J79" s="6">
        <v>0.78</v>
      </c>
      <c r="K79" s="6">
        <v>48.37</v>
      </c>
      <c r="L79" s="6">
        <v>30.13</v>
      </c>
      <c r="M79" s="6">
        <v>44.43</v>
      </c>
      <c r="N79" s="6">
        <v>4</v>
      </c>
      <c r="O79" s="6">
        <v>0</v>
      </c>
      <c r="P79" s="6">
        <v>0.81</v>
      </c>
      <c r="Q79" s="6">
        <v>4.76</v>
      </c>
    </row>
    <row r="80" spans="1:17" customFormat="1">
      <c r="A80" s="82">
        <v>45355.75</v>
      </c>
      <c r="B80" s="6">
        <v>12.22</v>
      </c>
      <c r="C80" s="6">
        <v>36.68</v>
      </c>
      <c r="D80" s="6">
        <v>30.31</v>
      </c>
      <c r="E80" s="6">
        <v>31.5</v>
      </c>
      <c r="F80" s="6">
        <v>20.52</v>
      </c>
      <c r="G80" s="6">
        <v>105.71</v>
      </c>
      <c r="H80" s="6">
        <v>56.58</v>
      </c>
      <c r="I80" s="6">
        <v>6.25</v>
      </c>
      <c r="J80" s="6">
        <v>1.06</v>
      </c>
      <c r="K80" s="6">
        <v>63.93</v>
      </c>
      <c r="L80" s="6">
        <v>29.56</v>
      </c>
      <c r="M80" s="6">
        <v>45.34</v>
      </c>
      <c r="N80" s="6">
        <v>0</v>
      </c>
      <c r="O80" s="6">
        <v>0</v>
      </c>
      <c r="P80" s="6">
        <v>0.83</v>
      </c>
      <c r="Q80" s="6">
        <v>4.75</v>
      </c>
    </row>
    <row r="81" spans="1:17" customFormat="1">
      <c r="A81" s="82">
        <v>45355.760416666664</v>
      </c>
      <c r="B81" s="6">
        <v>10.98</v>
      </c>
      <c r="C81" s="6">
        <v>34.61</v>
      </c>
      <c r="D81" s="6">
        <v>28.24</v>
      </c>
      <c r="E81" s="6">
        <v>17.350000000000001</v>
      </c>
      <c r="F81" s="6">
        <v>19.78</v>
      </c>
      <c r="G81" s="6">
        <v>105.71</v>
      </c>
      <c r="H81" s="6">
        <v>49.76</v>
      </c>
      <c r="I81" s="6">
        <v>6.08</v>
      </c>
      <c r="J81" s="6">
        <v>0.76</v>
      </c>
      <c r="K81" s="6">
        <v>61.23</v>
      </c>
      <c r="L81" s="6">
        <v>29.32</v>
      </c>
      <c r="M81" s="6">
        <v>46.31</v>
      </c>
      <c r="N81" s="6">
        <v>0</v>
      </c>
      <c r="O81" s="6">
        <v>0</v>
      </c>
      <c r="P81" s="6">
        <v>0.87</v>
      </c>
      <c r="Q81" s="6">
        <v>4.75</v>
      </c>
    </row>
    <row r="82" spans="1:17" customFormat="1">
      <c r="A82" s="82">
        <v>45355.770833333336</v>
      </c>
      <c r="B82" s="6">
        <v>8.91</v>
      </c>
      <c r="C82" s="6">
        <v>32.01</v>
      </c>
      <c r="D82" s="6">
        <v>25.22</v>
      </c>
      <c r="E82" s="6">
        <v>24.15</v>
      </c>
      <c r="F82" s="6">
        <v>20.86</v>
      </c>
      <c r="G82" s="6">
        <v>105.71</v>
      </c>
      <c r="H82" s="6">
        <v>49.76</v>
      </c>
      <c r="I82" s="6">
        <v>6.06</v>
      </c>
      <c r="J82" s="6">
        <v>0.36</v>
      </c>
      <c r="K82" s="6">
        <v>79.209999999999994</v>
      </c>
      <c r="L82" s="6">
        <v>28.92</v>
      </c>
      <c r="M82" s="6">
        <v>48.64</v>
      </c>
      <c r="N82" s="6">
        <v>0</v>
      </c>
      <c r="O82" s="6">
        <v>0</v>
      </c>
      <c r="P82" s="6">
        <v>0.85</v>
      </c>
      <c r="Q82" s="6">
        <v>4.75</v>
      </c>
    </row>
    <row r="83" spans="1:17" customFormat="1">
      <c r="A83" s="82">
        <v>45355.78125</v>
      </c>
      <c r="B83" s="6">
        <v>7.83</v>
      </c>
      <c r="C83" s="6">
        <v>30.18</v>
      </c>
      <c r="D83" s="6">
        <v>23.4</v>
      </c>
      <c r="E83" s="6">
        <v>19.420000000000002</v>
      </c>
      <c r="F83" s="6">
        <v>16.059999999999999</v>
      </c>
      <c r="G83" s="6">
        <v>105.71</v>
      </c>
      <c r="H83" s="6">
        <v>49.76</v>
      </c>
      <c r="I83" s="6">
        <v>6.35</v>
      </c>
      <c r="J83" s="6">
        <v>0.22</v>
      </c>
      <c r="K83" s="6">
        <v>171.31</v>
      </c>
      <c r="L83" s="6">
        <v>28.33</v>
      </c>
      <c r="M83" s="6">
        <v>52.75</v>
      </c>
      <c r="N83" s="6">
        <v>0</v>
      </c>
      <c r="O83" s="6">
        <v>0</v>
      </c>
      <c r="P83" s="6">
        <v>0.87</v>
      </c>
      <c r="Q83" s="6">
        <v>4.7300000000000004</v>
      </c>
    </row>
    <row r="84" spans="1:17" customFormat="1">
      <c r="A84" s="82">
        <v>45355.791666666664</v>
      </c>
      <c r="B84" s="6">
        <v>7.39</v>
      </c>
      <c r="C84" s="6">
        <v>29.43</v>
      </c>
      <c r="D84" s="6">
        <v>22.66</v>
      </c>
      <c r="E84" s="6">
        <v>15.93</v>
      </c>
      <c r="F84" s="6">
        <v>13.69</v>
      </c>
      <c r="G84" s="6">
        <v>106.3</v>
      </c>
      <c r="H84" s="6">
        <v>49.38</v>
      </c>
      <c r="I84" s="6">
        <v>6.38</v>
      </c>
      <c r="J84" s="6">
        <v>0.28000000000000003</v>
      </c>
      <c r="K84" s="6">
        <v>174.28</v>
      </c>
      <c r="L84" s="6">
        <v>27.57</v>
      </c>
      <c r="M84" s="6">
        <v>56.05</v>
      </c>
      <c r="N84" s="6">
        <v>0</v>
      </c>
      <c r="O84" s="6">
        <v>0</v>
      </c>
      <c r="P84" s="6">
        <v>0.87</v>
      </c>
      <c r="Q84" s="6">
        <v>4.72</v>
      </c>
    </row>
    <row r="85" spans="1:17" customFormat="1">
      <c r="A85" s="82">
        <v>45355.802083333336</v>
      </c>
      <c r="B85" s="6">
        <v>11.29</v>
      </c>
      <c r="C85" s="6">
        <v>33.17</v>
      </c>
      <c r="D85" s="6">
        <v>27.74</v>
      </c>
      <c r="E85" s="6">
        <v>16.36</v>
      </c>
      <c r="F85" s="6">
        <v>11.53</v>
      </c>
      <c r="G85" s="6">
        <v>114.46</v>
      </c>
      <c r="H85" s="6">
        <v>44.7</v>
      </c>
      <c r="I85" s="6">
        <v>6.63</v>
      </c>
      <c r="J85" s="6">
        <v>0.6</v>
      </c>
      <c r="K85" s="6">
        <v>71.27</v>
      </c>
      <c r="L85" s="6">
        <v>27.77</v>
      </c>
      <c r="M85" s="6">
        <v>53</v>
      </c>
      <c r="N85" s="6">
        <v>0</v>
      </c>
      <c r="O85" s="6">
        <v>0</v>
      </c>
      <c r="P85" s="6">
        <v>0.97</v>
      </c>
      <c r="Q85" s="6">
        <v>4.71</v>
      </c>
    </row>
    <row r="86" spans="1:17" customFormat="1">
      <c r="A86" s="82">
        <v>45355.8125</v>
      </c>
      <c r="B86" s="6">
        <v>11.69</v>
      </c>
      <c r="C86" s="6">
        <v>32.18</v>
      </c>
      <c r="D86" s="6">
        <v>27.54</v>
      </c>
      <c r="E86" s="6">
        <v>14.07</v>
      </c>
      <c r="F86" s="6">
        <v>11.7</v>
      </c>
      <c r="G86" s="6">
        <v>114.46</v>
      </c>
      <c r="H86" s="6">
        <v>44.7</v>
      </c>
      <c r="I86" s="6">
        <v>6.76</v>
      </c>
      <c r="J86" s="6">
        <v>0.74</v>
      </c>
      <c r="K86" s="6">
        <v>62.38</v>
      </c>
      <c r="L86" s="6">
        <v>28.14</v>
      </c>
      <c r="M86" s="6">
        <v>50.79</v>
      </c>
      <c r="N86" s="6">
        <v>0</v>
      </c>
      <c r="O86" s="6">
        <v>0</v>
      </c>
      <c r="P86" s="6">
        <v>0.93</v>
      </c>
      <c r="Q86" s="6">
        <v>4.72</v>
      </c>
    </row>
    <row r="87" spans="1:17" customFormat="1">
      <c r="A87" s="82">
        <v>45355.822916666664</v>
      </c>
      <c r="B87" s="6">
        <v>11.16</v>
      </c>
      <c r="C87" s="6">
        <v>30.03</v>
      </c>
      <c r="D87" s="6">
        <v>25.99</v>
      </c>
      <c r="E87" s="6">
        <v>12.54</v>
      </c>
      <c r="F87" s="6">
        <v>11.73</v>
      </c>
      <c r="G87" s="6">
        <v>114.46</v>
      </c>
      <c r="H87" s="6">
        <v>44.7</v>
      </c>
      <c r="I87" s="6">
        <v>7.34</v>
      </c>
      <c r="J87" s="6">
        <v>0.63</v>
      </c>
      <c r="K87" s="6">
        <v>74.19</v>
      </c>
      <c r="L87" s="6">
        <v>27.97</v>
      </c>
      <c r="M87" s="6">
        <v>51.44</v>
      </c>
      <c r="N87" s="6">
        <v>0</v>
      </c>
      <c r="O87" s="6">
        <v>0</v>
      </c>
      <c r="P87" s="6">
        <v>0.93</v>
      </c>
      <c r="Q87" s="6">
        <v>4.7300000000000004</v>
      </c>
    </row>
    <row r="88" spans="1:17" customFormat="1">
      <c r="A88" s="82">
        <v>45355.833333333336</v>
      </c>
      <c r="B88" s="6">
        <v>11.94</v>
      </c>
      <c r="C88" s="6">
        <v>32</v>
      </c>
      <c r="D88" s="6">
        <v>27.64</v>
      </c>
      <c r="E88" s="6">
        <v>12.76</v>
      </c>
      <c r="F88" s="6">
        <v>7.91</v>
      </c>
      <c r="G88" s="6">
        <v>115.6</v>
      </c>
      <c r="H88" s="6">
        <v>44.6</v>
      </c>
      <c r="I88" s="6">
        <v>7.2</v>
      </c>
      <c r="J88" s="6">
        <v>0.26</v>
      </c>
      <c r="K88" s="6">
        <v>119.86</v>
      </c>
      <c r="L88" s="6">
        <v>27.95</v>
      </c>
      <c r="M88" s="6">
        <v>52.48</v>
      </c>
      <c r="N88" s="6">
        <v>0</v>
      </c>
      <c r="O88" s="6">
        <v>0</v>
      </c>
      <c r="P88" s="6">
        <v>0.9</v>
      </c>
      <c r="Q88" s="6">
        <v>4.74</v>
      </c>
    </row>
    <row r="89" spans="1:17" customFormat="1">
      <c r="A89" s="82">
        <v>45355.84375</v>
      </c>
      <c r="B89" s="6">
        <v>8.9700000000000006</v>
      </c>
      <c r="C89" s="6">
        <v>30.14</v>
      </c>
      <c r="D89" s="6">
        <v>24.29</v>
      </c>
      <c r="E89" s="6">
        <v>12.67</v>
      </c>
      <c r="F89" s="6">
        <v>12.73</v>
      </c>
      <c r="G89" s="6">
        <v>131.54</v>
      </c>
      <c r="H89" s="6">
        <v>43.59</v>
      </c>
      <c r="I89" s="6">
        <v>7.2</v>
      </c>
      <c r="J89" s="6">
        <v>0.19</v>
      </c>
      <c r="K89" s="6">
        <v>196.53</v>
      </c>
      <c r="L89" s="6">
        <v>27.26</v>
      </c>
      <c r="M89" s="6">
        <v>56.79</v>
      </c>
      <c r="N89" s="6">
        <v>0</v>
      </c>
      <c r="O89" s="6">
        <v>0</v>
      </c>
      <c r="P89" s="6">
        <v>0.86</v>
      </c>
      <c r="Q89" s="6">
        <v>4.76</v>
      </c>
    </row>
    <row r="90" spans="1:17" customFormat="1">
      <c r="A90" s="82">
        <v>45355.854166666664</v>
      </c>
      <c r="B90" s="6">
        <v>10.050000000000001</v>
      </c>
      <c r="C90" s="6">
        <v>32.42</v>
      </c>
      <c r="D90" s="6">
        <v>26.35</v>
      </c>
      <c r="E90" s="6">
        <v>11.5</v>
      </c>
      <c r="F90" s="6">
        <v>9.01</v>
      </c>
      <c r="G90" s="6">
        <v>131.54</v>
      </c>
      <c r="H90" s="6">
        <v>43.59</v>
      </c>
      <c r="I90" s="6">
        <v>7.22</v>
      </c>
      <c r="J90" s="6">
        <v>0.37</v>
      </c>
      <c r="K90" s="6">
        <v>80.59</v>
      </c>
      <c r="L90" s="6">
        <v>27.05</v>
      </c>
      <c r="M90" s="6">
        <v>54.76</v>
      </c>
      <c r="N90" s="6">
        <v>0</v>
      </c>
      <c r="O90" s="6">
        <v>0</v>
      </c>
      <c r="P90" s="6">
        <v>0.88</v>
      </c>
      <c r="Q90" s="6">
        <v>4.74</v>
      </c>
    </row>
    <row r="91" spans="1:17" customFormat="1">
      <c r="A91" s="82">
        <v>45355.864583333336</v>
      </c>
      <c r="B91" s="6">
        <v>10.84</v>
      </c>
      <c r="C91" s="6">
        <v>34.08</v>
      </c>
      <c r="D91" s="6">
        <v>27.85</v>
      </c>
      <c r="E91" s="6">
        <v>11.65</v>
      </c>
      <c r="F91" s="6">
        <v>7.63</v>
      </c>
      <c r="G91" s="6">
        <v>131.54</v>
      </c>
      <c r="H91" s="6">
        <v>43.59</v>
      </c>
      <c r="I91" s="6">
        <v>7.03</v>
      </c>
      <c r="J91" s="6">
        <v>0.38</v>
      </c>
      <c r="K91" s="6">
        <v>67.400000000000006</v>
      </c>
      <c r="L91" s="6">
        <v>27.15</v>
      </c>
      <c r="M91" s="6">
        <v>54.09</v>
      </c>
      <c r="N91" s="6">
        <v>0</v>
      </c>
      <c r="O91" s="6">
        <v>0</v>
      </c>
      <c r="P91" s="6">
        <v>0.89</v>
      </c>
      <c r="Q91" s="6">
        <v>4.75</v>
      </c>
    </row>
    <row r="92" spans="1:17" customFormat="1">
      <c r="A92" s="82">
        <v>45355.875</v>
      </c>
      <c r="B92" s="6">
        <v>11.63</v>
      </c>
      <c r="C92" s="6">
        <v>33.81</v>
      </c>
      <c r="D92" s="6">
        <v>28.35</v>
      </c>
      <c r="E92" s="6">
        <v>11.74</v>
      </c>
      <c r="F92" s="6">
        <v>6.97</v>
      </c>
      <c r="G92" s="6">
        <v>130.09</v>
      </c>
      <c r="H92" s="6">
        <v>43.5</v>
      </c>
      <c r="I92" s="6">
        <v>7.05</v>
      </c>
      <c r="J92" s="6">
        <v>0.28999999999999998</v>
      </c>
      <c r="K92" s="6">
        <v>58.85</v>
      </c>
      <c r="L92" s="6">
        <v>27.01</v>
      </c>
      <c r="M92" s="6">
        <v>54.77</v>
      </c>
      <c r="N92" s="6">
        <v>0</v>
      </c>
      <c r="O92" s="6">
        <v>0</v>
      </c>
      <c r="P92" s="6">
        <v>0.92</v>
      </c>
      <c r="Q92" s="6">
        <v>4.76</v>
      </c>
    </row>
    <row r="93" spans="1:17" customFormat="1">
      <c r="A93" s="82">
        <v>45355.885416666664</v>
      </c>
      <c r="B93" s="6">
        <v>15.02</v>
      </c>
      <c r="C93" s="6">
        <v>35.369999999999997</v>
      </c>
      <c r="D93" s="6">
        <v>31.87</v>
      </c>
      <c r="E93" s="6">
        <v>10.210000000000001</v>
      </c>
      <c r="F93" s="6">
        <v>5.93</v>
      </c>
      <c r="G93" s="6">
        <v>109.78</v>
      </c>
      <c r="H93" s="6">
        <v>42.52</v>
      </c>
      <c r="I93" s="6">
        <v>7</v>
      </c>
      <c r="J93" s="6">
        <v>0.28000000000000003</v>
      </c>
      <c r="K93" s="6">
        <v>30.94</v>
      </c>
      <c r="L93" s="6">
        <v>26.66</v>
      </c>
      <c r="M93" s="6">
        <v>56.09</v>
      </c>
      <c r="N93" s="6">
        <v>0</v>
      </c>
      <c r="O93" s="6">
        <v>0</v>
      </c>
      <c r="P93" s="6">
        <v>0.92</v>
      </c>
      <c r="Q93" s="6">
        <v>4.75</v>
      </c>
    </row>
    <row r="94" spans="1:17" customFormat="1">
      <c r="A94" s="82">
        <v>45355.895833333336</v>
      </c>
      <c r="B94" s="6">
        <v>14.03</v>
      </c>
      <c r="C94" s="6">
        <v>34.4</v>
      </c>
      <c r="D94" s="6">
        <v>30.58</v>
      </c>
      <c r="E94" s="6">
        <v>9.06</v>
      </c>
      <c r="F94" s="6">
        <v>5</v>
      </c>
      <c r="G94" s="6">
        <v>109.78</v>
      </c>
      <c r="H94" s="6">
        <v>42.52</v>
      </c>
      <c r="I94" s="6">
        <v>7.17</v>
      </c>
      <c r="J94" s="6">
        <v>0.21</v>
      </c>
      <c r="K94" s="6">
        <v>172.75</v>
      </c>
      <c r="L94" s="6">
        <v>26.16</v>
      </c>
      <c r="M94" s="6">
        <v>62.22</v>
      </c>
      <c r="N94" s="6">
        <v>0</v>
      </c>
      <c r="O94" s="6">
        <v>0</v>
      </c>
      <c r="P94" s="6">
        <v>0.91</v>
      </c>
      <c r="Q94" s="6">
        <v>4.75</v>
      </c>
    </row>
    <row r="95" spans="1:17" customFormat="1">
      <c r="A95" s="82">
        <v>45355.90625</v>
      </c>
      <c r="B95" s="6">
        <v>12.71</v>
      </c>
      <c r="C95" s="6">
        <v>33.299999999999997</v>
      </c>
      <c r="D95" s="6">
        <v>28.94</v>
      </c>
      <c r="E95" s="6">
        <v>7.74</v>
      </c>
      <c r="F95" s="6">
        <v>5.07</v>
      </c>
      <c r="G95" s="6">
        <v>109.78</v>
      </c>
      <c r="H95" s="6">
        <v>42.52</v>
      </c>
      <c r="I95" s="6">
        <v>7.35</v>
      </c>
      <c r="J95" s="6">
        <v>0.31</v>
      </c>
      <c r="K95" s="6">
        <v>188.34</v>
      </c>
      <c r="L95" s="6">
        <v>25.51</v>
      </c>
      <c r="M95" s="6">
        <v>66.010000000000005</v>
      </c>
      <c r="N95" s="6">
        <v>0</v>
      </c>
      <c r="O95" s="6">
        <v>0</v>
      </c>
      <c r="P95" s="6">
        <v>0.91</v>
      </c>
      <c r="Q95" s="6">
        <v>4.76</v>
      </c>
    </row>
    <row r="96" spans="1:17" customFormat="1">
      <c r="A96" s="82">
        <v>45355.916666666664</v>
      </c>
      <c r="B96" s="6">
        <v>11.65</v>
      </c>
      <c r="C96" s="6">
        <v>31.96</v>
      </c>
      <c r="D96" s="6">
        <v>27.39</v>
      </c>
      <c r="E96" s="6">
        <v>7.88</v>
      </c>
      <c r="F96" s="6">
        <v>5.88</v>
      </c>
      <c r="G96" s="6">
        <v>109.68</v>
      </c>
      <c r="H96" s="6">
        <v>42.39</v>
      </c>
      <c r="I96" s="6">
        <v>7.29</v>
      </c>
      <c r="J96" s="6">
        <v>0.17</v>
      </c>
      <c r="K96" s="6">
        <v>186.67</v>
      </c>
      <c r="L96" s="6">
        <v>24.93</v>
      </c>
      <c r="M96" s="6">
        <v>65.16</v>
      </c>
      <c r="N96" s="6">
        <v>0</v>
      </c>
      <c r="O96" s="6">
        <v>0</v>
      </c>
      <c r="P96" s="6">
        <v>0.89</v>
      </c>
      <c r="Q96" s="6">
        <v>4.78</v>
      </c>
    </row>
    <row r="97" spans="1:22" customFormat="1">
      <c r="A97" s="82">
        <v>45355.927083333336</v>
      </c>
      <c r="B97" s="6">
        <v>10.89</v>
      </c>
      <c r="C97" s="6">
        <v>30.72</v>
      </c>
      <c r="D97" s="6">
        <v>26.13</v>
      </c>
      <c r="E97" s="6">
        <v>7.52</v>
      </c>
      <c r="F97" s="6">
        <v>5.77</v>
      </c>
      <c r="G97" s="6">
        <v>108.6</v>
      </c>
      <c r="H97" s="6">
        <v>40.799999999999997</v>
      </c>
      <c r="I97" s="6">
        <v>7.28</v>
      </c>
      <c r="J97" s="6">
        <v>0.21</v>
      </c>
      <c r="K97" s="6">
        <v>212.74</v>
      </c>
      <c r="L97" s="6">
        <v>24.75</v>
      </c>
      <c r="M97" s="6">
        <v>68.83</v>
      </c>
      <c r="N97" s="6">
        <v>0</v>
      </c>
      <c r="O97" s="6">
        <v>0</v>
      </c>
      <c r="P97" s="6">
        <v>0.87</v>
      </c>
      <c r="Q97" s="6">
        <v>4.76</v>
      </c>
    </row>
    <row r="98" spans="1:22" customFormat="1">
      <c r="A98" s="82">
        <v>45355.9375</v>
      </c>
      <c r="B98" s="6">
        <v>15.42</v>
      </c>
      <c r="C98" s="6">
        <v>30.95</v>
      </c>
      <c r="D98" s="6">
        <v>29.89</v>
      </c>
      <c r="E98" s="6">
        <v>8.0299999999999994</v>
      </c>
      <c r="F98" s="6">
        <v>5.21</v>
      </c>
      <c r="G98" s="6">
        <v>108.6</v>
      </c>
      <c r="H98" s="6">
        <v>40.799999999999997</v>
      </c>
      <c r="I98" s="6">
        <v>7.2</v>
      </c>
      <c r="J98" s="6">
        <v>0.21</v>
      </c>
      <c r="K98" s="6">
        <v>235</v>
      </c>
      <c r="L98" s="6">
        <v>24.56</v>
      </c>
      <c r="M98" s="6">
        <v>66.91</v>
      </c>
      <c r="N98" s="6">
        <v>0</v>
      </c>
      <c r="O98" s="6">
        <v>0</v>
      </c>
      <c r="P98" s="6">
        <v>0.89</v>
      </c>
      <c r="Q98" s="6">
        <v>4.76</v>
      </c>
    </row>
    <row r="99" spans="1:22" customFormat="1">
      <c r="A99" s="82">
        <v>45355.947916666664</v>
      </c>
      <c r="B99" s="6">
        <v>13.81</v>
      </c>
      <c r="C99" s="6">
        <v>29.98</v>
      </c>
      <c r="D99" s="6">
        <v>28.09</v>
      </c>
      <c r="E99" s="6">
        <v>7.94</v>
      </c>
      <c r="F99" s="6">
        <v>4.71</v>
      </c>
      <c r="G99" s="6">
        <v>108.6</v>
      </c>
      <c r="H99" s="6">
        <v>40.799999999999997</v>
      </c>
      <c r="I99" s="6">
        <v>7.22</v>
      </c>
      <c r="J99" s="6">
        <v>0.26</v>
      </c>
      <c r="K99" s="6">
        <v>198.55</v>
      </c>
      <c r="L99" s="6">
        <v>24.4</v>
      </c>
      <c r="M99" s="6">
        <v>68.489999999999995</v>
      </c>
      <c r="N99" s="6">
        <v>0</v>
      </c>
      <c r="O99" s="6">
        <v>0</v>
      </c>
      <c r="P99" s="6">
        <v>0.88</v>
      </c>
      <c r="Q99" s="6">
        <v>4.7699999999999996</v>
      </c>
    </row>
    <row r="100" spans="1:22" customFormat="1">
      <c r="A100" s="82">
        <v>45355.958333333336</v>
      </c>
      <c r="B100" s="6">
        <v>12.86</v>
      </c>
      <c r="C100" s="6">
        <v>30.85</v>
      </c>
      <c r="D100" s="6">
        <v>27.79</v>
      </c>
      <c r="E100" s="6">
        <v>7.6</v>
      </c>
      <c r="F100" s="6">
        <v>4.6900000000000004</v>
      </c>
      <c r="G100" s="6">
        <v>108.72</v>
      </c>
      <c r="H100" s="6">
        <v>40.85</v>
      </c>
      <c r="I100" s="6">
        <v>7.28</v>
      </c>
      <c r="J100" s="6">
        <v>0.13</v>
      </c>
      <c r="K100" s="6">
        <v>152.33000000000001</v>
      </c>
      <c r="L100" s="6">
        <v>24.1</v>
      </c>
      <c r="M100" s="6">
        <v>69.319999999999993</v>
      </c>
      <c r="N100" s="6">
        <v>0</v>
      </c>
      <c r="O100" s="6">
        <v>0</v>
      </c>
      <c r="P100" s="6">
        <v>0.89</v>
      </c>
      <c r="Q100" s="6">
        <v>4.76</v>
      </c>
    </row>
    <row r="101" spans="1:22" customFormat="1">
      <c r="A101" s="82">
        <v>45355.96875</v>
      </c>
      <c r="B101" s="6">
        <v>15.94</v>
      </c>
      <c r="C101" s="6">
        <v>32.25</v>
      </c>
      <c r="D101" s="6">
        <v>30.98</v>
      </c>
      <c r="E101" s="6">
        <v>8.26</v>
      </c>
      <c r="F101" s="6">
        <v>4.53</v>
      </c>
      <c r="G101" s="6">
        <v>110.41</v>
      </c>
      <c r="H101" s="6">
        <v>41.5</v>
      </c>
      <c r="I101" s="6">
        <v>7.28</v>
      </c>
      <c r="J101" s="6">
        <v>0.15</v>
      </c>
      <c r="K101" s="6">
        <v>164.88</v>
      </c>
      <c r="L101" s="6">
        <v>24.29</v>
      </c>
      <c r="M101" s="6">
        <v>68.680000000000007</v>
      </c>
      <c r="N101" s="6">
        <v>0</v>
      </c>
      <c r="O101" s="6">
        <v>0</v>
      </c>
      <c r="P101" s="6">
        <v>0.91</v>
      </c>
      <c r="Q101" s="6">
        <v>4.7699999999999996</v>
      </c>
    </row>
    <row r="102" spans="1:22" customFormat="1">
      <c r="A102" s="82">
        <v>45355.979166666664</v>
      </c>
      <c r="B102" s="6">
        <v>20.97</v>
      </c>
      <c r="C102" s="6">
        <v>33.11</v>
      </c>
      <c r="D102" s="6">
        <v>35.46</v>
      </c>
      <c r="E102" s="6">
        <v>7.6</v>
      </c>
      <c r="F102" s="6">
        <v>4.42</v>
      </c>
      <c r="G102" s="6">
        <v>110.41</v>
      </c>
      <c r="H102" s="6">
        <v>41.5</v>
      </c>
      <c r="I102" s="6">
        <v>7.49</v>
      </c>
      <c r="J102" s="6">
        <v>0.15</v>
      </c>
      <c r="K102" s="6">
        <v>189.1</v>
      </c>
      <c r="L102" s="6">
        <v>24.38</v>
      </c>
      <c r="M102" s="6">
        <v>68.819999999999993</v>
      </c>
      <c r="N102" s="6">
        <v>0</v>
      </c>
      <c r="O102" s="6">
        <v>0</v>
      </c>
      <c r="P102" s="6">
        <v>0.93</v>
      </c>
      <c r="Q102" s="6">
        <v>4.78</v>
      </c>
    </row>
    <row r="103" spans="1:22" customFormat="1">
      <c r="A103" s="82">
        <v>45355.989583333336</v>
      </c>
      <c r="B103" s="6">
        <v>23.16</v>
      </c>
      <c r="C103" s="6">
        <v>32.17</v>
      </c>
      <c r="D103" s="6">
        <v>36.729999999999997</v>
      </c>
      <c r="E103" s="6">
        <v>6.86</v>
      </c>
      <c r="F103" s="6">
        <v>4.3600000000000003</v>
      </c>
      <c r="G103" s="6">
        <v>110.41</v>
      </c>
      <c r="H103" s="6">
        <v>41.5</v>
      </c>
      <c r="I103" s="6">
        <v>7.7</v>
      </c>
      <c r="J103" s="6">
        <v>0.28000000000000003</v>
      </c>
      <c r="K103" s="6">
        <v>64.53</v>
      </c>
      <c r="L103" s="6">
        <v>24.31</v>
      </c>
      <c r="M103" s="6">
        <v>69.39</v>
      </c>
      <c r="N103" s="6">
        <v>0</v>
      </c>
      <c r="O103" s="6">
        <v>0</v>
      </c>
      <c r="P103" s="6">
        <v>0.95</v>
      </c>
      <c r="Q103" s="6">
        <v>4.78</v>
      </c>
    </row>
    <row r="104" spans="1:22" customFormat="1">
      <c r="A104" s="82">
        <v>45356</v>
      </c>
      <c r="B104" s="6">
        <v>24.03</v>
      </c>
      <c r="C104" s="6">
        <v>32.67</v>
      </c>
      <c r="D104" s="6">
        <v>37.69</v>
      </c>
      <c r="E104" s="6">
        <v>8.2100000000000009</v>
      </c>
      <c r="F104" s="6">
        <v>4.54</v>
      </c>
      <c r="G104" s="6">
        <v>111.38</v>
      </c>
      <c r="H104" s="6">
        <v>41.61</v>
      </c>
      <c r="I104" s="6">
        <v>7.89</v>
      </c>
      <c r="J104" s="6">
        <v>0.59</v>
      </c>
      <c r="K104" s="6">
        <v>35.36</v>
      </c>
      <c r="L104" s="6">
        <v>24.65</v>
      </c>
      <c r="M104" s="6">
        <v>64.510000000000005</v>
      </c>
      <c r="N104" s="6">
        <v>0</v>
      </c>
      <c r="O104" s="6">
        <v>0</v>
      </c>
      <c r="P104" s="6">
        <v>0.96</v>
      </c>
      <c r="Q104" s="6">
        <v>4.82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6" t="s">
        <v>48</v>
      </c>
      <c r="B106" s="187">
        <f>MIN(B9:B104)</f>
        <v>3.66</v>
      </c>
      <c r="C106" s="187">
        <f>MIN(C9:C104)</f>
        <v>19.48</v>
      </c>
      <c r="D106" s="187">
        <f t="shared" ref="D106:Q106" si="0">MIN(D9:D104)</f>
        <v>16.059999999999999</v>
      </c>
      <c r="E106" s="187">
        <f t="shared" si="0"/>
        <v>6.33</v>
      </c>
      <c r="F106" s="187">
        <f t="shared" si="0"/>
        <v>4.3600000000000003</v>
      </c>
      <c r="G106" s="187">
        <f t="shared" si="0"/>
        <v>78.39</v>
      </c>
      <c r="H106" s="187">
        <f t="shared" si="0"/>
        <v>30.09</v>
      </c>
      <c r="I106" s="187">
        <f t="shared" si="0"/>
        <v>6.06</v>
      </c>
      <c r="J106" s="187">
        <f t="shared" si="0"/>
        <v>0.08</v>
      </c>
      <c r="K106" s="187">
        <f t="shared" si="0"/>
        <v>9.59</v>
      </c>
      <c r="L106" s="187">
        <f t="shared" si="0"/>
        <v>22.37</v>
      </c>
      <c r="M106" s="187">
        <f t="shared" si="0"/>
        <v>34.200000000000003</v>
      </c>
      <c r="N106" s="187">
        <f t="shared" si="0"/>
        <v>0</v>
      </c>
      <c r="O106" s="187">
        <f t="shared" si="0"/>
        <v>0</v>
      </c>
      <c r="P106" s="187">
        <f t="shared" si="0"/>
        <v>0.76</v>
      </c>
      <c r="Q106" s="187">
        <f t="shared" si="0"/>
        <v>4.67</v>
      </c>
      <c r="R106" s="192"/>
      <c r="S106" s="192"/>
      <c r="T106" s="192"/>
      <c r="U106" s="192"/>
    </row>
    <row r="107" spans="1:22">
      <c r="A107" s="186" t="s">
        <v>49</v>
      </c>
      <c r="B107" s="188">
        <f>MAX(B9:B104)</f>
        <v>24.03</v>
      </c>
      <c r="C107" s="188">
        <f t="shared" ref="C107:Q107" si="1">MAX(C9:C104)</f>
        <v>40.65</v>
      </c>
      <c r="D107" s="188">
        <f t="shared" si="1"/>
        <v>41.03</v>
      </c>
      <c r="E107" s="188">
        <f t="shared" si="1"/>
        <v>31.5</v>
      </c>
      <c r="F107" s="188">
        <f t="shared" si="1"/>
        <v>31.04</v>
      </c>
      <c r="G107" s="188">
        <f t="shared" si="1"/>
        <v>205.65</v>
      </c>
      <c r="H107" s="188">
        <f t="shared" si="1"/>
        <v>57.25</v>
      </c>
      <c r="I107" s="188">
        <f t="shared" si="1"/>
        <v>10.199999999999999</v>
      </c>
      <c r="J107" s="188">
        <f t="shared" si="1"/>
        <v>1.39</v>
      </c>
      <c r="K107" s="188">
        <f t="shared" si="1"/>
        <v>357.76</v>
      </c>
      <c r="L107" s="188">
        <f t="shared" si="1"/>
        <v>33.659999999999997</v>
      </c>
      <c r="M107" s="188">
        <f t="shared" si="1"/>
        <v>77.709999999999994</v>
      </c>
      <c r="N107" s="188">
        <f t="shared" si="1"/>
        <v>504.4</v>
      </c>
      <c r="O107" s="188">
        <f t="shared" si="1"/>
        <v>0</v>
      </c>
      <c r="P107" s="188">
        <f t="shared" si="1"/>
        <v>1.19</v>
      </c>
      <c r="Q107" s="188">
        <f t="shared" si="1"/>
        <v>4.82</v>
      </c>
      <c r="R107" s="193"/>
      <c r="S107" s="193"/>
      <c r="T107" s="193"/>
      <c r="U107" s="193"/>
    </row>
    <row r="108" spans="1:22">
      <c r="A108" s="186" t="s">
        <v>50</v>
      </c>
      <c r="B108" s="187">
        <f>AVERAGE(B9:B104)</f>
        <v>10.354583333333331</v>
      </c>
      <c r="C108" s="187">
        <f t="shared" ref="C108:Q108" si="2">AVERAGE(C9:C104)</f>
        <v>27.847395833333334</v>
      </c>
      <c r="D108" s="187">
        <f t="shared" si="2"/>
        <v>24.244791666666671</v>
      </c>
      <c r="E108" s="187">
        <f t="shared" si="2"/>
        <v>14.337604166666665</v>
      </c>
      <c r="F108" s="187">
        <f t="shared" si="2"/>
        <v>10.842291666666668</v>
      </c>
      <c r="G108" s="187">
        <f t="shared" si="2"/>
        <v>109.4239784946237</v>
      </c>
      <c r="H108" s="187">
        <f t="shared" si="2"/>
        <v>42.213854166666678</v>
      </c>
      <c r="I108" s="187">
        <f t="shared" si="2"/>
        <v>7.8827083333333325</v>
      </c>
      <c r="J108" s="187">
        <f t="shared" si="2"/>
        <v>0.50781250000000011</v>
      </c>
      <c r="K108" s="187">
        <f t="shared" si="2"/>
        <v>120.3463541666667</v>
      </c>
      <c r="L108" s="187">
        <f t="shared" si="2"/>
        <v>27.015000000000004</v>
      </c>
      <c r="M108" s="187">
        <f t="shared" si="2"/>
        <v>57.285208333333337</v>
      </c>
      <c r="N108" s="187">
        <f t="shared" si="2"/>
        <v>114.81770833333331</v>
      </c>
      <c r="O108" s="187">
        <f t="shared" si="2"/>
        <v>0</v>
      </c>
      <c r="P108" s="187">
        <f t="shared" si="2"/>
        <v>0.92947916666666697</v>
      </c>
      <c r="Q108" s="187">
        <f t="shared" si="2"/>
        <v>4.7412499999999982</v>
      </c>
      <c r="R108" s="192"/>
      <c r="S108" s="192"/>
      <c r="T108" s="192"/>
      <c r="U108" s="192"/>
    </row>
    <row r="109" spans="1:22">
      <c r="A109" s="186" t="s">
        <v>51</v>
      </c>
      <c r="B109" s="187">
        <f>STDEV(B9:B104)</f>
        <v>4.1034901490692999</v>
      </c>
      <c r="C109" s="187">
        <f t="shared" ref="C109:Q109" si="3">STDEV(C9:C104)</f>
        <v>5.0923511775358605</v>
      </c>
      <c r="D109" s="187">
        <f t="shared" si="3"/>
        <v>5.3097251349548769</v>
      </c>
      <c r="E109" s="187">
        <f t="shared" si="3"/>
        <v>6.7606473911105454</v>
      </c>
      <c r="F109" s="187">
        <f t="shared" si="3"/>
        <v>7.2268862741362003</v>
      </c>
      <c r="G109" s="187">
        <f t="shared" si="3"/>
        <v>25.606377353570352</v>
      </c>
      <c r="H109" s="187">
        <f t="shared" si="3"/>
        <v>6.5566932246115366</v>
      </c>
      <c r="I109" s="187">
        <f t="shared" si="3"/>
        <v>1.1214262339742489</v>
      </c>
      <c r="J109" s="187">
        <f t="shared" si="3"/>
        <v>0.32084166655844404</v>
      </c>
      <c r="K109" s="187">
        <f t="shared" si="3"/>
        <v>97.529022013906356</v>
      </c>
      <c r="L109" s="187">
        <f t="shared" si="3"/>
        <v>3.3513818045695065</v>
      </c>
      <c r="M109" s="187">
        <f t="shared" si="3"/>
        <v>12.897490655910477</v>
      </c>
      <c r="N109" s="187">
        <f t="shared" si="3"/>
        <v>169.0977555920596</v>
      </c>
      <c r="O109" s="187">
        <f t="shared" si="3"/>
        <v>0</v>
      </c>
      <c r="P109" s="187">
        <f t="shared" si="3"/>
        <v>0.12106866074271724</v>
      </c>
      <c r="Q109" s="187">
        <f t="shared" si="3"/>
        <v>3.353709650678275E-2</v>
      </c>
      <c r="R109" s="192"/>
      <c r="S109" s="192"/>
      <c r="T109" s="192"/>
      <c r="U109" s="192"/>
    </row>
    <row r="110" spans="1:22">
      <c r="A110" s="186" t="s">
        <v>52</v>
      </c>
      <c r="B110" s="188">
        <f t="shared" ref="B110:Q110" si="4">COUNT(B9:B104)</f>
        <v>96</v>
      </c>
      <c r="C110" s="188">
        <f t="shared" si="4"/>
        <v>96</v>
      </c>
      <c r="D110" s="188">
        <f t="shared" si="4"/>
        <v>96</v>
      </c>
      <c r="E110" s="188">
        <f t="shared" si="4"/>
        <v>96</v>
      </c>
      <c r="F110" s="188">
        <f t="shared" si="4"/>
        <v>96</v>
      </c>
      <c r="G110" s="188">
        <v>96</v>
      </c>
      <c r="H110" s="188">
        <f t="shared" si="4"/>
        <v>96</v>
      </c>
      <c r="I110" s="188">
        <f t="shared" si="4"/>
        <v>96</v>
      </c>
      <c r="J110" s="188">
        <f t="shared" si="4"/>
        <v>96</v>
      </c>
      <c r="K110" s="188">
        <f t="shared" si="4"/>
        <v>96</v>
      </c>
      <c r="L110" s="188">
        <f t="shared" si="4"/>
        <v>96</v>
      </c>
      <c r="M110" s="188">
        <f t="shared" si="4"/>
        <v>96</v>
      </c>
      <c r="N110" s="188">
        <f t="shared" si="4"/>
        <v>96</v>
      </c>
      <c r="O110" s="188">
        <f t="shared" si="4"/>
        <v>96</v>
      </c>
      <c r="P110" s="188">
        <f t="shared" si="4"/>
        <v>96</v>
      </c>
      <c r="Q110" s="188">
        <f t="shared" si="4"/>
        <v>96</v>
      </c>
      <c r="R110" s="193"/>
      <c r="S110" s="193"/>
      <c r="T110" s="193"/>
      <c r="U110" s="193"/>
      <c r="V110" s="188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91"/>
      <c r="O113" s="191"/>
      <c r="P113" s="191"/>
      <c r="Q113" s="191"/>
      <c r="R113" s="191"/>
      <c r="S113" s="191"/>
      <c r="T113" s="191"/>
      <c r="U113" s="191"/>
    </row>
    <row r="115" spans="1:21">
      <c r="A115" s="153" t="s">
        <v>55</v>
      </c>
      <c r="B115" s="197" t="s">
        <v>56</v>
      </c>
      <c r="C115" s="197"/>
      <c r="D115" s="197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9" t="s">
        <v>57</v>
      </c>
      <c r="B117" s="198"/>
      <c r="C117" s="198"/>
      <c r="D117" s="198"/>
      <c r="E117" s="198"/>
      <c r="F117" s="198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2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45356.010416666664</v>
      </c>
      <c r="C2" s="196" t="s">
        <v>3</v>
      </c>
      <c r="D2" s="196"/>
      <c r="E2" s="196"/>
      <c r="F2" s="196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2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6" t="s">
        <v>11</v>
      </c>
      <c r="D3" s="196"/>
      <c r="E3" s="196"/>
      <c r="F3" s="196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2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6" t="s">
        <v>18</v>
      </c>
      <c r="D4" s="196"/>
      <c r="E4" s="196"/>
      <c r="F4" s="196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3" t="s">
        <v>43</v>
      </c>
      <c r="M8" s="114" t="s">
        <v>44</v>
      </c>
      <c r="N8" s="114" t="s">
        <v>45</v>
      </c>
      <c r="O8" s="183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2">
        <v>45356.010416666664</v>
      </c>
      <c r="B9" s="6">
        <v>23.71</v>
      </c>
      <c r="C9" s="6">
        <v>33.18</v>
      </c>
      <c r="D9" s="6">
        <v>37.71</v>
      </c>
      <c r="E9" s="6">
        <v>8.5500000000000007</v>
      </c>
      <c r="F9" s="6">
        <v>4.5</v>
      </c>
      <c r="G9" s="6">
        <v>124.85</v>
      </c>
      <c r="H9" s="6">
        <v>42.98</v>
      </c>
      <c r="I9" s="6">
        <v>8.02</v>
      </c>
      <c r="J9" s="6">
        <v>0.35</v>
      </c>
      <c r="K9" s="6">
        <v>76.72</v>
      </c>
      <c r="L9" s="6">
        <v>24.59</v>
      </c>
      <c r="M9" s="6">
        <v>64.89</v>
      </c>
      <c r="N9" s="6">
        <v>0</v>
      </c>
      <c r="O9" s="6">
        <v>0</v>
      </c>
      <c r="P9" s="6">
        <v>0.97</v>
      </c>
      <c r="Q9" s="6">
        <v>4.82</v>
      </c>
    </row>
    <row r="10" spans="1:21" customFormat="1">
      <c r="A10" s="82">
        <v>45356.020833333336</v>
      </c>
      <c r="B10" s="6">
        <v>23.42</v>
      </c>
      <c r="C10" s="6">
        <v>33.67</v>
      </c>
      <c r="D10" s="6">
        <v>37.729999999999997</v>
      </c>
      <c r="E10" s="6">
        <v>6.96</v>
      </c>
      <c r="F10" s="6">
        <v>4.63</v>
      </c>
      <c r="G10" s="6">
        <v>124.85</v>
      </c>
      <c r="H10" s="6">
        <v>42.98</v>
      </c>
      <c r="I10" s="6">
        <v>8.25</v>
      </c>
      <c r="J10" s="6">
        <v>0.28000000000000003</v>
      </c>
      <c r="K10" s="6">
        <v>175.76</v>
      </c>
      <c r="L10" s="6">
        <v>24.3</v>
      </c>
      <c r="M10" s="6">
        <v>68.680000000000007</v>
      </c>
      <c r="N10" s="6">
        <v>0</v>
      </c>
      <c r="O10" s="6">
        <v>0</v>
      </c>
      <c r="P10" s="6">
        <v>0.96</v>
      </c>
      <c r="Q10" s="6">
        <v>4.8099999999999996</v>
      </c>
    </row>
    <row r="11" spans="1:21" customFormat="1">
      <c r="A11" s="82">
        <v>45356.03125</v>
      </c>
      <c r="B11" s="6">
        <v>23.05</v>
      </c>
      <c r="C11" s="6">
        <v>31.17</v>
      </c>
      <c r="D11" s="6">
        <v>36.119999999999997</v>
      </c>
      <c r="E11" s="6">
        <v>7.11</v>
      </c>
      <c r="F11" s="6">
        <v>5.04</v>
      </c>
      <c r="G11" s="6">
        <v>124.85</v>
      </c>
      <c r="H11" s="6">
        <v>42.98</v>
      </c>
      <c r="I11" s="6">
        <v>8.34</v>
      </c>
      <c r="J11" s="6">
        <v>0.16</v>
      </c>
      <c r="K11" s="6">
        <v>151.5</v>
      </c>
      <c r="L11" s="6">
        <v>23.81</v>
      </c>
      <c r="M11" s="6">
        <v>71.02</v>
      </c>
      <c r="N11" s="6">
        <v>0</v>
      </c>
      <c r="O11" s="6">
        <v>0</v>
      </c>
      <c r="P11" s="6">
        <v>0.97</v>
      </c>
      <c r="Q11" s="6">
        <v>4.8</v>
      </c>
    </row>
    <row r="12" spans="1:21" customFormat="1">
      <c r="A12" s="82">
        <v>45356.041666666664</v>
      </c>
      <c r="B12" s="6">
        <v>23.07</v>
      </c>
      <c r="C12" s="6">
        <v>28.86</v>
      </c>
      <c r="D12" s="6">
        <v>34.93</v>
      </c>
      <c r="E12" s="6">
        <v>6.98</v>
      </c>
      <c r="F12" s="6">
        <v>5.18</v>
      </c>
      <c r="G12" s="6">
        <v>124.19</v>
      </c>
      <c r="H12" s="6">
        <v>43.11</v>
      </c>
      <c r="I12" s="6">
        <v>8.4499999999999993</v>
      </c>
      <c r="J12" s="6">
        <v>0.25</v>
      </c>
      <c r="K12" s="6">
        <v>193.6</v>
      </c>
      <c r="L12" s="6">
        <v>23.72</v>
      </c>
      <c r="M12" s="6">
        <v>72.44</v>
      </c>
      <c r="N12" s="6">
        <v>0</v>
      </c>
      <c r="O12" s="6">
        <v>0</v>
      </c>
      <c r="P12" s="6">
        <v>0.96</v>
      </c>
      <c r="Q12" s="6">
        <v>4.8</v>
      </c>
    </row>
    <row r="13" spans="1:21" customFormat="1">
      <c r="A13" s="82">
        <v>45356.052083333336</v>
      </c>
      <c r="B13" s="6">
        <v>21.74</v>
      </c>
      <c r="C13" s="6">
        <v>26.24</v>
      </c>
      <c r="D13" s="6">
        <v>32.5</v>
      </c>
      <c r="E13" s="6">
        <v>6.73</v>
      </c>
      <c r="F13" s="6">
        <v>5.8</v>
      </c>
      <c r="G13" s="6">
        <v>116.3</v>
      </c>
      <c r="H13" s="6">
        <v>44.48</v>
      </c>
      <c r="I13" s="6">
        <v>8.56</v>
      </c>
      <c r="J13" s="6">
        <v>0.14000000000000001</v>
      </c>
      <c r="K13" s="6">
        <v>230.12</v>
      </c>
      <c r="L13" s="6">
        <v>23.11</v>
      </c>
      <c r="M13" s="6">
        <v>74.290000000000006</v>
      </c>
      <c r="N13" s="6">
        <v>0</v>
      </c>
      <c r="O13" s="6">
        <v>0</v>
      </c>
      <c r="P13" s="6">
        <v>0.93</v>
      </c>
      <c r="Q13" s="6">
        <v>4.78</v>
      </c>
    </row>
    <row r="14" spans="1:21" customFormat="1">
      <c r="A14" s="82">
        <v>45356.0625</v>
      </c>
      <c r="B14" s="6">
        <v>22.46</v>
      </c>
      <c r="C14" s="6">
        <v>25.76</v>
      </c>
      <c r="D14" s="6">
        <v>32.82</v>
      </c>
      <c r="E14" s="6">
        <v>5.51</v>
      </c>
      <c r="F14" s="6">
        <v>5.39</v>
      </c>
      <c r="G14" s="6">
        <v>116.3</v>
      </c>
      <c r="H14" s="6">
        <v>44.48</v>
      </c>
      <c r="I14" s="6">
        <v>8.61</v>
      </c>
      <c r="J14" s="6">
        <v>0.12</v>
      </c>
      <c r="K14" s="6">
        <v>101.04</v>
      </c>
      <c r="L14" s="6">
        <v>23.23</v>
      </c>
      <c r="M14" s="6">
        <v>72.23</v>
      </c>
      <c r="N14" s="6">
        <v>0</v>
      </c>
      <c r="O14" s="6">
        <v>0</v>
      </c>
      <c r="P14" s="6">
        <v>0.93</v>
      </c>
      <c r="Q14" s="6">
        <v>4.78</v>
      </c>
    </row>
    <row r="15" spans="1:21" customFormat="1">
      <c r="A15" s="82">
        <v>45356.072916666664</v>
      </c>
      <c r="B15" s="6">
        <v>23.37</v>
      </c>
      <c r="C15" s="6">
        <v>25.22</v>
      </c>
      <c r="D15" s="6">
        <v>33.270000000000003</v>
      </c>
      <c r="E15" s="6">
        <v>6.39</v>
      </c>
      <c r="F15" s="6">
        <v>5.64</v>
      </c>
      <c r="G15" s="6">
        <v>116.3</v>
      </c>
      <c r="H15" s="6">
        <v>44.48</v>
      </c>
      <c r="I15" s="6">
        <v>8.5399999999999991</v>
      </c>
      <c r="J15" s="6">
        <v>0.33</v>
      </c>
      <c r="K15" s="6">
        <v>36.75</v>
      </c>
      <c r="L15" s="6">
        <v>23.53</v>
      </c>
      <c r="M15" s="6">
        <v>70.3</v>
      </c>
      <c r="N15" s="6">
        <v>0</v>
      </c>
      <c r="O15" s="6">
        <v>0</v>
      </c>
      <c r="P15" s="6">
        <v>0.92</v>
      </c>
      <c r="Q15" s="6">
        <v>4.8</v>
      </c>
    </row>
    <row r="16" spans="1:21" customFormat="1">
      <c r="A16" s="82">
        <v>45356.083333333336</v>
      </c>
      <c r="B16" s="6">
        <v>22.73</v>
      </c>
      <c r="C16" s="6">
        <v>24.62</v>
      </c>
      <c r="D16" s="6">
        <v>32.44</v>
      </c>
      <c r="E16" s="6">
        <v>8.61</v>
      </c>
      <c r="F16" s="6">
        <v>6.87</v>
      </c>
      <c r="G16" s="6">
        <v>114.57</v>
      </c>
      <c r="H16" s="6">
        <v>44.42</v>
      </c>
      <c r="I16" s="6">
        <v>8.5299999999999994</v>
      </c>
      <c r="J16" s="6">
        <v>0.54</v>
      </c>
      <c r="K16" s="6">
        <v>33.21</v>
      </c>
      <c r="L16" s="6">
        <v>23.66</v>
      </c>
      <c r="M16" s="6">
        <v>69.180000000000007</v>
      </c>
      <c r="N16" s="6">
        <v>0</v>
      </c>
      <c r="O16" s="6">
        <v>0</v>
      </c>
      <c r="P16" s="6">
        <v>0.88</v>
      </c>
      <c r="Q16" s="6">
        <v>4.8099999999999996</v>
      </c>
    </row>
    <row r="17" spans="1:17" customFormat="1">
      <c r="A17" s="82">
        <v>45356.09375</v>
      </c>
      <c r="B17" s="6">
        <v>22.44</v>
      </c>
      <c r="C17" s="6">
        <v>23.25</v>
      </c>
      <c r="D17" s="6">
        <v>31.49</v>
      </c>
      <c r="E17" s="6">
        <v>11.58</v>
      </c>
      <c r="F17" s="6">
        <v>6.71</v>
      </c>
      <c r="G17" s="6">
        <v>90.39</v>
      </c>
      <c r="H17" s="6">
        <v>43.68</v>
      </c>
      <c r="I17" s="6">
        <v>8.41</v>
      </c>
      <c r="J17" s="6">
        <v>0.63</v>
      </c>
      <c r="K17" s="6">
        <v>41.54</v>
      </c>
      <c r="L17" s="6">
        <v>23.58</v>
      </c>
      <c r="M17" s="6">
        <v>69.8</v>
      </c>
      <c r="N17" s="6">
        <v>0</v>
      </c>
      <c r="O17" s="6">
        <v>0</v>
      </c>
      <c r="P17" s="6">
        <v>0.89</v>
      </c>
      <c r="Q17" s="6">
        <v>4.8099999999999996</v>
      </c>
    </row>
    <row r="18" spans="1:17" customFormat="1">
      <c r="A18" s="82">
        <v>45356.104166666664</v>
      </c>
      <c r="B18" s="6">
        <v>21.36</v>
      </c>
      <c r="C18" s="6">
        <v>23.08</v>
      </c>
      <c r="D18" s="6">
        <v>30.54</v>
      </c>
      <c r="E18" s="6">
        <v>11.44</v>
      </c>
      <c r="F18" s="6">
        <v>6.6</v>
      </c>
      <c r="G18" s="6">
        <v>90.39</v>
      </c>
      <c r="H18" s="6">
        <v>43.68</v>
      </c>
      <c r="I18" s="6">
        <v>8.26</v>
      </c>
      <c r="J18" s="6">
        <v>0.84</v>
      </c>
      <c r="K18" s="6">
        <v>42.78</v>
      </c>
      <c r="L18" s="6">
        <v>23.63</v>
      </c>
      <c r="M18" s="6">
        <v>68.150000000000006</v>
      </c>
      <c r="N18" s="6">
        <v>0</v>
      </c>
      <c r="O18" s="6">
        <v>0</v>
      </c>
      <c r="P18" s="6">
        <v>0.89</v>
      </c>
      <c r="Q18" s="6">
        <v>4.79</v>
      </c>
    </row>
    <row r="19" spans="1:17" customFormat="1">
      <c r="A19" s="82">
        <v>45356.114583333336</v>
      </c>
      <c r="B19" s="6">
        <v>19.52</v>
      </c>
      <c r="C19" s="6">
        <v>22.9</v>
      </c>
      <c r="D19" s="6">
        <v>28.97</v>
      </c>
      <c r="E19" s="6">
        <v>11.42</v>
      </c>
      <c r="F19" s="6">
        <v>7.33</v>
      </c>
      <c r="G19" s="6">
        <v>90.39</v>
      </c>
      <c r="H19" s="6">
        <v>43.68</v>
      </c>
      <c r="I19" s="6">
        <v>8.36</v>
      </c>
      <c r="J19" s="6">
        <v>0.74</v>
      </c>
      <c r="K19" s="6">
        <v>41.38</v>
      </c>
      <c r="L19" s="6">
        <v>23.53</v>
      </c>
      <c r="M19" s="6">
        <v>67.73</v>
      </c>
      <c r="N19" s="6">
        <v>0</v>
      </c>
      <c r="O19" s="6">
        <v>0</v>
      </c>
      <c r="P19" s="6">
        <v>0.88</v>
      </c>
      <c r="Q19" s="6">
        <v>4.7699999999999996</v>
      </c>
    </row>
    <row r="20" spans="1:17" customFormat="1">
      <c r="A20" s="82">
        <v>45356.125</v>
      </c>
      <c r="B20" s="6">
        <v>17.989999999999998</v>
      </c>
      <c r="C20" s="6">
        <v>23.62</v>
      </c>
      <c r="D20" s="6">
        <v>28.12</v>
      </c>
      <c r="E20" s="6">
        <v>11.77</v>
      </c>
      <c r="F20" s="6">
        <v>6.73</v>
      </c>
      <c r="G20" s="6">
        <v>89.06</v>
      </c>
      <c r="H20" s="6">
        <v>43.08</v>
      </c>
      <c r="I20" s="6">
        <v>8.3000000000000007</v>
      </c>
      <c r="J20" s="6">
        <v>0.96</v>
      </c>
      <c r="K20" s="6">
        <v>52.22</v>
      </c>
      <c r="L20" s="6">
        <v>23.42</v>
      </c>
      <c r="M20" s="6">
        <v>65.709999999999994</v>
      </c>
      <c r="N20" s="6">
        <v>0</v>
      </c>
      <c r="O20" s="6">
        <v>0</v>
      </c>
      <c r="P20" s="6">
        <v>0.85</v>
      </c>
      <c r="Q20" s="6">
        <v>4.7699999999999996</v>
      </c>
    </row>
    <row r="21" spans="1:17" customFormat="1">
      <c r="A21" s="82">
        <v>45356.135416666664</v>
      </c>
      <c r="B21" s="6">
        <v>15.86</v>
      </c>
      <c r="C21" s="6">
        <v>23.22</v>
      </c>
      <c r="D21" s="6">
        <v>26.2</v>
      </c>
      <c r="E21" s="6">
        <v>11.33</v>
      </c>
      <c r="F21" s="6">
        <v>7.82</v>
      </c>
      <c r="G21" s="6">
        <v>70.400000000000006</v>
      </c>
      <c r="H21" s="6">
        <v>35.76</v>
      </c>
      <c r="I21" s="6">
        <v>8.17</v>
      </c>
      <c r="J21" s="6">
        <v>1.07</v>
      </c>
      <c r="K21" s="6">
        <v>49.59</v>
      </c>
      <c r="L21" s="6">
        <v>23.38</v>
      </c>
      <c r="M21" s="6">
        <v>64.61</v>
      </c>
      <c r="N21" s="6">
        <v>0</v>
      </c>
      <c r="O21" s="6">
        <v>0</v>
      </c>
      <c r="P21" s="6">
        <v>0.84</v>
      </c>
      <c r="Q21" s="6">
        <v>4.76</v>
      </c>
    </row>
    <row r="22" spans="1:17" customFormat="1">
      <c r="A22" s="82">
        <v>45356.145833333336</v>
      </c>
      <c r="B22" s="6">
        <v>14.58</v>
      </c>
      <c r="C22" s="6">
        <v>23.44</v>
      </c>
      <c r="D22" s="6">
        <v>25.29</v>
      </c>
      <c r="E22" s="6">
        <v>10.78</v>
      </c>
      <c r="F22" s="6">
        <v>7.2</v>
      </c>
      <c r="G22" s="6">
        <v>70.400000000000006</v>
      </c>
      <c r="H22" s="6">
        <v>35.76</v>
      </c>
      <c r="I22" s="6">
        <v>7.97</v>
      </c>
      <c r="J22" s="6">
        <v>0.66</v>
      </c>
      <c r="K22" s="6">
        <v>56.03</v>
      </c>
      <c r="L22" s="6">
        <v>23.24</v>
      </c>
      <c r="M22" s="6">
        <v>66.19</v>
      </c>
      <c r="N22" s="6">
        <v>0</v>
      </c>
      <c r="O22" s="6">
        <v>0</v>
      </c>
      <c r="P22" s="6">
        <v>0.81</v>
      </c>
      <c r="Q22" s="6">
        <v>4.76</v>
      </c>
    </row>
    <row r="23" spans="1:17" customFormat="1">
      <c r="A23" s="82">
        <v>45356.15625</v>
      </c>
      <c r="B23" s="6">
        <v>14.11</v>
      </c>
      <c r="C23" s="6">
        <v>24.35</v>
      </c>
      <c r="D23" s="6">
        <v>25.39</v>
      </c>
      <c r="E23" s="6">
        <v>11.01</v>
      </c>
      <c r="F23" s="6">
        <v>6.28</v>
      </c>
      <c r="G23" s="6">
        <v>70.400000000000006</v>
      </c>
      <c r="H23" s="6">
        <v>35.76</v>
      </c>
      <c r="I23" s="6">
        <v>7.78</v>
      </c>
      <c r="J23" s="6">
        <v>0.61</v>
      </c>
      <c r="K23" s="6">
        <v>41.28</v>
      </c>
      <c r="L23" s="6">
        <v>23.04</v>
      </c>
      <c r="M23" s="6">
        <v>68.36</v>
      </c>
      <c r="N23" s="6">
        <v>0</v>
      </c>
      <c r="O23" s="6">
        <v>0</v>
      </c>
      <c r="P23" s="6">
        <v>0.8</v>
      </c>
      <c r="Q23" s="6">
        <v>4.75</v>
      </c>
    </row>
    <row r="24" spans="1:17" customFormat="1">
      <c r="A24" s="82">
        <v>45356.166666666664</v>
      </c>
      <c r="B24" s="6">
        <v>13.7</v>
      </c>
      <c r="C24" s="6">
        <v>24.72</v>
      </c>
      <c r="D24" s="6">
        <v>25.25</v>
      </c>
      <c r="E24" s="6">
        <v>10.78</v>
      </c>
      <c r="F24" s="6">
        <v>5.96</v>
      </c>
      <c r="G24" s="6">
        <v>69.45</v>
      </c>
      <c r="H24" s="6">
        <v>35.35</v>
      </c>
      <c r="I24" s="6">
        <v>7.56</v>
      </c>
      <c r="J24" s="6">
        <v>0.69</v>
      </c>
      <c r="K24" s="6">
        <v>53.1</v>
      </c>
      <c r="L24" s="6">
        <v>22.89</v>
      </c>
      <c r="M24" s="6">
        <v>69.83</v>
      </c>
      <c r="N24" s="6">
        <v>0</v>
      </c>
      <c r="O24" s="6">
        <v>0</v>
      </c>
      <c r="P24" s="6">
        <v>0.79</v>
      </c>
      <c r="Q24" s="6">
        <v>4.75</v>
      </c>
    </row>
    <row r="25" spans="1:17" customFormat="1">
      <c r="A25" s="82">
        <v>45356.177083333336</v>
      </c>
      <c r="B25" s="6">
        <v>13.17</v>
      </c>
      <c r="C25" s="6">
        <v>24.95</v>
      </c>
      <c r="D25" s="6">
        <v>24.95</v>
      </c>
      <c r="E25" s="6">
        <v>11.75</v>
      </c>
      <c r="F25" s="6">
        <v>5.8</v>
      </c>
      <c r="G25" s="6">
        <v>56.16</v>
      </c>
      <c r="H25" s="6">
        <v>30.33</v>
      </c>
      <c r="I25" s="6">
        <v>7.46</v>
      </c>
      <c r="J25" s="6">
        <v>0.54</v>
      </c>
      <c r="K25" s="6">
        <v>53.69</v>
      </c>
      <c r="L25" s="6">
        <v>22.85</v>
      </c>
      <c r="M25" s="6">
        <v>70.44</v>
      </c>
      <c r="N25" s="6">
        <v>0</v>
      </c>
      <c r="O25" s="6">
        <v>0</v>
      </c>
      <c r="P25" s="6">
        <v>0.78</v>
      </c>
      <c r="Q25" s="6">
        <v>4.75</v>
      </c>
    </row>
    <row r="26" spans="1:17" customFormat="1">
      <c r="A26" s="82">
        <v>45356.1875</v>
      </c>
      <c r="B26" s="6">
        <v>12.84</v>
      </c>
      <c r="C26" s="6">
        <v>25.1</v>
      </c>
      <c r="D26" s="6">
        <v>24.76</v>
      </c>
      <c r="E26" s="6">
        <v>10.38</v>
      </c>
      <c r="F26" s="6">
        <v>5.65</v>
      </c>
      <c r="G26" s="6">
        <v>56.16</v>
      </c>
      <c r="H26" s="6">
        <v>30.33</v>
      </c>
      <c r="I26" s="6">
        <v>7.49</v>
      </c>
      <c r="J26" s="6">
        <v>0.66</v>
      </c>
      <c r="K26" s="6">
        <v>56.22</v>
      </c>
      <c r="L26" s="6">
        <v>22.71</v>
      </c>
      <c r="M26" s="6">
        <v>70.81</v>
      </c>
      <c r="N26" s="6">
        <v>0</v>
      </c>
      <c r="O26" s="6">
        <v>0</v>
      </c>
      <c r="P26" s="6">
        <v>0.77</v>
      </c>
      <c r="Q26" s="6">
        <v>4.76</v>
      </c>
    </row>
    <row r="27" spans="1:17" customFormat="1">
      <c r="A27" s="82">
        <v>45356.197916666664</v>
      </c>
      <c r="B27" s="6">
        <v>12.52</v>
      </c>
      <c r="C27" s="6">
        <v>25.3</v>
      </c>
      <c r="D27" s="6">
        <v>24.61</v>
      </c>
      <c r="E27" s="6">
        <v>10.19</v>
      </c>
      <c r="F27" s="6">
        <v>5.44</v>
      </c>
      <c r="G27" s="6">
        <v>56.16</v>
      </c>
      <c r="H27" s="6">
        <v>30.33</v>
      </c>
      <c r="I27" s="6">
        <v>7.73</v>
      </c>
      <c r="J27" s="6">
        <v>0.86</v>
      </c>
      <c r="K27" s="6">
        <v>46.97</v>
      </c>
      <c r="L27" s="6">
        <v>22.51</v>
      </c>
      <c r="M27" s="6">
        <v>71.28</v>
      </c>
      <c r="N27" s="6">
        <v>0</v>
      </c>
      <c r="O27" s="6">
        <v>0</v>
      </c>
      <c r="P27" s="6">
        <v>0.76</v>
      </c>
      <c r="Q27" s="6">
        <v>4.75</v>
      </c>
    </row>
    <row r="28" spans="1:17" customFormat="1">
      <c r="A28" s="82">
        <v>45356.208333333336</v>
      </c>
      <c r="B28" s="6">
        <v>12.27</v>
      </c>
      <c r="C28" s="6">
        <v>25.46</v>
      </c>
      <c r="D28" s="6">
        <v>24.49</v>
      </c>
      <c r="E28" s="6">
        <v>9.83</v>
      </c>
      <c r="F28" s="6">
        <v>5.19</v>
      </c>
      <c r="G28" s="6">
        <v>56.4</v>
      </c>
      <c r="H28" s="6">
        <v>30.24</v>
      </c>
      <c r="I28" s="6">
        <v>7.81</v>
      </c>
      <c r="J28" s="6">
        <v>0.86</v>
      </c>
      <c r="K28" s="6">
        <v>50.58</v>
      </c>
      <c r="L28" s="6">
        <v>22.21</v>
      </c>
      <c r="M28" s="6">
        <v>70.400000000000006</v>
      </c>
      <c r="N28" s="6">
        <v>0</v>
      </c>
      <c r="O28" s="6">
        <v>0</v>
      </c>
      <c r="P28" s="6">
        <v>0.74</v>
      </c>
      <c r="Q28" s="6">
        <v>4.78</v>
      </c>
    </row>
    <row r="29" spans="1:17" customFormat="1">
      <c r="A29" s="82">
        <v>45356.21875</v>
      </c>
      <c r="B29" s="6">
        <v>12.24</v>
      </c>
      <c r="C29" s="6">
        <v>25.25</v>
      </c>
      <c r="D29" s="6">
        <v>24.36</v>
      </c>
      <c r="E29" s="6">
        <v>10.130000000000001</v>
      </c>
      <c r="F29" s="6">
        <v>5.18</v>
      </c>
      <c r="G29" s="6">
        <v>59.75</v>
      </c>
      <c r="H29" s="6">
        <v>29.08</v>
      </c>
      <c r="I29" s="6">
        <v>7.8</v>
      </c>
      <c r="J29" s="6">
        <v>1.01</v>
      </c>
      <c r="K29" s="6">
        <v>51.19</v>
      </c>
      <c r="L29" s="6">
        <v>22.03</v>
      </c>
      <c r="M29" s="6">
        <v>70.36</v>
      </c>
      <c r="N29" s="6">
        <v>0</v>
      </c>
      <c r="O29" s="6">
        <v>0</v>
      </c>
      <c r="P29" s="6">
        <v>0.72</v>
      </c>
      <c r="Q29" s="6">
        <v>4.7699999999999996</v>
      </c>
    </row>
    <row r="30" spans="1:17" customFormat="1">
      <c r="A30" s="82">
        <v>45356.229166666664</v>
      </c>
      <c r="B30" s="6">
        <v>12.09</v>
      </c>
      <c r="C30" s="6">
        <v>25.19</v>
      </c>
      <c r="D30" s="6">
        <v>24.2</v>
      </c>
      <c r="E30" s="6">
        <v>10.59</v>
      </c>
      <c r="F30" s="6">
        <v>5.13</v>
      </c>
      <c r="G30" s="6">
        <v>59.75</v>
      </c>
      <c r="H30" s="6">
        <v>29.08</v>
      </c>
      <c r="I30" s="6">
        <v>7.62</v>
      </c>
      <c r="J30" s="6">
        <v>0.79</v>
      </c>
      <c r="K30" s="6">
        <v>46.23</v>
      </c>
      <c r="L30" s="6">
        <v>21.91</v>
      </c>
      <c r="M30" s="6">
        <v>71.08</v>
      </c>
      <c r="N30" s="6">
        <v>0</v>
      </c>
      <c r="O30" s="6">
        <v>0</v>
      </c>
      <c r="P30" s="6">
        <v>0.7</v>
      </c>
      <c r="Q30" s="6">
        <v>4.76</v>
      </c>
    </row>
    <row r="31" spans="1:17" customFormat="1">
      <c r="A31" s="82">
        <v>45356.239583333336</v>
      </c>
      <c r="B31" s="6">
        <v>14.3</v>
      </c>
      <c r="C31" s="6">
        <v>26.01</v>
      </c>
      <c r="D31" s="6">
        <v>26.41</v>
      </c>
      <c r="E31" s="6">
        <v>10.34</v>
      </c>
      <c r="F31" s="6">
        <v>4.84</v>
      </c>
      <c r="G31" s="6">
        <v>59.75</v>
      </c>
      <c r="H31" s="6">
        <v>29.08</v>
      </c>
      <c r="I31" s="6">
        <v>7.5</v>
      </c>
      <c r="J31" s="6">
        <v>0.64</v>
      </c>
      <c r="K31" s="6">
        <v>48.31</v>
      </c>
      <c r="L31" s="6">
        <v>21.73</v>
      </c>
      <c r="M31" s="6">
        <v>71.86</v>
      </c>
      <c r="N31" s="6">
        <v>0</v>
      </c>
      <c r="O31" s="6">
        <v>0</v>
      </c>
      <c r="P31" s="6">
        <v>0.7</v>
      </c>
      <c r="Q31" s="6">
        <v>4.7699999999999996</v>
      </c>
    </row>
    <row r="32" spans="1:17" customFormat="1">
      <c r="A32" s="82">
        <v>45356.25</v>
      </c>
      <c r="B32" s="6">
        <v>13.77</v>
      </c>
      <c r="C32" s="6">
        <v>25.97</v>
      </c>
      <c r="D32" s="6">
        <v>25.96</v>
      </c>
      <c r="E32" s="6">
        <v>10.68</v>
      </c>
      <c r="F32" s="6">
        <v>4.74</v>
      </c>
      <c r="G32" s="6">
        <v>58.99</v>
      </c>
      <c r="H32" s="6">
        <v>28.95</v>
      </c>
      <c r="I32" s="6">
        <v>7.45</v>
      </c>
      <c r="J32" s="6">
        <v>0.76</v>
      </c>
      <c r="K32" s="6">
        <v>45.15</v>
      </c>
      <c r="L32" s="6">
        <v>21.62</v>
      </c>
      <c r="M32" s="6">
        <v>71.39</v>
      </c>
      <c r="N32" s="6">
        <v>0</v>
      </c>
      <c r="O32" s="6">
        <v>0</v>
      </c>
      <c r="P32" s="6">
        <v>0.7</v>
      </c>
      <c r="Q32" s="6">
        <v>4.7699999999999996</v>
      </c>
    </row>
    <row r="33" spans="1:17" customFormat="1">
      <c r="A33" s="82">
        <v>45356.260416666664</v>
      </c>
      <c r="B33" s="6">
        <v>14.14</v>
      </c>
      <c r="C33" s="6">
        <v>25.72</v>
      </c>
      <c r="D33" s="6">
        <v>26.13</v>
      </c>
      <c r="E33" s="6">
        <v>10.77</v>
      </c>
      <c r="F33" s="6">
        <v>4.95</v>
      </c>
      <c r="G33" s="6">
        <v>48.28</v>
      </c>
      <c r="H33" s="6">
        <v>27.37</v>
      </c>
      <c r="I33" s="6">
        <v>7.39</v>
      </c>
      <c r="J33" s="6">
        <v>0.94</v>
      </c>
      <c r="K33" s="6">
        <v>43.11</v>
      </c>
      <c r="L33" s="6">
        <v>21.46</v>
      </c>
      <c r="M33" s="6">
        <v>71.05</v>
      </c>
      <c r="N33" s="6">
        <v>0</v>
      </c>
      <c r="O33" s="6">
        <v>0</v>
      </c>
      <c r="P33" s="6">
        <v>0.68</v>
      </c>
      <c r="Q33" s="6">
        <v>4.76</v>
      </c>
    </row>
    <row r="34" spans="1:17" customFormat="1">
      <c r="A34" s="82">
        <v>45356.270833333336</v>
      </c>
      <c r="B34" s="6">
        <v>13.91</v>
      </c>
      <c r="C34" s="6">
        <v>26.18</v>
      </c>
      <c r="D34" s="6">
        <v>26.18</v>
      </c>
      <c r="E34" s="6">
        <v>10.53</v>
      </c>
      <c r="F34" s="6">
        <v>4.7300000000000004</v>
      </c>
      <c r="G34" s="6">
        <v>48.28</v>
      </c>
      <c r="H34" s="6">
        <v>27.37</v>
      </c>
      <c r="I34" s="6">
        <v>7.33</v>
      </c>
      <c r="J34" s="6">
        <v>0.97</v>
      </c>
      <c r="K34" s="6">
        <v>46.21</v>
      </c>
      <c r="L34" s="6">
        <v>21.39</v>
      </c>
      <c r="M34" s="6">
        <v>70.47</v>
      </c>
      <c r="N34" s="6">
        <v>1.2</v>
      </c>
      <c r="O34" s="6">
        <v>0</v>
      </c>
      <c r="P34" s="6">
        <v>0.68</v>
      </c>
      <c r="Q34" s="6">
        <v>4.78</v>
      </c>
    </row>
    <row r="35" spans="1:17" customFormat="1">
      <c r="A35" s="82">
        <v>45356.28125</v>
      </c>
      <c r="B35" s="6">
        <v>13.94</v>
      </c>
      <c r="C35" s="6">
        <v>26.47</v>
      </c>
      <c r="D35" s="6">
        <v>26.36</v>
      </c>
      <c r="E35" s="6">
        <v>10.37</v>
      </c>
      <c r="F35" s="6">
        <v>4.66</v>
      </c>
      <c r="G35" s="6">
        <v>48.28</v>
      </c>
      <c r="H35" s="6">
        <v>27.37</v>
      </c>
      <c r="I35" s="6">
        <v>7.28</v>
      </c>
      <c r="J35" s="6">
        <v>1.02</v>
      </c>
      <c r="K35" s="6">
        <v>50.9</v>
      </c>
      <c r="L35" s="6">
        <v>21.41</v>
      </c>
      <c r="M35" s="6">
        <v>69.819999999999993</v>
      </c>
      <c r="N35" s="6">
        <v>10.5</v>
      </c>
      <c r="O35" s="6">
        <v>0</v>
      </c>
      <c r="P35" s="6">
        <v>0.68</v>
      </c>
      <c r="Q35" s="6">
        <v>4.78</v>
      </c>
    </row>
    <row r="36" spans="1:17" customFormat="1">
      <c r="A36" s="82">
        <v>45356.291666666664</v>
      </c>
      <c r="B36" s="6">
        <v>14.13</v>
      </c>
      <c r="C36" s="6">
        <v>27.18</v>
      </c>
      <c r="D36" s="6">
        <v>26.88</v>
      </c>
      <c r="E36" s="6">
        <v>10.69</v>
      </c>
      <c r="F36" s="6">
        <v>4.58</v>
      </c>
      <c r="G36" s="6">
        <v>48.82</v>
      </c>
      <c r="H36" s="6">
        <v>27.15</v>
      </c>
      <c r="I36" s="6">
        <v>7.28</v>
      </c>
      <c r="J36" s="6">
        <v>1.08</v>
      </c>
      <c r="K36" s="6">
        <v>49.3</v>
      </c>
      <c r="L36" s="6">
        <v>21.58</v>
      </c>
      <c r="M36" s="6">
        <v>68.540000000000006</v>
      </c>
      <c r="N36" s="6">
        <v>22.3</v>
      </c>
      <c r="O36" s="6">
        <v>0</v>
      </c>
      <c r="P36" s="6">
        <v>0.68</v>
      </c>
      <c r="Q36" s="6">
        <v>4.7699999999999996</v>
      </c>
    </row>
    <row r="37" spans="1:17" customFormat="1">
      <c r="A37" s="82">
        <v>45356.302083333336</v>
      </c>
      <c r="B37" s="6">
        <v>14.42</v>
      </c>
      <c r="C37" s="6">
        <v>26.06</v>
      </c>
      <c r="D37" s="6">
        <v>26.53</v>
      </c>
      <c r="E37" s="6">
        <v>9.52</v>
      </c>
      <c r="F37" s="6">
        <v>4.82</v>
      </c>
      <c r="G37" s="6">
        <v>56.31</v>
      </c>
      <c r="H37" s="6">
        <v>24.47</v>
      </c>
      <c r="I37" s="6">
        <v>7.21</v>
      </c>
      <c r="J37" s="6">
        <v>1.2</v>
      </c>
      <c r="K37" s="6">
        <v>60.41</v>
      </c>
      <c r="L37" s="6">
        <v>21.83</v>
      </c>
      <c r="M37" s="6">
        <v>67.53</v>
      </c>
      <c r="N37" s="6">
        <v>33.4</v>
      </c>
      <c r="O37" s="6">
        <v>0</v>
      </c>
      <c r="P37" s="6">
        <v>0.67</v>
      </c>
      <c r="Q37" s="6">
        <v>4.76</v>
      </c>
    </row>
    <row r="38" spans="1:17" customFormat="1">
      <c r="A38" s="82">
        <v>45356.3125</v>
      </c>
      <c r="B38" s="6">
        <v>14.74</v>
      </c>
      <c r="C38" s="6">
        <v>23.59</v>
      </c>
      <c r="D38" s="6">
        <v>25.5</v>
      </c>
      <c r="E38" s="6">
        <v>9.0299999999999994</v>
      </c>
      <c r="F38" s="6">
        <v>5.1100000000000003</v>
      </c>
      <c r="G38" s="6">
        <v>56.31</v>
      </c>
      <c r="H38" s="6">
        <v>24.47</v>
      </c>
      <c r="I38" s="6">
        <v>7.28</v>
      </c>
      <c r="J38" s="6">
        <v>1.58</v>
      </c>
      <c r="K38" s="6">
        <v>60.14</v>
      </c>
      <c r="L38" s="6">
        <v>22.1</v>
      </c>
      <c r="M38" s="6">
        <v>66.78</v>
      </c>
      <c r="N38" s="6">
        <v>48.8</v>
      </c>
      <c r="O38" s="6">
        <v>0</v>
      </c>
      <c r="P38" s="6">
        <v>0.65</v>
      </c>
      <c r="Q38" s="6">
        <v>4.76</v>
      </c>
    </row>
    <row r="39" spans="1:17" customFormat="1">
      <c r="A39" s="82">
        <v>45356.322916666664</v>
      </c>
      <c r="B39" s="6">
        <v>14.9</v>
      </c>
      <c r="C39" s="6">
        <v>21.8</v>
      </c>
      <c r="D39" s="6">
        <v>24.7</v>
      </c>
      <c r="E39" s="6">
        <v>9.2100000000000009</v>
      </c>
      <c r="F39" s="6">
        <v>5.52</v>
      </c>
      <c r="G39" s="6">
        <v>56.31</v>
      </c>
      <c r="H39" s="6">
        <v>24.47</v>
      </c>
      <c r="I39" s="6">
        <v>7.28</v>
      </c>
      <c r="J39" s="6">
        <v>1.7</v>
      </c>
      <c r="K39" s="6">
        <v>56.88</v>
      </c>
      <c r="L39" s="6">
        <v>22.41</v>
      </c>
      <c r="M39" s="6">
        <v>66.11</v>
      </c>
      <c r="N39" s="6">
        <v>91.9</v>
      </c>
      <c r="O39" s="6">
        <v>0</v>
      </c>
      <c r="P39" s="6">
        <v>0.63</v>
      </c>
      <c r="Q39" s="6">
        <v>4.75</v>
      </c>
    </row>
    <row r="40" spans="1:17" customFormat="1">
      <c r="A40" s="82">
        <v>45356.333333333336</v>
      </c>
      <c r="B40" s="6">
        <v>14.73</v>
      </c>
      <c r="C40" s="6">
        <v>20.86</v>
      </c>
      <c r="D40" s="6">
        <v>24.06</v>
      </c>
      <c r="E40" s="6">
        <v>10.45</v>
      </c>
      <c r="F40" s="6">
        <v>5.99</v>
      </c>
      <c r="G40" s="6">
        <v>55.85</v>
      </c>
      <c r="H40" s="6">
        <v>24.39</v>
      </c>
      <c r="I40" s="6">
        <v>7.23</v>
      </c>
      <c r="J40" s="6">
        <v>1.54</v>
      </c>
      <c r="K40" s="6">
        <v>57.07</v>
      </c>
      <c r="L40" s="6">
        <v>22.94</v>
      </c>
      <c r="M40" s="6">
        <v>64.680000000000007</v>
      </c>
      <c r="N40" s="6">
        <v>94.5</v>
      </c>
      <c r="O40" s="6">
        <v>0</v>
      </c>
      <c r="P40" s="6">
        <v>0.61</v>
      </c>
      <c r="Q40" s="6">
        <v>4.76</v>
      </c>
    </row>
    <row r="41" spans="1:17" customFormat="1">
      <c r="A41" s="82">
        <v>45356.34375</v>
      </c>
      <c r="B41" s="6">
        <v>14.68</v>
      </c>
      <c r="C41" s="6">
        <v>20.350000000000001</v>
      </c>
      <c r="D41" s="6">
        <v>23.76</v>
      </c>
      <c r="E41" s="6">
        <v>11.6</v>
      </c>
      <c r="F41" s="6">
        <v>6.04</v>
      </c>
      <c r="G41" s="6">
        <v>49.45</v>
      </c>
      <c r="H41" s="6">
        <v>23.37</v>
      </c>
      <c r="I41" s="6">
        <v>7.14</v>
      </c>
      <c r="J41" s="6">
        <v>2.13</v>
      </c>
      <c r="K41" s="6">
        <v>53.91</v>
      </c>
      <c r="L41" s="6">
        <v>23.42</v>
      </c>
      <c r="M41" s="6">
        <v>63.46</v>
      </c>
      <c r="N41" s="6">
        <v>149.9</v>
      </c>
      <c r="O41" s="6">
        <v>0</v>
      </c>
      <c r="P41" s="6">
        <v>0.59</v>
      </c>
      <c r="Q41" s="6">
        <v>4.76</v>
      </c>
    </row>
    <row r="42" spans="1:17" customFormat="1">
      <c r="A42" s="82">
        <v>45356.354166666664</v>
      </c>
      <c r="B42" s="6">
        <v>15.01</v>
      </c>
      <c r="C42" s="6">
        <v>20.82</v>
      </c>
      <c r="D42" s="6">
        <v>24.27</v>
      </c>
      <c r="E42" s="6">
        <v>13.7</v>
      </c>
      <c r="F42" s="6">
        <v>5.9</v>
      </c>
      <c r="G42" s="6">
        <v>49.45</v>
      </c>
      <c r="H42" s="6">
        <v>23.37</v>
      </c>
      <c r="I42" s="6">
        <v>6.98</v>
      </c>
      <c r="J42" s="6">
        <v>1.93</v>
      </c>
      <c r="K42" s="6">
        <v>63.51</v>
      </c>
      <c r="L42" s="6">
        <v>23.98</v>
      </c>
      <c r="M42" s="6">
        <v>61.81</v>
      </c>
      <c r="N42" s="6">
        <v>218.1</v>
      </c>
      <c r="O42" s="6">
        <v>0</v>
      </c>
      <c r="P42" s="6">
        <v>0.59</v>
      </c>
      <c r="Q42" s="6">
        <v>4.7300000000000004</v>
      </c>
    </row>
    <row r="43" spans="1:17" customFormat="1">
      <c r="A43" s="82">
        <v>45356.364583333336</v>
      </c>
      <c r="B43" s="6">
        <v>15.18</v>
      </c>
      <c r="C43" s="6">
        <v>20.64</v>
      </c>
      <c r="D43" s="6">
        <v>24.31</v>
      </c>
      <c r="E43" s="6">
        <v>17.37</v>
      </c>
      <c r="F43" s="6">
        <v>6.06</v>
      </c>
      <c r="G43" s="6">
        <v>49.45</v>
      </c>
      <c r="H43" s="6">
        <v>23.37</v>
      </c>
      <c r="I43" s="6">
        <v>6.85</v>
      </c>
      <c r="J43" s="6">
        <v>2.0299999999999998</v>
      </c>
      <c r="K43" s="6">
        <v>65.22</v>
      </c>
      <c r="L43" s="6">
        <v>24.53</v>
      </c>
      <c r="M43" s="6">
        <v>59.91</v>
      </c>
      <c r="N43" s="6">
        <v>263.10000000000002</v>
      </c>
      <c r="O43" s="6">
        <v>0</v>
      </c>
      <c r="P43" s="6">
        <v>0.59</v>
      </c>
      <c r="Q43" s="6">
        <v>4.74</v>
      </c>
    </row>
    <row r="44" spans="1:17" customFormat="1">
      <c r="A44" s="82">
        <v>45356.375</v>
      </c>
      <c r="B44" s="6">
        <v>14.91</v>
      </c>
      <c r="C44" s="6">
        <v>21.17</v>
      </c>
      <c r="D44" s="6">
        <v>24.37</v>
      </c>
      <c r="E44" s="6">
        <v>17.61</v>
      </c>
      <c r="F44" s="6">
        <v>6.54</v>
      </c>
      <c r="G44" s="6">
        <v>51.22</v>
      </c>
      <c r="H44" s="6">
        <v>23.4</v>
      </c>
      <c r="I44" s="6">
        <v>6.7</v>
      </c>
      <c r="J44" s="6">
        <v>2.0499999999999998</v>
      </c>
      <c r="K44" s="6">
        <v>57.52</v>
      </c>
      <c r="L44" s="6">
        <v>25.1</v>
      </c>
      <c r="M44" s="6">
        <v>58.69</v>
      </c>
      <c r="N44" s="6">
        <v>303.3</v>
      </c>
      <c r="O44" s="6">
        <v>0</v>
      </c>
      <c r="P44" s="6">
        <v>0.6</v>
      </c>
      <c r="Q44" s="6">
        <v>4.76</v>
      </c>
    </row>
    <row r="45" spans="1:17" customFormat="1">
      <c r="A45" s="82">
        <v>45356.385416666664</v>
      </c>
      <c r="B45" s="6">
        <v>14.76</v>
      </c>
      <c r="C45" s="6">
        <v>22.94</v>
      </c>
      <c r="D45" s="6">
        <v>25.17</v>
      </c>
      <c r="E45" s="6">
        <v>22.27</v>
      </c>
      <c r="F45" s="6">
        <v>7.02</v>
      </c>
      <c r="G45" s="6">
        <v>76.069999999999993</v>
      </c>
      <c r="H45" s="6">
        <v>23.72</v>
      </c>
      <c r="I45" s="6">
        <v>6.55</v>
      </c>
      <c r="J45" s="6">
        <v>1.96</v>
      </c>
      <c r="K45" s="6">
        <v>54.45</v>
      </c>
      <c r="L45" s="6">
        <v>25.59</v>
      </c>
      <c r="M45" s="6">
        <v>57.66</v>
      </c>
      <c r="N45" s="6">
        <v>337.3</v>
      </c>
      <c r="O45" s="6">
        <v>0</v>
      </c>
      <c r="P45" s="6">
        <v>0.61</v>
      </c>
      <c r="Q45" s="6">
        <v>4.76</v>
      </c>
    </row>
    <row r="46" spans="1:17" customFormat="1">
      <c r="A46" s="82">
        <v>45356.395833333336</v>
      </c>
      <c r="B46" s="6">
        <v>15.68</v>
      </c>
      <c r="C46" s="6">
        <v>24.42</v>
      </c>
      <c r="D46" s="6">
        <v>26.68</v>
      </c>
      <c r="E46" s="6">
        <v>20.2</v>
      </c>
      <c r="F46" s="6">
        <v>6.3</v>
      </c>
      <c r="G46" s="6">
        <v>76.069999999999993</v>
      </c>
      <c r="H46" s="6">
        <v>23.72</v>
      </c>
      <c r="I46" s="6">
        <v>6.33</v>
      </c>
      <c r="J46" s="6">
        <v>1.88</v>
      </c>
      <c r="K46" s="6">
        <v>58.14</v>
      </c>
      <c r="L46" s="6">
        <v>26.11</v>
      </c>
      <c r="M46" s="6">
        <v>56.64</v>
      </c>
      <c r="N46" s="6">
        <v>366.7</v>
      </c>
      <c r="O46" s="6">
        <v>0</v>
      </c>
      <c r="P46" s="6">
        <v>0.63</v>
      </c>
      <c r="Q46" s="6">
        <v>4.7699999999999996</v>
      </c>
    </row>
    <row r="47" spans="1:17" customFormat="1">
      <c r="A47" s="82">
        <v>45356.40625</v>
      </c>
      <c r="B47" s="6">
        <v>15.76</v>
      </c>
      <c r="C47" s="6">
        <v>26.64</v>
      </c>
      <c r="D47" s="6">
        <v>27.91</v>
      </c>
      <c r="E47" s="6">
        <v>21.64</v>
      </c>
      <c r="F47" s="6">
        <v>6.44</v>
      </c>
      <c r="G47" s="6">
        <v>76.069999999999993</v>
      </c>
      <c r="H47" s="6">
        <v>23.72</v>
      </c>
      <c r="I47" s="6">
        <v>6.22</v>
      </c>
      <c r="J47" s="6">
        <v>1.1000000000000001</v>
      </c>
      <c r="K47" s="6">
        <v>67.650000000000006</v>
      </c>
      <c r="L47" s="6">
        <v>26.95</v>
      </c>
      <c r="M47" s="6">
        <v>54.43</v>
      </c>
      <c r="N47" s="6">
        <v>386.2</v>
      </c>
      <c r="O47" s="6">
        <v>0</v>
      </c>
      <c r="P47" s="6">
        <v>0.63</v>
      </c>
      <c r="Q47" s="6">
        <v>4.79</v>
      </c>
    </row>
    <row r="48" spans="1:17" customFormat="1">
      <c r="A48" s="82">
        <v>45356.416666666664</v>
      </c>
      <c r="B48" s="6">
        <v>16.899999999999999</v>
      </c>
      <c r="C48" s="6">
        <v>28.9</v>
      </c>
      <c r="D48" s="6">
        <v>30</v>
      </c>
      <c r="E48" s="6">
        <v>27.63</v>
      </c>
      <c r="F48" s="6">
        <v>7.45</v>
      </c>
      <c r="G48" s="6">
        <v>75.680000000000007</v>
      </c>
      <c r="H48" s="6">
        <v>23.82</v>
      </c>
      <c r="I48" s="6">
        <v>6.15</v>
      </c>
      <c r="J48" s="6">
        <v>1.49</v>
      </c>
      <c r="K48" s="6">
        <v>53.74</v>
      </c>
      <c r="L48" s="6">
        <v>27.13</v>
      </c>
      <c r="M48" s="6">
        <v>54.6</v>
      </c>
      <c r="N48" s="6">
        <v>322.89999999999998</v>
      </c>
      <c r="O48" s="6">
        <v>0</v>
      </c>
      <c r="P48" s="6">
        <v>0.64</v>
      </c>
      <c r="Q48" s="6">
        <v>4.8099999999999996</v>
      </c>
    </row>
    <row r="49" spans="1:17" customFormat="1">
      <c r="A49" s="82">
        <v>45356.427083333336</v>
      </c>
      <c r="B49" s="6">
        <v>17.87</v>
      </c>
      <c r="C49" s="6">
        <v>28.72</v>
      </c>
      <c r="D49" s="6">
        <v>30.69</v>
      </c>
      <c r="E49" s="6">
        <v>25.93</v>
      </c>
      <c r="F49" s="6">
        <v>8.18</v>
      </c>
      <c r="G49" s="6">
        <v>70.28</v>
      </c>
      <c r="H49" s="6">
        <v>25.01</v>
      </c>
      <c r="I49" s="6">
        <v>6.03</v>
      </c>
      <c r="J49" s="6">
        <v>1.37</v>
      </c>
      <c r="K49" s="6">
        <v>66.989999999999995</v>
      </c>
      <c r="L49" s="6">
        <v>27.66</v>
      </c>
      <c r="M49" s="6">
        <v>53.17</v>
      </c>
      <c r="N49" s="6">
        <v>316.60000000000002</v>
      </c>
      <c r="O49" s="6">
        <v>0</v>
      </c>
      <c r="P49" s="6">
        <v>0.64</v>
      </c>
      <c r="Q49" s="6">
        <v>4.8099999999999996</v>
      </c>
    </row>
    <row r="50" spans="1:17" customFormat="1">
      <c r="A50" s="82">
        <v>45356.4375</v>
      </c>
      <c r="B50" s="6">
        <v>16.37</v>
      </c>
      <c r="C50" s="6">
        <v>30.01</v>
      </c>
      <c r="D50" s="6">
        <v>30.16</v>
      </c>
      <c r="E50" s="6">
        <v>31.77</v>
      </c>
      <c r="F50" s="6">
        <v>9.3800000000000008</v>
      </c>
      <c r="G50" s="6">
        <v>70.28</v>
      </c>
      <c r="H50" s="6">
        <v>25.01</v>
      </c>
      <c r="I50" s="6">
        <v>6</v>
      </c>
      <c r="J50" s="6">
        <v>1.1299999999999999</v>
      </c>
      <c r="K50" s="6">
        <v>49.03</v>
      </c>
      <c r="L50" s="6">
        <v>28.62</v>
      </c>
      <c r="M50" s="6">
        <v>50.6</v>
      </c>
      <c r="N50" s="6">
        <v>462.5</v>
      </c>
      <c r="O50" s="6">
        <v>0</v>
      </c>
      <c r="P50" s="6">
        <v>0.63</v>
      </c>
      <c r="Q50" s="6">
        <v>4.8099999999999996</v>
      </c>
    </row>
    <row r="51" spans="1:17" customFormat="1">
      <c r="A51" s="82">
        <v>45356.447916666664</v>
      </c>
      <c r="B51" s="6">
        <v>15.02</v>
      </c>
      <c r="C51" s="6">
        <v>26.68</v>
      </c>
      <c r="D51" s="6">
        <v>27.34</v>
      </c>
      <c r="E51" s="6">
        <v>29.5</v>
      </c>
      <c r="F51" s="6">
        <v>10.26</v>
      </c>
      <c r="G51" s="6">
        <v>70.28</v>
      </c>
      <c r="H51" s="6">
        <v>25.01</v>
      </c>
      <c r="I51" s="6">
        <v>5.89</v>
      </c>
      <c r="J51" s="6">
        <v>0.56000000000000005</v>
      </c>
      <c r="K51" s="6">
        <v>85.58</v>
      </c>
      <c r="L51" s="6">
        <v>29.41</v>
      </c>
      <c r="M51" s="6">
        <v>48.32</v>
      </c>
      <c r="N51" s="6">
        <v>486.4</v>
      </c>
      <c r="O51" s="6">
        <v>0</v>
      </c>
      <c r="P51" s="6">
        <v>0.63</v>
      </c>
      <c r="Q51" s="6">
        <v>4.8</v>
      </c>
    </row>
    <row r="52" spans="1:17" customFormat="1">
      <c r="A52" s="82">
        <v>45356.458333333336</v>
      </c>
      <c r="B52" s="6">
        <v>12.33</v>
      </c>
      <c r="C52" s="6">
        <v>27.33</v>
      </c>
      <c r="D52" s="6">
        <v>25.52</v>
      </c>
      <c r="E52" s="6">
        <v>24.8</v>
      </c>
      <c r="F52" s="6">
        <v>13.77</v>
      </c>
      <c r="G52" s="6">
        <v>70.7</v>
      </c>
      <c r="H52" s="6">
        <v>25.22</v>
      </c>
      <c r="I52" s="6">
        <v>5.89</v>
      </c>
      <c r="J52" s="6">
        <v>0.25</v>
      </c>
      <c r="K52" s="6">
        <v>56.31</v>
      </c>
      <c r="L52" s="6">
        <v>29.96</v>
      </c>
      <c r="M52" s="6">
        <v>47.34</v>
      </c>
      <c r="N52" s="6">
        <v>520.79999999999995</v>
      </c>
      <c r="O52" s="6">
        <v>0</v>
      </c>
      <c r="P52" s="6">
        <v>0.62</v>
      </c>
      <c r="Q52" s="6">
        <v>4.82</v>
      </c>
    </row>
    <row r="53" spans="1:17" customFormat="1">
      <c r="A53" s="82">
        <v>45356.46875</v>
      </c>
      <c r="B53" s="6">
        <v>9.94</v>
      </c>
      <c r="C53" s="6">
        <v>27.04</v>
      </c>
      <c r="D53" s="6">
        <v>23.45</v>
      </c>
      <c r="E53" s="6">
        <v>25.51</v>
      </c>
      <c r="F53" s="6">
        <v>10.92</v>
      </c>
      <c r="G53" s="6">
        <v>76.680000000000007</v>
      </c>
      <c r="H53" s="6">
        <v>27.42</v>
      </c>
      <c r="I53" s="6">
        <v>5.79</v>
      </c>
      <c r="J53" s="6">
        <v>0.45</v>
      </c>
      <c r="K53" s="6">
        <v>105.75</v>
      </c>
      <c r="L53" s="6">
        <v>31.08</v>
      </c>
      <c r="M53" s="6">
        <v>43.63</v>
      </c>
      <c r="N53" s="6">
        <v>512.79999999999995</v>
      </c>
      <c r="O53" s="6">
        <v>0</v>
      </c>
      <c r="P53" s="6">
        <v>0.6</v>
      </c>
      <c r="Q53" s="6">
        <v>4.83</v>
      </c>
    </row>
    <row r="54" spans="1:17" customFormat="1">
      <c r="A54" s="82">
        <v>45356.479166666664</v>
      </c>
      <c r="B54" s="6">
        <v>7.94</v>
      </c>
      <c r="C54" s="6">
        <v>27.38</v>
      </c>
      <c r="D54" s="6">
        <v>22.02</v>
      </c>
      <c r="E54" s="6">
        <v>24.67</v>
      </c>
      <c r="F54" s="6">
        <v>17.899999999999999</v>
      </c>
      <c r="G54" s="6">
        <v>76.680000000000007</v>
      </c>
      <c r="H54" s="6">
        <v>27.42</v>
      </c>
      <c r="I54" s="6">
        <v>5.6</v>
      </c>
      <c r="J54" s="6">
        <v>0.9</v>
      </c>
      <c r="K54" s="6">
        <v>56.61</v>
      </c>
      <c r="L54" s="6">
        <v>31.25</v>
      </c>
      <c r="M54" s="6">
        <v>43</v>
      </c>
      <c r="N54" s="6">
        <v>561.79999999999995</v>
      </c>
      <c r="O54" s="6">
        <v>0</v>
      </c>
      <c r="P54" s="6">
        <v>0.61</v>
      </c>
      <c r="Q54" s="6">
        <v>4.79</v>
      </c>
    </row>
    <row r="55" spans="1:17" customFormat="1">
      <c r="A55" s="82">
        <v>45356.489583333336</v>
      </c>
      <c r="B55" s="6">
        <v>6.62</v>
      </c>
      <c r="C55" s="6">
        <v>26.99</v>
      </c>
      <c r="D55" s="6">
        <v>20.76</v>
      </c>
      <c r="E55" s="6">
        <v>29.84</v>
      </c>
      <c r="F55" s="6">
        <v>16.739999999999998</v>
      </c>
      <c r="G55" s="6">
        <v>76.680000000000007</v>
      </c>
      <c r="H55" s="6">
        <v>27.42</v>
      </c>
      <c r="I55" s="6">
        <v>5.57</v>
      </c>
      <c r="J55" s="6">
        <v>0.28999999999999998</v>
      </c>
      <c r="K55" s="6">
        <v>122.23</v>
      </c>
      <c r="L55" s="6">
        <v>32.340000000000003</v>
      </c>
      <c r="M55" s="6">
        <v>40.36</v>
      </c>
      <c r="N55" s="6">
        <v>582.1</v>
      </c>
      <c r="O55" s="6">
        <v>0</v>
      </c>
      <c r="P55" s="6">
        <v>0.61</v>
      </c>
      <c r="Q55" s="6">
        <v>4.8</v>
      </c>
    </row>
    <row r="56" spans="1:17" customFormat="1">
      <c r="A56" s="82">
        <v>45356.5</v>
      </c>
      <c r="B56" s="6">
        <v>5.24</v>
      </c>
      <c r="C56" s="6">
        <v>25.65</v>
      </c>
      <c r="D56" s="6">
        <v>18.95</v>
      </c>
      <c r="E56" s="6">
        <v>23.31</v>
      </c>
      <c r="F56" s="6">
        <v>22.81</v>
      </c>
      <c r="G56" s="6">
        <v>76.45</v>
      </c>
      <c r="H56" s="6">
        <v>27.65</v>
      </c>
      <c r="I56" s="6">
        <v>5.36</v>
      </c>
      <c r="J56" s="6">
        <v>0.37</v>
      </c>
      <c r="K56" s="6">
        <v>258.5</v>
      </c>
      <c r="L56" s="6">
        <v>33.39</v>
      </c>
      <c r="M56" s="6">
        <v>36.85</v>
      </c>
      <c r="N56" s="6">
        <v>582.79999999999995</v>
      </c>
      <c r="O56" s="6">
        <v>0</v>
      </c>
      <c r="P56" s="6">
        <v>0.57999999999999996</v>
      </c>
      <c r="Q56" s="6">
        <v>4.79</v>
      </c>
    </row>
    <row r="57" spans="1:17" customFormat="1">
      <c r="A57" s="82">
        <v>45356.510416666664</v>
      </c>
      <c r="B57" s="6">
        <v>4.32</v>
      </c>
      <c r="C57" s="6">
        <v>23.87</v>
      </c>
      <c r="D57" s="6">
        <v>17.28</v>
      </c>
      <c r="E57" s="6">
        <v>24.06</v>
      </c>
      <c r="F57" s="6">
        <v>21.94</v>
      </c>
      <c r="G57" s="6">
        <v>73.28</v>
      </c>
      <c r="H57" s="6">
        <v>30.55</v>
      </c>
      <c r="I57" s="6">
        <v>5.31</v>
      </c>
      <c r="J57" s="6">
        <v>0.35</v>
      </c>
      <c r="K57" s="6">
        <v>271.05</v>
      </c>
      <c r="L57" s="6">
        <v>32.94</v>
      </c>
      <c r="M57" s="6">
        <v>37.31</v>
      </c>
      <c r="N57" s="6">
        <v>582.4</v>
      </c>
      <c r="O57" s="6">
        <v>0</v>
      </c>
      <c r="P57" s="6">
        <v>0.56000000000000005</v>
      </c>
      <c r="Q57" s="6">
        <v>4.78</v>
      </c>
    </row>
    <row r="58" spans="1:17" customFormat="1">
      <c r="A58" s="82">
        <v>45356.520833333336</v>
      </c>
      <c r="B58" s="6">
        <v>3.71</v>
      </c>
      <c r="C58" s="6">
        <v>22.29</v>
      </c>
      <c r="D58" s="6">
        <v>15.97</v>
      </c>
      <c r="E58" s="6">
        <v>23.15</v>
      </c>
      <c r="F58" s="6">
        <v>19.760000000000002</v>
      </c>
      <c r="G58" s="6">
        <v>73.28</v>
      </c>
      <c r="H58" s="6">
        <v>30.55</v>
      </c>
      <c r="I58" s="6">
        <v>5.08</v>
      </c>
      <c r="J58" s="6">
        <v>0.35</v>
      </c>
      <c r="K58" s="6">
        <v>214.19</v>
      </c>
      <c r="L58" s="6">
        <v>33.57</v>
      </c>
      <c r="M58" s="6">
        <v>35.86</v>
      </c>
      <c r="N58" s="6">
        <v>579.1</v>
      </c>
      <c r="O58" s="6">
        <v>0</v>
      </c>
      <c r="P58" s="6">
        <v>0.56000000000000005</v>
      </c>
      <c r="Q58" s="6">
        <v>4.76</v>
      </c>
    </row>
    <row r="59" spans="1:17" customFormat="1">
      <c r="A59" s="82">
        <v>45356.53125</v>
      </c>
      <c r="B59" s="6">
        <v>3.55</v>
      </c>
      <c r="C59" s="6">
        <v>21.72</v>
      </c>
      <c r="D59" s="6">
        <v>15.54</v>
      </c>
      <c r="E59" s="6">
        <v>24.83</v>
      </c>
      <c r="F59" s="6">
        <v>32.840000000000003</v>
      </c>
      <c r="G59" s="6">
        <v>73.28</v>
      </c>
      <c r="H59" s="6">
        <v>30.55</v>
      </c>
      <c r="I59" s="6">
        <v>4.99</v>
      </c>
      <c r="J59" s="6">
        <v>0.24</v>
      </c>
      <c r="K59" s="6">
        <v>303.87</v>
      </c>
      <c r="L59" s="6">
        <v>33.33</v>
      </c>
      <c r="M59" s="6">
        <v>36.51</v>
      </c>
      <c r="N59" s="6">
        <v>556.4</v>
      </c>
      <c r="O59" s="6">
        <v>0</v>
      </c>
      <c r="P59" s="6">
        <v>0.55000000000000004</v>
      </c>
      <c r="Q59" s="6">
        <v>4.75</v>
      </c>
    </row>
    <row r="60" spans="1:17" customFormat="1">
      <c r="A60" s="82">
        <v>45356.541666666664</v>
      </c>
      <c r="B60" s="6">
        <v>3.45</v>
      </c>
      <c r="C60" s="6">
        <v>20.92</v>
      </c>
      <c r="D60" s="6">
        <v>15.05</v>
      </c>
      <c r="E60" s="6">
        <v>25.21</v>
      </c>
      <c r="F60" s="6">
        <v>26.56</v>
      </c>
      <c r="G60" s="6">
        <v>72.38</v>
      </c>
      <c r="H60" s="6">
        <v>30.24</v>
      </c>
      <c r="I60" s="6">
        <v>4.99</v>
      </c>
      <c r="J60" s="6">
        <v>0.39</v>
      </c>
      <c r="K60" s="6">
        <v>316.25</v>
      </c>
      <c r="L60" s="6">
        <v>33.61</v>
      </c>
      <c r="M60" s="6">
        <v>36.340000000000003</v>
      </c>
      <c r="N60" s="6">
        <v>523.79999999999995</v>
      </c>
      <c r="O60" s="6">
        <v>0</v>
      </c>
      <c r="P60" s="6">
        <v>0.55000000000000004</v>
      </c>
      <c r="Q60" s="6">
        <v>4.7300000000000004</v>
      </c>
    </row>
    <row r="61" spans="1:17" customFormat="1">
      <c r="A61" s="82">
        <v>45356.552083333336</v>
      </c>
      <c r="B61" s="6">
        <v>3.03</v>
      </c>
      <c r="C61" s="6">
        <v>20.71</v>
      </c>
      <c r="D61" s="6">
        <v>14.6</v>
      </c>
      <c r="E61" s="6">
        <v>21.76</v>
      </c>
      <c r="F61" s="6">
        <v>19.38</v>
      </c>
      <c r="G61" s="6">
        <v>59.83</v>
      </c>
      <c r="H61" s="6">
        <v>26.38</v>
      </c>
      <c r="I61" s="6">
        <v>4.67</v>
      </c>
      <c r="J61" s="6">
        <v>0.43</v>
      </c>
      <c r="K61" s="6">
        <v>284.11</v>
      </c>
      <c r="L61" s="6">
        <v>33.729999999999997</v>
      </c>
      <c r="M61" s="6">
        <v>35.28</v>
      </c>
      <c r="N61" s="6">
        <v>535.1</v>
      </c>
      <c r="O61" s="6">
        <v>0</v>
      </c>
      <c r="P61" s="6">
        <v>0.55000000000000004</v>
      </c>
      <c r="Q61" s="6">
        <v>4.74</v>
      </c>
    </row>
    <row r="62" spans="1:17" customFormat="1">
      <c r="A62" s="82">
        <v>45356.5625</v>
      </c>
      <c r="B62" s="6">
        <v>2.68</v>
      </c>
      <c r="C62" s="6">
        <v>20.239999999999998</v>
      </c>
      <c r="D62" s="6">
        <v>14.07</v>
      </c>
      <c r="E62" s="6">
        <v>17.93</v>
      </c>
      <c r="F62" s="6">
        <v>14.33</v>
      </c>
      <c r="G62" s="6">
        <v>59.83</v>
      </c>
      <c r="H62" s="6">
        <v>26.38</v>
      </c>
      <c r="I62" s="6">
        <v>4.74</v>
      </c>
      <c r="J62" s="6">
        <v>1.03</v>
      </c>
      <c r="K62" s="6">
        <v>306.18</v>
      </c>
      <c r="L62" s="6">
        <v>33.33</v>
      </c>
      <c r="M62" s="6">
        <v>35.36</v>
      </c>
      <c r="N62" s="6">
        <v>507.4</v>
      </c>
      <c r="O62" s="6">
        <v>0</v>
      </c>
      <c r="P62" s="6">
        <v>0.55000000000000004</v>
      </c>
      <c r="Q62" s="6">
        <v>4.71</v>
      </c>
    </row>
    <row r="63" spans="1:17" customFormat="1">
      <c r="A63" s="82">
        <v>45356.572916666664</v>
      </c>
      <c r="B63" s="6">
        <v>2.25</v>
      </c>
      <c r="C63" s="6">
        <v>20.309999999999999</v>
      </c>
      <c r="D63" s="6">
        <v>13.77</v>
      </c>
      <c r="E63" s="6">
        <v>22.54</v>
      </c>
      <c r="F63" s="6">
        <v>22.36</v>
      </c>
      <c r="G63" s="6">
        <v>59.83</v>
      </c>
      <c r="H63" s="6">
        <v>26.38</v>
      </c>
      <c r="I63" s="6">
        <v>4.79</v>
      </c>
      <c r="J63" s="6">
        <v>0.17</v>
      </c>
      <c r="K63" s="6">
        <v>110.42</v>
      </c>
      <c r="L63" s="6">
        <v>33.99</v>
      </c>
      <c r="M63" s="6">
        <v>32.99</v>
      </c>
      <c r="N63" s="6">
        <v>474.8</v>
      </c>
      <c r="O63" s="6">
        <v>0</v>
      </c>
      <c r="P63" s="6">
        <v>0.56000000000000005</v>
      </c>
      <c r="Q63" s="6">
        <v>4.7</v>
      </c>
    </row>
    <row r="64" spans="1:17" customFormat="1">
      <c r="A64" s="82">
        <v>45356.583333333336</v>
      </c>
      <c r="B64" s="6">
        <v>2.0699999999999998</v>
      </c>
      <c r="C64" s="6">
        <v>19.28</v>
      </c>
      <c r="D64" s="6">
        <v>13.08</v>
      </c>
      <c r="E64" s="6">
        <v>26.7</v>
      </c>
      <c r="F64" s="6">
        <v>44.89</v>
      </c>
      <c r="G64" s="6">
        <v>59.96</v>
      </c>
      <c r="H64" s="6">
        <v>26.29</v>
      </c>
      <c r="I64" s="6">
        <v>4.78</v>
      </c>
      <c r="J64" s="6">
        <v>0.06</v>
      </c>
      <c r="K64" s="6">
        <v>198.5</v>
      </c>
      <c r="L64" s="6">
        <v>34.549999999999997</v>
      </c>
      <c r="M64" s="6">
        <v>32.450000000000003</v>
      </c>
      <c r="N64" s="6">
        <v>485.2</v>
      </c>
      <c r="O64" s="6">
        <v>0</v>
      </c>
      <c r="P64" s="6">
        <v>0.57999999999999996</v>
      </c>
      <c r="Q64" s="6">
        <v>4.71</v>
      </c>
    </row>
    <row r="65" spans="1:17" customFormat="1">
      <c r="A65" s="82">
        <v>45356.59375</v>
      </c>
      <c r="B65" s="6">
        <v>2.59</v>
      </c>
      <c r="C65" s="6">
        <v>23.17</v>
      </c>
      <c r="D65" s="6">
        <v>15.53</v>
      </c>
      <c r="E65" s="6">
        <v>33.81</v>
      </c>
      <c r="F65" s="6">
        <v>45.19</v>
      </c>
      <c r="G65" s="6">
        <v>61.81</v>
      </c>
      <c r="H65" s="6">
        <v>25.22</v>
      </c>
      <c r="I65" s="6">
        <v>4.66</v>
      </c>
      <c r="J65" s="6">
        <v>0.75</v>
      </c>
      <c r="K65" s="6">
        <v>310.87</v>
      </c>
      <c r="L65" s="6">
        <v>33.9</v>
      </c>
      <c r="M65" s="6">
        <v>33.22</v>
      </c>
      <c r="N65" s="6">
        <v>486.8</v>
      </c>
      <c r="O65" s="6">
        <v>0</v>
      </c>
      <c r="P65" s="6">
        <v>0.56000000000000005</v>
      </c>
      <c r="Q65" s="6">
        <v>4.68</v>
      </c>
    </row>
    <row r="66" spans="1:17" customFormat="1">
      <c r="A66" s="82">
        <v>45356.604166666664</v>
      </c>
      <c r="B66" s="6">
        <v>1.91</v>
      </c>
      <c r="C66" s="6">
        <v>20.84</v>
      </c>
      <c r="D66" s="6">
        <v>13.77</v>
      </c>
      <c r="E66" s="6">
        <v>28.24</v>
      </c>
      <c r="F66" s="6">
        <v>37.909999999999997</v>
      </c>
      <c r="G66" s="6">
        <v>61.81</v>
      </c>
      <c r="H66" s="6">
        <v>25.22</v>
      </c>
      <c r="I66" s="6">
        <v>4.3899999999999997</v>
      </c>
      <c r="J66" s="6">
        <v>0.52</v>
      </c>
      <c r="K66" s="6">
        <v>228.43</v>
      </c>
      <c r="L66" s="6">
        <v>34.25</v>
      </c>
      <c r="M66" s="6">
        <v>33.28</v>
      </c>
      <c r="N66" s="6">
        <v>423.5</v>
      </c>
      <c r="O66" s="6">
        <v>0</v>
      </c>
      <c r="P66" s="6">
        <v>0.57999999999999996</v>
      </c>
      <c r="Q66" s="6">
        <v>4.6900000000000004</v>
      </c>
    </row>
    <row r="67" spans="1:17" customFormat="1">
      <c r="A67" s="82">
        <v>45356.614583333336</v>
      </c>
      <c r="B67" s="6">
        <v>1.59</v>
      </c>
      <c r="C67" s="6">
        <v>19.579999999999998</v>
      </c>
      <c r="D67" s="6">
        <v>12.86</v>
      </c>
      <c r="E67" s="6">
        <v>31.18</v>
      </c>
      <c r="F67" s="6">
        <v>37.409999999999997</v>
      </c>
      <c r="G67" s="6">
        <v>61.81</v>
      </c>
      <c r="H67" s="6">
        <v>25.22</v>
      </c>
      <c r="I67" s="6">
        <v>4.43</v>
      </c>
      <c r="J67" s="6">
        <v>0.55000000000000004</v>
      </c>
      <c r="K67" s="6">
        <v>291.81</v>
      </c>
      <c r="L67" s="6">
        <v>34.01</v>
      </c>
      <c r="M67" s="6">
        <v>34.020000000000003</v>
      </c>
      <c r="N67" s="6">
        <v>374.7</v>
      </c>
      <c r="O67" s="6">
        <v>0</v>
      </c>
      <c r="P67" s="6">
        <v>0.59</v>
      </c>
      <c r="Q67" s="6">
        <v>4.6500000000000004</v>
      </c>
    </row>
    <row r="68" spans="1:17" customFormat="1">
      <c r="A68" s="82">
        <v>45356.625</v>
      </c>
      <c r="B68" s="6">
        <v>1.65</v>
      </c>
      <c r="C68" s="6">
        <v>21.08</v>
      </c>
      <c r="D68" s="6">
        <v>13.69</v>
      </c>
      <c r="E68" s="6">
        <v>26.34</v>
      </c>
      <c r="F68" s="6">
        <v>23.8</v>
      </c>
      <c r="G68" s="6">
        <v>62.16</v>
      </c>
      <c r="H68" s="6">
        <v>25.45</v>
      </c>
      <c r="I68" s="6">
        <v>4.4400000000000004</v>
      </c>
      <c r="J68" s="6">
        <v>1.02</v>
      </c>
      <c r="K68" s="6">
        <v>39.89</v>
      </c>
      <c r="L68" s="6">
        <v>33.51</v>
      </c>
      <c r="M68" s="6">
        <v>33.99</v>
      </c>
      <c r="N68" s="6">
        <v>256.10000000000002</v>
      </c>
      <c r="O68" s="6">
        <v>0</v>
      </c>
      <c r="P68" s="6">
        <v>0.61</v>
      </c>
      <c r="Q68" s="6">
        <v>4.66</v>
      </c>
    </row>
    <row r="69" spans="1:17" customFormat="1">
      <c r="A69" s="82">
        <v>45356.635416666664</v>
      </c>
      <c r="B69" s="6">
        <v>1.72</v>
      </c>
      <c r="C69" s="6">
        <v>23.26</v>
      </c>
      <c r="D69" s="6">
        <v>14.89</v>
      </c>
      <c r="E69" s="6">
        <v>28</v>
      </c>
      <c r="F69" s="6">
        <v>26.23</v>
      </c>
      <c r="G69" s="6">
        <v>67.099999999999994</v>
      </c>
      <c r="H69" s="6">
        <v>28.32</v>
      </c>
      <c r="I69" s="6">
        <v>4.46</v>
      </c>
      <c r="J69" s="6">
        <v>0.46</v>
      </c>
      <c r="K69" s="6">
        <v>58.2</v>
      </c>
      <c r="L69" s="6">
        <v>33.28</v>
      </c>
      <c r="M69" s="6">
        <v>34.76</v>
      </c>
      <c r="N69" s="6">
        <v>145.19999999999999</v>
      </c>
      <c r="O69" s="6">
        <v>0</v>
      </c>
      <c r="P69" s="6">
        <v>0.64</v>
      </c>
      <c r="Q69" s="6">
        <v>4.6500000000000004</v>
      </c>
    </row>
    <row r="70" spans="1:17" customFormat="1">
      <c r="A70" s="82">
        <v>45356.645833333336</v>
      </c>
      <c r="B70" s="6">
        <v>3.32</v>
      </c>
      <c r="C70" s="6">
        <v>27.39</v>
      </c>
      <c r="D70" s="6">
        <v>18.32</v>
      </c>
      <c r="E70" s="6">
        <v>35.83</v>
      </c>
      <c r="F70" s="6">
        <v>32.11</v>
      </c>
      <c r="G70" s="6">
        <v>67.099999999999994</v>
      </c>
      <c r="H70" s="6">
        <v>28.32</v>
      </c>
      <c r="I70" s="6">
        <v>4.57</v>
      </c>
      <c r="J70" s="6">
        <v>0.63</v>
      </c>
      <c r="K70" s="6">
        <v>355.65</v>
      </c>
      <c r="L70" s="6">
        <v>32.96</v>
      </c>
      <c r="M70" s="6">
        <v>35.049999999999997</v>
      </c>
      <c r="N70" s="6">
        <v>110.4</v>
      </c>
      <c r="O70" s="6">
        <v>0</v>
      </c>
      <c r="P70" s="6">
        <v>0.68</v>
      </c>
      <c r="Q70" s="6">
        <v>4.6399999999999997</v>
      </c>
    </row>
    <row r="71" spans="1:17" customFormat="1">
      <c r="A71" s="82">
        <v>45356.65625</v>
      </c>
      <c r="B71" s="6">
        <v>4.3</v>
      </c>
      <c r="C71" s="6">
        <v>27.02</v>
      </c>
      <c r="D71" s="6">
        <v>18.91</v>
      </c>
      <c r="E71" s="6">
        <v>53.65</v>
      </c>
      <c r="F71" s="6">
        <v>56.75</v>
      </c>
      <c r="G71" s="6">
        <v>67.099999999999994</v>
      </c>
      <c r="H71" s="6">
        <v>28.32</v>
      </c>
      <c r="I71" s="6">
        <v>4.6500000000000004</v>
      </c>
      <c r="J71" s="6">
        <v>0.74</v>
      </c>
      <c r="K71" s="6">
        <v>46.36</v>
      </c>
      <c r="L71" s="6">
        <v>32.86</v>
      </c>
      <c r="M71" s="6">
        <v>35.28</v>
      </c>
      <c r="N71" s="6">
        <v>162.9</v>
      </c>
      <c r="O71" s="6">
        <v>0</v>
      </c>
      <c r="P71" s="6">
        <v>0.69</v>
      </c>
      <c r="Q71" s="6">
        <v>4.71</v>
      </c>
    </row>
    <row r="72" spans="1:17" customFormat="1">
      <c r="A72" s="82">
        <v>45356.666666666664</v>
      </c>
      <c r="B72" s="6">
        <v>4.01</v>
      </c>
      <c r="C72" s="6">
        <v>27.26</v>
      </c>
      <c r="D72" s="6">
        <v>18.809999999999999</v>
      </c>
      <c r="E72" s="6">
        <v>74.84</v>
      </c>
      <c r="F72" s="6">
        <v>67.56</v>
      </c>
      <c r="G72" s="6">
        <v>68.23</v>
      </c>
      <c r="H72" s="6">
        <v>28.82</v>
      </c>
      <c r="I72" s="6">
        <v>4.74</v>
      </c>
      <c r="J72" s="6">
        <v>0.86</v>
      </c>
      <c r="K72" s="6">
        <v>37.74</v>
      </c>
      <c r="L72" s="6">
        <v>33.03</v>
      </c>
      <c r="M72" s="6">
        <v>35.46</v>
      </c>
      <c r="N72" s="6">
        <v>190.1</v>
      </c>
      <c r="O72" s="6">
        <v>0</v>
      </c>
      <c r="P72" s="6">
        <v>0.65</v>
      </c>
      <c r="Q72" s="6">
        <v>4.7300000000000004</v>
      </c>
    </row>
    <row r="73" spans="1:17" customFormat="1">
      <c r="A73" s="82">
        <v>45356.677083333336</v>
      </c>
      <c r="B73" s="6">
        <v>2.5299999999999998</v>
      </c>
      <c r="C73" s="6">
        <v>23.44</v>
      </c>
      <c r="D73" s="6">
        <v>15.62</v>
      </c>
      <c r="E73" s="6">
        <v>39.07</v>
      </c>
      <c r="F73" s="6">
        <v>59.9</v>
      </c>
      <c r="G73" s="6">
        <v>83.99</v>
      </c>
      <c r="H73" s="6">
        <v>34.979999999999997</v>
      </c>
      <c r="I73" s="6">
        <v>4.57</v>
      </c>
      <c r="J73" s="6">
        <v>1.01</v>
      </c>
      <c r="K73" s="6">
        <v>35.369999999999997</v>
      </c>
      <c r="L73" s="6">
        <v>32.93</v>
      </c>
      <c r="M73" s="6">
        <v>34.869999999999997</v>
      </c>
      <c r="N73" s="6">
        <v>192.8</v>
      </c>
      <c r="O73" s="6">
        <v>0</v>
      </c>
      <c r="P73" s="6">
        <v>0.62</v>
      </c>
      <c r="Q73" s="6">
        <v>4.75</v>
      </c>
    </row>
    <row r="74" spans="1:17" customFormat="1">
      <c r="A74" s="82">
        <v>45356.6875</v>
      </c>
      <c r="B74" s="6">
        <v>1.97</v>
      </c>
      <c r="C74" s="6">
        <v>24.74</v>
      </c>
      <c r="D74" s="6">
        <v>15.86</v>
      </c>
      <c r="E74" s="6">
        <v>34.71</v>
      </c>
      <c r="F74" s="6">
        <v>31.49</v>
      </c>
      <c r="G74" s="6">
        <v>83.99</v>
      </c>
      <c r="H74" s="6">
        <v>34.979999999999997</v>
      </c>
      <c r="I74" s="6">
        <v>4.46</v>
      </c>
      <c r="J74" s="6">
        <v>0.67</v>
      </c>
      <c r="K74" s="6">
        <v>21.84</v>
      </c>
      <c r="L74" s="6">
        <v>33.119999999999997</v>
      </c>
      <c r="M74" s="6">
        <v>33.130000000000003</v>
      </c>
      <c r="N74" s="6">
        <v>176.5</v>
      </c>
      <c r="O74" s="6">
        <v>0</v>
      </c>
      <c r="P74" s="6">
        <v>0.6</v>
      </c>
      <c r="Q74" s="6">
        <v>4.74</v>
      </c>
    </row>
    <row r="75" spans="1:17" customFormat="1">
      <c r="A75" s="82">
        <v>45356.697916666664</v>
      </c>
      <c r="B75" s="6">
        <v>4.59</v>
      </c>
      <c r="C75" s="6">
        <v>24.48</v>
      </c>
      <c r="D75" s="6">
        <v>17.82</v>
      </c>
      <c r="E75" s="6">
        <v>30.85</v>
      </c>
      <c r="F75" s="6">
        <v>31.43</v>
      </c>
      <c r="G75" s="6">
        <v>83.99</v>
      </c>
      <c r="H75" s="6">
        <v>34.979999999999997</v>
      </c>
      <c r="I75" s="6">
        <v>4.4800000000000004</v>
      </c>
      <c r="J75" s="6">
        <v>0.76</v>
      </c>
      <c r="K75" s="6">
        <v>40.4</v>
      </c>
      <c r="L75" s="6">
        <v>32.86</v>
      </c>
      <c r="M75" s="6">
        <v>34.19</v>
      </c>
      <c r="N75" s="6">
        <v>155.9</v>
      </c>
      <c r="O75" s="6">
        <v>0</v>
      </c>
      <c r="P75" s="6">
        <v>0.59</v>
      </c>
      <c r="Q75" s="6">
        <v>4.75</v>
      </c>
    </row>
    <row r="76" spans="1:17" customFormat="1">
      <c r="A76" s="82">
        <v>45356.708333333336</v>
      </c>
      <c r="B76" s="6">
        <v>4.3899999999999997</v>
      </c>
      <c r="C76" s="6">
        <v>25.01</v>
      </c>
      <c r="D76" s="6">
        <v>17.940000000000001</v>
      </c>
      <c r="E76" s="6">
        <v>34.020000000000003</v>
      </c>
      <c r="F76" s="6">
        <v>37.200000000000003</v>
      </c>
      <c r="G76" s="6">
        <v>83.88</v>
      </c>
      <c r="H76" s="6">
        <v>34.869999999999997</v>
      </c>
      <c r="I76" s="6">
        <v>4.41</v>
      </c>
      <c r="J76" s="6">
        <v>0.98</v>
      </c>
      <c r="K76" s="6">
        <v>47.22</v>
      </c>
      <c r="L76" s="6">
        <v>32.76</v>
      </c>
      <c r="M76" s="6">
        <v>33.840000000000003</v>
      </c>
      <c r="N76" s="6">
        <v>122.5</v>
      </c>
      <c r="O76" s="6">
        <v>0</v>
      </c>
      <c r="P76" s="6">
        <v>0.59</v>
      </c>
      <c r="Q76" s="6">
        <v>4.72</v>
      </c>
    </row>
    <row r="77" spans="1:17" customFormat="1">
      <c r="A77" s="82">
        <v>45356.71875</v>
      </c>
      <c r="B77" s="6">
        <v>3.83</v>
      </c>
      <c r="C77" s="6">
        <v>23.01</v>
      </c>
      <c r="D77" s="6">
        <v>16.440000000000001</v>
      </c>
      <c r="E77" s="6">
        <v>35.82</v>
      </c>
      <c r="F77" s="6">
        <v>31.7</v>
      </c>
      <c r="G77" s="6">
        <v>82.29</v>
      </c>
      <c r="H77" s="6">
        <v>33.450000000000003</v>
      </c>
      <c r="I77" s="6">
        <v>4.3</v>
      </c>
      <c r="J77" s="6">
        <v>1.1000000000000001</v>
      </c>
      <c r="K77" s="6">
        <v>60.06</v>
      </c>
      <c r="L77" s="6">
        <v>32.340000000000003</v>
      </c>
      <c r="M77" s="6">
        <v>35.950000000000003</v>
      </c>
      <c r="N77" s="6">
        <v>63.6</v>
      </c>
      <c r="O77" s="6">
        <v>0</v>
      </c>
      <c r="P77" s="6">
        <v>0.59</v>
      </c>
      <c r="Q77" s="6">
        <v>4.76</v>
      </c>
    </row>
    <row r="78" spans="1:17" customFormat="1">
      <c r="A78" s="82">
        <v>45356.729166666664</v>
      </c>
      <c r="B78" s="6">
        <v>7.5</v>
      </c>
      <c r="C78" s="6">
        <v>30.59</v>
      </c>
      <c r="D78" s="6">
        <v>23.34</v>
      </c>
      <c r="E78" s="6">
        <v>36.25</v>
      </c>
      <c r="F78" s="6">
        <v>31.63</v>
      </c>
      <c r="G78" s="6">
        <v>82.29</v>
      </c>
      <c r="H78" s="6">
        <v>33.450000000000003</v>
      </c>
      <c r="I78" s="6">
        <v>4.43</v>
      </c>
      <c r="J78" s="6">
        <v>0.82</v>
      </c>
      <c r="K78" s="6">
        <v>49.45</v>
      </c>
      <c r="L78" s="6">
        <v>31.85</v>
      </c>
      <c r="M78" s="6">
        <v>36.83</v>
      </c>
      <c r="N78" s="6">
        <v>19.8</v>
      </c>
      <c r="O78" s="6">
        <v>0</v>
      </c>
      <c r="P78" s="6">
        <v>0.65</v>
      </c>
      <c r="Q78" s="6">
        <v>4.74</v>
      </c>
    </row>
    <row r="79" spans="1:17" customFormat="1">
      <c r="A79" s="82">
        <v>45356.739583333336</v>
      </c>
      <c r="B79" s="6">
        <v>5.91</v>
      </c>
      <c r="C79" s="6">
        <v>31.57</v>
      </c>
      <c r="D79" s="6">
        <v>22.59</v>
      </c>
      <c r="E79" s="6">
        <v>33.81</v>
      </c>
      <c r="F79" s="6">
        <v>22.4</v>
      </c>
      <c r="G79" s="6">
        <v>82.29</v>
      </c>
      <c r="H79" s="6">
        <v>33.450000000000003</v>
      </c>
      <c r="I79" s="6">
        <v>4.55</v>
      </c>
      <c r="J79" s="6">
        <v>0.82</v>
      </c>
      <c r="K79" s="6">
        <v>57.83</v>
      </c>
      <c r="L79" s="6">
        <v>31.35</v>
      </c>
      <c r="M79" s="6">
        <v>37.42</v>
      </c>
      <c r="N79" s="6">
        <v>5.0999999999999996</v>
      </c>
      <c r="O79" s="6">
        <v>0</v>
      </c>
      <c r="P79" s="6">
        <v>0.64</v>
      </c>
      <c r="Q79" s="6">
        <v>4.72</v>
      </c>
    </row>
    <row r="80" spans="1:17" customFormat="1">
      <c r="A80" s="82">
        <v>45356.75</v>
      </c>
      <c r="B80" s="6">
        <v>7.39</v>
      </c>
      <c r="C80" s="6">
        <v>35.47</v>
      </c>
      <c r="D80" s="6">
        <v>25.81</v>
      </c>
      <c r="E80" s="6">
        <v>34.26</v>
      </c>
      <c r="F80" s="6">
        <v>20.52</v>
      </c>
      <c r="G80" s="6">
        <v>82.74</v>
      </c>
      <c r="H80" s="6">
        <v>33.700000000000003</v>
      </c>
      <c r="I80" s="6">
        <v>4.87</v>
      </c>
      <c r="J80" s="6">
        <v>0.79</v>
      </c>
      <c r="K80" s="6">
        <v>62</v>
      </c>
      <c r="L80" s="6">
        <v>30.8</v>
      </c>
      <c r="M80" s="6">
        <v>38.65</v>
      </c>
      <c r="N80" s="6">
        <v>0</v>
      </c>
      <c r="O80" s="6">
        <v>0</v>
      </c>
      <c r="P80" s="6">
        <v>0.68</v>
      </c>
      <c r="Q80" s="6">
        <v>4.7300000000000004</v>
      </c>
    </row>
    <row r="81" spans="1:17" customFormat="1">
      <c r="A81" s="82">
        <v>45356.760416666664</v>
      </c>
      <c r="B81" s="6">
        <v>8.09</v>
      </c>
      <c r="C81" s="6">
        <v>37.04</v>
      </c>
      <c r="D81" s="6">
        <v>27.2</v>
      </c>
      <c r="E81" s="6">
        <v>15.56</v>
      </c>
      <c r="F81" s="6">
        <v>18.899999999999999</v>
      </c>
      <c r="G81" s="6">
        <v>89.13</v>
      </c>
      <c r="H81" s="6">
        <v>36.25</v>
      </c>
      <c r="I81" s="6">
        <v>4.6500000000000004</v>
      </c>
      <c r="J81" s="6">
        <v>0.87</v>
      </c>
      <c r="K81" s="6">
        <v>63.36</v>
      </c>
      <c r="L81" s="6">
        <v>30.37</v>
      </c>
      <c r="M81" s="6">
        <v>39.869999999999997</v>
      </c>
      <c r="N81" s="6">
        <v>0</v>
      </c>
      <c r="O81" s="6">
        <v>0</v>
      </c>
      <c r="P81" s="6">
        <v>0.71</v>
      </c>
      <c r="Q81" s="6">
        <v>4.74</v>
      </c>
    </row>
    <row r="82" spans="1:17" customFormat="1">
      <c r="A82" s="82">
        <v>45356.770833333336</v>
      </c>
      <c r="B82" s="6">
        <v>7.91</v>
      </c>
      <c r="C82" s="6">
        <v>35.94</v>
      </c>
      <c r="D82" s="6">
        <v>26.48</v>
      </c>
      <c r="E82" s="6">
        <v>19.61</v>
      </c>
      <c r="F82" s="6">
        <v>12.56</v>
      </c>
      <c r="G82" s="6">
        <v>89.13</v>
      </c>
      <c r="H82" s="6">
        <v>36.25</v>
      </c>
      <c r="I82" s="6">
        <v>4.7</v>
      </c>
      <c r="J82" s="6">
        <v>0.64</v>
      </c>
      <c r="K82" s="6">
        <v>65.510000000000005</v>
      </c>
      <c r="L82" s="6">
        <v>29.92</v>
      </c>
      <c r="M82" s="6">
        <v>41.86</v>
      </c>
      <c r="N82" s="6">
        <v>0</v>
      </c>
      <c r="O82" s="6">
        <v>0</v>
      </c>
      <c r="P82" s="6">
        <v>0.81</v>
      </c>
      <c r="Q82" s="6">
        <v>4.76</v>
      </c>
    </row>
    <row r="83" spans="1:17" customFormat="1">
      <c r="A83" s="82">
        <v>45356.78125</v>
      </c>
      <c r="B83" s="6">
        <v>9.0500000000000007</v>
      </c>
      <c r="C83" s="6">
        <v>38.43</v>
      </c>
      <c r="D83" s="6">
        <v>28.69</v>
      </c>
      <c r="E83" s="6">
        <v>17.57</v>
      </c>
      <c r="F83" s="6">
        <v>10.29</v>
      </c>
      <c r="G83" s="6">
        <v>89.13</v>
      </c>
      <c r="H83" s="6">
        <v>36.25</v>
      </c>
      <c r="I83" s="6">
        <v>4.88</v>
      </c>
      <c r="J83" s="6">
        <v>0.66</v>
      </c>
      <c r="K83" s="6">
        <v>65.56</v>
      </c>
      <c r="L83" s="6">
        <v>29.6</v>
      </c>
      <c r="M83" s="6">
        <v>43.95</v>
      </c>
      <c r="N83" s="6">
        <v>0</v>
      </c>
      <c r="O83" s="6">
        <v>0</v>
      </c>
      <c r="P83" s="6">
        <v>0.83</v>
      </c>
      <c r="Q83" s="6">
        <v>4.76</v>
      </c>
    </row>
    <row r="84" spans="1:17" customFormat="1">
      <c r="A84" s="82">
        <v>45356.791666666664</v>
      </c>
      <c r="B84" s="6">
        <v>8.66</v>
      </c>
      <c r="C84" s="6">
        <v>38.659999999999997</v>
      </c>
      <c r="D84" s="6">
        <v>28.49</v>
      </c>
      <c r="E84" s="6">
        <v>16.34</v>
      </c>
      <c r="F84" s="6">
        <v>11.52</v>
      </c>
      <c r="G84" s="6">
        <v>90.8</v>
      </c>
      <c r="H84" s="6">
        <v>36.28</v>
      </c>
      <c r="I84" s="6">
        <v>5.52</v>
      </c>
      <c r="J84" s="6">
        <v>0.61</v>
      </c>
      <c r="K84" s="6">
        <v>67.14</v>
      </c>
      <c r="L84" s="6">
        <v>29.31</v>
      </c>
      <c r="M84" s="6">
        <v>45.43</v>
      </c>
      <c r="N84" s="6">
        <v>0</v>
      </c>
      <c r="O84" s="6">
        <v>0</v>
      </c>
      <c r="P84" s="6">
        <v>0.87</v>
      </c>
      <c r="Q84" s="6">
        <v>4.76</v>
      </c>
    </row>
    <row r="85" spans="1:17" customFormat="1">
      <c r="A85" s="82">
        <v>45356.802083333336</v>
      </c>
      <c r="B85" s="6">
        <v>10.210000000000001</v>
      </c>
      <c r="C85" s="6">
        <v>41.7</v>
      </c>
      <c r="D85" s="6">
        <v>31.33</v>
      </c>
      <c r="E85" s="6">
        <v>15.75</v>
      </c>
      <c r="F85" s="6">
        <v>8.9700000000000006</v>
      </c>
      <c r="G85" s="6">
        <v>114.17</v>
      </c>
      <c r="H85" s="6">
        <v>36.69</v>
      </c>
      <c r="I85" s="6">
        <v>5.68</v>
      </c>
      <c r="J85" s="6">
        <v>0.27</v>
      </c>
      <c r="K85" s="6">
        <v>78.47</v>
      </c>
      <c r="L85" s="6">
        <v>28.96</v>
      </c>
      <c r="M85" s="6">
        <v>47.81</v>
      </c>
      <c r="N85" s="6">
        <v>0</v>
      </c>
      <c r="O85" s="6">
        <v>0</v>
      </c>
      <c r="P85" s="6">
        <v>0.87</v>
      </c>
      <c r="Q85" s="6">
        <v>4.78</v>
      </c>
    </row>
    <row r="86" spans="1:17" customFormat="1">
      <c r="A86" s="82">
        <v>45356.8125</v>
      </c>
      <c r="B86" s="6">
        <v>7.78</v>
      </c>
      <c r="C86" s="6">
        <v>38.58</v>
      </c>
      <c r="D86" s="6">
        <v>27.74</v>
      </c>
      <c r="E86" s="6">
        <v>12.04</v>
      </c>
      <c r="F86" s="6">
        <v>8.0500000000000007</v>
      </c>
      <c r="G86" s="6">
        <v>114.17</v>
      </c>
      <c r="H86" s="6">
        <v>36.69</v>
      </c>
      <c r="I86" s="6">
        <v>6.16</v>
      </c>
      <c r="J86" s="6">
        <v>0.24</v>
      </c>
      <c r="K86" s="6">
        <v>184.04</v>
      </c>
      <c r="L86" s="6">
        <v>27.78</v>
      </c>
      <c r="M86" s="6">
        <v>57.66</v>
      </c>
      <c r="N86" s="6">
        <v>0</v>
      </c>
      <c r="O86" s="6">
        <v>0</v>
      </c>
      <c r="P86" s="6">
        <v>0.85</v>
      </c>
      <c r="Q86" s="6">
        <v>4.76</v>
      </c>
    </row>
    <row r="87" spans="1:17" customFormat="1">
      <c r="A87" s="82">
        <v>45356.822916666664</v>
      </c>
      <c r="B87" s="6">
        <v>6.55</v>
      </c>
      <c r="C87" s="6">
        <v>36.340000000000003</v>
      </c>
      <c r="D87" s="6">
        <v>25.59</v>
      </c>
      <c r="E87" s="6">
        <v>9.9600000000000009</v>
      </c>
      <c r="F87" s="6">
        <v>7.33</v>
      </c>
      <c r="G87" s="6">
        <v>114.17</v>
      </c>
      <c r="H87" s="6">
        <v>36.69</v>
      </c>
      <c r="I87" s="6">
        <v>6.34</v>
      </c>
      <c r="J87" s="6">
        <v>0.26</v>
      </c>
      <c r="K87" s="6">
        <v>175.98</v>
      </c>
      <c r="L87" s="6">
        <v>27.33</v>
      </c>
      <c r="M87" s="6">
        <v>60.85</v>
      </c>
      <c r="N87" s="6">
        <v>0</v>
      </c>
      <c r="O87" s="6">
        <v>0</v>
      </c>
      <c r="P87" s="6">
        <v>0.87</v>
      </c>
      <c r="Q87" s="6">
        <v>4.75</v>
      </c>
    </row>
    <row r="88" spans="1:17" customFormat="1">
      <c r="A88" s="82">
        <v>45356.833333333336</v>
      </c>
      <c r="B88" s="6">
        <v>6.52</v>
      </c>
      <c r="C88" s="6">
        <v>35.75</v>
      </c>
      <c r="D88" s="6">
        <v>25.26</v>
      </c>
      <c r="E88" s="6">
        <v>9.52</v>
      </c>
      <c r="F88" s="6">
        <v>6.81</v>
      </c>
      <c r="G88" s="6">
        <v>115.12</v>
      </c>
      <c r="H88" s="6">
        <v>37.549999999999997</v>
      </c>
      <c r="I88" s="6">
        <v>6.54</v>
      </c>
      <c r="J88" s="6">
        <v>0.2</v>
      </c>
      <c r="K88" s="6">
        <v>139.72999999999999</v>
      </c>
      <c r="L88" s="6">
        <v>27.12</v>
      </c>
      <c r="M88" s="6">
        <v>58.98</v>
      </c>
      <c r="N88" s="6">
        <v>0</v>
      </c>
      <c r="O88" s="6">
        <v>0</v>
      </c>
      <c r="P88" s="6">
        <v>0.91</v>
      </c>
      <c r="Q88" s="6">
        <v>4.75</v>
      </c>
    </row>
    <row r="89" spans="1:17" customFormat="1">
      <c r="A89" s="82">
        <v>45356.84375</v>
      </c>
      <c r="B89" s="6">
        <v>6.49</v>
      </c>
      <c r="C89" s="6">
        <v>35.43</v>
      </c>
      <c r="D89" s="6">
        <v>25.07</v>
      </c>
      <c r="E89" s="6">
        <v>10.210000000000001</v>
      </c>
      <c r="F89" s="6">
        <v>6.96</v>
      </c>
      <c r="G89" s="6">
        <v>128.38999999999999</v>
      </c>
      <c r="H89" s="6">
        <v>46.37</v>
      </c>
      <c r="I89" s="6">
        <v>7.09</v>
      </c>
      <c r="J89" s="6">
        <v>0.22</v>
      </c>
      <c r="K89" s="6">
        <v>156.03</v>
      </c>
      <c r="L89" s="6">
        <v>26.98</v>
      </c>
      <c r="M89" s="6">
        <v>59.2</v>
      </c>
      <c r="N89" s="6">
        <v>0</v>
      </c>
      <c r="O89" s="6">
        <v>0</v>
      </c>
      <c r="P89" s="6">
        <v>0.94</v>
      </c>
      <c r="Q89" s="6">
        <v>4.75</v>
      </c>
    </row>
    <row r="90" spans="1:17" customFormat="1">
      <c r="A90" s="82">
        <v>45356.854166666664</v>
      </c>
      <c r="B90" s="6">
        <v>6.36</v>
      </c>
      <c r="C90" s="6">
        <v>31.68</v>
      </c>
      <c r="D90" s="6">
        <v>23</v>
      </c>
      <c r="E90" s="6">
        <v>10.56</v>
      </c>
      <c r="F90" s="6">
        <v>8.01</v>
      </c>
      <c r="G90" s="6">
        <v>128.38999999999999</v>
      </c>
      <c r="H90" s="6">
        <v>46.37</v>
      </c>
      <c r="I90" s="6">
        <v>7.12</v>
      </c>
      <c r="J90" s="6">
        <v>0.27</v>
      </c>
      <c r="K90" s="6">
        <v>174.28</v>
      </c>
      <c r="L90" s="6">
        <v>26.14</v>
      </c>
      <c r="M90" s="6">
        <v>65.400000000000006</v>
      </c>
      <c r="N90" s="6">
        <v>0</v>
      </c>
      <c r="O90" s="6">
        <v>0</v>
      </c>
      <c r="P90" s="6">
        <v>0.95</v>
      </c>
      <c r="Q90" s="6">
        <v>4.74</v>
      </c>
    </row>
    <row r="91" spans="1:17" customFormat="1">
      <c r="A91" s="82">
        <v>45356.864583333336</v>
      </c>
      <c r="B91" s="6">
        <v>6.72</v>
      </c>
      <c r="C91" s="6">
        <v>29.1</v>
      </c>
      <c r="D91" s="6">
        <v>21.94</v>
      </c>
      <c r="E91" s="6">
        <v>8.85</v>
      </c>
      <c r="F91" s="6">
        <v>7.58</v>
      </c>
      <c r="G91" s="6">
        <v>128.38999999999999</v>
      </c>
      <c r="H91" s="6">
        <v>46.37</v>
      </c>
      <c r="I91" s="6">
        <v>7.52</v>
      </c>
      <c r="J91" s="6">
        <v>0.21</v>
      </c>
      <c r="K91" s="6">
        <v>186.71</v>
      </c>
      <c r="L91" s="6">
        <v>25.56</v>
      </c>
      <c r="M91" s="6">
        <v>65.290000000000006</v>
      </c>
      <c r="N91" s="6">
        <v>0</v>
      </c>
      <c r="O91" s="6">
        <v>0</v>
      </c>
      <c r="P91" s="6">
        <v>0.95</v>
      </c>
      <c r="Q91" s="6">
        <v>4.72</v>
      </c>
    </row>
    <row r="92" spans="1:17" customFormat="1">
      <c r="A92" s="82">
        <v>45356.875</v>
      </c>
      <c r="B92" s="6">
        <v>7.34</v>
      </c>
      <c r="C92" s="6">
        <v>28.53</v>
      </c>
      <c r="D92" s="6">
        <v>22.15</v>
      </c>
      <c r="E92" s="6">
        <v>8.94</v>
      </c>
      <c r="F92" s="6">
        <v>7.4</v>
      </c>
      <c r="G92" s="6">
        <v>128.12</v>
      </c>
      <c r="H92" s="6">
        <v>46.24</v>
      </c>
      <c r="I92" s="6">
        <v>7.84</v>
      </c>
      <c r="J92" s="6">
        <v>0.19</v>
      </c>
      <c r="K92" s="6">
        <v>168.54</v>
      </c>
      <c r="L92" s="6">
        <v>25.52</v>
      </c>
      <c r="M92" s="6">
        <v>65.23</v>
      </c>
      <c r="N92" s="6">
        <v>0</v>
      </c>
      <c r="O92" s="6">
        <v>0</v>
      </c>
      <c r="P92" s="6">
        <v>0.99</v>
      </c>
      <c r="Q92" s="6">
        <v>4.71</v>
      </c>
    </row>
    <row r="93" spans="1:17" customFormat="1">
      <c r="A93" s="82">
        <v>45356.885416666664</v>
      </c>
      <c r="B93" s="6">
        <v>8.24</v>
      </c>
      <c r="C93" s="6">
        <v>29.54</v>
      </c>
      <c r="D93" s="6">
        <v>23.39</v>
      </c>
      <c r="E93" s="6">
        <v>10.95</v>
      </c>
      <c r="F93" s="6">
        <v>5.95</v>
      </c>
      <c r="G93" s="6">
        <v>124.45</v>
      </c>
      <c r="H93" s="6">
        <v>44.67</v>
      </c>
      <c r="I93" s="6">
        <v>8.23</v>
      </c>
      <c r="J93" s="6">
        <v>0.06</v>
      </c>
      <c r="K93" s="6">
        <v>148.28</v>
      </c>
      <c r="L93" s="6">
        <v>25.52</v>
      </c>
      <c r="M93" s="6">
        <v>64.45</v>
      </c>
      <c r="N93" s="6">
        <v>0</v>
      </c>
      <c r="O93" s="6">
        <v>0</v>
      </c>
      <c r="P93" s="6">
        <v>1</v>
      </c>
      <c r="Q93" s="6">
        <v>4.72</v>
      </c>
    </row>
    <row r="94" spans="1:17" customFormat="1">
      <c r="A94" s="82">
        <v>45356.895833333336</v>
      </c>
      <c r="B94" s="6">
        <v>12.2</v>
      </c>
      <c r="C94" s="6">
        <v>30.42</v>
      </c>
      <c r="D94" s="6">
        <v>27.03</v>
      </c>
      <c r="E94" s="6">
        <v>13.78</v>
      </c>
      <c r="F94" s="6">
        <v>5.57</v>
      </c>
      <c r="G94" s="6">
        <v>124.45</v>
      </c>
      <c r="H94" s="6">
        <v>44.67</v>
      </c>
      <c r="I94" s="6">
        <v>9.01</v>
      </c>
      <c r="J94" s="6">
        <v>0.11</v>
      </c>
      <c r="K94" s="6">
        <v>130.47</v>
      </c>
      <c r="L94" s="6">
        <v>25.64</v>
      </c>
      <c r="M94" s="6">
        <v>62.41</v>
      </c>
      <c r="N94" s="6">
        <v>0</v>
      </c>
      <c r="O94" s="6">
        <v>0</v>
      </c>
      <c r="P94" s="6">
        <v>1</v>
      </c>
      <c r="Q94" s="6">
        <v>4.72</v>
      </c>
    </row>
    <row r="95" spans="1:17" customFormat="1">
      <c r="A95" s="82">
        <v>45356.90625</v>
      </c>
      <c r="B95" s="6">
        <v>12.18</v>
      </c>
      <c r="C95" s="6">
        <v>29.69</v>
      </c>
      <c r="D95" s="6">
        <v>26.63</v>
      </c>
      <c r="E95" s="6">
        <v>11.71</v>
      </c>
      <c r="F95" s="6">
        <v>5.0199999999999996</v>
      </c>
      <c r="G95" s="6">
        <v>124.45</v>
      </c>
      <c r="H95" s="6">
        <v>44.67</v>
      </c>
      <c r="I95" s="6">
        <v>8.9</v>
      </c>
      <c r="J95" s="6">
        <v>0.19</v>
      </c>
      <c r="K95" s="6">
        <v>185.14</v>
      </c>
      <c r="L95" s="6">
        <v>25.21</v>
      </c>
      <c r="M95" s="6">
        <v>65.010000000000005</v>
      </c>
      <c r="N95" s="6">
        <v>0</v>
      </c>
      <c r="O95" s="6">
        <v>0</v>
      </c>
      <c r="P95" s="6">
        <v>0.99</v>
      </c>
      <c r="Q95" s="6">
        <v>4.74</v>
      </c>
    </row>
    <row r="96" spans="1:17" customFormat="1">
      <c r="A96" s="82">
        <v>45356.916666666664</v>
      </c>
      <c r="B96" s="6">
        <v>10.99</v>
      </c>
      <c r="C96" s="6">
        <v>27.34</v>
      </c>
      <c r="D96" s="6">
        <v>24.44</v>
      </c>
      <c r="E96" s="6">
        <v>7.6</v>
      </c>
      <c r="F96" s="6">
        <v>4.92</v>
      </c>
      <c r="G96" s="6">
        <v>125.99</v>
      </c>
      <c r="H96" s="6">
        <v>45.02</v>
      </c>
      <c r="I96" s="6">
        <v>9.01</v>
      </c>
      <c r="J96" s="6">
        <v>0.18</v>
      </c>
      <c r="K96" s="6">
        <v>155.34</v>
      </c>
      <c r="L96" s="6">
        <v>24.75</v>
      </c>
      <c r="M96" s="6">
        <v>70.75</v>
      </c>
      <c r="N96" s="6">
        <v>0</v>
      </c>
      <c r="O96" s="6">
        <v>0</v>
      </c>
      <c r="P96" s="6">
        <v>0.98</v>
      </c>
      <c r="Q96" s="6">
        <v>4.75</v>
      </c>
    </row>
    <row r="97" spans="1:22" customFormat="1">
      <c r="A97" s="82">
        <v>45356.927083333336</v>
      </c>
      <c r="B97" s="6">
        <v>11.65</v>
      </c>
      <c r="C97" s="6">
        <v>29.91</v>
      </c>
      <c r="D97" s="6">
        <v>26.32</v>
      </c>
      <c r="E97" s="6">
        <v>8.73</v>
      </c>
      <c r="F97" s="6">
        <v>6.97</v>
      </c>
      <c r="G97" s="6">
        <v>147.61000000000001</v>
      </c>
      <c r="H97" s="6">
        <v>48.66</v>
      </c>
      <c r="I97" s="6">
        <v>9.57</v>
      </c>
      <c r="J97" s="6">
        <v>1.21</v>
      </c>
      <c r="K97" s="6">
        <v>46.82</v>
      </c>
      <c r="L97" s="6">
        <v>25.53</v>
      </c>
      <c r="M97" s="6">
        <v>58.79</v>
      </c>
      <c r="N97" s="6">
        <v>0</v>
      </c>
      <c r="O97" s="6">
        <v>0</v>
      </c>
      <c r="P97" s="6">
        <v>0.97</v>
      </c>
      <c r="Q97" s="6">
        <v>4.75</v>
      </c>
    </row>
    <row r="98" spans="1:22" customFormat="1">
      <c r="A98" s="82">
        <v>45356.9375</v>
      </c>
      <c r="B98" s="6">
        <v>11.78</v>
      </c>
      <c r="C98" s="6">
        <v>30.5</v>
      </c>
      <c r="D98" s="6">
        <v>26.74</v>
      </c>
      <c r="E98" s="6">
        <v>9.31</v>
      </c>
      <c r="F98" s="6">
        <v>10.15</v>
      </c>
      <c r="G98" s="6">
        <v>147.61000000000001</v>
      </c>
      <c r="H98" s="6">
        <v>48.66</v>
      </c>
      <c r="I98" s="6">
        <v>9.81</v>
      </c>
      <c r="J98" s="6">
        <v>1.18</v>
      </c>
      <c r="K98" s="6">
        <v>49.61</v>
      </c>
      <c r="L98" s="6">
        <v>25.81</v>
      </c>
      <c r="M98" s="6">
        <v>56.52</v>
      </c>
      <c r="N98" s="6">
        <v>0</v>
      </c>
      <c r="O98" s="6">
        <v>0</v>
      </c>
      <c r="P98" s="6">
        <v>0.94</v>
      </c>
      <c r="Q98" s="6">
        <v>4.75</v>
      </c>
    </row>
    <row r="99" spans="1:22" customFormat="1">
      <c r="A99" s="82">
        <v>45356.947916666664</v>
      </c>
      <c r="B99" s="6">
        <v>10.16</v>
      </c>
      <c r="C99" s="6">
        <v>30.48</v>
      </c>
      <c r="D99" s="6">
        <v>25.43</v>
      </c>
      <c r="E99" s="6">
        <v>8.66</v>
      </c>
      <c r="F99" s="6">
        <v>9.89</v>
      </c>
      <c r="G99" s="6">
        <v>147.61000000000001</v>
      </c>
      <c r="H99" s="6">
        <v>48.66</v>
      </c>
      <c r="I99" s="6">
        <v>8.74</v>
      </c>
      <c r="J99" s="6">
        <v>0.94</v>
      </c>
      <c r="K99" s="6">
        <v>53.49</v>
      </c>
      <c r="L99" s="6">
        <v>25.55</v>
      </c>
      <c r="M99" s="6">
        <v>57.15</v>
      </c>
      <c r="N99" s="6">
        <v>0</v>
      </c>
      <c r="O99" s="6">
        <v>0</v>
      </c>
      <c r="P99" s="6">
        <v>0.9</v>
      </c>
      <c r="Q99" s="6">
        <v>4.74</v>
      </c>
    </row>
    <row r="100" spans="1:22" customFormat="1">
      <c r="A100" s="82">
        <v>45356.958333333336</v>
      </c>
      <c r="B100" s="6">
        <v>9.3000000000000007</v>
      </c>
      <c r="C100" s="6">
        <v>30.15</v>
      </c>
      <c r="D100" s="6">
        <v>24.56</v>
      </c>
      <c r="E100" s="6">
        <v>7.68</v>
      </c>
      <c r="F100" s="6">
        <v>9.27</v>
      </c>
      <c r="G100" s="6">
        <v>146.02000000000001</v>
      </c>
      <c r="H100" s="6">
        <v>48.08</v>
      </c>
      <c r="I100" s="6">
        <v>8.3699999999999992</v>
      </c>
      <c r="J100" s="6">
        <v>0.88</v>
      </c>
      <c r="K100" s="6">
        <v>46.61</v>
      </c>
      <c r="L100" s="6">
        <v>25.26</v>
      </c>
      <c r="M100" s="6">
        <v>58.36</v>
      </c>
      <c r="N100" s="6">
        <v>0</v>
      </c>
      <c r="O100" s="6">
        <v>0</v>
      </c>
      <c r="P100" s="6">
        <v>0.87</v>
      </c>
      <c r="Q100" s="6">
        <v>4.75</v>
      </c>
    </row>
    <row r="101" spans="1:22" customFormat="1">
      <c r="A101" s="82">
        <v>45356.96875</v>
      </c>
      <c r="B101" s="6">
        <v>8.8800000000000008</v>
      </c>
      <c r="C101" s="6">
        <v>29.99</v>
      </c>
      <c r="D101" s="6">
        <v>24.15</v>
      </c>
      <c r="E101" s="6">
        <v>7.31</v>
      </c>
      <c r="F101" s="6">
        <v>8.1999999999999993</v>
      </c>
      <c r="G101" s="6">
        <v>123.84</v>
      </c>
      <c r="H101" s="6">
        <v>42.2</v>
      </c>
      <c r="I101" s="6">
        <v>8.0500000000000007</v>
      </c>
      <c r="J101" s="6">
        <v>1.04</v>
      </c>
      <c r="K101" s="6">
        <v>63.62</v>
      </c>
      <c r="L101" s="6">
        <v>25.02</v>
      </c>
      <c r="M101" s="6">
        <v>58.77</v>
      </c>
      <c r="N101" s="6">
        <v>0</v>
      </c>
      <c r="O101" s="6">
        <v>0</v>
      </c>
      <c r="P101" s="6">
        <v>0.85</v>
      </c>
      <c r="Q101" s="6">
        <v>4.75</v>
      </c>
    </row>
    <row r="102" spans="1:22" customFormat="1">
      <c r="A102" s="82">
        <v>45356.979166666664</v>
      </c>
      <c r="B102" s="6">
        <v>9.73</v>
      </c>
      <c r="C102" s="6">
        <v>30.27</v>
      </c>
      <c r="D102" s="6">
        <v>24.97</v>
      </c>
      <c r="E102" s="6">
        <v>6.05</v>
      </c>
      <c r="F102" s="6">
        <v>7.05</v>
      </c>
      <c r="G102" s="6">
        <v>123.84</v>
      </c>
      <c r="H102" s="6">
        <v>42.2</v>
      </c>
      <c r="I102" s="6">
        <v>7.85</v>
      </c>
      <c r="J102" s="6">
        <v>0.72</v>
      </c>
      <c r="K102" s="6">
        <v>68.790000000000006</v>
      </c>
      <c r="L102" s="6">
        <v>24.87</v>
      </c>
      <c r="M102" s="6">
        <v>57.48</v>
      </c>
      <c r="N102" s="6">
        <v>0</v>
      </c>
      <c r="O102" s="6">
        <v>0</v>
      </c>
      <c r="P102" s="6">
        <v>0.82</v>
      </c>
      <c r="Q102" s="6">
        <v>4.7300000000000004</v>
      </c>
    </row>
    <row r="103" spans="1:22" customFormat="1">
      <c r="A103" s="82">
        <v>45356.989583333336</v>
      </c>
      <c r="B103" s="6">
        <v>8.91</v>
      </c>
      <c r="C103" s="6">
        <v>30.38</v>
      </c>
      <c r="D103" s="6">
        <v>24.37</v>
      </c>
      <c r="E103" s="6">
        <v>6.55</v>
      </c>
      <c r="F103" s="6">
        <v>6.89</v>
      </c>
      <c r="G103" s="6">
        <v>123.84</v>
      </c>
      <c r="H103" s="6">
        <v>42.2</v>
      </c>
      <c r="I103" s="6">
        <v>7.69</v>
      </c>
      <c r="J103" s="6">
        <v>0.67</v>
      </c>
      <c r="K103" s="6">
        <v>63.35</v>
      </c>
      <c r="L103" s="6">
        <v>24.64</v>
      </c>
      <c r="M103" s="6">
        <v>57.38</v>
      </c>
      <c r="N103" s="6">
        <v>0</v>
      </c>
      <c r="O103" s="6">
        <v>0</v>
      </c>
      <c r="P103" s="6">
        <v>0.8</v>
      </c>
      <c r="Q103" s="6">
        <v>4.75</v>
      </c>
    </row>
    <row r="104" spans="1:22" customFormat="1">
      <c r="A104" s="82">
        <v>45357</v>
      </c>
      <c r="B104" s="6">
        <v>8.81</v>
      </c>
      <c r="C104" s="6">
        <v>29.92</v>
      </c>
      <c r="D104" s="6">
        <v>24.04</v>
      </c>
      <c r="E104" s="6">
        <v>6.51</v>
      </c>
      <c r="F104" s="6">
        <v>6.62</v>
      </c>
      <c r="G104" s="6">
        <v>121.88</v>
      </c>
      <c r="H104" s="6">
        <v>41.81</v>
      </c>
      <c r="I104" s="6">
        <v>7.38</v>
      </c>
      <c r="J104" s="6">
        <v>0.59</v>
      </c>
      <c r="K104" s="6">
        <v>68.63</v>
      </c>
      <c r="L104" s="6">
        <v>24.48</v>
      </c>
      <c r="M104" s="6">
        <v>56.99</v>
      </c>
      <c r="N104" s="6">
        <v>0</v>
      </c>
      <c r="O104" s="6">
        <v>0</v>
      </c>
      <c r="P104" s="6">
        <v>0.79</v>
      </c>
      <c r="Q104" s="6">
        <v>4.75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6" t="s">
        <v>48</v>
      </c>
      <c r="B106" s="187">
        <f>MIN(B9:B104)</f>
        <v>1.59</v>
      </c>
      <c r="C106" s="187">
        <f>MIN(C9:C104)</f>
        <v>19.28</v>
      </c>
      <c r="D106" s="187">
        <f t="shared" ref="D106:Q106" si="0">MIN(D9:D104)</f>
        <v>12.86</v>
      </c>
      <c r="E106" s="187">
        <f t="shared" si="0"/>
        <v>5.51</v>
      </c>
      <c r="F106" s="187">
        <f t="shared" si="0"/>
        <v>4.5</v>
      </c>
      <c r="G106" s="187">
        <f t="shared" si="0"/>
        <v>48.28</v>
      </c>
      <c r="H106" s="187">
        <f t="shared" si="0"/>
        <v>23.37</v>
      </c>
      <c r="I106" s="187">
        <f t="shared" si="0"/>
        <v>4.3</v>
      </c>
      <c r="J106" s="187">
        <f t="shared" si="0"/>
        <v>0.06</v>
      </c>
      <c r="K106" s="187">
        <f t="shared" si="0"/>
        <v>21.84</v>
      </c>
      <c r="L106" s="187">
        <f t="shared" si="0"/>
        <v>21.39</v>
      </c>
      <c r="M106" s="187">
        <f t="shared" si="0"/>
        <v>32.450000000000003</v>
      </c>
      <c r="N106" s="187">
        <f t="shared" si="0"/>
        <v>0</v>
      </c>
      <c r="O106" s="187">
        <f t="shared" si="0"/>
        <v>0</v>
      </c>
      <c r="P106" s="187">
        <f t="shared" si="0"/>
        <v>0.55000000000000004</v>
      </c>
      <c r="Q106" s="187">
        <f t="shared" si="0"/>
        <v>4.6399999999999997</v>
      </c>
      <c r="R106" s="192"/>
      <c r="S106" s="192"/>
      <c r="T106" s="192"/>
      <c r="U106" s="192"/>
    </row>
    <row r="107" spans="1:22">
      <c r="A107" s="186" t="s">
        <v>49</v>
      </c>
      <c r="B107" s="188">
        <f>MAX(B9:B104)</f>
        <v>23.71</v>
      </c>
      <c r="C107" s="188">
        <f t="shared" ref="C107:Q107" si="1">MAX(C9:C104)</f>
        <v>41.7</v>
      </c>
      <c r="D107" s="188">
        <f t="shared" si="1"/>
        <v>37.729999999999997</v>
      </c>
      <c r="E107" s="188">
        <f t="shared" si="1"/>
        <v>74.84</v>
      </c>
      <c r="F107" s="188">
        <f t="shared" si="1"/>
        <v>67.56</v>
      </c>
      <c r="G107" s="188">
        <f t="shared" si="1"/>
        <v>147.61000000000001</v>
      </c>
      <c r="H107" s="188">
        <f t="shared" si="1"/>
        <v>48.66</v>
      </c>
      <c r="I107" s="188">
        <f t="shared" si="1"/>
        <v>9.81</v>
      </c>
      <c r="J107" s="188">
        <f t="shared" si="1"/>
        <v>2.13</v>
      </c>
      <c r="K107" s="188">
        <f t="shared" si="1"/>
        <v>355.65</v>
      </c>
      <c r="L107" s="188">
        <f t="shared" si="1"/>
        <v>34.549999999999997</v>
      </c>
      <c r="M107" s="188">
        <f t="shared" si="1"/>
        <v>74.290000000000006</v>
      </c>
      <c r="N107" s="188">
        <f t="shared" si="1"/>
        <v>582.79999999999995</v>
      </c>
      <c r="O107" s="188">
        <f t="shared" si="1"/>
        <v>0</v>
      </c>
      <c r="P107" s="188">
        <f t="shared" si="1"/>
        <v>1</v>
      </c>
      <c r="Q107" s="188">
        <f t="shared" si="1"/>
        <v>4.83</v>
      </c>
      <c r="R107" s="193"/>
      <c r="S107" s="193"/>
      <c r="T107" s="193"/>
      <c r="U107" s="193"/>
    </row>
    <row r="108" spans="1:22">
      <c r="A108" s="186" t="s">
        <v>50</v>
      </c>
      <c r="B108" s="187">
        <f>AVERAGE(B9:B104)</f>
        <v>10.981249999999998</v>
      </c>
      <c r="C108" s="187">
        <f t="shared" ref="C108:Q108" si="2">AVERAGE(C9:C104)</f>
        <v>26.948854166666667</v>
      </c>
      <c r="D108" s="187">
        <f t="shared" si="2"/>
        <v>24.23729166666666</v>
      </c>
      <c r="E108" s="187">
        <f t="shared" si="2"/>
        <v>17.868437499999988</v>
      </c>
      <c r="F108" s="187">
        <f t="shared" si="2"/>
        <v>13.936354166666669</v>
      </c>
      <c r="G108" s="187">
        <f t="shared" si="2"/>
        <v>85.428020833333349</v>
      </c>
      <c r="H108" s="187">
        <f t="shared" si="2"/>
        <v>33.805833333333318</v>
      </c>
      <c r="I108" s="187">
        <f t="shared" si="2"/>
        <v>6.6532291666666667</v>
      </c>
      <c r="J108" s="187">
        <f t="shared" si="2"/>
        <v>0.75333333333333352</v>
      </c>
      <c r="K108" s="187">
        <f t="shared" si="2"/>
        <v>102.36781250000003</v>
      </c>
      <c r="L108" s="187">
        <f t="shared" si="2"/>
        <v>27.162499999999991</v>
      </c>
      <c r="M108" s="187">
        <f t="shared" si="2"/>
        <v>54.834479166666654</v>
      </c>
      <c r="N108" s="187">
        <f t="shared" si="2"/>
        <v>143.8125</v>
      </c>
      <c r="O108" s="187">
        <f t="shared" si="2"/>
        <v>0</v>
      </c>
      <c r="P108" s="187">
        <f t="shared" si="2"/>
        <v>0.74062499999999998</v>
      </c>
      <c r="Q108" s="187">
        <f t="shared" si="2"/>
        <v>4.7545833333333336</v>
      </c>
      <c r="R108" s="192"/>
      <c r="S108" s="192"/>
      <c r="T108" s="192"/>
      <c r="U108" s="192"/>
    </row>
    <row r="109" spans="1:22">
      <c r="A109" s="186" t="s">
        <v>51</v>
      </c>
      <c r="B109" s="187">
        <f>STDEV(B9:B104)</f>
        <v>6.1428879287565668</v>
      </c>
      <c r="C109" s="187">
        <f t="shared" ref="C109:Q109" si="3">STDEV(C9:C104)</f>
        <v>4.8904729875203676</v>
      </c>
      <c r="D109" s="187">
        <f t="shared" si="3"/>
        <v>5.6480190247120348</v>
      </c>
      <c r="E109" s="187">
        <f t="shared" si="3"/>
        <v>11.621285129417094</v>
      </c>
      <c r="F109" s="187">
        <f t="shared" si="3"/>
        <v>13.330844338544679</v>
      </c>
      <c r="G109" s="187">
        <f t="shared" si="3"/>
        <v>28.530394046748032</v>
      </c>
      <c r="H109" s="187">
        <f t="shared" si="3"/>
        <v>8.0396713295830562</v>
      </c>
      <c r="I109" s="187">
        <f t="shared" si="3"/>
        <v>1.5335164233271243</v>
      </c>
      <c r="J109" s="187">
        <f t="shared" si="3"/>
        <v>0.49059076453355049</v>
      </c>
      <c r="K109" s="187">
        <f t="shared" si="3"/>
        <v>81.778232301281435</v>
      </c>
      <c r="L109" s="187">
        <f t="shared" si="3"/>
        <v>4.284988239251887</v>
      </c>
      <c r="M109" s="187">
        <f t="shared" si="3"/>
        <v>14.136119162946953</v>
      </c>
      <c r="N109" s="187">
        <f t="shared" si="3"/>
        <v>203.68817098692793</v>
      </c>
      <c r="O109" s="187">
        <f t="shared" si="3"/>
        <v>0</v>
      </c>
      <c r="P109" s="187">
        <f t="shared" si="3"/>
        <v>0.14430824100186607</v>
      </c>
      <c r="Q109" s="187">
        <f t="shared" si="3"/>
        <v>3.7046675159194423E-2</v>
      </c>
      <c r="R109" s="192"/>
      <c r="S109" s="192"/>
      <c r="T109" s="192"/>
      <c r="U109" s="192"/>
    </row>
    <row r="110" spans="1:22">
      <c r="A110" s="186" t="s">
        <v>52</v>
      </c>
      <c r="B110" s="188">
        <f t="shared" ref="B110:Q110" si="4">COUNT(B9:B104)</f>
        <v>96</v>
      </c>
      <c r="C110" s="188">
        <f t="shared" si="4"/>
        <v>96</v>
      </c>
      <c r="D110" s="188">
        <f t="shared" si="4"/>
        <v>96</v>
      </c>
      <c r="E110" s="188">
        <f t="shared" si="4"/>
        <v>96</v>
      </c>
      <c r="F110" s="188">
        <f t="shared" si="4"/>
        <v>96</v>
      </c>
      <c r="G110" s="188">
        <f t="shared" si="4"/>
        <v>96</v>
      </c>
      <c r="H110" s="188">
        <f t="shared" si="4"/>
        <v>96</v>
      </c>
      <c r="I110" s="188">
        <f t="shared" si="4"/>
        <v>96</v>
      </c>
      <c r="J110" s="188">
        <f t="shared" si="4"/>
        <v>96</v>
      </c>
      <c r="K110" s="188">
        <f t="shared" si="4"/>
        <v>96</v>
      </c>
      <c r="L110" s="188">
        <f t="shared" si="4"/>
        <v>96</v>
      </c>
      <c r="M110" s="188">
        <f t="shared" si="4"/>
        <v>96</v>
      </c>
      <c r="N110" s="188">
        <f t="shared" si="4"/>
        <v>96</v>
      </c>
      <c r="O110" s="188">
        <f t="shared" si="4"/>
        <v>96</v>
      </c>
      <c r="P110" s="188">
        <f t="shared" si="4"/>
        <v>96</v>
      </c>
      <c r="Q110" s="188">
        <f t="shared" si="4"/>
        <v>96</v>
      </c>
      <c r="R110" s="193"/>
      <c r="S110" s="193"/>
      <c r="T110" s="193"/>
      <c r="U110" s="193"/>
      <c r="V110" s="188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91"/>
      <c r="O113" s="191"/>
      <c r="P113" s="191"/>
      <c r="Q113" s="191"/>
      <c r="R113" s="191"/>
      <c r="S113" s="191"/>
      <c r="T113" s="191"/>
      <c r="U113" s="191"/>
    </row>
    <row r="115" spans="1:21">
      <c r="A115" s="153" t="s">
        <v>55</v>
      </c>
      <c r="B115" s="197" t="s">
        <v>56</v>
      </c>
      <c r="C115" s="197"/>
      <c r="D115" s="197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9" t="s">
        <v>57</v>
      </c>
      <c r="B117" s="198"/>
      <c r="C117" s="198"/>
      <c r="D117" s="198"/>
      <c r="E117" s="198"/>
      <c r="F117" s="198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8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45357.010416666664</v>
      </c>
      <c r="C2" s="196" t="s">
        <v>3</v>
      </c>
      <c r="D2" s="196"/>
      <c r="E2" s="196"/>
      <c r="F2" s="196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2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6" t="s">
        <v>11</v>
      </c>
      <c r="D3" s="196"/>
      <c r="E3" s="196"/>
      <c r="F3" s="196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2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6" t="s">
        <v>18</v>
      </c>
      <c r="D4" s="196"/>
      <c r="E4" s="196"/>
      <c r="F4" s="196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3" t="s">
        <v>43</v>
      </c>
      <c r="M8" s="114" t="s">
        <v>44</v>
      </c>
      <c r="N8" s="114" t="s">
        <v>45</v>
      </c>
      <c r="O8" s="183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2">
        <v>45357.010416666664</v>
      </c>
      <c r="B9" s="6">
        <v>7.6</v>
      </c>
      <c r="C9" s="6">
        <v>29.59</v>
      </c>
      <c r="D9" s="6">
        <v>22.9</v>
      </c>
      <c r="E9" s="6">
        <v>5.22</v>
      </c>
      <c r="F9" s="6">
        <v>6.19</v>
      </c>
      <c r="G9" s="6">
        <v>94.4</v>
      </c>
      <c r="H9" s="6">
        <v>37.85</v>
      </c>
      <c r="I9" s="6">
        <v>7.25</v>
      </c>
      <c r="J9" s="6">
        <v>0.26</v>
      </c>
      <c r="K9" s="6">
        <v>83.67</v>
      </c>
      <c r="L9" s="6">
        <v>24.26</v>
      </c>
      <c r="M9" s="6">
        <v>59.2</v>
      </c>
      <c r="N9" s="6">
        <v>0</v>
      </c>
      <c r="O9" s="6">
        <v>0</v>
      </c>
      <c r="P9" s="6">
        <v>0.76</v>
      </c>
      <c r="Q9" s="6">
        <v>4.75</v>
      </c>
    </row>
    <row r="10" spans="1:21" customFormat="1">
      <c r="A10" s="82">
        <v>45357.020833333336</v>
      </c>
      <c r="B10" s="6">
        <v>7.36</v>
      </c>
      <c r="C10" s="6">
        <v>29.3</v>
      </c>
      <c r="D10" s="6">
        <v>22.56</v>
      </c>
      <c r="E10" s="6">
        <v>6.26</v>
      </c>
      <c r="F10" s="6">
        <v>7.02</v>
      </c>
      <c r="G10" s="6">
        <v>94.4</v>
      </c>
      <c r="H10" s="6">
        <v>37.85</v>
      </c>
      <c r="I10" s="6">
        <v>7.04</v>
      </c>
      <c r="J10" s="6">
        <v>0.78</v>
      </c>
      <c r="K10" s="6">
        <v>66.25</v>
      </c>
      <c r="L10" s="6">
        <v>24.08</v>
      </c>
      <c r="M10" s="6">
        <v>56.56</v>
      </c>
      <c r="N10" s="6">
        <v>0</v>
      </c>
      <c r="O10" s="6">
        <v>0</v>
      </c>
      <c r="P10" s="6">
        <v>0.73</v>
      </c>
      <c r="Q10" s="6">
        <v>4.75</v>
      </c>
    </row>
    <row r="11" spans="1:21" customFormat="1">
      <c r="A11" s="82">
        <v>45357.03125</v>
      </c>
      <c r="B11" s="6">
        <v>7.11</v>
      </c>
      <c r="C11" s="6">
        <v>28.68</v>
      </c>
      <c r="D11" s="6">
        <v>22.03</v>
      </c>
      <c r="E11" s="6">
        <v>5.44</v>
      </c>
      <c r="F11" s="6">
        <v>6.85</v>
      </c>
      <c r="G11" s="6">
        <v>94.4</v>
      </c>
      <c r="H11" s="6">
        <v>37.85</v>
      </c>
      <c r="I11" s="6">
        <v>6.93</v>
      </c>
      <c r="J11" s="6">
        <v>0.75</v>
      </c>
      <c r="K11" s="6">
        <v>63.15</v>
      </c>
      <c r="L11" s="6">
        <v>23.94</v>
      </c>
      <c r="M11" s="6">
        <v>56.21</v>
      </c>
      <c r="N11" s="6">
        <v>0</v>
      </c>
      <c r="O11" s="6">
        <v>0</v>
      </c>
      <c r="P11" s="6">
        <v>0.71</v>
      </c>
      <c r="Q11" s="6">
        <v>4.75</v>
      </c>
    </row>
    <row r="12" spans="1:21" customFormat="1">
      <c r="A12" s="82">
        <v>45357.041666666664</v>
      </c>
      <c r="B12" s="6">
        <v>6.82</v>
      </c>
      <c r="C12" s="6">
        <v>28.25</v>
      </c>
      <c r="D12" s="6">
        <v>21.58</v>
      </c>
      <c r="E12" s="6">
        <v>7.09</v>
      </c>
      <c r="F12" s="6">
        <v>7.12</v>
      </c>
      <c r="G12" s="6">
        <v>93.08</v>
      </c>
      <c r="H12" s="6">
        <v>37.31</v>
      </c>
      <c r="I12" s="6">
        <v>6.65</v>
      </c>
      <c r="J12" s="6">
        <v>0.76</v>
      </c>
      <c r="K12" s="6">
        <v>62.78</v>
      </c>
      <c r="L12" s="6">
        <v>23.7</v>
      </c>
      <c r="M12" s="6">
        <v>56.85</v>
      </c>
      <c r="N12" s="6">
        <v>0</v>
      </c>
      <c r="O12" s="6">
        <v>0</v>
      </c>
      <c r="P12" s="6">
        <v>0.68</v>
      </c>
      <c r="Q12" s="6">
        <v>4.72</v>
      </c>
    </row>
    <row r="13" spans="1:21" customFormat="1">
      <c r="A13" s="82">
        <v>45357.052083333336</v>
      </c>
      <c r="B13" s="6">
        <v>6.62</v>
      </c>
      <c r="C13" s="6">
        <v>27.71</v>
      </c>
      <c r="D13" s="6">
        <v>21.14</v>
      </c>
      <c r="E13" s="6">
        <v>7.51</v>
      </c>
      <c r="F13" s="6">
        <v>7.51</v>
      </c>
      <c r="G13" s="6">
        <v>74.53</v>
      </c>
      <c r="H13" s="6">
        <v>31.78</v>
      </c>
      <c r="I13" s="6">
        <v>6.47</v>
      </c>
      <c r="J13" s="6">
        <v>0.89</v>
      </c>
      <c r="K13" s="6">
        <v>62.49</v>
      </c>
      <c r="L13" s="6">
        <v>23.5</v>
      </c>
      <c r="M13" s="6">
        <v>56.37</v>
      </c>
      <c r="N13" s="6">
        <v>0</v>
      </c>
      <c r="O13" s="6">
        <v>0</v>
      </c>
      <c r="P13" s="6">
        <v>0.65</v>
      </c>
      <c r="Q13" s="6">
        <v>4.74</v>
      </c>
    </row>
    <row r="14" spans="1:21" customFormat="1">
      <c r="A14" s="82">
        <v>45357.0625</v>
      </c>
      <c r="B14" s="6">
        <v>6.49</v>
      </c>
      <c r="C14" s="6">
        <v>27.77</v>
      </c>
      <c r="D14" s="6">
        <v>21.06</v>
      </c>
      <c r="E14" s="6">
        <v>6.21</v>
      </c>
      <c r="F14" s="6">
        <v>5.95</v>
      </c>
      <c r="G14" s="6">
        <v>74.53</v>
      </c>
      <c r="H14" s="6">
        <v>31.78</v>
      </c>
      <c r="I14" s="6">
        <v>6.21</v>
      </c>
      <c r="J14" s="6">
        <v>0.63</v>
      </c>
      <c r="K14" s="6">
        <v>69.45</v>
      </c>
      <c r="L14" s="6">
        <v>23.42</v>
      </c>
      <c r="M14" s="6">
        <v>55.69</v>
      </c>
      <c r="N14" s="6">
        <v>0</v>
      </c>
      <c r="O14" s="6">
        <v>0</v>
      </c>
      <c r="P14" s="6">
        <v>0.63</v>
      </c>
      <c r="Q14" s="6">
        <v>4.74</v>
      </c>
    </row>
    <row r="15" spans="1:21" customFormat="1">
      <c r="A15" s="82">
        <v>45357.072916666664</v>
      </c>
      <c r="B15" s="6">
        <v>6.2</v>
      </c>
      <c r="C15" s="6">
        <v>27.7</v>
      </c>
      <c r="D15" s="6">
        <v>20.8</v>
      </c>
      <c r="E15" s="6">
        <v>5.9</v>
      </c>
      <c r="F15" s="6">
        <v>5.81</v>
      </c>
      <c r="G15" s="6">
        <v>74.53</v>
      </c>
      <c r="H15" s="6">
        <v>31.78</v>
      </c>
      <c r="I15" s="6">
        <v>6.05</v>
      </c>
      <c r="J15" s="6">
        <v>0.52</v>
      </c>
      <c r="K15" s="6">
        <v>55.75</v>
      </c>
      <c r="L15" s="6">
        <v>23.26</v>
      </c>
      <c r="M15" s="6">
        <v>56.5</v>
      </c>
      <c r="N15" s="6">
        <v>0</v>
      </c>
      <c r="O15" s="6">
        <v>0</v>
      </c>
      <c r="P15" s="6">
        <v>0.61</v>
      </c>
      <c r="Q15" s="6">
        <v>4.74</v>
      </c>
    </row>
    <row r="16" spans="1:21" customFormat="1">
      <c r="A16" s="82">
        <v>45357.083333333336</v>
      </c>
      <c r="B16" s="6">
        <v>6.35</v>
      </c>
      <c r="C16" s="6">
        <v>27.71</v>
      </c>
      <c r="D16" s="6">
        <v>20.92</v>
      </c>
      <c r="E16" s="6">
        <v>6.4</v>
      </c>
      <c r="F16" s="6">
        <v>5.62</v>
      </c>
      <c r="G16" s="6">
        <v>73.92</v>
      </c>
      <c r="H16" s="6">
        <v>31.43</v>
      </c>
      <c r="I16" s="6">
        <v>5.84</v>
      </c>
      <c r="J16" s="6">
        <v>0.65</v>
      </c>
      <c r="K16" s="6">
        <v>59.17</v>
      </c>
      <c r="L16" s="6">
        <v>23.04</v>
      </c>
      <c r="M16" s="6">
        <v>58.16</v>
      </c>
      <c r="N16" s="6">
        <v>0</v>
      </c>
      <c r="O16" s="6">
        <v>0</v>
      </c>
      <c r="P16" s="6">
        <v>0.6</v>
      </c>
      <c r="Q16" s="6">
        <v>4.75</v>
      </c>
    </row>
    <row r="17" spans="1:17" customFormat="1">
      <c r="A17" s="82">
        <v>45357.09375</v>
      </c>
      <c r="B17" s="6">
        <v>6.52</v>
      </c>
      <c r="C17" s="6">
        <v>27.42</v>
      </c>
      <c r="D17" s="6">
        <v>20.91</v>
      </c>
      <c r="E17" s="6">
        <v>7.32</v>
      </c>
      <c r="F17" s="6">
        <v>5.62</v>
      </c>
      <c r="G17" s="6">
        <v>65.38</v>
      </c>
      <c r="H17" s="6">
        <v>27.11</v>
      </c>
      <c r="I17" s="6">
        <v>5.65</v>
      </c>
      <c r="J17" s="6">
        <v>0.41</v>
      </c>
      <c r="K17" s="6">
        <v>83.89</v>
      </c>
      <c r="L17" s="6">
        <v>22.91</v>
      </c>
      <c r="M17" s="6">
        <v>57.94</v>
      </c>
      <c r="N17" s="6">
        <v>0</v>
      </c>
      <c r="O17" s="6">
        <v>0</v>
      </c>
      <c r="P17" s="6">
        <v>0.57999999999999996</v>
      </c>
      <c r="Q17" s="6">
        <v>4.75</v>
      </c>
    </row>
    <row r="18" spans="1:17" customFormat="1">
      <c r="A18" s="82">
        <v>45357.104166666664</v>
      </c>
      <c r="B18" s="6">
        <v>6.32</v>
      </c>
      <c r="C18" s="6">
        <v>27.26</v>
      </c>
      <c r="D18" s="6">
        <v>20.67</v>
      </c>
      <c r="E18" s="6">
        <v>8.16</v>
      </c>
      <c r="F18" s="6">
        <v>5.32</v>
      </c>
      <c r="G18" s="6">
        <v>65.38</v>
      </c>
      <c r="H18" s="6">
        <v>27.11</v>
      </c>
      <c r="I18" s="6">
        <v>5.49</v>
      </c>
      <c r="J18" s="6">
        <v>0.35</v>
      </c>
      <c r="K18" s="6">
        <v>87.77</v>
      </c>
      <c r="L18" s="6">
        <v>22.93</v>
      </c>
      <c r="M18" s="6">
        <v>57.67</v>
      </c>
      <c r="N18" s="6">
        <v>0</v>
      </c>
      <c r="O18" s="6">
        <v>0</v>
      </c>
      <c r="P18" s="6">
        <v>0.56000000000000005</v>
      </c>
      <c r="Q18" s="6">
        <v>4.75</v>
      </c>
    </row>
    <row r="19" spans="1:17" customFormat="1">
      <c r="A19" s="82">
        <v>45357.114583333336</v>
      </c>
      <c r="B19" s="6">
        <v>6.31</v>
      </c>
      <c r="C19" s="6">
        <v>27.26</v>
      </c>
      <c r="D19" s="6">
        <v>20.65</v>
      </c>
      <c r="E19" s="6">
        <v>8.1999999999999993</v>
      </c>
      <c r="F19" s="6">
        <v>5.15</v>
      </c>
      <c r="G19" s="6">
        <v>65.38</v>
      </c>
      <c r="H19" s="6">
        <v>27.11</v>
      </c>
      <c r="I19" s="6">
        <v>5.38</v>
      </c>
      <c r="J19" s="6">
        <v>0.16</v>
      </c>
      <c r="K19" s="6">
        <v>153.22</v>
      </c>
      <c r="L19" s="6">
        <v>22.69</v>
      </c>
      <c r="M19" s="6">
        <v>60.12</v>
      </c>
      <c r="N19" s="6">
        <v>0</v>
      </c>
      <c r="O19" s="6">
        <v>0</v>
      </c>
      <c r="P19" s="6">
        <v>0.55000000000000004</v>
      </c>
      <c r="Q19" s="6">
        <v>4.7300000000000004</v>
      </c>
    </row>
    <row r="20" spans="1:17" customFormat="1">
      <c r="A20" s="82">
        <v>45357.125</v>
      </c>
      <c r="B20" s="6">
        <v>6.25</v>
      </c>
      <c r="C20" s="6">
        <v>27.09</v>
      </c>
      <c r="D20" s="6">
        <v>20.51</v>
      </c>
      <c r="E20" s="6">
        <v>6.91</v>
      </c>
      <c r="F20" s="6">
        <v>4.99</v>
      </c>
      <c r="G20" s="6">
        <v>65.209999999999994</v>
      </c>
      <c r="H20" s="6">
        <v>27.11</v>
      </c>
      <c r="I20" s="6">
        <v>5.24</v>
      </c>
      <c r="J20" s="6">
        <v>0.27</v>
      </c>
      <c r="K20" s="6">
        <v>75.89</v>
      </c>
      <c r="L20" s="6">
        <v>22.22</v>
      </c>
      <c r="M20" s="6">
        <v>63.53</v>
      </c>
      <c r="N20" s="6">
        <v>0</v>
      </c>
      <c r="O20" s="6">
        <v>0</v>
      </c>
      <c r="P20" s="6">
        <v>0.54</v>
      </c>
      <c r="Q20" s="6">
        <v>4.71</v>
      </c>
    </row>
    <row r="21" spans="1:17" customFormat="1">
      <c r="A21" s="82">
        <v>45357.135416666664</v>
      </c>
      <c r="B21" s="6">
        <v>6.71</v>
      </c>
      <c r="C21" s="6">
        <v>25.08</v>
      </c>
      <c r="D21" s="6">
        <v>19.829999999999998</v>
      </c>
      <c r="E21" s="6">
        <v>5.26</v>
      </c>
      <c r="F21" s="6">
        <v>4.9800000000000004</v>
      </c>
      <c r="G21" s="6">
        <v>62.84</v>
      </c>
      <c r="H21" s="6">
        <v>27.13</v>
      </c>
      <c r="I21" s="6">
        <v>5.15</v>
      </c>
      <c r="J21" s="6">
        <v>0.22</v>
      </c>
      <c r="K21" s="6">
        <v>109.36</v>
      </c>
      <c r="L21" s="6">
        <v>22.25</v>
      </c>
      <c r="M21" s="6">
        <v>63.13</v>
      </c>
      <c r="N21" s="6">
        <v>0</v>
      </c>
      <c r="O21" s="6">
        <v>0</v>
      </c>
      <c r="P21" s="6">
        <v>0.52</v>
      </c>
      <c r="Q21" s="6">
        <v>4.71</v>
      </c>
    </row>
    <row r="22" spans="1:17" customFormat="1">
      <c r="A22" s="82">
        <v>45357.145833333336</v>
      </c>
      <c r="B22" s="6">
        <v>6.94</v>
      </c>
      <c r="C22" s="6">
        <v>22.9</v>
      </c>
      <c r="D22" s="6">
        <v>18.88</v>
      </c>
      <c r="E22" s="6">
        <v>3.73</v>
      </c>
      <c r="F22" s="6">
        <v>5.14</v>
      </c>
      <c r="G22" s="6">
        <v>62.84</v>
      </c>
      <c r="H22" s="6">
        <v>27.13</v>
      </c>
      <c r="I22" s="6">
        <v>5.15</v>
      </c>
      <c r="J22" s="6">
        <v>0.44</v>
      </c>
      <c r="K22" s="6">
        <v>80.05</v>
      </c>
      <c r="L22" s="6">
        <v>22.2</v>
      </c>
      <c r="M22" s="6">
        <v>62.8</v>
      </c>
      <c r="N22" s="6">
        <v>0</v>
      </c>
      <c r="O22" s="6">
        <v>0</v>
      </c>
      <c r="P22" s="6">
        <v>0.51</v>
      </c>
      <c r="Q22" s="6">
        <v>4.7</v>
      </c>
    </row>
    <row r="23" spans="1:17" customFormat="1">
      <c r="A23" s="82">
        <v>45357.15625</v>
      </c>
      <c r="B23" s="6">
        <v>7.13</v>
      </c>
      <c r="C23" s="6">
        <v>21.35</v>
      </c>
      <c r="D23" s="6">
        <v>18.23</v>
      </c>
      <c r="E23" s="6">
        <v>3.56</v>
      </c>
      <c r="F23" s="6">
        <v>5.21</v>
      </c>
      <c r="G23" s="6">
        <v>62.84</v>
      </c>
      <c r="H23" s="6">
        <v>27.13</v>
      </c>
      <c r="I23" s="6">
        <v>5.17</v>
      </c>
      <c r="J23" s="6">
        <v>0.5</v>
      </c>
      <c r="K23" s="6">
        <v>73.12</v>
      </c>
      <c r="L23" s="6">
        <v>22.13</v>
      </c>
      <c r="M23" s="6">
        <v>62.51</v>
      </c>
      <c r="N23" s="6">
        <v>0</v>
      </c>
      <c r="O23" s="6">
        <v>0</v>
      </c>
      <c r="P23" s="6">
        <v>0.5</v>
      </c>
      <c r="Q23" s="6">
        <v>4.71</v>
      </c>
    </row>
    <row r="24" spans="1:17" customFormat="1">
      <c r="A24" s="82">
        <v>45357.166666666664</v>
      </c>
      <c r="B24" s="6">
        <v>7.38</v>
      </c>
      <c r="C24" s="6">
        <v>20.239999999999998</v>
      </c>
      <c r="D24" s="6">
        <v>17.84</v>
      </c>
      <c r="E24" s="6">
        <v>3.38</v>
      </c>
      <c r="F24" s="6">
        <v>5.39</v>
      </c>
      <c r="G24" s="6">
        <v>62.03</v>
      </c>
      <c r="H24" s="6">
        <v>26.57</v>
      </c>
      <c r="I24" s="6">
        <v>5.13</v>
      </c>
      <c r="J24" s="6">
        <v>0.56000000000000005</v>
      </c>
      <c r="K24" s="6">
        <v>62.95</v>
      </c>
      <c r="L24" s="6">
        <v>22.12</v>
      </c>
      <c r="M24" s="6">
        <v>62.36</v>
      </c>
      <c r="N24" s="6">
        <v>0</v>
      </c>
      <c r="O24" s="6">
        <v>0</v>
      </c>
      <c r="P24" s="6">
        <v>0.49</v>
      </c>
      <c r="Q24" s="6">
        <v>4.72</v>
      </c>
    </row>
    <row r="25" spans="1:17" customFormat="1">
      <c r="A25" s="82">
        <v>45357.177083333336</v>
      </c>
      <c r="B25" s="6">
        <v>7.58</v>
      </c>
      <c r="C25" s="6">
        <v>19.3</v>
      </c>
      <c r="D25" s="6">
        <v>17.510000000000002</v>
      </c>
      <c r="E25" s="6">
        <v>2.95</v>
      </c>
      <c r="F25" s="6">
        <v>5.53</v>
      </c>
      <c r="G25" s="6">
        <v>50.71</v>
      </c>
      <c r="H25" s="6">
        <v>19.84</v>
      </c>
      <c r="I25" s="6">
        <v>5.07</v>
      </c>
      <c r="J25" s="6">
        <v>0.49</v>
      </c>
      <c r="K25" s="6">
        <v>71.91</v>
      </c>
      <c r="L25" s="6">
        <v>21.98</v>
      </c>
      <c r="M25" s="6">
        <v>62.55</v>
      </c>
      <c r="N25" s="6">
        <v>0</v>
      </c>
      <c r="O25" s="6">
        <v>0</v>
      </c>
      <c r="P25" s="6">
        <v>0.48</v>
      </c>
      <c r="Q25" s="6">
        <v>4.71</v>
      </c>
    </row>
    <row r="26" spans="1:17" customFormat="1">
      <c r="A26" s="82">
        <v>45357.1875</v>
      </c>
      <c r="B26" s="6">
        <v>7.66</v>
      </c>
      <c r="C26" s="6">
        <v>18.899999999999999</v>
      </c>
      <c r="D26" s="6">
        <v>17.37</v>
      </c>
      <c r="E26" s="6">
        <v>2.96</v>
      </c>
      <c r="F26" s="6">
        <v>5.08</v>
      </c>
      <c r="G26" s="6">
        <v>50.71</v>
      </c>
      <c r="H26" s="6">
        <v>19.84</v>
      </c>
      <c r="I26" s="6">
        <v>5.04</v>
      </c>
      <c r="J26" s="6">
        <v>0.53</v>
      </c>
      <c r="K26" s="6">
        <v>75.44</v>
      </c>
      <c r="L26" s="6">
        <v>21.88</v>
      </c>
      <c r="M26" s="6">
        <v>62.5</v>
      </c>
      <c r="N26" s="6">
        <v>0</v>
      </c>
      <c r="O26" s="6">
        <v>0</v>
      </c>
      <c r="P26" s="6">
        <v>0.48</v>
      </c>
      <c r="Q26" s="6">
        <v>4.71</v>
      </c>
    </row>
    <row r="27" spans="1:17" customFormat="1">
      <c r="A27" s="82">
        <v>45357.197916666664</v>
      </c>
      <c r="B27" s="6">
        <v>7.88</v>
      </c>
      <c r="C27" s="6">
        <v>18.420000000000002</v>
      </c>
      <c r="D27" s="6">
        <v>17.29</v>
      </c>
      <c r="E27" s="6">
        <v>3.08</v>
      </c>
      <c r="F27" s="6">
        <v>5</v>
      </c>
      <c r="G27" s="6">
        <v>50.71</v>
      </c>
      <c r="H27" s="6">
        <v>19.84</v>
      </c>
      <c r="I27" s="6">
        <v>5.05</v>
      </c>
      <c r="J27" s="6">
        <v>0.28999999999999998</v>
      </c>
      <c r="K27" s="6">
        <v>63.42</v>
      </c>
      <c r="L27" s="6">
        <v>21.9</v>
      </c>
      <c r="M27" s="6">
        <v>61.95</v>
      </c>
      <c r="N27" s="6">
        <v>0</v>
      </c>
      <c r="O27" s="6">
        <v>0</v>
      </c>
      <c r="P27" s="6">
        <v>0.47</v>
      </c>
      <c r="Q27" s="6">
        <v>4.71</v>
      </c>
    </row>
    <row r="28" spans="1:17" customFormat="1">
      <c r="A28" s="82">
        <v>45357.208333333336</v>
      </c>
      <c r="B28" s="6">
        <v>8.06</v>
      </c>
      <c r="C28" s="6">
        <v>19.420000000000002</v>
      </c>
      <c r="D28" s="6">
        <v>17.96</v>
      </c>
      <c r="E28" s="6">
        <v>3.87</v>
      </c>
      <c r="F28" s="6">
        <v>5.22</v>
      </c>
      <c r="G28" s="6">
        <v>50.54</v>
      </c>
      <c r="H28" s="6">
        <v>19.86</v>
      </c>
      <c r="I28" s="6">
        <v>5.03</v>
      </c>
      <c r="J28" s="6">
        <v>0.39</v>
      </c>
      <c r="K28" s="6">
        <v>48.99</v>
      </c>
      <c r="L28" s="6">
        <v>21.82</v>
      </c>
      <c r="M28" s="6">
        <v>62.95</v>
      </c>
      <c r="N28" s="6">
        <v>0</v>
      </c>
      <c r="O28" s="6">
        <v>0</v>
      </c>
      <c r="P28" s="6">
        <v>0.48</v>
      </c>
      <c r="Q28" s="6">
        <v>4.71</v>
      </c>
    </row>
    <row r="29" spans="1:17" customFormat="1">
      <c r="A29" s="82">
        <v>45357.21875</v>
      </c>
      <c r="B29" s="6">
        <v>7.89</v>
      </c>
      <c r="C29" s="6">
        <v>20.76</v>
      </c>
      <c r="D29" s="6">
        <v>18.52</v>
      </c>
      <c r="E29" s="6">
        <v>4.9400000000000004</v>
      </c>
      <c r="F29" s="6">
        <v>5.38</v>
      </c>
      <c r="G29" s="6">
        <v>48.1</v>
      </c>
      <c r="H29" s="6">
        <v>20.100000000000001</v>
      </c>
      <c r="I29" s="6">
        <v>4.95</v>
      </c>
      <c r="J29" s="6">
        <v>0.03</v>
      </c>
      <c r="K29" s="6">
        <v>287.12</v>
      </c>
      <c r="L29" s="6">
        <v>21.22</v>
      </c>
      <c r="M29" s="6">
        <v>65.209999999999994</v>
      </c>
      <c r="N29" s="6">
        <v>0</v>
      </c>
      <c r="O29" s="6">
        <v>0</v>
      </c>
      <c r="P29" s="6">
        <v>0.48</v>
      </c>
      <c r="Q29" s="6">
        <v>4.72</v>
      </c>
    </row>
    <row r="30" spans="1:17" customFormat="1">
      <c r="A30" s="82">
        <v>45357.229166666664</v>
      </c>
      <c r="B30" s="6">
        <v>7.72</v>
      </c>
      <c r="C30" s="6">
        <v>21.81</v>
      </c>
      <c r="D30" s="6">
        <v>18.93</v>
      </c>
      <c r="E30" s="6">
        <v>4.79</v>
      </c>
      <c r="F30" s="6">
        <v>5.0999999999999996</v>
      </c>
      <c r="G30" s="6">
        <v>48.1</v>
      </c>
      <c r="H30" s="6">
        <v>20.100000000000001</v>
      </c>
      <c r="I30" s="6">
        <v>4.82</v>
      </c>
      <c r="J30" s="6">
        <v>0.11</v>
      </c>
      <c r="K30" s="6">
        <v>166.4</v>
      </c>
      <c r="L30" s="6">
        <v>21.24</v>
      </c>
      <c r="M30" s="6">
        <v>66.400000000000006</v>
      </c>
      <c r="N30" s="6">
        <v>0</v>
      </c>
      <c r="O30" s="6">
        <v>0</v>
      </c>
      <c r="P30" s="6">
        <v>0.48</v>
      </c>
      <c r="Q30" s="6">
        <v>4.7300000000000004</v>
      </c>
    </row>
    <row r="31" spans="1:17" customFormat="1">
      <c r="A31" s="82">
        <v>45357.239583333336</v>
      </c>
      <c r="B31" s="6">
        <v>7.82</v>
      </c>
      <c r="C31" s="6">
        <v>22.6</v>
      </c>
      <c r="D31" s="6">
        <v>19.43</v>
      </c>
      <c r="E31" s="6">
        <v>4.9800000000000004</v>
      </c>
      <c r="F31" s="6">
        <v>4.8499999999999996</v>
      </c>
      <c r="G31" s="6">
        <v>48.1</v>
      </c>
      <c r="H31" s="6">
        <v>20.100000000000001</v>
      </c>
      <c r="I31" s="6">
        <v>4.7699999999999996</v>
      </c>
      <c r="J31" s="6">
        <v>0.21</v>
      </c>
      <c r="K31" s="6">
        <v>178.67</v>
      </c>
      <c r="L31" s="6">
        <v>21.36</v>
      </c>
      <c r="M31" s="6">
        <v>68.430000000000007</v>
      </c>
      <c r="N31" s="6">
        <v>0</v>
      </c>
      <c r="O31" s="6">
        <v>0</v>
      </c>
      <c r="P31" s="6">
        <v>0.47</v>
      </c>
      <c r="Q31" s="6">
        <v>4.7300000000000004</v>
      </c>
    </row>
    <row r="32" spans="1:17" customFormat="1">
      <c r="A32" s="82">
        <v>45357.25</v>
      </c>
      <c r="B32" s="6">
        <v>7.73</v>
      </c>
      <c r="C32" s="6">
        <v>23.01</v>
      </c>
      <c r="D32" s="6">
        <v>19.57</v>
      </c>
      <c r="E32" s="6">
        <v>5.37</v>
      </c>
      <c r="F32" s="6">
        <v>4.71</v>
      </c>
      <c r="G32" s="6">
        <v>48.09</v>
      </c>
      <c r="H32" s="6">
        <v>20.05</v>
      </c>
      <c r="I32" s="6">
        <v>4.7</v>
      </c>
      <c r="J32" s="6">
        <v>0.17</v>
      </c>
      <c r="K32" s="6">
        <v>162.66999999999999</v>
      </c>
      <c r="L32" s="6">
        <v>21.16</v>
      </c>
      <c r="M32" s="6">
        <v>68.8</v>
      </c>
      <c r="N32" s="6">
        <v>0</v>
      </c>
      <c r="O32" s="6">
        <v>0</v>
      </c>
      <c r="P32" s="6">
        <v>0.47</v>
      </c>
      <c r="Q32" s="6">
        <v>4.7300000000000004</v>
      </c>
    </row>
    <row r="33" spans="1:17" customFormat="1">
      <c r="A33" s="82">
        <v>45357.260416666664</v>
      </c>
      <c r="B33" s="6">
        <v>7.56</v>
      </c>
      <c r="C33" s="6">
        <v>23.52</v>
      </c>
      <c r="D33" s="6">
        <v>19.7</v>
      </c>
      <c r="E33" s="6">
        <v>5.16</v>
      </c>
      <c r="F33" s="6">
        <v>4.67</v>
      </c>
      <c r="G33" s="6">
        <v>47.9</v>
      </c>
      <c r="H33" s="6">
        <v>19.41</v>
      </c>
      <c r="I33" s="6">
        <v>4.6900000000000004</v>
      </c>
      <c r="J33" s="6">
        <v>0.18</v>
      </c>
      <c r="K33" s="6">
        <v>46.41</v>
      </c>
      <c r="L33" s="6">
        <v>21.06</v>
      </c>
      <c r="M33" s="6">
        <v>68.63</v>
      </c>
      <c r="N33" s="6">
        <v>0</v>
      </c>
      <c r="O33" s="6">
        <v>0</v>
      </c>
      <c r="P33" s="6">
        <v>0.46</v>
      </c>
      <c r="Q33" s="6">
        <v>4.7300000000000004</v>
      </c>
    </row>
    <row r="34" spans="1:17" customFormat="1">
      <c r="A34" s="82">
        <v>45357.270833333336</v>
      </c>
      <c r="B34" s="6">
        <v>9.2200000000000006</v>
      </c>
      <c r="C34" s="6">
        <v>25.1</v>
      </c>
      <c r="D34" s="6">
        <v>21.86</v>
      </c>
      <c r="E34" s="6">
        <v>5.5</v>
      </c>
      <c r="F34" s="6">
        <v>4.68</v>
      </c>
      <c r="G34" s="6">
        <v>47.9</v>
      </c>
      <c r="H34" s="6">
        <v>19.41</v>
      </c>
      <c r="I34" s="6">
        <v>4.67</v>
      </c>
      <c r="J34" s="6">
        <v>0.53</v>
      </c>
      <c r="K34" s="6">
        <v>32.04</v>
      </c>
      <c r="L34" s="6">
        <v>21.24</v>
      </c>
      <c r="M34" s="6">
        <v>64.790000000000006</v>
      </c>
      <c r="N34" s="6">
        <v>0.6</v>
      </c>
      <c r="O34" s="6">
        <v>0</v>
      </c>
      <c r="P34" s="6">
        <v>0.47</v>
      </c>
      <c r="Q34" s="6">
        <v>4.74</v>
      </c>
    </row>
    <row r="35" spans="1:17" customFormat="1">
      <c r="A35" s="82">
        <v>45357.28125</v>
      </c>
      <c r="B35" s="6">
        <v>10.210000000000001</v>
      </c>
      <c r="C35" s="6">
        <v>25.63</v>
      </c>
      <c r="D35" s="6">
        <v>22.93</v>
      </c>
      <c r="E35" s="6">
        <v>5.49</v>
      </c>
      <c r="F35" s="6">
        <v>4.8899999999999997</v>
      </c>
      <c r="G35" s="6">
        <v>47.9</v>
      </c>
      <c r="H35" s="6">
        <v>19.41</v>
      </c>
      <c r="I35" s="6">
        <v>4.68</v>
      </c>
      <c r="J35" s="6">
        <v>0.63</v>
      </c>
      <c r="K35" s="6">
        <v>59.49</v>
      </c>
      <c r="L35" s="6">
        <v>21.33</v>
      </c>
      <c r="M35" s="6">
        <v>64.61</v>
      </c>
      <c r="N35" s="6">
        <v>12.8</v>
      </c>
      <c r="O35" s="6">
        <v>0</v>
      </c>
      <c r="P35" s="6">
        <v>0.49</v>
      </c>
      <c r="Q35" s="6">
        <v>4.74</v>
      </c>
    </row>
    <row r="36" spans="1:17" customFormat="1">
      <c r="A36" s="82">
        <v>45357.291666666664</v>
      </c>
      <c r="B36" s="6">
        <v>11.21</v>
      </c>
      <c r="C36" s="6">
        <v>25.81</v>
      </c>
      <c r="D36" s="6">
        <v>23.83</v>
      </c>
      <c r="E36" s="6">
        <v>6.35</v>
      </c>
      <c r="F36" s="6">
        <v>4.9800000000000004</v>
      </c>
      <c r="G36" s="6">
        <v>48.98</v>
      </c>
      <c r="H36" s="6">
        <v>19.600000000000001</v>
      </c>
      <c r="I36" s="6">
        <v>4.7699999999999996</v>
      </c>
      <c r="J36" s="6">
        <v>0.59</v>
      </c>
      <c r="K36" s="6">
        <v>44.76</v>
      </c>
      <c r="L36" s="6">
        <v>21.58</v>
      </c>
      <c r="M36" s="6">
        <v>63.57</v>
      </c>
      <c r="N36" s="6">
        <v>31.4</v>
      </c>
      <c r="O36" s="6">
        <v>0</v>
      </c>
      <c r="P36" s="6">
        <v>0.51</v>
      </c>
      <c r="Q36" s="6">
        <v>4.75</v>
      </c>
    </row>
    <row r="37" spans="1:17" customFormat="1">
      <c r="A37" s="82">
        <v>45357.302083333336</v>
      </c>
      <c r="B37" s="6">
        <v>12.11</v>
      </c>
      <c r="C37" s="6">
        <v>26.34</v>
      </c>
      <c r="D37" s="6">
        <v>24.82</v>
      </c>
      <c r="E37" s="6">
        <v>6.36</v>
      </c>
      <c r="F37" s="6">
        <v>4.92</v>
      </c>
      <c r="G37" s="6">
        <v>64.16</v>
      </c>
      <c r="H37" s="6">
        <v>21.96</v>
      </c>
      <c r="I37" s="6">
        <v>4.9800000000000004</v>
      </c>
      <c r="J37" s="6">
        <v>0.57999999999999996</v>
      </c>
      <c r="K37" s="6">
        <v>52.01</v>
      </c>
      <c r="L37" s="6">
        <v>21.86</v>
      </c>
      <c r="M37" s="6">
        <v>62.53</v>
      </c>
      <c r="N37" s="6">
        <v>22.2</v>
      </c>
      <c r="O37" s="6">
        <v>0</v>
      </c>
      <c r="P37" s="6">
        <v>0.52</v>
      </c>
      <c r="Q37" s="6">
        <v>4.75</v>
      </c>
    </row>
    <row r="38" spans="1:17" customFormat="1">
      <c r="A38" s="82">
        <v>45357.3125</v>
      </c>
      <c r="B38" s="6">
        <v>11.87</v>
      </c>
      <c r="C38" s="6">
        <v>27.12</v>
      </c>
      <c r="D38" s="6">
        <v>25.04</v>
      </c>
      <c r="E38" s="6">
        <v>6.46</v>
      </c>
      <c r="F38" s="6">
        <v>4.79</v>
      </c>
      <c r="G38" s="6">
        <v>64.16</v>
      </c>
      <c r="H38" s="6">
        <v>21.96</v>
      </c>
      <c r="I38" s="6">
        <v>5.21</v>
      </c>
      <c r="J38" s="6">
        <v>0.44</v>
      </c>
      <c r="K38" s="6">
        <v>43.56</v>
      </c>
      <c r="L38" s="6">
        <v>22.03</v>
      </c>
      <c r="M38" s="6">
        <v>62.36</v>
      </c>
      <c r="N38" s="6">
        <v>54.5</v>
      </c>
      <c r="O38" s="6">
        <v>0</v>
      </c>
      <c r="P38" s="6">
        <v>0.54</v>
      </c>
      <c r="Q38" s="6">
        <v>4.76</v>
      </c>
    </row>
    <row r="39" spans="1:17" customFormat="1">
      <c r="A39" s="82">
        <v>45357.322916666664</v>
      </c>
      <c r="B39" s="6">
        <v>12.78</v>
      </c>
      <c r="C39" s="6">
        <v>27.57</v>
      </c>
      <c r="D39" s="6">
        <v>26</v>
      </c>
      <c r="E39" s="6">
        <v>6.7</v>
      </c>
      <c r="F39" s="6">
        <v>4.88</v>
      </c>
      <c r="G39" s="6">
        <v>64.16</v>
      </c>
      <c r="H39" s="6">
        <v>21.96</v>
      </c>
      <c r="I39" s="6">
        <v>5.46</v>
      </c>
      <c r="J39" s="6">
        <v>0.92</v>
      </c>
      <c r="K39" s="6">
        <v>59.19</v>
      </c>
      <c r="L39" s="6">
        <v>22.79</v>
      </c>
      <c r="M39" s="6">
        <v>58.71</v>
      </c>
      <c r="N39" s="6">
        <v>110.1</v>
      </c>
      <c r="O39" s="6">
        <v>0</v>
      </c>
      <c r="P39" s="6">
        <v>0.56000000000000005</v>
      </c>
      <c r="Q39" s="6">
        <v>4.7699999999999996</v>
      </c>
    </row>
    <row r="40" spans="1:17" customFormat="1">
      <c r="A40" s="82">
        <v>45357.333333333336</v>
      </c>
      <c r="B40" s="6">
        <v>12.67</v>
      </c>
      <c r="C40" s="6">
        <v>27.97</v>
      </c>
      <c r="D40" s="6">
        <v>26.13</v>
      </c>
      <c r="E40" s="6">
        <v>6.56</v>
      </c>
      <c r="F40" s="6">
        <v>5.0199999999999996</v>
      </c>
      <c r="G40" s="6">
        <v>64.13</v>
      </c>
      <c r="H40" s="6">
        <v>21.84</v>
      </c>
      <c r="I40" s="6">
        <v>5.63</v>
      </c>
      <c r="J40" s="6">
        <v>1.49</v>
      </c>
      <c r="K40" s="6">
        <v>63</v>
      </c>
      <c r="L40" s="6">
        <v>22.98</v>
      </c>
      <c r="M40" s="6">
        <v>56.91</v>
      </c>
      <c r="N40" s="6">
        <v>99.3</v>
      </c>
      <c r="O40" s="6">
        <v>0</v>
      </c>
      <c r="P40" s="6">
        <v>0.56000000000000005</v>
      </c>
      <c r="Q40" s="6">
        <v>4.7699999999999996</v>
      </c>
    </row>
    <row r="41" spans="1:17" customFormat="1">
      <c r="A41" s="82">
        <v>45357.34375</v>
      </c>
      <c r="B41" s="6">
        <v>11.72</v>
      </c>
      <c r="C41" s="6">
        <v>28.32</v>
      </c>
      <c r="D41" s="6">
        <v>25.54</v>
      </c>
      <c r="E41" s="6">
        <v>6.71</v>
      </c>
      <c r="F41" s="6">
        <v>5.26</v>
      </c>
      <c r="G41" s="6">
        <v>63.73</v>
      </c>
      <c r="H41" s="6">
        <v>20.28</v>
      </c>
      <c r="I41" s="6">
        <v>5.85</v>
      </c>
      <c r="J41" s="6">
        <v>0.7</v>
      </c>
      <c r="K41" s="6">
        <v>92.32</v>
      </c>
      <c r="L41" s="6">
        <v>23.89</v>
      </c>
      <c r="M41" s="6">
        <v>53.86</v>
      </c>
      <c r="N41" s="6">
        <v>137.69999999999999</v>
      </c>
      <c r="O41" s="6">
        <v>0</v>
      </c>
      <c r="P41" s="6">
        <v>0.56000000000000005</v>
      </c>
      <c r="Q41" s="6">
        <v>4.76</v>
      </c>
    </row>
    <row r="42" spans="1:17" customFormat="1">
      <c r="A42" s="82">
        <v>45357.354166666664</v>
      </c>
      <c r="B42" s="6">
        <v>10.68</v>
      </c>
      <c r="C42" s="6">
        <v>27.97</v>
      </c>
      <c r="D42" s="6">
        <v>24.53</v>
      </c>
      <c r="E42" s="6">
        <v>7.44</v>
      </c>
      <c r="F42" s="6">
        <v>5.52</v>
      </c>
      <c r="G42" s="6">
        <v>63.73</v>
      </c>
      <c r="H42" s="6">
        <v>20.28</v>
      </c>
      <c r="I42" s="6">
        <v>5.95</v>
      </c>
      <c r="J42" s="6">
        <v>0.65</v>
      </c>
      <c r="K42" s="6">
        <v>66.14</v>
      </c>
      <c r="L42" s="6">
        <v>24.72</v>
      </c>
      <c r="M42" s="6">
        <v>51.55</v>
      </c>
      <c r="N42" s="6">
        <v>236.7</v>
      </c>
      <c r="O42" s="6">
        <v>0</v>
      </c>
      <c r="P42" s="6">
        <v>0.56999999999999995</v>
      </c>
      <c r="Q42" s="6">
        <v>4.76</v>
      </c>
    </row>
    <row r="43" spans="1:17" customFormat="1">
      <c r="A43" s="82">
        <v>45357.364583333336</v>
      </c>
      <c r="B43" s="6">
        <v>10.26</v>
      </c>
      <c r="C43" s="6">
        <v>28.07</v>
      </c>
      <c r="D43" s="6">
        <v>24.25</v>
      </c>
      <c r="E43" s="6">
        <v>7.68</v>
      </c>
      <c r="F43" s="6">
        <v>5.62</v>
      </c>
      <c r="G43" s="6">
        <v>63.73</v>
      </c>
      <c r="H43" s="6">
        <v>20.28</v>
      </c>
      <c r="I43" s="6">
        <v>6</v>
      </c>
      <c r="J43" s="6">
        <v>0.78</v>
      </c>
      <c r="K43" s="6">
        <v>43</v>
      </c>
      <c r="L43" s="6">
        <v>25.4</v>
      </c>
      <c r="M43" s="6">
        <v>49.77</v>
      </c>
      <c r="N43" s="6">
        <v>265.2</v>
      </c>
      <c r="O43" s="6">
        <v>0</v>
      </c>
      <c r="P43" s="6">
        <v>0.57999999999999996</v>
      </c>
      <c r="Q43" s="6">
        <v>4.76</v>
      </c>
    </row>
    <row r="44" spans="1:17" customFormat="1">
      <c r="A44" s="82">
        <v>45357.375</v>
      </c>
      <c r="B44" s="6">
        <v>10.09</v>
      </c>
      <c r="C44" s="6">
        <v>28.51</v>
      </c>
      <c r="D44" s="6">
        <v>24.34</v>
      </c>
      <c r="E44" s="6">
        <v>9.14</v>
      </c>
      <c r="F44" s="6">
        <v>6.23</v>
      </c>
      <c r="G44" s="6">
        <v>63.97</v>
      </c>
      <c r="H44" s="6">
        <v>20.6</v>
      </c>
      <c r="I44" s="6">
        <v>6.06</v>
      </c>
      <c r="J44" s="6">
        <v>0.57999999999999996</v>
      </c>
      <c r="K44" s="6">
        <v>21.79</v>
      </c>
      <c r="L44" s="6">
        <v>26.02</v>
      </c>
      <c r="M44" s="6">
        <v>48.08</v>
      </c>
      <c r="N44" s="6">
        <v>298.7</v>
      </c>
      <c r="O44" s="6">
        <v>0</v>
      </c>
      <c r="P44" s="6">
        <v>0.57999999999999996</v>
      </c>
      <c r="Q44" s="6">
        <v>4.7699999999999996</v>
      </c>
    </row>
    <row r="45" spans="1:17" customFormat="1">
      <c r="A45" s="82">
        <v>45357.385416666664</v>
      </c>
      <c r="B45" s="6">
        <v>9.4700000000000006</v>
      </c>
      <c r="C45" s="6">
        <v>28.32</v>
      </c>
      <c r="D45" s="6">
        <v>23.74</v>
      </c>
      <c r="E45" s="6">
        <v>9.43</v>
      </c>
      <c r="F45" s="6">
        <v>6.57</v>
      </c>
      <c r="G45" s="6">
        <v>67.31</v>
      </c>
      <c r="H45" s="6">
        <v>24.54</v>
      </c>
      <c r="I45" s="6">
        <v>6.14</v>
      </c>
      <c r="J45" s="6">
        <v>0.53</v>
      </c>
      <c r="K45" s="6">
        <v>49.35</v>
      </c>
      <c r="L45" s="6">
        <v>26.63</v>
      </c>
      <c r="M45" s="6">
        <v>46.21</v>
      </c>
      <c r="N45" s="6">
        <v>288.8</v>
      </c>
      <c r="O45" s="6">
        <v>0</v>
      </c>
      <c r="P45" s="6">
        <v>0.57999999999999996</v>
      </c>
      <c r="Q45" s="6">
        <v>4.76</v>
      </c>
    </row>
    <row r="46" spans="1:17" customFormat="1">
      <c r="A46" s="82">
        <v>45357.395833333336</v>
      </c>
      <c r="B46" s="6">
        <v>8.67</v>
      </c>
      <c r="C46" s="6">
        <v>29.01</v>
      </c>
      <c r="D46" s="6">
        <v>23.46</v>
      </c>
      <c r="E46" s="6">
        <v>8.52</v>
      </c>
      <c r="F46" s="6">
        <v>5.93</v>
      </c>
      <c r="G46" s="6">
        <v>67.31</v>
      </c>
      <c r="H46" s="6">
        <v>24.54</v>
      </c>
      <c r="I46" s="6">
        <v>6.12</v>
      </c>
      <c r="J46" s="6">
        <v>0.64</v>
      </c>
      <c r="K46" s="6">
        <v>80.19</v>
      </c>
      <c r="L46" s="6">
        <v>27.34</v>
      </c>
      <c r="M46" s="6">
        <v>43.81</v>
      </c>
      <c r="N46" s="6">
        <v>342</v>
      </c>
      <c r="O46" s="6">
        <v>0</v>
      </c>
      <c r="P46" s="6">
        <v>0.6</v>
      </c>
      <c r="Q46" s="6">
        <v>4.75</v>
      </c>
    </row>
    <row r="47" spans="1:17" customFormat="1">
      <c r="A47" s="82">
        <v>45357.40625</v>
      </c>
      <c r="B47" s="6">
        <v>8.52</v>
      </c>
      <c r="C47" s="6">
        <v>28.57</v>
      </c>
      <c r="D47" s="6">
        <v>23.11</v>
      </c>
      <c r="E47" s="6">
        <v>8.18</v>
      </c>
      <c r="F47" s="6">
        <v>6.06</v>
      </c>
      <c r="G47" s="6">
        <v>67.31</v>
      </c>
      <c r="H47" s="6">
        <v>24.54</v>
      </c>
      <c r="I47" s="6">
        <v>6.12</v>
      </c>
      <c r="J47" s="6">
        <v>0.98</v>
      </c>
      <c r="K47" s="6">
        <v>57.24</v>
      </c>
      <c r="L47" s="6">
        <v>27.59</v>
      </c>
      <c r="M47" s="6">
        <v>43.5</v>
      </c>
      <c r="N47" s="6">
        <v>376.6</v>
      </c>
      <c r="O47" s="6">
        <v>0</v>
      </c>
      <c r="P47" s="6">
        <v>0.59</v>
      </c>
      <c r="Q47" s="6">
        <v>4.7699999999999996</v>
      </c>
    </row>
    <row r="48" spans="1:17" customFormat="1">
      <c r="A48" s="82">
        <v>45357.416666666664</v>
      </c>
      <c r="B48" s="6">
        <v>8.6999999999999993</v>
      </c>
      <c r="C48" s="6">
        <v>26.82</v>
      </c>
      <c r="D48" s="6">
        <v>22.34</v>
      </c>
      <c r="E48" s="6">
        <v>8.64</v>
      </c>
      <c r="F48" s="6">
        <v>6.45</v>
      </c>
      <c r="G48" s="6">
        <v>67.67</v>
      </c>
      <c r="H48" s="6">
        <v>24.55</v>
      </c>
      <c r="I48" s="6">
        <v>6.11</v>
      </c>
      <c r="J48" s="6">
        <v>0.74</v>
      </c>
      <c r="K48" s="6">
        <v>78.48</v>
      </c>
      <c r="L48" s="6">
        <v>28.87</v>
      </c>
      <c r="M48" s="6">
        <v>41.36</v>
      </c>
      <c r="N48" s="6">
        <v>315.60000000000002</v>
      </c>
      <c r="O48" s="6">
        <v>0</v>
      </c>
      <c r="P48" s="6">
        <v>0.6</v>
      </c>
      <c r="Q48" s="6">
        <v>4.74</v>
      </c>
    </row>
    <row r="49" spans="1:17" customFormat="1">
      <c r="A49" s="82">
        <v>45357.427083333336</v>
      </c>
      <c r="B49" s="6">
        <v>8.5399999999999991</v>
      </c>
      <c r="C49" s="6">
        <v>25.7</v>
      </c>
      <c r="D49" s="6">
        <v>21.62</v>
      </c>
      <c r="E49" s="6">
        <v>11.99</v>
      </c>
      <c r="F49" s="6">
        <v>8.27</v>
      </c>
      <c r="G49" s="6">
        <v>72.64</v>
      </c>
      <c r="H49" s="6">
        <v>24.74</v>
      </c>
      <c r="I49" s="6">
        <v>6.1</v>
      </c>
      <c r="J49" s="6">
        <v>1.1599999999999999</v>
      </c>
      <c r="K49" s="6">
        <v>53.26</v>
      </c>
      <c r="L49" s="6">
        <v>29.38</v>
      </c>
      <c r="M49" s="6">
        <v>41.21</v>
      </c>
      <c r="N49" s="6">
        <v>310.8</v>
      </c>
      <c r="O49" s="6">
        <v>0</v>
      </c>
      <c r="P49" s="6">
        <v>0.6</v>
      </c>
      <c r="Q49" s="6">
        <v>4.7300000000000004</v>
      </c>
    </row>
    <row r="50" spans="1:17" customFormat="1">
      <c r="A50" s="82">
        <v>45357.4375</v>
      </c>
      <c r="B50" s="6">
        <v>8.3000000000000007</v>
      </c>
      <c r="C50" s="6">
        <v>24.94</v>
      </c>
      <c r="D50" s="6">
        <v>21.04</v>
      </c>
      <c r="E50" s="6">
        <v>16.920000000000002</v>
      </c>
      <c r="F50" s="6">
        <v>8.43</v>
      </c>
      <c r="G50" s="6">
        <v>72.64</v>
      </c>
      <c r="H50" s="6">
        <v>24.74</v>
      </c>
      <c r="I50" s="6">
        <v>6.08</v>
      </c>
      <c r="J50" s="6">
        <v>0.44</v>
      </c>
      <c r="K50" s="6">
        <v>32.26</v>
      </c>
      <c r="L50" s="6">
        <v>29.86</v>
      </c>
      <c r="M50" s="6">
        <v>40.49</v>
      </c>
      <c r="N50" s="6">
        <v>452.9</v>
      </c>
      <c r="O50" s="6">
        <v>0</v>
      </c>
      <c r="P50" s="6">
        <v>0.62</v>
      </c>
      <c r="Q50" s="6">
        <v>4.72</v>
      </c>
    </row>
    <row r="51" spans="1:17" customFormat="1">
      <c r="A51" s="82">
        <v>45357.447916666664</v>
      </c>
      <c r="B51" s="6">
        <v>7.5</v>
      </c>
      <c r="C51" s="6">
        <v>24.55</v>
      </c>
      <c r="D51" s="6">
        <v>20.190000000000001</v>
      </c>
      <c r="E51" s="6">
        <v>12.98</v>
      </c>
      <c r="F51" s="6">
        <v>7.62</v>
      </c>
      <c r="G51" s="6">
        <v>72.64</v>
      </c>
      <c r="H51" s="6">
        <v>24.74</v>
      </c>
      <c r="I51" s="6">
        <v>6.06</v>
      </c>
      <c r="J51" s="6">
        <v>0.1</v>
      </c>
      <c r="K51" s="6">
        <v>235.35</v>
      </c>
      <c r="L51" s="6">
        <v>31.02</v>
      </c>
      <c r="M51" s="6">
        <v>38.81</v>
      </c>
      <c r="N51" s="6">
        <v>488.6</v>
      </c>
      <c r="O51" s="6">
        <v>0</v>
      </c>
      <c r="P51" s="6">
        <v>0.63</v>
      </c>
      <c r="Q51" s="6">
        <v>4.7</v>
      </c>
    </row>
    <row r="52" spans="1:17" customFormat="1">
      <c r="A52" s="82">
        <v>45357.458333333336</v>
      </c>
      <c r="B52" s="6">
        <v>6.77</v>
      </c>
      <c r="C52" s="6">
        <v>24.23</v>
      </c>
      <c r="D52" s="6">
        <v>19.440000000000001</v>
      </c>
      <c r="E52" s="6">
        <v>13.68</v>
      </c>
      <c r="F52" s="6">
        <v>9.56</v>
      </c>
      <c r="G52" s="6">
        <v>72.73</v>
      </c>
      <c r="H52" s="6">
        <v>24.85</v>
      </c>
      <c r="I52" s="6">
        <v>6.12</v>
      </c>
      <c r="J52" s="6">
        <v>0.41</v>
      </c>
      <c r="K52" s="6">
        <v>80.709999999999994</v>
      </c>
      <c r="L52" s="6">
        <v>31.75</v>
      </c>
      <c r="M52" s="6">
        <v>37.22</v>
      </c>
      <c r="N52" s="6">
        <v>521</v>
      </c>
      <c r="O52" s="6">
        <v>0</v>
      </c>
      <c r="P52" s="6">
        <v>0.64</v>
      </c>
      <c r="Q52" s="6">
        <v>4.71</v>
      </c>
    </row>
    <row r="53" spans="1:17" customFormat="1">
      <c r="A53" s="82">
        <v>45357.46875</v>
      </c>
      <c r="B53" s="6">
        <v>6.14</v>
      </c>
      <c r="C53" s="6">
        <v>24.33</v>
      </c>
      <c r="D53" s="6">
        <v>18.989999999999998</v>
      </c>
      <c r="E53" s="6">
        <v>14.43</v>
      </c>
      <c r="F53" s="6">
        <v>10.01</v>
      </c>
      <c r="G53" s="6">
        <v>73.98</v>
      </c>
      <c r="H53" s="6">
        <v>26.22</v>
      </c>
      <c r="I53" s="6">
        <v>6.07</v>
      </c>
      <c r="J53" s="6">
        <v>0.59</v>
      </c>
      <c r="K53" s="6">
        <v>53.1</v>
      </c>
      <c r="L53" s="6">
        <v>32.15</v>
      </c>
      <c r="M53" s="6">
        <v>36.43</v>
      </c>
      <c r="N53" s="6">
        <v>517.20000000000005</v>
      </c>
      <c r="O53" s="6">
        <v>0</v>
      </c>
      <c r="P53" s="6">
        <v>0.65</v>
      </c>
      <c r="Q53" s="6">
        <v>4.7</v>
      </c>
    </row>
    <row r="54" spans="1:17" customFormat="1">
      <c r="A54" s="82">
        <v>45357.479166666664</v>
      </c>
      <c r="B54" s="6">
        <v>5.61</v>
      </c>
      <c r="C54" s="6">
        <v>24.15</v>
      </c>
      <c r="D54" s="6">
        <v>18.47</v>
      </c>
      <c r="E54" s="6">
        <v>19.93</v>
      </c>
      <c r="F54" s="6">
        <v>16.59</v>
      </c>
      <c r="G54" s="6">
        <v>73.98</v>
      </c>
      <c r="H54" s="6">
        <v>26.22</v>
      </c>
      <c r="I54" s="6">
        <v>6.05</v>
      </c>
      <c r="J54" s="6">
        <v>0.51</v>
      </c>
      <c r="K54" s="6">
        <v>42.25</v>
      </c>
      <c r="L54" s="6">
        <v>32.54</v>
      </c>
      <c r="M54" s="6">
        <v>36.19</v>
      </c>
      <c r="N54" s="6">
        <v>574.4</v>
      </c>
      <c r="O54" s="6">
        <v>0</v>
      </c>
      <c r="P54" s="6">
        <v>0.65</v>
      </c>
      <c r="Q54" s="6">
        <v>4.72</v>
      </c>
    </row>
    <row r="55" spans="1:17" customFormat="1">
      <c r="A55" s="82">
        <v>45357.489583333336</v>
      </c>
      <c r="B55" s="6">
        <v>4.63</v>
      </c>
      <c r="C55" s="6">
        <v>21.7</v>
      </c>
      <c r="D55" s="6">
        <v>16.399999999999999</v>
      </c>
      <c r="E55" s="6">
        <v>15.96</v>
      </c>
      <c r="F55" s="6">
        <v>16.22</v>
      </c>
      <c r="G55" s="6">
        <v>73.98</v>
      </c>
      <c r="H55" s="6">
        <v>26.22</v>
      </c>
      <c r="I55" s="6">
        <v>6.05</v>
      </c>
      <c r="J55" s="6">
        <v>0.18</v>
      </c>
      <c r="K55" s="6">
        <v>268.86</v>
      </c>
      <c r="L55" s="6">
        <v>33.89</v>
      </c>
      <c r="M55" s="6">
        <v>33.44</v>
      </c>
      <c r="N55" s="6">
        <v>574.4</v>
      </c>
      <c r="O55" s="6">
        <v>0</v>
      </c>
      <c r="P55" s="6">
        <v>0.62</v>
      </c>
      <c r="Q55" s="6">
        <v>4.75</v>
      </c>
    </row>
    <row r="56" spans="1:17" customFormat="1">
      <c r="A56" s="82">
        <v>45357.5</v>
      </c>
      <c r="B56" s="6">
        <v>3.57</v>
      </c>
      <c r="C56" s="6">
        <v>21.69</v>
      </c>
      <c r="D56" s="6">
        <v>15.55</v>
      </c>
      <c r="E56" s="6">
        <v>14.07</v>
      </c>
      <c r="F56" s="6">
        <v>14.32</v>
      </c>
      <c r="G56" s="6">
        <v>73.87</v>
      </c>
      <c r="H56" s="6">
        <v>26.35</v>
      </c>
      <c r="I56" s="6">
        <v>5.76</v>
      </c>
      <c r="J56" s="6">
        <v>0.35</v>
      </c>
      <c r="K56" s="6">
        <v>176.07</v>
      </c>
      <c r="L56" s="6">
        <v>34.25</v>
      </c>
      <c r="M56" s="6">
        <v>32.630000000000003</v>
      </c>
      <c r="N56" s="6">
        <v>570.70000000000005</v>
      </c>
      <c r="O56" s="6">
        <v>0</v>
      </c>
      <c r="P56" s="6">
        <v>0.57999999999999996</v>
      </c>
      <c r="Q56" s="6">
        <v>4.74</v>
      </c>
    </row>
    <row r="57" spans="1:17" customFormat="1">
      <c r="A57" s="82">
        <v>45357.510416666664</v>
      </c>
      <c r="B57" s="6">
        <v>3.32</v>
      </c>
      <c r="C57" s="6">
        <v>22.68</v>
      </c>
      <c r="D57" s="6">
        <v>15.86</v>
      </c>
      <c r="E57" s="6">
        <v>16.899999999999999</v>
      </c>
      <c r="F57" s="6">
        <v>17.739999999999998</v>
      </c>
      <c r="G57" s="6">
        <v>72.31</v>
      </c>
      <c r="H57" s="6">
        <v>27.85</v>
      </c>
      <c r="I57" s="6">
        <v>5.6</v>
      </c>
      <c r="J57" s="6">
        <v>0.36</v>
      </c>
      <c r="K57" s="6">
        <v>269.42</v>
      </c>
      <c r="L57" s="6">
        <v>34.6</v>
      </c>
      <c r="M57" s="6">
        <v>32.39</v>
      </c>
      <c r="N57" s="6">
        <v>572.29999999999995</v>
      </c>
      <c r="O57" s="6">
        <v>0</v>
      </c>
      <c r="P57" s="6">
        <v>0.57999999999999996</v>
      </c>
      <c r="Q57" s="6">
        <v>4.74</v>
      </c>
    </row>
    <row r="58" spans="1:17" customFormat="1">
      <c r="A58" s="82">
        <v>45357.520833333336</v>
      </c>
      <c r="B58" s="6">
        <v>4.82</v>
      </c>
      <c r="C58" s="6">
        <v>23.99</v>
      </c>
      <c r="D58" s="6">
        <v>17.75</v>
      </c>
      <c r="E58" s="6">
        <v>18.91</v>
      </c>
      <c r="F58" s="6">
        <v>16.63</v>
      </c>
      <c r="G58" s="6">
        <v>72.31</v>
      </c>
      <c r="H58" s="6">
        <v>27.85</v>
      </c>
      <c r="I58" s="6">
        <v>5.52</v>
      </c>
      <c r="J58" s="6">
        <v>0.22</v>
      </c>
      <c r="K58" s="6">
        <v>251.83</v>
      </c>
      <c r="L58" s="6">
        <v>35.11</v>
      </c>
      <c r="M58" s="6">
        <v>30.6</v>
      </c>
      <c r="N58" s="6">
        <v>567.29999999999995</v>
      </c>
      <c r="O58" s="6">
        <v>0</v>
      </c>
      <c r="P58" s="6">
        <v>0.7</v>
      </c>
      <c r="Q58" s="6">
        <v>4.74</v>
      </c>
    </row>
    <row r="59" spans="1:17" customFormat="1">
      <c r="A59" s="82">
        <v>45357.53125</v>
      </c>
      <c r="B59" s="6">
        <v>4.63</v>
      </c>
      <c r="C59" s="6">
        <v>23.55</v>
      </c>
      <c r="D59" s="6">
        <v>17.37</v>
      </c>
      <c r="E59" s="6">
        <v>17.66</v>
      </c>
      <c r="F59" s="6">
        <v>19.02</v>
      </c>
      <c r="G59" s="6">
        <v>72.31</v>
      </c>
      <c r="H59" s="6">
        <v>27.85</v>
      </c>
      <c r="I59" s="6">
        <v>7.27</v>
      </c>
      <c r="J59" s="6">
        <v>0.39</v>
      </c>
      <c r="K59" s="6">
        <v>87.05</v>
      </c>
      <c r="L59" s="6">
        <v>34.96</v>
      </c>
      <c r="M59" s="6">
        <v>29.44</v>
      </c>
      <c r="N59" s="6">
        <v>580.20000000000005</v>
      </c>
      <c r="O59" s="6">
        <v>0</v>
      </c>
      <c r="P59" s="6">
        <v>0.72</v>
      </c>
      <c r="Q59" s="6">
        <v>4.72</v>
      </c>
    </row>
    <row r="60" spans="1:17" customFormat="1">
      <c r="A60" s="82">
        <v>45357.541666666664</v>
      </c>
      <c r="B60" s="6">
        <v>3.62</v>
      </c>
      <c r="C60" s="6">
        <v>25.35</v>
      </c>
      <c r="D60" s="6">
        <v>17.5</v>
      </c>
      <c r="E60" s="6">
        <v>19.98</v>
      </c>
      <c r="F60" s="6">
        <v>22.91</v>
      </c>
      <c r="G60" s="6">
        <v>73.86</v>
      </c>
      <c r="H60" s="6">
        <v>37.130000000000003</v>
      </c>
      <c r="I60" s="6">
        <v>10.59</v>
      </c>
      <c r="J60" s="6">
        <v>0.34</v>
      </c>
      <c r="K60" s="6">
        <v>236.95</v>
      </c>
      <c r="L60" s="6">
        <v>35.75</v>
      </c>
      <c r="M60" s="6">
        <v>26.74</v>
      </c>
      <c r="N60" s="6">
        <v>581.70000000000005</v>
      </c>
      <c r="O60" s="6">
        <v>0</v>
      </c>
      <c r="P60" s="6">
        <v>1.17</v>
      </c>
      <c r="Q60" s="6">
        <v>4.72</v>
      </c>
    </row>
    <row r="61" spans="1:17" customFormat="1">
      <c r="A61" s="82">
        <v>45357.552083333336</v>
      </c>
      <c r="B61" s="6">
        <v>3.26</v>
      </c>
      <c r="C61" s="6">
        <v>22.81</v>
      </c>
      <c r="D61" s="6">
        <v>15.89</v>
      </c>
      <c r="E61" s="6">
        <v>17.309999999999999</v>
      </c>
      <c r="F61" s="6">
        <v>15.34</v>
      </c>
      <c r="G61" s="6">
        <v>95.64</v>
      </c>
      <c r="H61" s="6">
        <v>131.54</v>
      </c>
      <c r="I61" s="6">
        <v>8.6300000000000008</v>
      </c>
      <c r="J61" s="6">
        <v>0.63</v>
      </c>
      <c r="K61" s="6">
        <v>259.17</v>
      </c>
      <c r="L61" s="6">
        <v>35.700000000000003</v>
      </c>
      <c r="M61" s="6">
        <v>24.4</v>
      </c>
      <c r="N61" s="6">
        <v>576.4</v>
      </c>
      <c r="O61" s="6">
        <v>0</v>
      </c>
      <c r="P61" s="6">
        <v>0.92</v>
      </c>
      <c r="Q61" s="6">
        <v>4.7300000000000004</v>
      </c>
    </row>
    <row r="62" spans="1:17" customFormat="1">
      <c r="A62" s="82">
        <v>45357.5625</v>
      </c>
      <c r="B62" s="6">
        <v>3.31</v>
      </c>
      <c r="C62" s="6">
        <v>21.13</v>
      </c>
      <c r="D62" s="6">
        <v>15.05</v>
      </c>
      <c r="E62" s="6">
        <v>17.7</v>
      </c>
      <c r="F62" s="6">
        <v>22.36</v>
      </c>
      <c r="G62" s="6">
        <v>95.64</v>
      </c>
      <c r="H62" s="6">
        <v>131.54</v>
      </c>
      <c r="I62" s="6">
        <v>16.920000000000002</v>
      </c>
      <c r="J62" s="6">
        <v>0.5</v>
      </c>
      <c r="K62" s="6">
        <v>30.05</v>
      </c>
      <c r="L62" s="6">
        <v>35.03</v>
      </c>
      <c r="M62" s="6">
        <v>24.15</v>
      </c>
      <c r="N62" s="6">
        <v>555.79999999999995</v>
      </c>
      <c r="O62" s="6">
        <v>0</v>
      </c>
      <c r="P62" s="6">
        <v>0.85</v>
      </c>
      <c r="Q62" s="6">
        <v>4.72</v>
      </c>
    </row>
    <row r="63" spans="1:17" customFormat="1">
      <c r="A63" s="82">
        <v>45357.572916666664</v>
      </c>
      <c r="B63" s="6">
        <v>3.32</v>
      </c>
      <c r="C63" s="6">
        <v>21.13</v>
      </c>
      <c r="D63" s="6">
        <v>15.06</v>
      </c>
      <c r="E63" s="6">
        <v>17.16</v>
      </c>
      <c r="F63" s="6">
        <v>17.77</v>
      </c>
      <c r="G63" s="6">
        <v>95.64</v>
      </c>
      <c r="H63" s="6">
        <v>131.54</v>
      </c>
      <c r="I63" s="6">
        <v>13.2</v>
      </c>
      <c r="J63" s="6">
        <v>1.2</v>
      </c>
      <c r="K63" s="6">
        <v>320.45</v>
      </c>
      <c r="L63" s="6">
        <v>35.049999999999997</v>
      </c>
      <c r="M63" s="6">
        <v>24.12</v>
      </c>
      <c r="N63" s="6">
        <v>535.29999999999995</v>
      </c>
      <c r="O63" s="6">
        <v>0</v>
      </c>
      <c r="P63" s="6">
        <v>0.88</v>
      </c>
      <c r="Q63" s="6">
        <v>4.7</v>
      </c>
    </row>
    <row r="64" spans="1:17" customFormat="1">
      <c r="A64" s="82">
        <v>45357.583333333336</v>
      </c>
      <c r="B64" s="6">
        <v>3.49</v>
      </c>
      <c r="C64" s="6">
        <v>20.91</v>
      </c>
      <c r="D64" s="6">
        <v>15.08</v>
      </c>
      <c r="E64" s="6">
        <v>17.47</v>
      </c>
      <c r="F64" s="6">
        <v>21.84</v>
      </c>
      <c r="G64" s="6">
        <v>95.29</v>
      </c>
      <c r="H64" s="6">
        <v>124.29</v>
      </c>
      <c r="I64" s="6">
        <v>10.88</v>
      </c>
      <c r="J64" s="6">
        <v>0.55000000000000004</v>
      </c>
      <c r="K64" s="6">
        <v>321.10000000000002</v>
      </c>
      <c r="L64" s="6">
        <v>35.08</v>
      </c>
      <c r="M64" s="6">
        <v>24.78</v>
      </c>
      <c r="N64" s="6">
        <v>544.1</v>
      </c>
      <c r="O64" s="6">
        <v>0</v>
      </c>
      <c r="P64" s="6">
        <v>0.84</v>
      </c>
      <c r="Q64" s="6">
        <v>4.71</v>
      </c>
    </row>
    <row r="65" spans="1:17" customFormat="1">
      <c r="A65" s="82">
        <v>45357.59375</v>
      </c>
      <c r="B65" s="6">
        <v>3.29</v>
      </c>
      <c r="C65" s="6">
        <v>19.86</v>
      </c>
      <c r="D65" s="6">
        <v>14.37</v>
      </c>
      <c r="E65" s="6">
        <v>16.329999999999998</v>
      </c>
      <c r="F65" s="6">
        <v>19.510000000000002</v>
      </c>
      <c r="G65" s="6">
        <v>90.35</v>
      </c>
      <c r="H65" s="6">
        <v>35.89</v>
      </c>
      <c r="I65" s="6">
        <v>10.98</v>
      </c>
      <c r="J65" s="6">
        <v>0.52</v>
      </c>
      <c r="K65" s="6">
        <v>258.69</v>
      </c>
      <c r="L65" s="6">
        <v>35.770000000000003</v>
      </c>
      <c r="M65" s="6">
        <v>21.98</v>
      </c>
      <c r="N65" s="6">
        <v>535.70000000000005</v>
      </c>
      <c r="O65" s="6">
        <v>0</v>
      </c>
      <c r="P65" s="6">
        <v>0.79</v>
      </c>
      <c r="Q65" s="6">
        <v>4.7</v>
      </c>
    </row>
    <row r="66" spans="1:17" customFormat="1">
      <c r="A66" s="82">
        <v>45357.604166666664</v>
      </c>
      <c r="B66" s="6">
        <v>3.25</v>
      </c>
      <c r="C66" s="6">
        <v>19.47</v>
      </c>
      <c r="D66" s="6">
        <v>14.13</v>
      </c>
      <c r="E66" s="6">
        <v>14.48</v>
      </c>
      <c r="F66" s="6">
        <v>16.45</v>
      </c>
      <c r="G66" s="6">
        <v>90.35</v>
      </c>
      <c r="H66" s="6">
        <v>35.89</v>
      </c>
      <c r="I66" s="6">
        <v>10.119999999999999</v>
      </c>
      <c r="J66" s="6">
        <v>0.53</v>
      </c>
      <c r="K66" s="6">
        <v>274.14999999999998</v>
      </c>
      <c r="L66" s="6">
        <v>36.01</v>
      </c>
      <c r="M66" s="6">
        <v>20.78</v>
      </c>
      <c r="N66" s="6">
        <v>495.8</v>
      </c>
      <c r="O66" s="6">
        <v>0</v>
      </c>
      <c r="P66" s="6">
        <v>0.81</v>
      </c>
      <c r="Q66" s="6">
        <v>4.71</v>
      </c>
    </row>
    <row r="67" spans="1:17" customFormat="1">
      <c r="A67" s="82">
        <v>45357.614583333336</v>
      </c>
      <c r="B67" s="6">
        <v>3.27</v>
      </c>
      <c r="C67" s="6">
        <v>18.899999999999999</v>
      </c>
      <c r="D67" s="6">
        <v>13.84</v>
      </c>
      <c r="E67" s="6">
        <v>14.9</v>
      </c>
      <c r="F67" s="6">
        <v>17.48</v>
      </c>
      <c r="G67" s="6">
        <v>90.35</v>
      </c>
      <c r="H67" s="6">
        <v>35.89</v>
      </c>
      <c r="I67" s="6">
        <v>9.68</v>
      </c>
      <c r="J67" s="6">
        <v>0.57999999999999996</v>
      </c>
      <c r="K67" s="6">
        <v>273.86</v>
      </c>
      <c r="L67" s="6">
        <v>35.46</v>
      </c>
      <c r="M67" s="6">
        <v>21.75</v>
      </c>
      <c r="N67" s="6">
        <v>421.2</v>
      </c>
      <c r="O67" s="6">
        <v>0</v>
      </c>
      <c r="P67" s="6">
        <v>0.76</v>
      </c>
      <c r="Q67" s="6">
        <v>4.71</v>
      </c>
    </row>
    <row r="68" spans="1:17" customFormat="1">
      <c r="A68" s="82">
        <v>45357.625</v>
      </c>
      <c r="B68" s="6">
        <v>3.23</v>
      </c>
      <c r="C68" s="6">
        <v>18.63</v>
      </c>
      <c r="D68" s="6">
        <v>13.68</v>
      </c>
      <c r="E68" s="6">
        <v>15.4</v>
      </c>
      <c r="F68" s="6">
        <v>22.95</v>
      </c>
      <c r="G68" s="6">
        <v>88.79</v>
      </c>
      <c r="H68" s="6">
        <v>34.68</v>
      </c>
      <c r="I68" s="6">
        <v>9.4</v>
      </c>
      <c r="J68" s="6">
        <v>0.35</v>
      </c>
      <c r="K68" s="6">
        <v>224.03</v>
      </c>
      <c r="L68" s="6">
        <v>35.89</v>
      </c>
      <c r="M68" s="6">
        <v>23.31</v>
      </c>
      <c r="N68" s="6">
        <v>354.5</v>
      </c>
      <c r="O68" s="6">
        <v>0</v>
      </c>
      <c r="P68" s="6">
        <v>0.74</v>
      </c>
      <c r="Q68" s="6">
        <v>4.71</v>
      </c>
    </row>
    <row r="69" spans="1:17" customFormat="1">
      <c r="A69" s="82">
        <v>45357.635416666664</v>
      </c>
      <c r="B69" s="6">
        <v>3.24</v>
      </c>
      <c r="C69" s="6">
        <v>17.420000000000002</v>
      </c>
      <c r="D69" s="6">
        <v>13.05</v>
      </c>
      <c r="E69" s="6">
        <v>17.02</v>
      </c>
      <c r="F69" s="6">
        <v>22.68</v>
      </c>
      <c r="G69" s="6">
        <v>67.010000000000005</v>
      </c>
      <c r="H69" s="6">
        <v>19.93</v>
      </c>
      <c r="I69" s="6">
        <v>8.76</v>
      </c>
      <c r="J69" s="6">
        <v>0.31</v>
      </c>
      <c r="K69" s="6">
        <v>208.78</v>
      </c>
      <c r="L69" s="6">
        <v>35.5</v>
      </c>
      <c r="M69" s="6">
        <v>25.39</v>
      </c>
      <c r="N69" s="6">
        <v>168</v>
      </c>
      <c r="O69" s="6">
        <v>0</v>
      </c>
      <c r="P69" s="6">
        <v>0.69</v>
      </c>
      <c r="Q69" s="6">
        <v>4.7300000000000004</v>
      </c>
    </row>
    <row r="70" spans="1:17" customFormat="1">
      <c r="A70" s="82">
        <v>45357.645833333336</v>
      </c>
      <c r="B70" s="6">
        <v>3.27</v>
      </c>
      <c r="C70" s="6">
        <v>17.190000000000001</v>
      </c>
      <c r="D70" s="6">
        <v>12.96</v>
      </c>
      <c r="E70" s="6">
        <v>17.510000000000002</v>
      </c>
      <c r="F70" s="6">
        <v>23.2</v>
      </c>
      <c r="G70" s="6">
        <v>67.010000000000005</v>
      </c>
      <c r="H70" s="6">
        <v>19.93</v>
      </c>
      <c r="I70" s="6">
        <v>8.14</v>
      </c>
      <c r="J70" s="6">
        <v>0.59</v>
      </c>
      <c r="K70" s="6">
        <v>278.95999999999998</v>
      </c>
      <c r="L70" s="6">
        <v>34.619999999999997</v>
      </c>
      <c r="M70" s="6">
        <v>27.21</v>
      </c>
      <c r="N70" s="6">
        <v>136.1</v>
      </c>
      <c r="O70" s="6">
        <v>0</v>
      </c>
      <c r="P70" s="6">
        <v>0.69</v>
      </c>
      <c r="Q70" s="6">
        <v>4.72</v>
      </c>
    </row>
    <row r="71" spans="1:17" customFormat="1">
      <c r="A71" s="82">
        <v>45357.65625</v>
      </c>
      <c r="B71" s="6">
        <v>3.24</v>
      </c>
      <c r="C71" s="6">
        <v>17.12</v>
      </c>
      <c r="D71" s="6">
        <v>12.9</v>
      </c>
      <c r="E71" s="6">
        <v>19.16</v>
      </c>
      <c r="F71" s="6">
        <v>33.85</v>
      </c>
      <c r="G71" s="6">
        <v>67.010000000000005</v>
      </c>
      <c r="H71" s="6">
        <v>19.93</v>
      </c>
      <c r="I71" s="6">
        <v>7.8</v>
      </c>
      <c r="J71" s="6">
        <v>0.21</v>
      </c>
      <c r="K71" s="6">
        <v>321.29000000000002</v>
      </c>
      <c r="L71" s="6">
        <v>34.56</v>
      </c>
      <c r="M71" s="6">
        <v>26.42</v>
      </c>
      <c r="N71" s="6">
        <v>189.1</v>
      </c>
      <c r="O71" s="6">
        <v>0</v>
      </c>
      <c r="P71" s="6">
        <v>0.68</v>
      </c>
      <c r="Q71" s="6">
        <v>4.71</v>
      </c>
    </row>
    <row r="72" spans="1:17" customFormat="1">
      <c r="A72" s="82">
        <v>45357.666666666664</v>
      </c>
      <c r="B72" s="6">
        <v>4.9000000000000004</v>
      </c>
      <c r="C72" s="6">
        <v>16.47</v>
      </c>
      <c r="D72" s="6">
        <v>13.88</v>
      </c>
      <c r="E72" s="6">
        <v>23.96</v>
      </c>
      <c r="F72" s="6">
        <v>38.340000000000003</v>
      </c>
      <c r="G72" s="6">
        <v>68.069999999999993</v>
      </c>
      <c r="H72" s="6">
        <v>23.95</v>
      </c>
      <c r="I72" s="6">
        <v>7.56</v>
      </c>
      <c r="J72" s="6">
        <v>0.22</v>
      </c>
      <c r="K72" s="6">
        <v>254.56</v>
      </c>
      <c r="L72" s="6">
        <v>34.58</v>
      </c>
      <c r="M72" s="6">
        <v>27.08</v>
      </c>
      <c r="N72" s="6">
        <v>145</v>
      </c>
      <c r="O72" s="6">
        <v>0</v>
      </c>
      <c r="P72" s="6">
        <v>0.79</v>
      </c>
      <c r="Q72" s="6">
        <v>4.6900000000000004</v>
      </c>
    </row>
    <row r="73" spans="1:17" customFormat="1">
      <c r="A73" s="82">
        <v>45357.677083333336</v>
      </c>
      <c r="B73" s="6">
        <v>4.21</v>
      </c>
      <c r="C73" s="6">
        <v>15.23</v>
      </c>
      <c r="D73" s="6">
        <v>12.69</v>
      </c>
      <c r="E73" s="6">
        <v>29.14</v>
      </c>
      <c r="F73" s="6">
        <v>50.32</v>
      </c>
      <c r="G73" s="6">
        <v>82.98</v>
      </c>
      <c r="H73" s="6">
        <v>73.08</v>
      </c>
      <c r="I73" s="6">
        <v>7.03</v>
      </c>
      <c r="J73" s="6">
        <v>0.28000000000000003</v>
      </c>
      <c r="K73" s="6">
        <v>191.34</v>
      </c>
      <c r="L73" s="6">
        <v>33.82</v>
      </c>
      <c r="M73" s="6">
        <v>30.46</v>
      </c>
      <c r="N73" s="6">
        <v>65.5</v>
      </c>
      <c r="O73" s="6">
        <v>0</v>
      </c>
      <c r="P73" s="6">
        <v>0.64</v>
      </c>
      <c r="Q73" s="6">
        <v>4.67</v>
      </c>
    </row>
    <row r="74" spans="1:17" customFormat="1">
      <c r="A74" s="82">
        <v>45357.6875</v>
      </c>
      <c r="B74" s="6">
        <v>3.4</v>
      </c>
      <c r="C74" s="6">
        <v>14.37</v>
      </c>
      <c r="D74" s="6">
        <v>11.58</v>
      </c>
      <c r="E74" s="6">
        <v>30.22</v>
      </c>
      <c r="F74" s="6">
        <v>40.85</v>
      </c>
      <c r="G74" s="6">
        <v>82.98</v>
      </c>
      <c r="H74" s="6">
        <v>73.08</v>
      </c>
      <c r="I74" s="6">
        <v>9.76</v>
      </c>
      <c r="J74" s="6">
        <v>0.23</v>
      </c>
      <c r="K74" s="6">
        <v>243.06</v>
      </c>
      <c r="L74" s="6">
        <v>32.950000000000003</v>
      </c>
      <c r="M74" s="6">
        <v>31.95</v>
      </c>
      <c r="N74" s="6">
        <v>45.3</v>
      </c>
      <c r="O74" s="6">
        <v>0</v>
      </c>
      <c r="P74" s="6">
        <v>0.71</v>
      </c>
      <c r="Q74" s="6">
        <v>4.68</v>
      </c>
    </row>
    <row r="75" spans="1:17" customFormat="1">
      <c r="A75" s="82">
        <v>45357.697916666664</v>
      </c>
      <c r="B75" s="6">
        <v>3.13</v>
      </c>
      <c r="C75" s="6">
        <v>14.08</v>
      </c>
      <c r="D75" s="6">
        <v>11.22</v>
      </c>
      <c r="E75" s="6">
        <v>31.73</v>
      </c>
      <c r="F75" s="6">
        <v>43.82</v>
      </c>
      <c r="G75" s="6">
        <v>82.98</v>
      </c>
      <c r="H75" s="6">
        <v>73.08</v>
      </c>
      <c r="I75" s="6">
        <v>6.67</v>
      </c>
      <c r="J75" s="6">
        <v>0.22</v>
      </c>
      <c r="K75" s="6">
        <v>261.22000000000003</v>
      </c>
      <c r="L75" s="6">
        <v>32.85</v>
      </c>
      <c r="M75" s="6">
        <v>33</v>
      </c>
      <c r="N75" s="6">
        <v>80.8</v>
      </c>
      <c r="O75" s="6">
        <v>0</v>
      </c>
      <c r="P75" s="6">
        <v>0.74</v>
      </c>
      <c r="Q75" s="6">
        <v>4.67</v>
      </c>
    </row>
    <row r="76" spans="1:17" customFormat="1">
      <c r="A76" s="82">
        <v>45357.708333333336</v>
      </c>
      <c r="B76" s="6">
        <v>3.22</v>
      </c>
      <c r="C76" s="6">
        <v>15.5</v>
      </c>
      <c r="D76" s="6">
        <v>12.03</v>
      </c>
      <c r="E76" s="6">
        <v>33.1</v>
      </c>
      <c r="F76" s="6">
        <v>46.76</v>
      </c>
      <c r="G76" s="6">
        <v>82.25</v>
      </c>
      <c r="H76" s="6">
        <v>69.19</v>
      </c>
      <c r="I76" s="6">
        <v>7.15</v>
      </c>
      <c r="J76" s="6">
        <v>0.2</v>
      </c>
      <c r="K76" s="6">
        <v>254.19</v>
      </c>
      <c r="L76" s="6">
        <v>33.18</v>
      </c>
      <c r="M76" s="6">
        <v>31.02</v>
      </c>
      <c r="N76" s="6">
        <v>76.3</v>
      </c>
      <c r="O76" s="6">
        <v>0</v>
      </c>
      <c r="P76" s="6">
        <v>0.7</v>
      </c>
      <c r="Q76" s="6">
        <v>4.67</v>
      </c>
    </row>
    <row r="77" spans="1:17" customFormat="1">
      <c r="A77" s="82">
        <v>45357.71875</v>
      </c>
      <c r="B77" s="6">
        <v>3.11</v>
      </c>
      <c r="C77" s="6">
        <v>14.14</v>
      </c>
      <c r="D77" s="6">
        <v>11.23</v>
      </c>
      <c r="E77" s="6">
        <v>34.14</v>
      </c>
      <c r="F77" s="6">
        <v>42.41</v>
      </c>
      <c r="G77" s="6">
        <v>72.03</v>
      </c>
      <c r="H77" s="6">
        <v>21.66</v>
      </c>
      <c r="I77" s="6">
        <v>7.35</v>
      </c>
      <c r="J77" s="6">
        <v>0.18</v>
      </c>
      <c r="K77" s="6">
        <v>87.88</v>
      </c>
      <c r="L77" s="6">
        <v>33.1</v>
      </c>
      <c r="M77" s="6">
        <v>31.48</v>
      </c>
      <c r="N77" s="6">
        <v>40.299999999999997</v>
      </c>
      <c r="O77" s="6">
        <v>0</v>
      </c>
      <c r="P77" s="6">
        <v>0.72</v>
      </c>
      <c r="Q77" s="6">
        <v>4.67</v>
      </c>
    </row>
    <row r="78" spans="1:17" customFormat="1">
      <c r="A78" s="82">
        <v>45357.729166666664</v>
      </c>
      <c r="B78" s="6">
        <v>6.27</v>
      </c>
      <c r="C78" s="6">
        <v>25.03</v>
      </c>
      <c r="D78" s="6">
        <v>19.46</v>
      </c>
      <c r="E78" s="6">
        <v>35.15</v>
      </c>
      <c r="F78" s="6">
        <v>26.84</v>
      </c>
      <c r="G78" s="6">
        <v>72.03</v>
      </c>
      <c r="H78" s="6">
        <v>21.66</v>
      </c>
      <c r="I78" s="6">
        <v>6.95</v>
      </c>
      <c r="J78" s="6">
        <v>0.71</v>
      </c>
      <c r="K78" s="6">
        <v>56.97</v>
      </c>
      <c r="L78" s="6">
        <v>32.799999999999997</v>
      </c>
      <c r="M78" s="6">
        <v>30.57</v>
      </c>
      <c r="N78" s="6">
        <v>14.6</v>
      </c>
      <c r="O78" s="6">
        <v>0</v>
      </c>
      <c r="P78" s="6">
        <v>0.84</v>
      </c>
      <c r="Q78" s="6">
        <v>4.66</v>
      </c>
    </row>
    <row r="79" spans="1:17" customFormat="1">
      <c r="A79" s="82">
        <v>45357.739583333336</v>
      </c>
      <c r="B79" s="6">
        <v>5.96</v>
      </c>
      <c r="C79" s="6">
        <v>26.4</v>
      </c>
      <c r="D79" s="6">
        <v>19.920000000000002</v>
      </c>
      <c r="E79" s="6">
        <v>38.229999999999997</v>
      </c>
      <c r="F79" s="6">
        <v>21.16</v>
      </c>
      <c r="G79" s="6">
        <v>72.03</v>
      </c>
      <c r="H79" s="6">
        <v>21.66</v>
      </c>
      <c r="I79" s="6">
        <v>6.96</v>
      </c>
      <c r="J79" s="6">
        <v>0.81</v>
      </c>
      <c r="K79" s="6">
        <v>62.29</v>
      </c>
      <c r="L79" s="6">
        <v>32.32</v>
      </c>
      <c r="M79" s="6">
        <v>30.72</v>
      </c>
      <c r="N79" s="6">
        <v>2.5</v>
      </c>
      <c r="O79" s="6">
        <v>0</v>
      </c>
      <c r="P79" s="6">
        <v>0.83</v>
      </c>
      <c r="Q79" s="6">
        <v>4.6500000000000004</v>
      </c>
    </row>
    <row r="80" spans="1:17" customFormat="1">
      <c r="A80" s="82">
        <v>45357.75</v>
      </c>
      <c r="B80" s="6">
        <v>8.7200000000000006</v>
      </c>
      <c r="C80" s="6">
        <v>29.75</v>
      </c>
      <c r="D80" s="6">
        <v>23.89</v>
      </c>
      <c r="E80" s="6">
        <v>36.119999999999997</v>
      </c>
      <c r="F80" s="6">
        <v>17.28</v>
      </c>
      <c r="G80" s="6">
        <v>72.98</v>
      </c>
      <c r="H80" s="6">
        <v>22.41</v>
      </c>
      <c r="I80" s="6">
        <v>7.36</v>
      </c>
      <c r="J80" s="6">
        <v>0.64</v>
      </c>
      <c r="K80" s="6">
        <v>62.58</v>
      </c>
      <c r="L80" s="6">
        <v>31.9</v>
      </c>
      <c r="M80" s="6">
        <v>31.86</v>
      </c>
      <c r="N80" s="6">
        <v>0</v>
      </c>
      <c r="O80" s="6">
        <v>0</v>
      </c>
      <c r="P80" s="6">
        <v>0.93</v>
      </c>
      <c r="Q80" s="6">
        <v>4.6500000000000004</v>
      </c>
    </row>
    <row r="81" spans="1:17" customFormat="1">
      <c r="A81" s="82">
        <v>45357.760416666664</v>
      </c>
      <c r="B81" s="6">
        <v>5.72</v>
      </c>
      <c r="C81" s="6">
        <v>27.47</v>
      </c>
      <c r="D81" s="6">
        <v>20.29</v>
      </c>
      <c r="E81" s="6">
        <v>16.79</v>
      </c>
      <c r="F81" s="6">
        <v>17.489999999999998</v>
      </c>
      <c r="G81" s="6">
        <v>86.15</v>
      </c>
      <c r="H81" s="6">
        <v>31.41</v>
      </c>
      <c r="I81" s="6">
        <v>7.33</v>
      </c>
      <c r="J81" s="6">
        <v>0.27</v>
      </c>
      <c r="K81" s="6">
        <v>140.94999999999999</v>
      </c>
      <c r="L81" s="6">
        <v>31.19</v>
      </c>
      <c r="M81" s="6">
        <v>37.700000000000003</v>
      </c>
      <c r="N81" s="6">
        <v>0</v>
      </c>
      <c r="O81" s="6">
        <v>0</v>
      </c>
      <c r="P81" s="6">
        <v>0.96</v>
      </c>
      <c r="Q81" s="6">
        <v>4.6900000000000004</v>
      </c>
    </row>
    <row r="82" spans="1:17" customFormat="1">
      <c r="A82" s="82">
        <v>45357.770833333336</v>
      </c>
      <c r="B82" s="6">
        <v>4.17</v>
      </c>
      <c r="C82" s="6">
        <v>25.75</v>
      </c>
      <c r="D82" s="6">
        <v>18.149999999999999</v>
      </c>
      <c r="E82" s="6">
        <v>20.59</v>
      </c>
      <c r="F82" s="6">
        <v>14.88</v>
      </c>
      <c r="G82" s="6">
        <v>86.15</v>
      </c>
      <c r="H82" s="6">
        <v>31.41</v>
      </c>
      <c r="I82" s="6">
        <v>7.42</v>
      </c>
      <c r="J82" s="6">
        <v>0.3</v>
      </c>
      <c r="K82" s="6">
        <v>166.71</v>
      </c>
      <c r="L82" s="6">
        <v>30.5</v>
      </c>
      <c r="M82" s="6">
        <v>40.42</v>
      </c>
      <c r="N82" s="6">
        <v>0</v>
      </c>
      <c r="O82" s="6">
        <v>0</v>
      </c>
      <c r="P82" s="6">
        <v>0.9</v>
      </c>
      <c r="Q82" s="6">
        <v>4.74</v>
      </c>
    </row>
    <row r="83" spans="1:17" customFormat="1">
      <c r="A83" s="82">
        <v>45357.78125</v>
      </c>
      <c r="B83" s="6">
        <v>4.74</v>
      </c>
      <c r="C83" s="6">
        <v>32.43</v>
      </c>
      <c r="D83" s="6">
        <v>22.09</v>
      </c>
      <c r="E83" s="6">
        <v>22.06</v>
      </c>
      <c r="F83" s="6">
        <v>9.25</v>
      </c>
      <c r="G83" s="6">
        <v>86.15</v>
      </c>
      <c r="H83" s="6">
        <v>31.41</v>
      </c>
      <c r="I83" s="6">
        <v>7.43</v>
      </c>
      <c r="J83" s="6">
        <v>0.15</v>
      </c>
      <c r="K83" s="6">
        <v>184.05</v>
      </c>
      <c r="L83" s="6">
        <v>30.09</v>
      </c>
      <c r="M83" s="6">
        <v>40.840000000000003</v>
      </c>
      <c r="N83" s="6">
        <v>0</v>
      </c>
      <c r="O83" s="6">
        <v>0</v>
      </c>
      <c r="P83" s="6">
        <v>0.98</v>
      </c>
      <c r="Q83" s="6">
        <v>4.75</v>
      </c>
    </row>
    <row r="84" spans="1:17" customFormat="1">
      <c r="A84" s="82">
        <v>45357.791666666664</v>
      </c>
      <c r="B84" s="6">
        <v>4.3600000000000003</v>
      </c>
      <c r="C84" s="6">
        <v>33.28</v>
      </c>
      <c r="D84" s="6">
        <v>22.24</v>
      </c>
      <c r="E84" s="6">
        <v>19.899999999999999</v>
      </c>
      <c r="F84" s="6">
        <v>7.38</v>
      </c>
      <c r="G84" s="6">
        <v>89.15</v>
      </c>
      <c r="H84" s="6">
        <v>33.29</v>
      </c>
      <c r="I84" s="6">
        <v>7.55</v>
      </c>
      <c r="J84" s="6">
        <v>0.33</v>
      </c>
      <c r="K84" s="6">
        <v>169.66</v>
      </c>
      <c r="L84" s="6">
        <v>29.65</v>
      </c>
      <c r="M84" s="6">
        <v>44.16</v>
      </c>
      <c r="N84" s="6">
        <v>0</v>
      </c>
      <c r="O84" s="6">
        <v>0</v>
      </c>
      <c r="P84" s="6">
        <v>0.98</v>
      </c>
      <c r="Q84" s="6">
        <v>4.75</v>
      </c>
    </row>
    <row r="85" spans="1:17" customFormat="1">
      <c r="A85" s="82">
        <v>45357.802083333336</v>
      </c>
      <c r="B85" s="6">
        <v>4.2</v>
      </c>
      <c r="C85" s="6">
        <v>31.76</v>
      </c>
      <c r="D85" s="6">
        <v>21.32</v>
      </c>
      <c r="E85" s="6">
        <v>19.77</v>
      </c>
      <c r="F85" s="6">
        <v>8.69</v>
      </c>
      <c r="G85" s="6">
        <v>131.11000000000001</v>
      </c>
      <c r="H85" s="6">
        <v>56.18</v>
      </c>
      <c r="I85" s="6">
        <v>8.19</v>
      </c>
      <c r="J85" s="6">
        <v>0.28000000000000003</v>
      </c>
      <c r="K85" s="6">
        <v>178.68</v>
      </c>
      <c r="L85" s="6">
        <v>28.69</v>
      </c>
      <c r="M85" s="6">
        <v>51.64</v>
      </c>
      <c r="N85" s="6">
        <v>0</v>
      </c>
      <c r="O85" s="6">
        <v>0</v>
      </c>
      <c r="P85" s="6">
        <v>1</v>
      </c>
      <c r="Q85" s="6">
        <v>4.75</v>
      </c>
    </row>
    <row r="86" spans="1:17" customFormat="1">
      <c r="A86" s="82">
        <v>45357.8125</v>
      </c>
      <c r="B86" s="6">
        <v>4.71</v>
      </c>
      <c r="C86" s="6">
        <v>31.9</v>
      </c>
      <c r="D86" s="6">
        <v>21.79</v>
      </c>
      <c r="E86" s="6">
        <v>19.38</v>
      </c>
      <c r="F86" s="6">
        <v>10.35</v>
      </c>
      <c r="G86" s="6">
        <v>131.11000000000001</v>
      </c>
      <c r="H86" s="6">
        <v>56.18</v>
      </c>
      <c r="I86" s="6">
        <v>8.27</v>
      </c>
      <c r="J86" s="6">
        <v>0.28999999999999998</v>
      </c>
      <c r="K86" s="6">
        <v>163.52000000000001</v>
      </c>
      <c r="L86" s="6">
        <v>28.51</v>
      </c>
      <c r="M86" s="6">
        <v>46.37</v>
      </c>
      <c r="N86" s="6">
        <v>0</v>
      </c>
      <c r="O86" s="6">
        <v>0</v>
      </c>
      <c r="P86" s="6">
        <v>1.04</v>
      </c>
      <c r="Q86" s="6">
        <v>4.75</v>
      </c>
    </row>
    <row r="87" spans="1:17" customFormat="1">
      <c r="A87" s="82">
        <v>45357.822916666664</v>
      </c>
      <c r="B87" s="6">
        <v>4.8899999999999997</v>
      </c>
      <c r="C87" s="6">
        <v>32.56</v>
      </c>
      <c r="D87" s="6">
        <v>22.28</v>
      </c>
      <c r="E87" s="6">
        <v>17.23</v>
      </c>
      <c r="F87" s="6">
        <v>8.41</v>
      </c>
      <c r="G87" s="6">
        <v>131.11000000000001</v>
      </c>
      <c r="H87" s="6">
        <v>56.18</v>
      </c>
      <c r="I87" s="6">
        <v>8.5</v>
      </c>
      <c r="J87" s="6">
        <v>0.33</v>
      </c>
      <c r="K87" s="6">
        <v>176.08</v>
      </c>
      <c r="L87" s="6">
        <v>28.57</v>
      </c>
      <c r="M87" s="6">
        <v>47.32</v>
      </c>
      <c r="N87" s="6">
        <v>0</v>
      </c>
      <c r="O87" s="6">
        <v>0</v>
      </c>
      <c r="P87" s="6">
        <v>1.03</v>
      </c>
      <c r="Q87" s="6">
        <v>4.75</v>
      </c>
    </row>
    <row r="88" spans="1:17" customFormat="1">
      <c r="A88" s="82">
        <v>45357.833333333336</v>
      </c>
      <c r="B88" s="6">
        <v>4.5</v>
      </c>
      <c r="C88" s="6">
        <v>29.76</v>
      </c>
      <c r="D88" s="6">
        <v>20.51</v>
      </c>
      <c r="E88" s="6">
        <v>19.04</v>
      </c>
      <c r="F88" s="6">
        <v>15.21</v>
      </c>
      <c r="G88" s="6">
        <v>132.61000000000001</v>
      </c>
      <c r="H88" s="6">
        <v>55.8</v>
      </c>
      <c r="I88" s="6">
        <v>8.76</v>
      </c>
      <c r="J88" s="6">
        <v>0.2</v>
      </c>
      <c r="K88" s="6">
        <v>181.08</v>
      </c>
      <c r="L88" s="6">
        <v>28.34</v>
      </c>
      <c r="M88" s="6">
        <v>46.44</v>
      </c>
      <c r="N88" s="6">
        <v>0</v>
      </c>
      <c r="O88" s="6">
        <v>0</v>
      </c>
      <c r="P88" s="6">
        <v>0.96</v>
      </c>
      <c r="Q88" s="6">
        <v>4.75</v>
      </c>
    </row>
    <row r="89" spans="1:17" customFormat="1">
      <c r="A89" s="82">
        <v>45357.84375</v>
      </c>
      <c r="B89" s="6">
        <v>4.24</v>
      </c>
      <c r="C89" s="6">
        <v>29.09</v>
      </c>
      <c r="D89" s="6">
        <v>19.95</v>
      </c>
      <c r="E89" s="6">
        <v>18.39</v>
      </c>
      <c r="F89" s="6">
        <v>11.61</v>
      </c>
      <c r="G89" s="6">
        <v>153.72999999999999</v>
      </c>
      <c r="H89" s="6">
        <v>51.17</v>
      </c>
      <c r="I89" s="6">
        <v>8.82</v>
      </c>
      <c r="J89" s="6">
        <v>0.35</v>
      </c>
      <c r="K89" s="6">
        <v>178.63</v>
      </c>
      <c r="L89" s="6">
        <v>28.18</v>
      </c>
      <c r="M89" s="6">
        <v>49.71</v>
      </c>
      <c r="N89" s="6">
        <v>0</v>
      </c>
      <c r="O89" s="6">
        <v>0</v>
      </c>
      <c r="P89" s="6">
        <v>0.97</v>
      </c>
      <c r="Q89" s="6">
        <v>4.75</v>
      </c>
    </row>
    <row r="90" spans="1:17" customFormat="1">
      <c r="A90" s="82">
        <v>45357.854166666664</v>
      </c>
      <c r="B90" s="6">
        <v>4.09</v>
      </c>
      <c r="C90" s="6">
        <v>28.07</v>
      </c>
      <c r="D90" s="6">
        <v>19.29</v>
      </c>
      <c r="E90" s="6">
        <v>16.809999999999999</v>
      </c>
      <c r="F90" s="6">
        <v>12.2</v>
      </c>
      <c r="G90" s="6">
        <v>153.72999999999999</v>
      </c>
      <c r="H90" s="6">
        <v>51.17</v>
      </c>
      <c r="I90" s="6">
        <v>8.89</v>
      </c>
      <c r="J90" s="6">
        <v>0.31</v>
      </c>
      <c r="K90" s="6">
        <v>184.95</v>
      </c>
      <c r="L90" s="6">
        <v>28.36</v>
      </c>
      <c r="M90" s="6">
        <v>48.46</v>
      </c>
      <c r="N90" s="6">
        <v>0</v>
      </c>
      <c r="O90" s="6">
        <v>0</v>
      </c>
      <c r="P90" s="6">
        <v>0.95</v>
      </c>
      <c r="Q90" s="6">
        <v>4.75</v>
      </c>
    </row>
    <row r="91" spans="1:17" customFormat="1">
      <c r="A91" s="82">
        <v>45357.864583333336</v>
      </c>
      <c r="B91" s="6">
        <v>3.98</v>
      </c>
      <c r="C91" s="6">
        <v>27.13</v>
      </c>
      <c r="D91" s="6">
        <v>18.72</v>
      </c>
      <c r="E91" s="6">
        <v>16.91</v>
      </c>
      <c r="F91" s="6">
        <v>13.99</v>
      </c>
      <c r="G91" s="6">
        <v>153.72999999999999</v>
      </c>
      <c r="H91" s="6">
        <v>51.17</v>
      </c>
      <c r="I91" s="6">
        <v>9</v>
      </c>
      <c r="J91" s="6">
        <v>0.22</v>
      </c>
      <c r="K91" s="6">
        <v>179.49</v>
      </c>
      <c r="L91" s="6">
        <v>27.85</v>
      </c>
      <c r="M91" s="6">
        <v>48.77</v>
      </c>
      <c r="N91" s="6">
        <v>0</v>
      </c>
      <c r="O91" s="6">
        <v>0</v>
      </c>
      <c r="P91" s="6">
        <v>0.94</v>
      </c>
      <c r="Q91" s="6">
        <v>4.74</v>
      </c>
    </row>
    <row r="92" spans="1:17" customFormat="1">
      <c r="A92" s="82">
        <v>45357.875</v>
      </c>
      <c r="B92" s="6">
        <v>5.39</v>
      </c>
      <c r="C92" s="6">
        <v>29.87</v>
      </c>
      <c r="D92" s="6">
        <v>21.28</v>
      </c>
      <c r="E92" s="6">
        <v>17.57</v>
      </c>
      <c r="F92" s="6">
        <v>12.15</v>
      </c>
      <c r="G92" s="6">
        <v>152.62</v>
      </c>
      <c r="H92" s="6">
        <v>50.69</v>
      </c>
      <c r="I92" s="6">
        <v>8.93</v>
      </c>
      <c r="J92" s="6">
        <v>0.36</v>
      </c>
      <c r="K92" s="6">
        <v>65.489999999999995</v>
      </c>
      <c r="L92" s="6">
        <v>28.16</v>
      </c>
      <c r="M92" s="6">
        <v>45.05</v>
      </c>
      <c r="N92" s="6">
        <v>0</v>
      </c>
      <c r="O92" s="6">
        <v>0</v>
      </c>
      <c r="P92" s="6">
        <v>0.96</v>
      </c>
      <c r="Q92" s="6">
        <v>4.74</v>
      </c>
    </row>
    <row r="93" spans="1:17" customFormat="1">
      <c r="A93" s="82">
        <v>45357.885416666664</v>
      </c>
      <c r="B93" s="6">
        <v>6.33</v>
      </c>
      <c r="C93" s="6">
        <v>31.24</v>
      </c>
      <c r="D93" s="6">
        <v>22.75</v>
      </c>
      <c r="E93" s="6">
        <v>18.28</v>
      </c>
      <c r="F93" s="6">
        <v>9.9700000000000006</v>
      </c>
      <c r="G93" s="6">
        <v>137</v>
      </c>
      <c r="H93" s="6">
        <v>44.81</v>
      </c>
      <c r="I93" s="6">
        <v>8.81</v>
      </c>
      <c r="J93" s="6">
        <v>0.63</v>
      </c>
      <c r="K93" s="6">
        <v>30.65</v>
      </c>
      <c r="L93" s="6">
        <v>28.3</v>
      </c>
      <c r="M93" s="6">
        <v>45.95</v>
      </c>
      <c r="N93" s="6">
        <v>0</v>
      </c>
      <c r="O93" s="6">
        <v>0</v>
      </c>
      <c r="P93" s="6">
        <v>0.95</v>
      </c>
      <c r="Q93" s="6">
        <v>4.7300000000000004</v>
      </c>
    </row>
    <row r="94" spans="1:17" customFormat="1">
      <c r="A94" s="82">
        <v>45357.895833333336</v>
      </c>
      <c r="B94" s="6">
        <v>5.85</v>
      </c>
      <c r="C94" s="6">
        <v>28.41</v>
      </c>
      <c r="D94" s="6">
        <v>20.89</v>
      </c>
      <c r="E94" s="6">
        <v>18.62</v>
      </c>
      <c r="F94" s="6">
        <v>14.06</v>
      </c>
      <c r="G94" s="6">
        <v>137</v>
      </c>
      <c r="H94" s="6">
        <v>44.81</v>
      </c>
      <c r="I94" s="6">
        <v>8.59</v>
      </c>
      <c r="J94" s="6">
        <v>1.7</v>
      </c>
      <c r="K94" s="6">
        <v>29.68</v>
      </c>
      <c r="L94" s="6">
        <v>27.88</v>
      </c>
      <c r="M94" s="6">
        <v>48.33</v>
      </c>
      <c r="N94" s="6">
        <v>0</v>
      </c>
      <c r="O94" s="6">
        <v>0</v>
      </c>
      <c r="P94" s="6">
        <v>0.93</v>
      </c>
      <c r="Q94" s="6">
        <v>4.74</v>
      </c>
    </row>
    <row r="95" spans="1:17" customFormat="1">
      <c r="A95" s="82">
        <v>45357.90625</v>
      </c>
      <c r="B95" s="6">
        <v>5.0999999999999996</v>
      </c>
      <c r="C95" s="6">
        <v>28.2</v>
      </c>
      <c r="D95" s="6">
        <v>20.18</v>
      </c>
      <c r="E95" s="6">
        <v>20.83</v>
      </c>
      <c r="F95" s="6">
        <v>13.92</v>
      </c>
      <c r="G95" s="6">
        <v>137</v>
      </c>
      <c r="H95" s="6">
        <v>44.81</v>
      </c>
      <c r="I95" s="6">
        <v>8.6</v>
      </c>
      <c r="J95" s="6">
        <v>2.27</v>
      </c>
      <c r="K95" s="6">
        <v>38.06</v>
      </c>
      <c r="L95" s="6">
        <v>26.84</v>
      </c>
      <c r="M95" s="6">
        <v>51.74</v>
      </c>
      <c r="N95" s="6">
        <v>0</v>
      </c>
      <c r="O95" s="6">
        <v>0</v>
      </c>
      <c r="P95" s="6">
        <v>0.89</v>
      </c>
      <c r="Q95" s="6">
        <v>4.74</v>
      </c>
    </row>
    <row r="96" spans="1:17" customFormat="1">
      <c r="A96" s="82">
        <v>45357.916666666664</v>
      </c>
      <c r="B96" s="6">
        <v>4.8099999999999996</v>
      </c>
      <c r="C96" s="6">
        <v>26.67</v>
      </c>
      <c r="D96" s="6">
        <v>19.149999999999999</v>
      </c>
      <c r="E96" s="6">
        <v>15.75</v>
      </c>
      <c r="F96" s="6">
        <v>13.35</v>
      </c>
      <c r="G96" s="6">
        <v>138.46</v>
      </c>
      <c r="H96" s="6">
        <v>44.72</v>
      </c>
      <c r="I96" s="6">
        <v>8.41</v>
      </c>
      <c r="J96" s="6">
        <v>2.29</v>
      </c>
      <c r="K96" s="6">
        <v>48.96</v>
      </c>
      <c r="L96" s="6">
        <v>25.8</v>
      </c>
      <c r="M96" s="6">
        <v>58.11</v>
      </c>
      <c r="N96" s="6">
        <v>0</v>
      </c>
      <c r="O96" s="6">
        <v>0</v>
      </c>
      <c r="P96" s="6">
        <v>0.86</v>
      </c>
      <c r="Q96" s="6">
        <v>4.76</v>
      </c>
    </row>
    <row r="97" spans="1:22" customFormat="1">
      <c r="A97" s="82">
        <v>45357.927083333336</v>
      </c>
      <c r="B97" s="6">
        <v>4.5599999999999996</v>
      </c>
      <c r="C97" s="6">
        <v>25.86</v>
      </c>
      <c r="D97" s="6">
        <v>18.52</v>
      </c>
      <c r="E97" s="6">
        <v>14.44</v>
      </c>
      <c r="F97" s="6">
        <v>12.37</v>
      </c>
      <c r="G97" s="6">
        <v>158.93</v>
      </c>
      <c r="H97" s="6">
        <v>43.66</v>
      </c>
      <c r="I97" s="6">
        <v>7.93</v>
      </c>
      <c r="J97" s="6">
        <v>2.27</v>
      </c>
      <c r="K97" s="6">
        <v>49.26</v>
      </c>
      <c r="L97" s="6">
        <v>25.23</v>
      </c>
      <c r="M97" s="6">
        <v>60.49</v>
      </c>
      <c r="N97" s="6">
        <v>0</v>
      </c>
      <c r="O97" s="6">
        <v>0</v>
      </c>
      <c r="P97" s="6">
        <v>0.82</v>
      </c>
      <c r="Q97" s="6">
        <v>4.74</v>
      </c>
    </row>
    <row r="98" spans="1:22" customFormat="1">
      <c r="A98" s="82">
        <v>45357.9375</v>
      </c>
      <c r="B98" s="6">
        <v>4.22</v>
      </c>
      <c r="C98" s="6">
        <v>25.7</v>
      </c>
      <c r="D98" s="6">
        <v>18.16</v>
      </c>
      <c r="E98" s="6">
        <v>13.29</v>
      </c>
      <c r="F98" s="6">
        <v>11.6</v>
      </c>
      <c r="G98" s="6">
        <v>158.93</v>
      </c>
      <c r="H98" s="6">
        <v>43.66</v>
      </c>
      <c r="I98" s="6">
        <v>7.58</v>
      </c>
      <c r="J98" s="6">
        <v>2.12</v>
      </c>
      <c r="K98" s="6">
        <v>59.03</v>
      </c>
      <c r="L98" s="6">
        <v>24.86</v>
      </c>
      <c r="M98" s="6">
        <v>58.94</v>
      </c>
      <c r="N98" s="6">
        <v>0</v>
      </c>
      <c r="O98" s="6">
        <v>0</v>
      </c>
      <c r="P98" s="6">
        <v>0.8</v>
      </c>
      <c r="Q98" s="6">
        <v>4.74</v>
      </c>
    </row>
    <row r="99" spans="1:22" customFormat="1">
      <c r="A99" s="82">
        <v>45357.947916666664</v>
      </c>
      <c r="B99" s="6">
        <v>4.2</v>
      </c>
      <c r="C99" s="6">
        <v>24.97</v>
      </c>
      <c r="D99" s="6">
        <v>17.77</v>
      </c>
      <c r="E99" s="6">
        <v>13.95</v>
      </c>
      <c r="F99" s="6">
        <v>13.47</v>
      </c>
      <c r="G99" s="6">
        <v>158.93</v>
      </c>
      <c r="H99" s="6">
        <v>43.66</v>
      </c>
      <c r="I99" s="6">
        <v>7.37</v>
      </c>
      <c r="J99" s="6">
        <v>1.95</v>
      </c>
      <c r="K99" s="6">
        <v>37.18</v>
      </c>
      <c r="L99" s="6">
        <v>24.62</v>
      </c>
      <c r="M99" s="6">
        <v>57.86</v>
      </c>
      <c r="N99" s="6">
        <v>0</v>
      </c>
      <c r="O99" s="6">
        <v>0</v>
      </c>
      <c r="P99" s="6">
        <v>0.75</v>
      </c>
      <c r="Q99" s="6">
        <v>4.74</v>
      </c>
    </row>
    <row r="100" spans="1:22" customFormat="1">
      <c r="A100" s="82">
        <v>45357.958333333336</v>
      </c>
      <c r="B100" s="6">
        <v>4.24</v>
      </c>
      <c r="C100" s="6">
        <v>24.18</v>
      </c>
      <c r="D100" s="6">
        <v>17.39</v>
      </c>
      <c r="E100" s="6">
        <v>13.43</v>
      </c>
      <c r="F100" s="6">
        <v>10.73</v>
      </c>
      <c r="G100" s="6">
        <v>150.59</v>
      </c>
      <c r="H100" s="6">
        <v>42.21</v>
      </c>
      <c r="I100" s="6">
        <v>7.06</v>
      </c>
      <c r="J100" s="6">
        <v>1.55</v>
      </c>
      <c r="K100" s="6">
        <v>38.049999999999997</v>
      </c>
      <c r="L100" s="6">
        <v>24.24</v>
      </c>
      <c r="M100" s="6">
        <v>57.61</v>
      </c>
      <c r="N100" s="6">
        <v>0</v>
      </c>
      <c r="O100" s="6">
        <v>0</v>
      </c>
      <c r="P100" s="6">
        <v>0.74</v>
      </c>
      <c r="Q100" s="6">
        <v>4.72</v>
      </c>
    </row>
    <row r="101" spans="1:22" customFormat="1">
      <c r="A101" s="82">
        <v>45357.96875</v>
      </c>
      <c r="B101" s="6">
        <v>4.32</v>
      </c>
      <c r="C101" s="6">
        <v>22.51</v>
      </c>
      <c r="D101" s="6">
        <v>16.579999999999998</v>
      </c>
      <c r="E101" s="6">
        <v>14.56</v>
      </c>
      <c r="F101" s="6">
        <v>9.58</v>
      </c>
      <c r="G101" s="6">
        <v>33.950000000000003</v>
      </c>
      <c r="H101" s="6">
        <v>24.6</v>
      </c>
      <c r="I101" s="6">
        <v>6.61</v>
      </c>
      <c r="J101" s="6">
        <v>1.8</v>
      </c>
      <c r="K101" s="6">
        <v>59.06</v>
      </c>
      <c r="L101" s="6">
        <v>23.84</v>
      </c>
      <c r="M101" s="6">
        <v>58.95</v>
      </c>
      <c r="N101" s="6">
        <v>0</v>
      </c>
      <c r="O101" s="6">
        <v>0</v>
      </c>
      <c r="P101" s="6">
        <v>0.72</v>
      </c>
      <c r="Q101" s="6">
        <v>4.7300000000000004</v>
      </c>
    </row>
    <row r="102" spans="1:22" customFormat="1">
      <c r="A102" s="82">
        <v>45357.979166666664</v>
      </c>
      <c r="B102" s="6">
        <v>4.5</v>
      </c>
      <c r="C102" s="6">
        <v>22.04</v>
      </c>
      <c r="D102" s="6">
        <v>16.48</v>
      </c>
      <c r="E102" s="6">
        <v>12.98</v>
      </c>
      <c r="F102" s="6">
        <v>9.33</v>
      </c>
      <c r="G102" s="6">
        <v>33.950000000000003</v>
      </c>
      <c r="H102" s="6">
        <v>24.6</v>
      </c>
      <c r="I102" s="6">
        <v>6.49</v>
      </c>
      <c r="J102" s="6">
        <v>1.47</v>
      </c>
      <c r="K102" s="6">
        <v>61.22</v>
      </c>
      <c r="L102" s="6">
        <v>23.8</v>
      </c>
      <c r="M102" s="6">
        <v>58.01</v>
      </c>
      <c r="N102" s="6">
        <v>0</v>
      </c>
      <c r="O102" s="6">
        <v>0</v>
      </c>
      <c r="P102" s="6">
        <v>0.69</v>
      </c>
      <c r="Q102" s="6">
        <v>4.72</v>
      </c>
    </row>
    <row r="103" spans="1:22" customFormat="1">
      <c r="A103" s="82">
        <v>45357.989583333336</v>
      </c>
      <c r="B103" s="6">
        <v>4.6900000000000004</v>
      </c>
      <c r="C103" s="6">
        <v>20.67</v>
      </c>
      <c r="D103" s="6">
        <v>15.91</v>
      </c>
      <c r="E103" s="6">
        <v>11.8</v>
      </c>
      <c r="F103" s="6">
        <v>9.68</v>
      </c>
      <c r="G103" s="6">
        <v>33.950000000000003</v>
      </c>
      <c r="H103" s="6">
        <v>24.6</v>
      </c>
      <c r="I103" s="6">
        <v>6.48</v>
      </c>
      <c r="J103" s="6">
        <v>1.42</v>
      </c>
      <c r="K103" s="6">
        <v>57.62</v>
      </c>
      <c r="L103" s="6">
        <v>23.86</v>
      </c>
      <c r="M103" s="6">
        <v>57.41</v>
      </c>
      <c r="N103" s="6">
        <v>0</v>
      </c>
      <c r="O103" s="6">
        <v>0</v>
      </c>
      <c r="P103" s="6">
        <v>0.67</v>
      </c>
      <c r="Q103" s="6">
        <v>4.72</v>
      </c>
    </row>
    <row r="104" spans="1:22" customFormat="1">
      <c r="A104" s="82">
        <v>45358</v>
      </c>
      <c r="B104" s="6">
        <v>4.53</v>
      </c>
      <c r="C104" s="6">
        <v>19.510000000000002</v>
      </c>
      <c r="D104" s="6">
        <v>15.18</v>
      </c>
      <c r="E104" s="6">
        <v>11.15</v>
      </c>
      <c r="F104" s="6">
        <v>9.15</v>
      </c>
      <c r="G104" s="6">
        <v>35.72</v>
      </c>
      <c r="H104" s="6">
        <v>24.51</v>
      </c>
      <c r="I104" s="6">
        <v>6.3</v>
      </c>
      <c r="J104" s="6">
        <v>1.19</v>
      </c>
      <c r="K104" s="6">
        <v>71.760000000000005</v>
      </c>
      <c r="L104" s="6">
        <v>23.78</v>
      </c>
      <c r="M104" s="6">
        <v>58.03</v>
      </c>
      <c r="N104" s="6">
        <v>0</v>
      </c>
      <c r="O104" s="6">
        <v>0</v>
      </c>
      <c r="P104" s="6">
        <v>0.66</v>
      </c>
      <c r="Q104" s="6">
        <v>4.71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6" t="s">
        <v>48</v>
      </c>
      <c r="B106" s="187">
        <f>MIN(B9:B104)</f>
        <v>3.11</v>
      </c>
      <c r="C106" s="187">
        <f>MIN(C9:C104)</f>
        <v>14.08</v>
      </c>
      <c r="D106" s="187">
        <f t="shared" ref="D106:Q106" si="0">MIN(D9:D104)</f>
        <v>11.22</v>
      </c>
      <c r="E106" s="187">
        <f t="shared" si="0"/>
        <v>2.95</v>
      </c>
      <c r="F106" s="187">
        <f t="shared" si="0"/>
        <v>4.67</v>
      </c>
      <c r="G106" s="187">
        <f t="shared" si="0"/>
        <v>33.950000000000003</v>
      </c>
      <c r="H106" s="187">
        <f t="shared" si="0"/>
        <v>19.41</v>
      </c>
      <c r="I106" s="187">
        <f t="shared" si="0"/>
        <v>4.67</v>
      </c>
      <c r="J106" s="187">
        <f t="shared" si="0"/>
        <v>0.03</v>
      </c>
      <c r="K106" s="187">
        <f t="shared" si="0"/>
        <v>21.79</v>
      </c>
      <c r="L106" s="187">
        <f t="shared" si="0"/>
        <v>21.06</v>
      </c>
      <c r="M106" s="187">
        <f t="shared" si="0"/>
        <v>20.78</v>
      </c>
      <c r="N106" s="187">
        <f t="shared" si="0"/>
        <v>0</v>
      </c>
      <c r="O106" s="187">
        <f t="shared" si="0"/>
        <v>0</v>
      </c>
      <c r="P106" s="187">
        <f t="shared" si="0"/>
        <v>0.46</v>
      </c>
      <c r="Q106" s="187">
        <f t="shared" si="0"/>
        <v>4.6500000000000004</v>
      </c>
      <c r="R106" s="192"/>
      <c r="S106" s="192"/>
      <c r="T106" s="192"/>
      <c r="U106" s="192"/>
    </row>
    <row r="107" spans="1:22">
      <c r="A107" s="186" t="s">
        <v>49</v>
      </c>
      <c r="B107" s="188">
        <f>MAX(B9:B104)</f>
        <v>12.78</v>
      </c>
      <c r="C107" s="188">
        <f t="shared" ref="C107:Q107" si="1">MAX(C9:C104)</f>
        <v>33.28</v>
      </c>
      <c r="D107" s="188">
        <f t="shared" si="1"/>
        <v>26.13</v>
      </c>
      <c r="E107" s="188">
        <f t="shared" si="1"/>
        <v>38.229999999999997</v>
      </c>
      <c r="F107" s="188">
        <f t="shared" si="1"/>
        <v>50.32</v>
      </c>
      <c r="G107" s="188">
        <f t="shared" si="1"/>
        <v>158.93</v>
      </c>
      <c r="H107" s="188">
        <f t="shared" si="1"/>
        <v>131.54</v>
      </c>
      <c r="I107" s="188">
        <f t="shared" si="1"/>
        <v>16.920000000000002</v>
      </c>
      <c r="J107" s="188">
        <f t="shared" si="1"/>
        <v>2.29</v>
      </c>
      <c r="K107" s="188">
        <f t="shared" si="1"/>
        <v>321.29000000000002</v>
      </c>
      <c r="L107" s="188">
        <f t="shared" si="1"/>
        <v>36.01</v>
      </c>
      <c r="M107" s="188">
        <f t="shared" si="1"/>
        <v>68.8</v>
      </c>
      <c r="N107" s="188">
        <f t="shared" si="1"/>
        <v>581.70000000000005</v>
      </c>
      <c r="O107" s="188">
        <f t="shared" si="1"/>
        <v>0</v>
      </c>
      <c r="P107" s="188">
        <f t="shared" si="1"/>
        <v>1.17</v>
      </c>
      <c r="Q107" s="188">
        <f t="shared" si="1"/>
        <v>4.7699999999999996</v>
      </c>
      <c r="R107" s="193"/>
      <c r="S107" s="193"/>
      <c r="T107" s="193"/>
      <c r="U107" s="193"/>
    </row>
    <row r="108" spans="1:22">
      <c r="A108" s="186" t="s">
        <v>50</v>
      </c>
      <c r="B108" s="187">
        <f>AVERAGE(B9:B104)</f>
        <v>6.1986458333333347</v>
      </c>
      <c r="C108" s="187">
        <f t="shared" ref="C108:Q108" si="2">AVERAGE(C9:C104)</f>
        <v>24.537604166666672</v>
      </c>
      <c r="D108" s="187">
        <f t="shared" si="2"/>
        <v>19.142395833333339</v>
      </c>
      <c r="E108" s="187">
        <f t="shared" si="2"/>
        <v>13.7184375</v>
      </c>
      <c r="F108" s="187">
        <f t="shared" si="2"/>
        <v>12.797499999999999</v>
      </c>
      <c r="G108" s="187">
        <f t="shared" si="2"/>
        <v>81.929374999999922</v>
      </c>
      <c r="H108" s="187">
        <f t="shared" si="2"/>
        <v>35.950104166666641</v>
      </c>
      <c r="I108" s="187">
        <f t="shared" si="2"/>
        <v>6.9849999999999985</v>
      </c>
      <c r="J108" s="187">
        <f t="shared" si="2"/>
        <v>0.62385416666666671</v>
      </c>
      <c r="K108" s="187">
        <f t="shared" si="2"/>
        <v>122.64687499999997</v>
      </c>
      <c r="L108" s="187">
        <f t="shared" si="2"/>
        <v>27.699062500000014</v>
      </c>
      <c r="M108" s="187">
        <f t="shared" si="2"/>
        <v>47.093437499999972</v>
      </c>
      <c r="N108" s="187">
        <f t="shared" si="2"/>
        <v>144.64583333333331</v>
      </c>
      <c r="O108" s="187">
        <f t="shared" si="2"/>
        <v>0</v>
      </c>
      <c r="P108" s="187">
        <f t="shared" si="2"/>
        <v>0.69854166666666651</v>
      </c>
      <c r="Q108" s="187">
        <f t="shared" si="2"/>
        <v>4.7270833333333346</v>
      </c>
      <c r="R108" s="192"/>
      <c r="S108" s="192"/>
      <c r="T108" s="192"/>
      <c r="U108" s="192"/>
    </row>
    <row r="109" spans="1:22">
      <c r="A109" s="186" t="s">
        <v>51</v>
      </c>
      <c r="B109" s="187">
        <f>STDEV(B9:B104)</f>
        <v>2.4904933435562948</v>
      </c>
      <c r="C109" s="187">
        <f t="shared" ref="C109:Q109" si="3">STDEV(C9:C104)</f>
        <v>4.5254431000944582</v>
      </c>
      <c r="D109" s="187">
        <f t="shared" si="3"/>
        <v>3.616964922720816</v>
      </c>
      <c r="E109" s="187">
        <f t="shared" si="3"/>
        <v>8.2397064751150371</v>
      </c>
      <c r="F109" s="187">
        <f t="shared" si="3"/>
        <v>10.142844924275179</v>
      </c>
      <c r="G109" s="187">
        <f t="shared" si="3"/>
        <v>32.002052658261114</v>
      </c>
      <c r="H109" s="187">
        <f t="shared" si="3"/>
        <v>23.625063252259171</v>
      </c>
      <c r="I109" s="187">
        <f t="shared" si="3"/>
        <v>1.9709442033278377</v>
      </c>
      <c r="J109" s="187">
        <f t="shared" si="3"/>
        <v>0.51442429710905002</v>
      </c>
      <c r="K109" s="187">
        <f t="shared" si="3"/>
        <v>87.005904026076038</v>
      </c>
      <c r="L109" s="187">
        <f t="shared" si="3"/>
        <v>5.0129361242215422</v>
      </c>
      <c r="M109" s="187">
        <f t="shared" si="3"/>
        <v>14.123141057228446</v>
      </c>
      <c r="N109" s="187">
        <f t="shared" si="3"/>
        <v>211.94289345887327</v>
      </c>
      <c r="O109" s="187">
        <f t="shared" si="3"/>
        <v>0</v>
      </c>
      <c r="P109" s="187">
        <f t="shared" si="3"/>
        <v>0.16919611272545151</v>
      </c>
      <c r="Q109" s="187">
        <f t="shared" si="3"/>
        <v>2.6946991499556879E-2</v>
      </c>
      <c r="R109" s="192"/>
      <c r="S109" s="192"/>
      <c r="T109" s="192"/>
      <c r="U109" s="192"/>
    </row>
    <row r="110" spans="1:22">
      <c r="A110" s="186" t="s">
        <v>52</v>
      </c>
      <c r="B110" s="188">
        <f t="shared" ref="B110:Q110" si="4">COUNT(B9:B104)</f>
        <v>96</v>
      </c>
      <c r="C110" s="188">
        <f t="shared" si="4"/>
        <v>96</v>
      </c>
      <c r="D110" s="188">
        <f t="shared" si="4"/>
        <v>96</v>
      </c>
      <c r="E110" s="188">
        <f t="shared" si="4"/>
        <v>96</v>
      </c>
      <c r="F110" s="188">
        <f t="shared" si="4"/>
        <v>96</v>
      </c>
      <c r="G110" s="188">
        <f t="shared" si="4"/>
        <v>96</v>
      </c>
      <c r="H110" s="188">
        <f t="shared" si="4"/>
        <v>96</v>
      </c>
      <c r="I110" s="188">
        <f t="shared" si="4"/>
        <v>96</v>
      </c>
      <c r="J110" s="188">
        <f t="shared" si="4"/>
        <v>96</v>
      </c>
      <c r="K110" s="188">
        <f t="shared" si="4"/>
        <v>96</v>
      </c>
      <c r="L110" s="188">
        <f t="shared" si="4"/>
        <v>96</v>
      </c>
      <c r="M110" s="188">
        <f t="shared" si="4"/>
        <v>96</v>
      </c>
      <c r="N110" s="188">
        <f t="shared" si="4"/>
        <v>96</v>
      </c>
      <c r="O110" s="188">
        <f t="shared" si="4"/>
        <v>96</v>
      </c>
      <c r="P110" s="188">
        <f t="shared" si="4"/>
        <v>96</v>
      </c>
      <c r="Q110" s="188">
        <f t="shared" si="4"/>
        <v>96</v>
      </c>
      <c r="R110" s="193"/>
      <c r="S110" s="193"/>
      <c r="T110" s="193"/>
      <c r="U110" s="193"/>
      <c r="V110" s="188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91"/>
      <c r="O113" s="191"/>
      <c r="P113" s="191"/>
      <c r="Q113" s="191"/>
      <c r="R113" s="191"/>
      <c r="S113" s="191"/>
      <c r="T113" s="191"/>
      <c r="U113" s="191"/>
    </row>
    <row r="115" spans="1:21">
      <c r="A115" s="153" t="s">
        <v>55</v>
      </c>
      <c r="B115" s="197" t="s">
        <v>56</v>
      </c>
      <c r="C115" s="197"/>
      <c r="D115" s="197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9" t="s">
        <v>57</v>
      </c>
      <c r="B117" s="198"/>
      <c r="C117" s="198"/>
      <c r="D117" s="198"/>
      <c r="E117" s="198"/>
      <c r="F117" s="198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3" activePane="bottomRight" state="frozen"/>
      <selection activeCell="A9" sqref="A9"/>
      <selection pane="topRight" activeCell="A9" sqref="A9"/>
      <selection pane="bottomLeft" activeCell="A9" sqref="A9"/>
      <selection pane="bottomRight" activeCell="B110" sqref="B110:Q110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45358.010416666664</v>
      </c>
      <c r="C2" s="196" t="s">
        <v>3</v>
      </c>
      <c r="D2" s="196"/>
      <c r="E2" s="196"/>
      <c r="F2" s="196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2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6" t="s">
        <v>11</v>
      </c>
      <c r="D3" s="196"/>
      <c r="E3" s="196"/>
      <c r="F3" s="196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2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6" t="s">
        <v>18</v>
      </c>
      <c r="D4" s="196"/>
      <c r="E4" s="196"/>
      <c r="F4" s="196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3" t="s">
        <v>43</v>
      </c>
      <c r="M8" s="114" t="s">
        <v>44</v>
      </c>
      <c r="N8" s="114" t="s">
        <v>45</v>
      </c>
      <c r="O8" s="183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2">
        <v>45358.010416666664</v>
      </c>
      <c r="B9" s="6">
        <v>4.8899999999999997</v>
      </c>
      <c r="C9" s="6">
        <v>18.55</v>
      </c>
      <c r="D9" s="6">
        <v>14.97</v>
      </c>
      <c r="E9" s="6">
        <v>11.3</v>
      </c>
      <c r="F9" s="6">
        <v>9.69</v>
      </c>
      <c r="G9" s="6">
        <v>56.74</v>
      </c>
      <c r="H9" s="6">
        <v>23.45</v>
      </c>
      <c r="I9" s="6">
        <v>6.22</v>
      </c>
      <c r="J9" s="6">
        <v>1.29</v>
      </c>
      <c r="K9" s="6">
        <v>59.76</v>
      </c>
      <c r="L9" s="6">
        <v>23.73</v>
      </c>
      <c r="M9" s="6">
        <v>58.64</v>
      </c>
      <c r="N9" s="6">
        <v>0</v>
      </c>
      <c r="O9" s="6">
        <v>0</v>
      </c>
      <c r="P9" s="6">
        <v>0.64</v>
      </c>
      <c r="Q9" s="6">
        <v>4.7</v>
      </c>
    </row>
    <row r="10" spans="1:21" customFormat="1">
      <c r="A10" s="82">
        <v>45358.020833333336</v>
      </c>
      <c r="B10" s="6">
        <v>5.24</v>
      </c>
      <c r="C10" s="6">
        <v>18.579999999999998</v>
      </c>
      <c r="D10" s="6">
        <v>15.26</v>
      </c>
      <c r="E10" s="6">
        <v>11.77</v>
      </c>
      <c r="F10" s="6">
        <v>8.98</v>
      </c>
      <c r="G10" s="6">
        <v>56.74</v>
      </c>
      <c r="H10" s="6">
        <v>23.45</v>
      </c>
      <c r="I10" s="6">
        <v>6.12</v>
      </c>
      <c r="J10" s="6">
        <v>1.27</v>
      </c>
      <c r="K10" s="6">
        <v>51.75</v>
      </c>
      <c r="L10" s="6">
        <v>23.79</v>
      </c>
      <c r="M10" s="6">
        <v>59.4</v>
      </c>
      <c r="N10" s="6">
        <v>0</v>
      </c>
      <c r="O10" s="6">
        <v>0</v>
      </c>
      <c r="P10" s="6">
        <v>0.63</v>
      </c>
      <c r="Q10" s="6">
        <v>4.71</v>
      </c>
    </row>
    <row r="11" spans="1:21" customFormat="1">
      <c r="A11" s="82">
        <v>45358.03125</v>
      </c>
      <c r="B11" s="6">
        <v>5.22</v>
      </c>
      <c r="C11" s="6">
        <v>18.66</v>
      </c>
      <c r="D11" s="6">
        <v>15.29</v>
      </c>
      <c r="E11" s="6">
        <v>11.9</v>
      </c>
      <c r="F11" s="6">
        <v>9</v>
      </c>
      <c r="G11" s="6">
        <v>56.74</v>
      </c>
      <c r="H11" s="6">
        <v>23.45</v>
      </c>
      <c r="I11" s="6">
        <v>6.01</v>
      </c>
      <c r="J11" s="6">
        <v>0.64</v>
      </c>
      <c r="K11" s="6">
        <v>60.64</v>
      </c>
      <c r="L11" s="6">
        <v>23.96</v>
      </c>
      <c r="M11" s="6">
        <v>60.05</v>
      </c>
      <c r="N11" s="6">
        <v>0</v>
      </c>
      <c r="O11" s="6">
        <v>0</v>
      </c>
      <c r="P11" s="6">
        <v>0.62</v>
      </c>
      <c r="Q11" s="6">
        <v>4.71</v>
      </c>
    </row>
    <row r="12" spans="1:21" customFormat="1">
      <c r="A12" s="82">
        <v>45358.041666666664</v>
      </c>
      <c r="B12" s="6">
        <v>5.04</v>
      </c>
      <c r="C12" s="6">
        <v>19.61</v>
      </c>
      <c r="D12" s="6">
        <v>15.64</v>
      </c>
      <c r="E12" s="6">
        <v>13.52</v>
      </c>
      <c r="F12" s="6">
        <v>10.48</v>
      </c>
      <c r="G12" s="6">
        <v>54.88</v>
      </c>
      <c r="H12" s="6">
        <v>22.87</v>
      </c>
      <c r="I12" s="6">
        <v>5.87</v>
      </c>
      <c r="J12" s="6">
        <v>0.98</v>
      </c>
      <c r="K12" s="6">
        <v>46.5</v>
      </c>
      <c r="L12" s="6">
        <v>23.74</v>
      </c>
      <c r="M12" s="6">
        <v>61.19</v>
      </c>
      <c r="N12" s="6">
        <v>0</v>
      </c>
      <c r="O12" s="6">
        <v>0</v>
      </c>
      <c r="P12" s="6">
        <v>0.62</v>
      </c>
      <c r="Q12" s="6">
        <v>4.7</v>
      </c>
    </row>
    <row r="13" spans="1:21" customFormat="1">
      <c r="A13" s="82">
        <v>45358.052083333336</v>
      </c>
      <c r="B13" s="6">
        <v>4.8099999999999996</v>
      </c>
      <c r="C13" s="6">
        <v>20.29</v>
      </c>
      <c r="D13" s="6">
        <v>15.81</v>
      </c>
      <c r="E13" s="6">
        <v>14.67</v>
      </c>
      <c r="F13" s="6">
        <v>11.41</v>
      </c>
      <c r="G13" s="6">
        <v>32.75</v>
      </c>
      <c r="H13" s="6">
        <v>17.010000000000002</v>
      </c>
      <c r="I13" s="6">
        <v>5.77</v>
      </c>
      <c r="J13" s="6">
        <v>1.23</v>
      </c>
      <c r="K13" s="6">
        <v>29.32</v>
      </c>
      <c r="L13" s="6">
        <v>23.64</v>
      </c>
      <c r="M13" s="6">
        <v>62.3</v>
      </c>
      <c r="N13" s="6">
        <v>0</v>
      </c>
      <c r="O13" s="6">
        <v>0</v>
      </c>
      <c r="P13" s="6">
        <v>0.6</v>
      </c>
      <c r="Q13" s="6">
        <v>4.71</v>
      </c>
    </row>
    <row r="14" spans="1:21" customFormat="1">
      <c r="A14" s="82">
        <v>45358.0625</v>
      </c>
      <c r="B14" s="6">
        <v>4.6500000000000004</v>
      </c>
      <c r="C14" s="6">
        <v>20.89</v>
      </c>
      <c r="D14" s="6">
        <v>16</v>
      </c>
      <c r="E14" s="6">
        <v>12.05</v>
      </c>
      <c r="F14" s="6">
        <v>7.79</v>
      </c>
      <c r="G14" s="6">
        <v>32.75</v>
      </c>
      <c r="H14" s="6">
        <v>17.010000000000002</v>
      </c>
      <c r="I14" s="6">
        <v>5.47</v>
      </c>
      <c r="J14" s="6">
        <v>1.73</v>
      </c>
      <c r="K14" s="6">
        <v>44.32</v>
      </c>
      <c r="L14" s="6">
        <v>23.17</v>
      </c>
      <c r="M14" s="6">
        <v>63.63</v>
      </c>
      <c r="N14" s="6">
        <v>0</v>
      </c>
      <c r="O14" s="6">
        <v>0</v>
      </c>
      <c r="P14" s="6">
        <v>0.61</v>
      </c>
      <c r="Q14" s="6">
        <v>4.74</v>
      </c>
    </row>
    <row r="15" spans="1:21" customFormat="1">
      <c r="A15" s="82">
        <v>45358.072916666664</v>
      </c>
      <c r="B15" s="6">
        <v>4.55</v>
      </c>
      <c r="C15" s="6">
        <v>21.38</v>
      </c>
      <c r="D15" s="6">
        <v>16.170000000000002</v>
      </c>
      <c r="E15" s="6">
        <v>13.91</v>
      </c>
      <c r="F15" s="6">
        <v>7.47</v>
      </c>
      <c r="G15" s="6">
        <v>32.75</v>
      </c>
      <c r="H15" s="6">
        <v>17.010000000000002</v>
      </c>
      <c r="I15" s="6">
        <v>5.33</v>
      </c>
      <c r="J15" s="6">
        <v>1.53</v>
      </c>
      <c r="K15" s="6">
        <v>49.23</v>
      </c>
      <c r="L15" s="6">
        <v>22.55</v>
      </c>
      <c r="M15" s="6">
        <v>65.900000000000006</v>
      </c>
      <c r="N15" s="6">
        <v>0</v>
      </c>
      <c r="O15" s="6">
        <v>0</v>
      </c>
      <c r="P15" s="6">
        <v>0.61</v>
      </c>
      <c r="Q15" s="6">
        <v>4.75</v>
      </c>
    </row>
    <row r="16" spans="1:21" customFormat="1">
      <c r="A16" s="82">
        <v>45358.083333333336</v>
      </c>
      <c r="B16" s="6">
        <v>4.5199999999999996</v>
      </c>
      <c r="C16" s="6">
        <v>21.73</v>
      </c>
      <c r="D16" s="6">
        <v>16.329999999999998</v>
      </c>
      <c r="E16" s="6">
        <v>12.75</v>
      </c>
      <c r="F16" s="6">
        <v>7.89</v>
      </c>
      <c r="G16" s="6">
        <v>33.24</v>
      </c>
      <c r="H16" s="6">
        <v>17.170000000000002</v>
      </c>
      <c r="I16" s="6">
        <v>5.33</v>
      </c>
      <c r="J16" s="6">
        <v>1.18</v>
      </c>
      <c r="K16" s="6">
        <v>43.87</v>
      </c>
      <c r="L16" s="6">
        <v>22.54</v>
      </c>
      <c r="M16" s="6">
        <v>65.67</v>
      </c>
      <c r="N16" s="6">
        <v>0</v>
      </c>
      <c r="O16" s="6">
        <v>0</v>
      </c>
      <c r="P16" s="6">
        <v>0.6</v>
      </c>
      <c r="Q16" s="6">
        <v>4.76</v>
      </c>
    </row>
    <row r="17" spans="1:17" customFormat="1">
      <c r="A17" s="82">
        <v>45358.09375</v>
      </c>
      <c r="B17" s="6">
        <v>4.66</v>
      </c>
      <c r="C17" s="6">
        <v>21.72</v>
      </c>
      <c r="D17" s="6">
        <v>16.43</v>
      </c>
      <c r="E17" s="6">
        <v>9.42</v>
      </c>
      <c r="F17" s="6">
        <v>7.21</v>
      </c>
      <c r="G17" s="6">
        <v>40.15</v>
      </c>
      <c r="H17" s="6">
        <v>19.18</v>
      </c>
      <c r="I17" s="6">
        <v>5.27</v>
      </c>
      <c r="J17" s="6">
        <v>1.41</v>
      </c>
      <c r="K17" s="6">
        <v>56.59</v>
      </c>
      <c r="L17" s="6">
        <v>22.45</v>
      </c>
      <c r="M17" s="6">
        <v>66.069999999999993</v>
      </c>
      <c r="N17" s="6">
        <v>0</v>
      </c>
      <c r="O17" s="6">
        <v>0</v>
      </c>
      <c r="P17" s="6">
        <v>0.56999999999999995</v>
      </c>
      <c r="Q17" s="6">
        <v>4.7300000000000004</v>
      </c>
    </row>
    <row r="18" spans="1:17" customFormat="1">
      <c r="A18" s="82">
        <v>45358.104166666664</v>
      </c>
      <c r="B18" s="6">
        <v>4.84</v>
      </c>
      <c r="C18" s="6">
        <v>21.74</v>
      </c>
      <c r="D18" s="6">
        <v>16.59</v>
      </c>
      <c r="E18" s="6">
        <v>10.23</v>
      </c>
      <c r="F18" s="6">
        <v>7.56</v>
      </c>
      <c r="G18" s="6">
        <v>40.15</v>
      </c>
      <c r="H18" s="6">
        <v>19.18</v>
      </c>
      <c r="I18" s="6">
        <v>5.09</v>
      </c>
      <c r="J18" s="6">
        <v>1.44</v>
      </c>
      <c r="K18" s="6">
        <v>60.5</v>
      </c>
      <c r="L18" s="6">
        <v>22.33</v>
      </c>
      <c r="M18" s="6">
        <v>66.09</v>
      </c>
      <c r="N18" s="6">
        <v>0</v>
      </c>
      <c r="O18" s="6">
        <v>0</v>
      </c>
      <c r="P18" s="6">
        <v>0.56000000000000005</v>
      </c>
      <c r="Q18" s="6">
        <v>4.74</v>
      </c>
    </row>
    <row r="19" spans="1:17" customFormat="1">
      <c r="A19" s="82">
        <v>45358.114583333336</v>
      </c>
      <c r="B19" s="6">
        <v>4.8099999999999996</v>
      </c>
      <c r="C19" s="6">
        <v>22.07</v>
      </c>
      <c r="D19" s="6">
        <v>16.739999999999998</v>
      </c>
      <c r="E19" s="6">
        <v>10</v>
      </c>
      <c r="F19" s="6">
        <v>6.98</v>
      </c>
      <c r="G19" s="6">
        <v>40.15</v>
      </c>
      <c r="H19" s="6">
        <v>19.18</v>
      </c>
      <c r="I19" s="6">
        <v>5.0199999999999996</v>
      </c>
      <c r="J19" s="6">
        <v>1.42</v>
      </c>
      <c r="K19" s="6">
        <v>58.79</v>
      </c>
      <c r="L19" s="6">
        <v>22.37</v>
      </c>
      <c r="M19" s="6">
        <v>65.08</v>
      </c>
      <c r="N19" s="6">
        <v>0</v>
      </c>
      <c r="O19" s="6">
        <v>0</v>
      </c>
      <c r="P19" s="6">
        <v>0.55000000000000004</v>
      </c>
      <c r="Q19" s="6">
        <v>4.76</v>
      </c>
    </row>
    <row r="20" spans="1:17" customFormat="1">
      <c r="A20" s="82">
        <v>45358.125</v>
      </c>
      <c r="B20" s="6">
        <v>4.8499999999999996</v>
      </c>
      <c r="C20" s="6">
        <v>22.16</v>
      </c>
      <c r="D20" s="6">
        <v>16.809999999999999</v>
      </c>
      <c r="E20" s="6">
        <v>10.96</v>
      </c>
      <c r="F20" s="6">
        <v>6.83</v>
      </c>
      <c r="G20" s="6">
        <v>39.92</v>
      </c>
      <c r="H20" s="6">
        <v>18.97</v>
      </c>
      <c r="I20" s="6">
        <v>4.91</v>
      </c>
      <c r="J20" s="6">
        <v>1.19</v>
      </c>
      <c r="K20" s="6">
        <v>64.02</v>
      </c>
      <c r="L20" s="6">
        <v>22.53</v>
      </c>
      <c r="M20" s="6">
        <v>62.67</v>
      </c>
      <c r="N20" s="6">
        <v>0</v>
      </c>
      <c r="O20" s="6">
        <v>0</v>
      </c>
      <c r="P20" s="6">
        <v>0.54</v>
      </c>
      <c r="Q20" s="6">
        <v>4.76</v>
      </c>
    </row>
    <row r="21" spans="1:17" customFormat="1">
      <c r="A21" s="82">
        <v>45358.135416666664</v>
      </c>
      <c r="B21" s="6">
        <v>4.7300000000000004</v>
      </c>
      <c r="C21" s="6">
        <v>22.34</v>
      </c>
      <c r="D21" s="6">
        <v>16.82</v>
      </c>
      <c r="E21" s="6">
        <v>11.48</v>
      </c>
      <c r="F21" s="6">
        <v>6.93</v>
      </c>
      <c r="G21" s="6">
        <v>36.81</v>
      </c>
      <c r="H21" s="6">
        <v>16.420000000000002</v>
      </c>
      <c r="I21" s="6">
        <v>4.82</v>
      </c>
      <c r="J21" s="6">
        <v>1.08</v>
      </c>
      <c r="K21" s="6">
        <v>71.38</v>
      </c>
      <c r="L21" s="6">
        <v>22.67</v>
      </c>
      <c r="M21" s="6">
        <v>61.11</v>
      </c>
      <c r="N21" s="6">
        <v>0</v>
      </c>
      <c r="O21" s="6">
        <v>0</v>
      </c>
      <c r="P21" s="6">
        <v>0.52</v>
      </c>
      <c r="Q21" s="6">
        <v>4.78</v>
      </c>
    </row>
    <row r="22" spans="1:17" customFormat="1">
      <c r="A22" s="82">
        <v>45358.145833333336</v>
      </c>
      <c r="B22" s="6">
        <v>4.8</v>
      </c>
      <c r="C22" s="6">
        <v>22.45</v>
      </c>
      <c r="D22" s="6">
        <v>16.93</v>
      </c>
      <c r="E22" s="6">
        <v>10.71</v>
      </c>
      <c r="F22" s="6">
        <v>6.49</v>
      </c>
      <c r="G22" s="6">
        <v>36.81</v>
      </c>
      <c r="H22" s="6">
        <v>16.420000000000002</v>
      </c>
      <c r="I22" s="6">
        <v>4.75</v>
      </c>
      <c r="J22" s="6">
        <v>0.77</v>
      </c>
      <c r="K22" s="6">
        <v>83.53</v>
      </c>
      <c r="L22" s="6">
        <v>22.8</v>
      </c>
      <c r="M22" s="6">
        <v>60.53</v>
      </c>
      <c r="N22" s="6">
        <v>0</v>
      </c>
      <c r="O22" s="6">
        <v>0</v>
      </c>
      <c r="P22" s="6">
        <v>0.51</v>
      </c>
      <c r="Q22" s="6">
        <v>4.78</v>
      </c>
    </row>
    <row r="23" spans="1:17" customFormat="1">
      <c r="A23" s="82">
        <v>45358.15625</v>
      </c>
      <c r="B23" s="6">
        <v>4.8499999999999996</v>
      </c>
      <c r="C23" s="6">
        <v>22.97</v>
      </c>
      <c r="D23" s="6">
        <v>17.239999999999998</v>
      </c>
      <c r="E23" s="6">
        <v>9.32</v>
      </c>
      <c r="F23" s="6">
        <v>5.99</v>
      </c>
      <c r="G23" s="6">
        <v>36.81</v>
      </c>
      <c r="H23" s="6">
        <v>16.420000000000002</v>
      </c>
      <c r="I23" s="6">
        <v>4.68</v>
      </c>
      <c r="J23" s="6">
        <v>0.42</v>
      </c>
      <c r="K23" s="6">
        <v>119.39</v>
      </c>
      <c r="L23" s="6">
        <v>23.08</v>
      </c>
      <c r="M23" s="6">
        <v>59.35</v>
      </c>
      <c r="N23" s="6">
        <v>0</v>
      </c>
      <c r="O23" s="6">
        <v>0</v>
      </c>
      <c r="P23" s="6">
        <v>0.51</v>
      </c>
      <c r="Q23" s="6">
        <v>4.79</v>
      </c>
    </row>
    <row r="24" spans="1:17" customFormat="1">
      <c r="A24" s="82">
        <v>45358.166666666664</v>
      </c>
      <c r="B24" s="6">
        <v>4.82</v>
      </c>
      <c r="C24" s="6">
        <v>23.49</v>
      </c>
      <c r="D24" s="6">
        <v>17.489999999999998</v>
      </c>
      <c r="E24" s="6">
        <v>10.15</v>
      </c>
      <c r="F24" s="6">
        <v>5.71</v>
      </c>
      <c r="G24" s="6">
        <v>37.619999999999997</v>
      </c>
      <c r="H24" s="6">
        <v>16.59</v>
      </c>
      <c r="I24" s="6">
        <v>4.57</v>
      </c>
      <c r="J24" s="6">
        <v>0.49</v>
      </c>
      <c r="K24" s="6">
        <v>100.92</v>
      </c>
      <c r="L24" s="6">
        <v>23.04</v>
      </c>
      <c r="M24" s="6">
        <v>59.04</v>
      </c>
      <c r="N24" s="6">
        <v>0</v>
      </c>
      <c r="O24" s="6">
        <v>0</v>
      </c>
      <c r="P24" s="6">
        <v>0.5</v>
      </c>
      <c r="Q24" s="6">
        <v>4.78</v>
      </c>
    </row>
    <row r="25" spans="1:17" customFormat="1">
      <c r="A25" s="82">
        <v>45358.177083333336</v>
      </c>
      <c r="B25" s="6">
        <v>4.83</v>
      </c>
      <c r="C25" s="6">
        <v>23.95</v>
      </c>
      <c r="D25" s="6">
        <v>17.73</v>
      </c>
      <c r="E25" s="6">
        <v>10.68</v>
      </c>
      <c r="F25" s="6">
        <v>5.68</v>
      </c>
      <c r="G25" s="6">
        <v>49.05</v>
      </c>
      <c r="H25" s="6">
        <v>18.68</v>
      </c>
      <c r="I25" s="6">
        <v>4.54</v>
      </c>
      <c r="J25" s="6">
        <v>0.45</v>
      </c>
      <c r="K25" s="6">
        <v>124.44</v>
      </c>
      <c r="L25" s="6">
        <v>23.14</v>
      </c>
      <c r="M25" s="6">
        <v>58.05</v>
      </c>
      <c r="N25" s="6">
        <v>0</v>
      </c>
      <c r="O25" s="6">
        <v>0</v>
      </c>
      <c r="P25" s="6">
        <v>0.49</v>
      </c>
      <c r="Q25" s="6">
        <v>4.78</v>
      </c>
    </row>
    <row r="26" spans="1:17" customFormat="1">
      <c r="A26" s="82">
        <v>45358.1875</v>
      </c>
      <c r="B26" s="6">
        <v>4.8099999999999996</v>
      </c>
      <c r="C26" s="6">
        <v>24.5</v>
      </c>
      <c r="D26" s="6">
        <v>18.010000000000002</v>
      </c>
      <c r="E26" s="6">
        <v>13.41</v>
      </c>
      <c r="F26" s="6">
        <v>5.86</v>
      </c>
      <c r="G26" s="6">
        <v>49.05</v>
      </c>
      <c r="H26" s="6">
        <v>18.68</v>
      </c>
      <c r="I26" s="6">
        <v>4.5199999999999996</v>
      </c>
      <c r="J26" s="6">
        <v>1.23</v>
      </c>
      <c r="K26" s="6">
        <v>68.260000000000005</v>
      </c>
      <c r="L26" s="6">
        <v>22.53</v>
      </c>
      <c r="M26" s="6">
        <v>59.39</v>
      </c>
      <c r="N26" s="6">
        <v>0</v>
      </c>
      <c r="O26" s="6">
        <v>0</v>
      </c>
      <c r="P26" s="6">
        <v>0.5</v>
      </c>
      <c r="Q26" s="6">
        <v>4.79</v>
      </c>
    </row>
    <row r="27" spans="1:17" customFormat="1">
      <c r="A27" s="82">
        <v>45358.197916666664</v>
      </c>
      <c r="B27" s="6">
        <v>5.09</v>
      </c>
      <c r="C27" s="6">
        <v>24.76</v>
      </c>
      <c r="D27" s="6">
        <v>18.37</v>
      </c>
      <c r="E27" s="6">
        <v>13.57</v>
      </c>
      <c r="F27" s="6">
        <v>6.07</v>
      </c>
      <c r="G27" s="6">
        <v>49.05</v>
      </c>
      <c r="H27" s="6">
        <v>18.68</v>
      </c>
      <c r="I27" s="6">
        <v>4.43</v>
      </c>
      <c r="J27" s="6">
        <v>1.51</v>
      </c>
      <c r="K27" s="6">
        <v>51.79</v>
      </c>
      <c r="L27" s="6">
        <v>22.18</v>
      </c>
      <c r="M27" s="6">
        <v>61.37</v>
      </c>
      <c r="N27" s="6">
        <v>0</v>
      </c>
      <c r="O27" s="6">
        <v>0</v>
      </c>
      <c r="P27" s="6">
        <v>0.49</v>
      </c>
      <c r="Q27" s="6">
        <v>4.79</v>
      </c>
    </row>
    <row r="28" spans="1:17" customFormat="1">
      <c r="A28" s="82">
        <v>45358.208333333336</v>
      </c>
      <c r="B28" s="6">
        <v>5.62</v>
      </c>
      <c r="C28" s="6">
        <v>25.25</v>
      </c>
      <c r="D28" s="6">
        <v>19.05</v>
      </c>
      <c r="E28" s="6">
        <v>12.8</v>
      </c>
      <c r="F28" s="6">
        <v>5.68</v>
      </c>
      <c r="G28" s="6">
        <v>48.38</v>
      </c>
      <c r="H28" s="6">
        <v>19.03</v>
      </c>
      <c r="I28" s="6">
        <v>4.3499999999999996</v>
      </c>
      <c r="J28" s="6">
        <v>1.1000000000000001</v>
      </c>
      <c r="K28" s="6">
        <v>42.99</v>
      </c>
      <c r="L28" s="6">
        <v>21.79</v>
      </c>
      <c r="M28" s="6">
        <v>65.040000000000006</v>
      </c>
      <c r="N28" s="6">
        <v>0</v>
      </c>
      <c r="O28" s="6">
        <v>0</v>
      </c>
      <c r="P28" s="6">
        <v>0.49</v>
      </c>
      <c r="Q28" s="6">
        <v>4.7699999999999996</v>
      </c>
    </row>
    <row r="29" spans="1:17" customFormat="1">
      <c r="A29" s="82">
        <v>45358.21875</v>
      </c>
      <c r="B29" s="6">
        <v>6.61</v>
      </c>
      <c r="C29" s="6">
        <v>26.3</v>
      </c>
      <c r="D29" s="6">
        <v>20.39</v>
      </c>
      <c r="E29" s="6">
        <v>11.09</v>
      </c>
      <c r="F29" s="6">
        <v>4.91</v>
      </c>
      <c r="G29" s="6">
        <v>38.97</v>
      </c>
      <c r="H29" s="6">
        <v>23.31</v>
      </c>
      <c r="I29" s="6">
        <v>4.2699999999999996</v>
      </c>
      <c r="J29" s="6">
        <v>0.79</v>
      </c>
      <c r="K29" s="6">
        <v>56.98</v>
      </c>
      <c r="L29" s="6">
        <v>21.31</v>
      </c>
      <c r="M29" s="6">
        <v>68.69</v>
      </c>
      <c r="N29" s="6">
        <v>0</v>
      </c>
      <c r="O29" s="6">
        <v>0</v>
      </c>
      <c r="P29" s="6">
        <v>0.48</v>
      </c>
      <c r="Q29" s="6">
        <v>4.79</v>
      </c>
    </row>
    <row r="30" spans="1:17" customFormat="1">
      <c r="A30" s="82">
        <v>45358.229166666664</v>
      </c>
      <c r="B30" s="6">
        <v>7.6</v>
      </c>
      <c r="C30" s="6">
        <v>26.95</v>
      </c>
      <c r="D30" s="6">
        <v>21.52</v>
      </c>
      <c r="E30" s="6">
        <v>9.08</v>
      </c>
      <c r="F30" s="6">
        <v>4.53</v>
      </c>
      <c r="G30" s="6">
        <v>38.97</v>
      </c>
      <c r="H30" s="6">
        <v>23.31</v>
      </c>
      <c r="I30" s="6">
        <v>4.24</v>
      </c>
      <c r="J30" s="6">
        <v>0.68</v>
      </c>
      <c r="K30" s="6">
        <v>48.78</v>
      </c>
      <c r="L30" s="6">
        <v>21.1</v>
      </c>
      <c r="M30" s="6">
        <v>70.33</v>
      </c>
      <c r="N30" s="6">
        <v>0</v>
      </c>
      <c r="O30" s="6">
        <v>0</v>
      </c>
      <c r="P30" s="6">
        <v>0.48</v>
      </c>
      <c r="Q30" s="6">
        <v>4.79</v>
      </c>
    </row>
    <row r="31" spans="1:17" customFormat="1">
      <c r="A31" s="82">
        <v>45358.239583333336</v>
      </c>
      <c r="B31" s="6">
        <v>8.4499999999999993</v>
      </c>
      <c r="C31" s="6">
        <v>26.18</v>
      </c>
      <c r="D31" s="6">
        <v>21.81</v>
      </c>
      <c r="E31" s="6">
        <v>8.02</v>
      </c>
      <c r="F31" s="6">
        <v>4.6900000000000004</v>
      </c>
      <c r="G31" s="6">
        <v>38.97</v>
      </c>
      <c r="H31" s="6">
        <v>23.31</v>
      </c>
      <c r="I31" s="6">
        <v>4.32</v>
      </c>
      <c r="J31" s="6">
        <v>0.72</v>
      </c>
      <c r="K31" s="6">
        <v>55.44</v>
      </c>
      <c r="L31" s="6">
        <v>20.86</v>
      </c>
      <c r="M31" s="6">
        <v>72.17</v>
      </c>
      <c r="N31" s="6">
        <v>0</v>
      </c>
      <c r="O31" s="6">
        <v>0</v>
      </c>
      <c r="P31" s="6">
        <v>0.48</v>
      </c>
      <c r="Q31" s="6">
        <v>4.79</v>
      </c>
    </row>
    <row r="32" spans="1:17" customFormat="1">
      <c r="A32" s="82">
        <v>45358.25</v>
      </c>
      <c r="B32" s="6">
        <v>9.1</v>
      </c>
      <c r="C32" s="6">
        <v>24.46</v>
      </c>
      <c r="D32" s="6">
        <v>21.43</v>
      </c>
      <c r="E32" s="6">
        <v>7.47</v>
      </c>
      <c r="F32" s="6">
        <v>5.12</v>
      </c>
      <c r="G32" s="6">
        <v>39.85</v>
      </c>
      <c r="H32" s="6">
        <v>23.31</v>
      </c>
      <c r="I32" s="6">
        <v>4.3899999999999997</v>
      </c>
      <c r="J32" s="6">
        <v>0.91</v>
      </c>
      <c r="K32" s="6">
        <v>55.99</v>
      </c>
      <c r="L32" s="6">
        <v>20.59</v>
      </c>
      <c r="M32" s="6">
        <v>74.72</v>
      </c>
      <c r="N32" s="6">
        <v>0</v>
      </c>
      <c r="O32" s="6">
        <v>0</v>
      </c>
      <c r="P32" s="6">
        <v>0.46</v>
      </c>
      <c r="Q32" s="6">
        <v>4.78</v>
      </c>
    </row>
    <row r="33" spans="1:17" customFormat="1">
      <c r="A33" s="82">
        <v>45358.260416666664</v>
      </c>
      <c r="B33" s="6">
        <v>9.4</v>
      </c>
      <c r="C33" s="6">
        <v>23.12</v>
      </c>
      <c r="D33" s="6">
        <v>20.96</v>
      </c>
      <c r="E33" s="6">
        <v>6.87</v>
      </c>
      <c r="F33" s="6">
        <v>5.1100000000000003</v>
      </c>
      <c r="G33" s="6">
        <v>52.08</v>
      </c>
      <c r="H33" s="6">
        <v>23.36</v>
      </c>
      <c r="I33" s="6">
        <v>4.43</v>
      </c>
      <c r="J33" s="6">
        <v>0.92</v>
      </c>
      <c r="K33" s="6">
        <v>54.21</v>
      </c>
      <c r="L33" s="6">
        <v>20.440000000000001</v>
      </c>
      <c r="M33" s="6">
        <v>76.290000000000006</v>
      </c>
      <c r="N33" s="6">
        <v>0</v>
      </c>
      <c r="O33" s="6">
        <v>0</v>
      </c>
      <c r="P33" s="6">
        <v>0.45</v>
      </c>
      <c r="Q33" s="6">
        <v>4.7699999999999996</v>
      </c>
    </row>
    <row r="34" spans="1:17" customFormat="1">
      <c r="A34" s="82">
        <v>45358.270833333336</v>
      </c>
      <c r="B34" s="6">
        <v>9.6999999999999993</v>
      </c>
      <c r="C34" s="6">
        <v>22.17</v>
      </c>
      <c r="D34" s="6">
        <v>20.71</v>
      </c>
      <c r="E34" s="6">
        <v>6.04</v>
      </c>
      <c r="F34" s="6">
        <v>4.99</v>
      </c>
      <c r="G34" s="6">
        <v>52.08</v>
      </c>
      <c r="H34" s="6">
        <v>23.36</v>
      </c>
      <c r="I34" s="6">
        <v>4.47</v>
      </c>
      <c r="J34" s="6">
        <v>0.62</v>
      </c>
      <c r="K34" s="6">
        <v>69.739999999999995</v>
      </c>
      <c r="L34" s="6">
        <v>20.399999999999999</v>
      </c>
      <c r="M34" s="6">
        <v>77.14</v>
      </c>
      <c r="N34" s="6">
        <v>1.5</v>
      </c>
      <c r="O34" s="6">
        <v>0</v>
      </c>
      <c r="P34" s="6">
        <v>0.45</v>
      </c>
      <c r="Q34" s="6">
        <v>4.7699999999999996</v>
      </c>
    </row>
    <row r="35" spans="1:17" customFormat="1">
      <c r="A35" s="82">
        <v>45358.28125</v>
      </c>
      <c r="B35" s="6">
        <v>9.94</v>
      </c>
      <c r="C35" s="6">
        <v>21.36</v>
      </c>
      <c r="D35" s="6">
        <v>20.48</v>
      </c>
      <c r="E35" s="6">
        <v>5.47</v>
      </c>
      <c r="F35" s="6">
        <v>4.8899999999999997</v>
      </c>
      <c r="G35" s="6">
        <v>52.08</v>
      </c>
      <c r="H35" s="6">
        <v>23.36</v>
      </c>
      <c r="I35" s="6">
        <v>4.51</v>
      </c>
      <c r="J35" s="6">
        <v>0.4</v>
      </c>
      <c r="K35" s="6">
        <v>53.35</v>
      </c>
      <c r="L35" s="6">
        <v>20.399999999999999</v>
      </c>
      <c r="M35" s="6">
        <v>77.75</v>
      </c>
      <c r="N35" s="6">
        <v>11.2</v>
      </c>
      <c r="O35" s="6">
        <v>0</v>
      </c>
      <c r="P35" s="6">
        <v>0.45</v>
      </c>
      <c r="Q35" s="6">
        <v>4.78</v>
      </c>
    </row>
    <row r="36" spans="1:17" customFormat="1">
      <c r="A36" s="82">
        <v>45358.291666666664</v>
      </c>
      <c r="B36" s="6">
        <v>10.29</v>
      </c>
      <c r="C36" s="6">
        <v>20.79</v>
      </c>
      <c r="D36" s="6">
        <v>20.46</v>
      </c>
      <c r="E36" s="6">
        <v>5.57</v>
      </c>
      <c r="F36" s="6">
        <v>5</v>
      </c>
      <c r="G36" s="6">
        <v>52.44</v>
      </c>
      <c r="H36" s="6">
        <v>23.42</v>
      </c>
      <c r="I36" s="6">
        <v>4.5199999999999996</v>
      </c>
      <c r="J36" s="6">
        <v>0.55000000000000004</v>
      </c>
      <c r="K36" s="6">
        <v>35.89</v>
      </c>
      <c r="L36" s="6">
        <v>20.53</v>
      </c>
      <c r="M36" s="6">
        <v>77.61</v>
      </c>
      <c r="N36" s="6">
        <v>23.6</v>
      </c>
      <c r="O36" s="6">
        <v>0</v>
      </c>
      <c r="P36" s="6">
        <v>0.44</v>
      </c>
      <c r="Q36" s="6">
        <v>4.78</v>
      </c>
    </row>
    <row r="37" spans="1:17" customFormat="1">
      <c r="A37" s="82">
        <v>45358.302083333336</v>
      </c>
      <c r="B37" s="6">
        <v>10.34</v>
      </c>
      <c r="C37" s="6">
        <v>20.3</v>
      </c>
      <c r="D37" s="6">
        <v>20.25</v>
      </c>
      <c r="E37" s="6">
        <v>5.31</v>
      </c>
      <c r="F37" s="6">
        <v>4.9000000000000004</v>
      </c>
      <c r="G37" s="6">
        <v>57.48</v>
      </c>
      <c r="H37" s="6">
        <v>24.16</v>
      </c>
      <c r="I37" s="6">
        <v>4.54</v>
      </c>
      <c r="J37" s="6">
        <v>0.8</v>
      </c>
      <c r="K37" s="6">
        <v>60.71</v>
      </c>
      <c r="L37" s="6">
        <v>20.72</v>
      </c>
      <c r="M37" s="6">
        <v>76.87</v>
      </c>
      <c r="N37" s="6">
        <v>37.4</v>
      </c>
      <c r="O37" s="6">
        <v>0</v>
      </c>
      <c r="P37" s="6">
        <v>0.44</v>
      </c>
      <c r="Q37" s="6">
        <v>4.8099999999999996</v>
      </c>
    </row>
    <row r="38" spans="1:17" customFormat="1">
      <c r="A38" s="82">
        <v>45358.3125</v>
      </c>
      <c r="B38" s="6">
        <v>11.14</v>
      </c>
      <c r="C38" s="6">
        <v>20.350000000000001</v>
      </c>
      <c r="D38" s="6">
        <v>20.91</v>
      </c>
      <c r="E38" s="6">
        <v>7.84</v>
      </c>
      <c r="F38" s="6">
        <v>5.2</v>
      </c>
      <c r="G38" s="6">
        <v>57.48</v>
      </c>
      <c r="H38" s="6">
        <v>24.16</v>
      </c>
      <c r="I38" s="6">
        <v>4.58</v>
      </c>
      <c r="J38" s="6">
        <v>0.81</v>
      </c>
      <c r="K38" s="6">
        <v>56.54</v>
      </c>
      <c r="L38" s="6">
        <v>21.04</v>
      </c>
      <c r="M38" s="6">
        <v>75.69</v>
      </c>
      <c r="N38" s="6">
        <v>55.7</v>
      </c>
      <c r="O38" s="6">
        <v>0</v>
      </c>
      <c r="P38" s="6">
        <v>0.47</v>
      </c>
      <c r="Q38" s="6">
        <v>4.83</v>
      </c>
    </row>
    <row r="39" spans="1:17" customFormat="1">
      <c r="A39" s="82">
        <v>45358.322916666664</v>
      </c>
      <c r="B39" s="6">
        <v>11.62</v>
      </c>
      <c r="C39" s="6">
        <v>20.94</v>
      </c>
      <c r="D39" s="6">
        <v>21.61</v>
      </c>
      <c r="E39" s="6">
        <v>9.31</v>
      </c>
      <c r="F39" s="6">
        <v>5.37</v>
      </c>
      <c r="G39" s="6">
        <v>57.48</v>
      </c>
      <c r="H39" s="6">
        <v>24.16</v>
      </c>
      <c r="I39" s="6">
        <v>4.62</v>
      </c>
      <c r="J39" s="6">
        <v>0.93</v>
      </c>
      <c r="K39" s="6">
        <v>57.01</v>
      </c>
      <c r="L39" s="6">
        <v>21.39</v>
      </c>
      <c r="M39" s="6">
        <v>73.97</v>
      </c>
      <c r="N39" s="6">
        <v>88.7</v>
      </c>
      <c r="O39" s="6">
        <v>0</v>
      </c>
      <c r="P39" s="6">
        <v>0.5</v>
      </c>
      <c r="Q39" s="6">
        <v>4.8600000000000003</v>
      </c>
    </row>
    <row r="40" spans="1:17" customFormat="1">
      <c r="A40" s="82">
        <v>45358.333333333336</v>
      </c>
      <c r="B40" s="6">
        <v>10.79</v>
      </c>
      <c r="C40" s="6">
        <v>22.68</v>
      </c>
      <c r="D40" s="6">
        <v>21.85</v>
      </c>
      <c r="E40" s="6">
        <v>10.34</v>
      </c>
      <c r="F40" s="6">
        <v>5.51</v>
      </c>
      <c r="G40" s="6">
        <v>57.02</v>
      </c>
      <c r="H40" s="6">
        <v>24.08</v>
      </c>
      <c r="I40" s="6">
        <v>4.6900000000000004</v>
      </c>
      <c r="J40" s="6">
        <v>1.01</v>
      </c>
      <c r="K40" s="6">
        <v>57.42</v>
      </c>
      <c r="L40" s="6">
        <v>21.74</v>
      </c>
      <c r="M40" s="6">
        <v>71.680000000000007</v>
      </c>
      <c r="N40" s="6">
        <v>99.2</v>
      </c>
      <c r="O40" s="6">
        <v>0</v>
      </c>
      <c r="P40" s="6">
        <v>0.52</v>
      </c>
      <c r="Q40" s="6">
        <v>4.8600000000000003</v>
      </c>
    </row>
    <row r="41" spans="1:17" customFormat="1">
      <c r="A41" s="82">
        <v>45358.34375</v>
      </c>
      <c r="B41" s="6">
        <v>10.210000000000001</v>
      </c>
      <c r="C41" s="6">
        <v>23.66</v>
      </c>
      <c r="D41" s="6">
        <v>21.9</v>
      </c>
      <c r="E41" s="6">
        <v>9.4</v>
      </c>
      <c r="F41" s="6">
        <v>5.72</v>
      </c>
      <c r="G41" s="6">
        <v>50.65</v>
      </c>
      <c r="H41" s="6">
        <v>23.02</v>
      </c>
      <c r="I41" s="6">
        <v>4.7300000000000004</v>
      </c>
      <c r="J41" s="6">
        <v>1.1499999999999999</v>
      </c>
      <c r="K41" s="6">
        <v>64.66</v>
      </c>
      <c r="L41" s="6">
        <v>22.23</v>
      </c>
      <c r="M41" s="6">
        <v>69.739999999999995</v>
      </c>
      <c r="N41" s="6">
        <v>142.80000000000001</v>
      </c>
      <c r="O41" s="6">
        <v>0</v>
      </c>
      <c r="P41" s="6">
        <v>0.52</v>
      </c>
      <c r="Q41" s="6">
        <v>4.8899999999999997</v>
      </c>
    </row>
    <row r="42" spans="1:17" customFormat="1">
      <c r="A42" s="82">
        <v>45358.354166666664</v>
      </c>
      <c r="B42" s="6">
        <v>9.7200000000000006</v>
      </c>
      <c r="C42" s="6">
        <v>24.67</v>
      </c>
      <c r="D42" s="6">
        <v>22.03</v>
      </c>
      <c r="E42" s="6">
        <v>10.49</v>
      </c>
      <c r="F42" s="6">
        <v>5.82</v>
      </c>
      <c r="G42" s="6">
        <v>50.65</v>
      </c>
      <c r="H42" s="6">
        <v>23.02</v>
      </c>
      <c r="I42" s="6">
        <v>4.7699999999999996</v>
      </c>
      <c r="J42" s="6">
        <v>1</v>
      </c>
      <c r="K42" s="6">
        <v>62.96</v>
      </c>
      <c r="L42" s="6">
        <v>22.94</v>
      </c>
      <c r="M42" s="6">
        <v>67.28</v>
      </c>
      <c r="N42" s="6">
        <v>208.8</v>
      </c>
      <c r="O42" s="6">
        <v>0</v>
      </c>
      <c r="P42" s="6">
        <v>0.54</v>
      </c>
      <c r="Q42" s="6">
        <v>4.9400000000000004</v>
      </c>
    </row>
    <row r="43" spans="1:17" customFormat="1">
      <c r="A43" s="82">
        <v>45358.364583333336</v>
      </c>
      <c r="B43" s="6">
        <v>9.41</v>
      </c>
      <c r="C43" s="6">
        <v>25.46</v>
      </c>
      <c r="D43" s="6">
        <v>22.2</v>
      </c>
      <c r="E43" s="6">
        <v>11.35</v>
      </c>
      <c r="F43" s="6">
        <v>6.24</v>
      </c>
      <c r="G43" s="6">
        <v>50.65</v>
      </c>
      <c r="H43" s="6">
        <v>23.02</v>
      </c>
      <c r="I43" s="6">
        <v>4.7699999999999996</v>
      </c>
      <c r="J43" s="6">
        <v>1.08</v>
      </c>
      <c r="K43" s="6">
        <v>64.87</v>
      </c>
      <c r="L43" s="6">
        <v>23.76</v>
      </c>
      <c r="M43" s="6">
        <v>63.68</v>
      </c>
      <c r="N43" s="6">
        <v>236.6</v>
      </c>
      <c r="O43" s="6">
        <v>0</v>
      </c>
      <c r="P43" s="6">
        <v>0.55000000000000004</v>
      </c>
      <c r="Q43" s="6">
        <v>4.95</v>
      </c>
    </row>
    <row r="44" spans="1:17" customFormat="1">
      <c r="A44" s="82">
        <v>45358.375</v>
      </c>
      <c r="B44" s="6">
        <v>8.7899999999999991</v>
      </c>
      <c r="C44" s="6">
        <v>25.9</v>
      </c>
      <c r="D44" s="6">
        <v>21.94</v>
      </c>
      <c r="E44" s="6">
        <v>10.78</v>
      </c>
      <c r="F44" s="6">
        <v>6.36</v>
      </c>
      <c r="G44" s="6">
        <v>50.95</v>
      </c>
      <c r="H44" s="6">
        <v>23.21</v>
      </c>
      <c r="I44" s="6">
        <v>4.79</v>
      </c>
      <c r="J44" s="6">
        <v>0.96</v>
      </c>
      <c r="K44" s="6">
        <v>76.099999999999994</v>
      </c>
      <c r="L44" s="6">
        <v>24.67</v>
      </c>
      <c r="M44" s="6">
        <v>59.73</v>
      </c>
      <c r="N44" s="6">
        <v>288.60000000000002</v>
      </c>
      <c r="O44" s="6">
        <v>0</v>
      </c>
      <c r="P44" s="6">
        <v>0.56000000000000005</v>
      </c>
      <c r="Q44" s="6">
        <v>4.93</v>
      </c>
    </row>
    <row r="45" spans="1:17" customFormat="1">
      <c r="A45" s="82">
        <v>45358.385416666664</v>
      </c>
      <c r="B45" s="6">
        <v>7.87</v>
      </c>
      <c r="C45" s="6">
        <v>26.29</v>
      </c>
      <c r="D45" s="6">
        <v>21.4</v>
      </c>
      <c r="E45" s="6">
        <v>9.49</v>
      </c>
      <c r="F45" s="6">
        <v>6.34</v>
      </c>
      <c r="G45" s="6">
        <v>55.21</v>
      </c>
      <c r="H45" s="6">
        <v>25.63</v>
      </c>
      <c r="I45" s="6">
        <v>4.83</v>
      </c>
      <c r="J45" s="6">
        <v>0.97</v>
      </c>
      <c r="K45" s="6">
        <v>79.05</v>
      </c>
      <c r="L45" s="6">
        <v>25.31</v>
      </c>
      <c r="M45" s="6">
        <v>57.71</v>
      </c>
      <c r="N45" s="6">
        <v>323</v>
      </c>
      <c r="O45" s="6">
        <v>0</v>
      </c>
      <c r="P45" s="6">
        <v>0.55000000000000004</v>
      </c>
      <c r="Q45" s="6">
        <v>4.92</v>
      </c>
    </row>
    <row r="46" spans="1:17" customFormat="1">
      <c r="A46" s="82">
        <v>45358.395833333336</v>
      </c>
      <c r="B46" s="6">
        <v>6.85</v>
      </c>
      <c r="C46" s="6">
        <v>25.97</v>
      </c>
      <c r="D46" s="6">
        <v>20.41</v>
      </c>
      <c r="E46" s="6">
        <v>9.8800000000000008</v>
      </c>
      <c r="F46" s="6">
        <v>8.25</v>
      </c>
      <c r="G46" s="6">
        <v>55.21</v>
      </c>
      <c r="H46" s="6">
        <v>25.63</v>
      </c>
      <c r="I46" s="6">
        <v>4.8099999999999996</v>
      </c>
      <c r="J46" s="6">
        <v>1.03</v>
      </c>
      <c r="K46" s="6">
        <v>57.42</v>
      </c>
      <c r="L46" s="6">
        <v>25.87</v>
      </c>
      <c r="M46" s="6">
        <v>56.59</v>
      </c>
      <c r="N46" s="6">
        <v>340.8</v>
      </c>
      <c r="O46" s="6">
        <v>0</v>
      </c>
      <c r="P46" s="6">
        <v>0.56000000000000005</v>
      </c>
      <c r="Q46" s="6">
        <v>4.92</v>
      </c>
    </row>
    <row r="47" spans="1:17" customFormat="1">
      <c r="A47" s="82">
        <v>45358.40625</v>
      </c>
      <c r="B47" s="6">
        <v>6.08</v>
      </c>
      <c r="C47" s="6">
        <v>25.75</v>
      </c>
      <c r="D47" s="6">
        <v>19.68</v>
      </c>
      <c r="E47" s="6">
        <v>10.81</v>
      </c>
      <c r="F47" s="6">
        <v>8.64</v>
      </c>
      <c r="G47" s="6">
        <v>55.21</v>
      </c>
      <c r="H47" s="6">
        <v>25.63</v>
      </c>
      <c r="I47" s="6">
        <v>4.7300000000000004</v>
      </c>
      <c r="J47" s="6">
        <v>1.26</v>
      </c>
      <c r="K47" s="6">
        <v>54.85</v>
      </c>
      <c r="L47" s="6">
        <v>25.98</v>
      </c>
      <c r="M47" s="6">
        <v>56.44</v>
      </c>
      <c r="N47" s="6">
        <v>362.6</v>
      </c>
      <c r="O47" s="6">
        <v>0</v>
      </c>
      <c r="P47" s="6">
        <v>0.56999999999999995</v>
      </c>
      <c r="Q47" s="6">
        <v>4.88</v>
      </c>
    </row>
    <row r="48" spans="1:17" customFormat="1">
      <c r="A48" s="82">
        <v>45358.416666666664</v>
      </c>
      <c r="B48" s="6">
        <v>6.11</v>
      </c>
      <c r="C48" s="6">
        <v>25.8</v>
      </c>
      <c r="D48" s="6">
        <v>19.72</v>
      </c>
      <c r="E48" s="6">
        <v>11.53</v>
      </c>
      <c r="F48" s="6">
        <v>10.35</v>
      </c>
      <c r="G48" s="6">
        <v>55.37</v>
      </c>
      <c r="H48" s="6">
        <v>25.73</v>
      </c>
      <c r="I48" s="6">
        <v>4.7</v>
      </c>
      <c r="J48" s="6">
        <v>1.05</v>
      </c>
      <c r="K48" s="6">
        <v>61.51</v>
      </c>
      <c r="L48" s="6">
        <v>26.73</v>
      </c>
      <c r="M48" s="6">
        <v>54.07</v>
      </c>
      <c r="N48" s="6">
        <v>309.8</v>
      </c>
      <c r="O48" s="6">
        <v>0</v>
      </c>
      <c r="P48" s="6">
        <v>0.57999999999999996</v>
      </c>
      <c r="Q48" s="6">
        <v>4.87</v>
      </c>
    </row>
    <row r="49" spans="1:17" customFormat="1">
      <c r="A49" s="82">
        <v>45358.427083333336</v>
      </c>
      <c r="B49" s="6">
        <v>5.82</v>
      </c>
      <c r="C49" s="6">
        <v>25.8</v>
      </c>
      <c r="D49" s="6">
        <v>19.5</v>
      </c>
      <c r="E49" s="6">
        <v>10.07</v>
      </c>
      <c r="F49" s="6">
        <v>10.33</v>
      </c>
      <c r="G49" s="6">
        <v>57.63</v>
      </c>
      <c r="H49" s="6">
        <v>26.99</v>
      </c>
      <c r="I49" s="6">
        <v>4.66</v>
      </c>
      <c r="J49" s="6">
        <v>1.2</v>
      </c>
      <c r="K49" s="6">
        <v>51.43</v>
      </c>
      <c r="L49" s="6">
        <v>26.8</v>
      </c>
      <c r="M49" s="6">
        <v>53.89</v>
      </c>
      <c r="N49" s="6">
        <v>308.60000000000002</v>
      </c>
      <c r="O49" s="6">
        <v>0</v>
      </c>
      <c r="P49" s="6">
        <v>0.57999999999999996</v>
      </c>
      <c r="Q49" s="6">
        <v>4.8499999999999996</v>
      </c>
    </row>
    <row r="50" spans="1:17" customFormat="1">
      <c r="A50" s="82">
        <v>45358.4375</v>
      </c>
      <c r="B50" s="6">
        <v>5.58</v>
      </c>
      <c r="C50" s="6">
        <v>26</v>
      </c>
      <c r="D50" s="6">
        <v>19.41</v>
      </c>
      <c r="E50" s="6">
        <v>11.42</v>
      </c>
      <c r="F50" s="6">
        <v>10.78</v>
      </c>
      <c r="G50" s="6">
        <v>57.63</v>
      </c>
      <c r="H50" s="6">
        <v>26.99</v>
      </c>
      <c r="I50" s="6">
        <v>4.62</v>
      </c>
      <c r="J50" s="6">
        <v>1.48</v>
      </c>
      <c r="K50" s="6">
        <v>55.36</v>
      </c>
      <c r="L50" s="6">
        <v>27.27</v>
      </c>
      <c r="M50" s="6">
        <v>52.57</v>
      </c>
      <c r="N50" s="6">
        <v>436.6</v>
      </c>
      <c r="O50" s="6">
        <v>0</v>
      </c>
      <c r="P50" s="6">
        <v>0.57999999999999996</v>
      </c>
      <c r="Q50" s="6">
        <v>4.8499999999999996</v>
      </c>
    </row>
    <row r="51" spans="1:17" customFormat="1">
      <c r="A51" s="82">
        <v>45358.447916666664</v>
      </c>
      <c r="B51" s="6">
        <v>5.0999999999999996</v>
      </c>
      <c r="C51" s="6">
        <v>26.46</v>
      </c>
      <c r="D51" s="6">
        <v>19.27</v>
      </c>
      <c r="E51" s="6">
        <v>11.82</v>
      </c>
      <c r="F51" s="6">
        <v>12.21</v>
      </c>
      <c r="G51" s="6">
        <v>57.63</v>
      </c>
      <c r="H51" s="6">
        <v>26.99</v>
      </c>
      <c r="I51" s="6">
        <v>4.6500000000000004</v>
      </c>
      <c r="J51" s="6">
        <v>1.1000000000000001</v>
      </c>
      <c r="K51" s="6">
        <v>57.36</v>
      </c>
      <c r="L51" s="6">
        <v>27.94</v>
      </c>
      <c r="M51" s="6">
        <v>50.67</v>
      </c>
      <c r="N51" s="6">
        <v>458.6</v>
      </c>
      <c r="O51" s="6">
        <v>0</v>
      </c>
      <c r="P51" s="6">
        <v>0.56999999999999995</v>
      </c>
      <c r="Q51" s="6">
        <v>4.8499999999999996</v>
      </c>
    </row>
    <row r="52" spans="1:17" customFormat="1">
      <c r="A52" s="82">
        <v>45358.458333333336</v>
      </c>
      <c r="B52" s="6">
        <v>4.62</v>
      </c>
      <c r="C52" s="6">
        <v>25.98</v>
      </c>
      <c r="D52" s="6">
        <v>18.63</v>
      </c>
      <c r="E52" s="6">
        <v>11.26</v>
      </c>
      <c r="F52" s="6">
        <v>12.48</v>
      </c>
      <c r="G52" s="6">
        <v>57.88</v>
      </c>
      <c r="H52" s="6">
        <v>26.73</v>
      </c>
      <c r="I52" s="6">
        <v>4.6100000000000003</v>
      </c>
      <c r="J52" s="6">
        <v>0.8</v>
      </c>
      <c r="K52" s="6">
        <v>69.06</v>
      </c>
      <c r="L52" s="6">
        <v>28.89</v>
      </c>
      <c r="M52" s="6">
        <v>47.87</v>
      </c>
      <c r="N52" s="6">
        <v>483.5</v>
      </c>
      <c r="O52" s="6">
        <v>0</v>
      </c>
      <c r="P52" s="6">
        <v>0.56999999999999995</v>
      </c>
      <c r="Q52" s="6">
        <v>4.8600000000000003</v>
      </c>
    </row>
    <row r="53" spans="1:17" customFormat="1">
      <c r="A53" s="82">
        <v>45358.46875</v>
      </c>
      <c r="B53" s="6">
        <v>4.5199999999999996</v>
      </c>
      <c r="C53" s="6">
        <v>25.43</v>
      </c>
      <c r="D53" s="6">
        <v>18.260000000000002</v>
      </c>
      <c r="E53" s="6">
        <v>12.83</v>
      </c>
      <c r="F53" s="6">
        <v>12.73</v>
      </c>
      <c r="G53" s="6">
        <v>61.45</v>
      </c>
      <c r="H53" s="6">
        <v>23.53</v>
      </c>
      <c r="I53" s="6">
        <v>4.5199999999999996</v>
      </c>
      <c r="J53" s="6">
        <v>0.92</v>
      </c>
      <c r="K53" s="6">
        <v>57.45</v>
      </c>
      <c r="L53" s="6">
        <v>29.08</v>
      </c>
      <c r="M53" s="6">
        <v>47.74</v>
      </c>
      <c r="N53" s="6">
        <v>477.8</v>
      </c>
      <c r="O53" s="6">
        <v>0</v>
      </c>
      <c r="P53" s="6">
        <v>0.56000000000000005</v>
      </c>
      <c r="Q53" s="6">
        <v>4.83</v>
      </c>
    </row>
    <row r="54" spans="1:17" customFormat="1">
      <c r="A54" s="82">
        <v>45358.479166666664</v>
      </c>
      <c r="B54" s="6">
        <v>4.3099999999999996</v>
      </c>
      <c r="C54" s="6">
        <v>25.25</v>
      </c>
      <c r="D54" s="6">
        <v>18</v>
      </c>
      <c r="E54" s="6">
        <v>11.9</v>
      </c>
      <c r="F54" s="6">
        <v>11.86</v>
      </c>
      <c r="G54" s="6">
        <v>61.45</v>
      </c>
      <c r="H54" s="6">
        <v>23.53</v>
      </c>
      <c r="I54" s="6">
        <v>4.4000000000000004</v>
      </c>
      <c r="J54" s="6">
        <v>0.73</v>
      </c>
      <c r="K54" s="6">
        <v>66.27</v>
      </c>
      <c r="L54" s="6">
        <v>30.02</v>
      </c>
      <c r="M54" s="6">
        <v>44.88</v>
      </c>
      <c r="N54" s="6">
        <v>525.1</v>
      </c>
      <c r="O54" s="6">
        <v>0</v>
      </c>
      <c r="P54" s="6">
        <v>0.56000000000000005</v>
      </c>
      <c r="Q54" s="6">
        <v>4.8099999999999996</v>
      </c>
    </row>
    <row r="55" spans="1:17" customFormat="1">
      <c r="A55" s="82">
        <v>45358.489583333336</v>
      </c>
      <c r="B55" s="6">
        <v>4.46</v>
      </c>
      <c r="C55" s="6">
        <v>24.65</v>
      </c>
      <c r="D55" s="6">
        <v>17.809999999999999</v>
      </c>
      <c r="E55" s="6">
        <v>12.14</v>
      </c>
      <c r="F55" s="6">
        <v>13.76</v>
      </c>
      <c r="G55" s="6">
        <v>61.45</v>
      </c>
      <c r="H55" s="6">
        <v>23.53</v>
      </c>
      <c r="I55" s="6">
        <v>4.41</v>
      </c>
      <c r="J55" s="6">
        <v>0.93</v>
      </c>
      <c r="K55" s="6">
        <v>69.33</v>
      </c>
      <c r="L55" s="6">
        <v>30.15</v>
      </c>
      <c r="M55" s="6">
        <v>44.63</v>
      </c>
      <c r="N55" s="6">
        <v>540.6</v>
      </c>
      <c r="O55" s="6">
        <v>0</v>
      </c>
      <c r="P55" s="6">
        <v>0.56000000000000005</v>
      </c>
      <c r="Q55" s="6">
        <v>4.8</v>
      </c>
    </row>
    <row r="56" spans="1:17" customFormat="1">
      <c r="A56" s="82">
        <v>45358.5</v>
      </c>
      <c r="B56" s="6">
        <v>4.97</v>
      </c>
      <c r="C56" s="6">
        <v>23.53</v>
      </c>
      <c r="D56" s="6">
        <v>17.62</v>
      </c>
      <c r="E56" s="6">
        <v>14.68</v>
      </c>
      <c r="F56" s="6">
        <v>20</v>
      </c>
      <c r="G56" s="6">
        <v>61.41</v>
      </c>
      <c r="H56" s="6">
        <v>23.71</v>
      </c>
      <c r="I56" s="6">
        <v>4.3499999999999996</v>
      </c>
      <c r="J56" s="6">
        <v>1.19</v>
      </c>
      <c r="K56" s="6">
        <v>30.62</v>
      </c>
      <c r="L56" s="6">
        <v>29.68</v>
      </c>
      <c r="M56" s="6">
        <v>46.29</v>
      </c>
      <c r="N56" s="6">
        <v>538</v>
      </c>
      <c r="O56" s="6">
        <v>0</v>
      </c>
      <c r="P56" s="6">
        <v>0.55000000000000004</v>
      </c>
      <c r="Q56" s="6">
        <v>4.78</v>
      </c>
    </row>
    <row r="57" spans="1:17" customFormat="1">
      <c r="A57" s="82">
        <v>45358.510416666664</v>
      </c>
      <c r="B57" s="6">
        <v>4.57</v>
      </c>
      <c r="C57" s="6">
        <v>23.24</v>
      </c>
      <c r="D57" s="6">
        <v>17.16</v>
      </c>
      <c r="E57" s="6">
        <v>17.940000000000001</v>
      </c>
      <c r="F57" s="6">
        <v>16.63</v>
      </c>
      <c r="G57" s="6">
        <v>60.83</v>
      </c>
      <c r="H57" s="6">
        <v>25.98</v>
      </c>
      <c r="I57" s="6">
        <v>4.25</v>
      </c>
      <c r="J57" s="6">
        <v>1.2</v>
      </c>
      <c r="K57" s="6">
        <v>43.38</v>
      </c>
      <c r="L57" s="6">
        <v>29.7</v>
      </c>
      <c r="M57" s="6">
        <v>46.22</v>
      </c>
      <c r="N57" s="6">
        <v>542.9</v>
      </c>
      <c r="O57" s="6">
        <v>0</v>
      </c>
      <c r="P57" s="6">
        <v>0.55000000000000004</v>
      </c>
      <c r="Q57" s="6">
        <v>4.78</v>
      </c>
    </row>
    <row r="58" spans="1:17" customFormat="1">
      <c r="A58" s="82">
        <v>45358.520833333336</v>
      </c>
      <c r="B58" s="6">
        <v>4.47</v>
      </c>
      <c r="C58" s="6">
        <v>22.77</v>
      </c>
      <c r="D58" s="6">
        <v>16.829999999999998</v>
      </c>
      <c r="E58" s="6">
        <v>19.41</v>
      </c>
      <c r="F58" s="6">
        <v>19.739999999999998</v>
      </c>
      <c r="G58" s="6">
        <v>60.83</v>
      </c>
      <c r="H58" s="6">
        <v>25.98</v>
      </c>
      <c r="I58" s="6">
        <v>4.1100000000000003</v>
      </c>
      <c r="J58" s="6">
        <v>1.1399999999999999</v>
      </c>
      <c r="K58" s="6">
        <v>39.14</v>
      </c>
      <c r="L58" s="6">
        <v>30.16</v>
      </c>
      <c r="M58" s="6">
        <v>45.08</v>
      </c>
      <c r="N58" s="6">
        <v>538.5</v>
      </c>
      <c r="O58" s="6">
        <v>0</v>
      </c>
      <c r="P58" s="6">
        <v>0.55000000000000004</v>
      </c>
      <c r="Q58" s="6">
        <v>4.75</v>
      </c>
    </row>
    <row r="59" spans="1:17" customFormat="1">
      <c r="A59" s="82">
        <v>45358.53125</v>
      </c>
      <c r="B59" s="6">
        <v>4.41</v>
      </c>
      <c r="C59" s="6">
        <v>23.16</v>
      </c>
      <c r="D59" s="6">
        <v>16.989999999999998</v>
      </c>
      <c r="E59" s="6">
        <v>16.68</v>
      </c>
      <c r="F59" s="6">
        <v>14.33</v>
      </c>
      <c r="G59" s="6">
        <v>60.83</v>
      </c>
      <c r="H59" s="6">
        <v>25.98</v>
      </c>
      <c r="I59" s="6">
        <v>4.1100000000000003</v>
      </c>
      <c r="J59" s="6">
        <v>0.78</v>
      </c>
      <c r="K59" s="6">
        <v>29.49</v>
      </c>
      <c r="L59" s="6">
        <v>30.65</v>
      </c>
      <c r="M59" s="6">
        <v>44.72</v>
      </c>
      <c r="N59" s="6">
        <v>533.9</v>
      </c>
      <c r="O59" s="6">
        <v>0</v>
      </c>
      <c r="P59" s="6">
        <v>0.56999999999999995</v>
      </c>
      <c r="Q59" s="6">
        <v>4.7300000000000004</v>
      </c>
    </row>
    <row r="60" spans="1:17" customFormat="1">
      <c r="A60" s="82">
        <v>45358.541666666664</v>
      </c>
      <c r="B60" s="6">
        <v>4.21</v>
      </c>
      <c r="C60" s="6">
        <v>22.47</v>
      </c>
      <c r="D60" s="6">
        <v>16.47</v>
      </c>
      <c r="E60" s="6">
        <v>17.68</v>
      </c>
      <c r="F60" s="6">
        <v>23.21</v>
      </c>
      <c r="G60" s="6">
        <v>60.84</v>
      </c>
      <c r="H60" s="6">
        <v>25.76</v>
      </c>
      <c r="I60" s="6">
        <v>4.1100000000000003</v>
      </c>
      <c r="J60" s="6">
        <v>1.1599999999999999</v>
      </c>
      <c r="K60" s="6">
        <v>61.9</v>
      </c>
      <c r="L60" s="6">
        <v>30.58</v>
      </c>
      <c r="M60" s="6">
        <v>44.17</v>
      </c>
      <c r="N60" s="6">
        <v>530.5</v>
      </c>
      <c r="O60" s="6">
        <v>0</v>
      </c>
      <c r="P60" s="6">
        <v>0.57999999999999996</v>
      </c>
      <c r="Q60" s="6">
        <v>4.72</v>
      </c>
    </row>
    <row r="61" spans="1:17" customFormat="1">
      <c r="A61" s="82">
        <v>45358.552083333336</v>
      </c>
      <c r="B61" s="6">
        <v>3.75</v>
      </c>
      <c r="C61" s="6">
        <v>21.26</v>
      </c>
      <c r="D61" s="6">
        <v>15.46</v>
      </c>
      <c r="E61" s="6">
        <v>20.37</v>
      </c>
      <c r="F61" s="6">
        <v>24.49</v>
      </c>
      <c r="G61" s="6">
        <v>60.9</v>
      </c>
      <c r="H61" s="167" t="s">
        <v>14</v>
      </c>
      <c r="I61" s="6">
        <v>4.21</v>
      </c>
      <c r="J61" s="6">
        <v>0.89</v>
      </c>
      <c r="K61" s="6">
        <v>40.549999999999997</v>
      </c>
      <c r="L61" s="6">
        <v>30.94</v>
      </c>
      <c r="M61" s="6">
        <v>43.69</v>
      </c>
      <c r="N61" s="6">
        <v>514.20000000000005</v>
      </c>
      <c r="O61" s="6">
        <v>0</v>
      </c>
      <c r="P61" s="6">
        <v>0.59</v>
      </c>
      <c r="Q61" s="6">
        <v>4.72</v>
      </c>
    </row>
    <row r="62" spans="1:17" customFormat="1">
      <c r="A62" s="82">
        <v>45358.5625</v>
      </c>
      <c r="B62" s="6">
        <v>3.4</v>
      </c>
      <c r="C62" s="6">
        <v>21.47</v>
      </c>
      <c r="D62" s="6">
        <v>15.29</v>
      </c>
      <c r="E62" s="6">
        <v>21.21</v>
      </c>
      <c r="F62" s="6">
        <v>19.93</v>
      </c>
      <c r="G62" s="6">
        <v>60.9</v>
      </c>
      <c r="H62" s="6">
        <v>23.1</v>
      </c>
      <c r="I62" s="6">
        <v>4.0999999999999996</v>
      </c>
      <c r="J62" s="6">
        <v>0.94</v>
      </c>
      <c r="K62" s="6">
        <v>43.86</v>
      </c>
      <c r="L62" s="6">
        <v>31.28</v>
      </c>
      <c r="M62" s="6">
        <v>42.45</v>
      </c>
      <c r="N62" s="6">
        <v>471</v>
      </c>
      <c r="O62" s="6">
        <v>0</v>
      </c>
      <c r="P62" s="6">
        <v>0.6</v>
      </c>
      <c r="Q62" s="6">
        <v>4.71</v>
      </c>
    </row>
    <row r="63" spans="1:17" customFormat="1">
      <c r="A63" s="82">
        <v>45358.572916666664</v>
      </c>
      <c r="B63" s="151" t="s">
        <v>12</v>
      </c>
      <c r="C63" s="151" t="s">
        <v>12</v>
      </c>
      <c r="D63" s="151" t="s">
        <v>12</v>
      </c>
      <c r="E63" s="151" t="s">
        <v>12</v>
      </c>
      <c r="F63" s="151" t="s">
        <v>12</v>
      </c>
      <c r="G63" s="6">
        <v>60.9</v>
      </c>
      <c r="H63" s="6">
        <v>23.1</v>
      </c>
      <c r="I63" s="6">
        <v>4.03</v>
      </c>
      <c r="J63" s="6">
        <v>0.69</v>
      </c>
      <c r="K63" s="6">
        <v>12.91</v>
      </c>
      <c r="L63" s="6">
        <v>31.33</v>
      </c>
      <c r="M63" s="6">
        <v>41.62</v>
      </c>
      <c r="N63" s="6">
        <v>485.9</v>
      </c>
      <c r="O63" s="6">
        <v>0</v>
      </c>
      <c r="P63" s="151" t="s">
        <v>12</v>
      </c>
      <c r="Q63" s="6">
        <v>4.6900000000000004</v>
      </c>
    </row>
    <row r="64" spans="1:17" customFormat="1">
      <c r="A64" s="82">
        <v>45358.583333333336</v>
      </c>
      <c r="B64" s="151" t="s">
        <v>12</v>
      </c>
      <c r="C64" s="151" t="s">
        <v>12</v>
      </c>
      <c r="D64" s="151" t="s">
        <v>12</v>
      </c>
      <c r="E64" s="151" t="s">
        <v>12</v>
      </c>
      <c r="F64" s="151" t="s">
        <v>12</v>
      </c>
      <c r="G64" s="6">
        <v>61.38</v>
      </c>
      <c r="H64" s="6">
        <v>23.2</v>
      </c>
      <c r="I64" s="6">
        <v>4.43</v>
      </c>
      <c r="J64" s="6">
        <v>0.56000000000000005</v>
      </c>
      <c r="K64" s="6">
        <v>323.14</v>
      </c>
      <c r="L64" s="6">
        <v>31.72</v>
      </c>
      <c r="M64" s="6">
        <v>39.11</v>
      </c>
      <c r="N64" s="6">
        <v>471.6</v>
      </c>
      <c r="O64" s="6">
        <v>0</v>
      </c>
      <c r="P64" s="151" t="s">
        <v>12</v>
      </c>
      <c r="Q64" s="6">
        <v>4.6900000000000004</v>
      </c>
    </row>
    <row r="65" spans="1:17" customFormat="1">
      <c r="A65" s="82">
        <v>45358.59375</v>
      </c>
      <c r="B65" s="151" t="s">
        <v>12</v>
      </c>
      <c r="C65" s="151" t="s">
        <v>12</v>
      </c>
      <c r="D65" s="151" t="s">
        <v>12</v>
      </c>
      <c r="E65" s="151" t="s">
        <v>12</v>
      </c>
      <c r="F65" s="151" t="s">
        <v>12</v>
      </c>
      <c r="G65" s="6">
        <v>66.989999999999995</v>
      </c>
      <c r="H65" s="6">
        <v>24.39</v>
      </c>
      <c r="I65" s="6">
        <v>7.45</v>
      </c>
      <c r="J65" s="6">
        <v>0.53</v>
      </c>
      <c r="K65" s="6">
        <v>24.9</v>
      </c>
      <c r="L65" s="6">
        <v>31.66</v>
      </c>
      <c r="M65" s="6">
        <v>39.950000000000003</v>
      </c>
      <c r="N65" s="6">
        <v>415.4</v>
      </c>
      <c r="O65" s="6">
        <v>0</v>
      </c>
      <c r="P65" s="151" t="s">
        <v>12</v>
      </c>
      <c r="Q65" s="6">
        <v>4.72</v>
      </c>
    </row>
    <row r="66" spans="1:17" customFormat="1">
      <c r="A66" s="82">
        <v>45358.604166666664</v>
      </c>
      <c r="B66" s="151" t="s">
        <v>12</v>
      </c>
      <c r="C66" s="151" t="s">
        <v>12</v>
      </c>
      <c r="D66" s="151" t="s">
        <v>12</v>
      </c>
      <c r="E66" s="151" t="s">
        <v>12</v>
      </c>
      <c r="F66" s="151" t="s">
        <v>12</v>
      </c>
      <c r="G66" s="6">
        <v>66.989999999999995</v>
      </c>
      <c r="H66" s="6">
        <v>24.39</v>
      </c>
      <c r="I66" s="6">
        <v>10.94</v>
      </c>
      <c r="J66" s="6">
        <v>0.8</v>
      </c>
      <c r="K66" s="6">
        <v>22.41</v>
      </c>
      <c r="L66" s="6">
        <v>31.95</v>
      </c>
      <c r="M66" s="6">
        <v>39.020000000000003</v>
      </c>
      <c r="N66" s="6">
        <v>412.6</v>
      </c>
      <c r="O66" s="6">
        <v>0</v>
      </c>
      <c r="P66" s="151" t="s">
        <v>12</v>
      </c>
      <c r="Q66" s="6">
        <v>4.75</v>
      </c>
    </row>
    <row r="67" spans="1:17" customFormat="1">
      <c r="A67" s="82">
        <v>45358.614583333336</v>
      </c>
      <c r="B67" s="6">
        <v>2.54</v>
      </c>
      <c r="C67" s="6">
        <v>19.059999999999999</v>
      </c>
      <c r="D67" s="6">
        <v>13.35</v>
      </c>
      <c r="E67" s="6">
        <v>6.57</v>
      </c>
      <c r="F67" s="6">
        <v>23.71</v>
      </c>
      <c r="G67" s="6">
        <v>66.989999999999995</v>
      </c>
      <c r="H67" s="6">
        <v>24.39</v>
      </c>
      <c r="I67" s="6">
        <v>16.579999999999998</v>
      </c>
      <c r="J67" s="6">
        <v>0.61</v>
      </c>
      <c r="K67" s="6">
        <v>45.55</v>
      </c>
      <c r="L67" s="6">
        <v>32.229999999999997</v>
      </c>
      <c r="M67" s="6">
        <v>38.04</v>
      </c>
      <c r="N67" s="6">
        <v>371.8</v>
      </c>
      <c r="O67" s="6">
        <v>0</v>
      </c>
      <c r="P67" s="6">
        <v>0.74</v>
      </c>
      <c r="Q67" s="6">
        <v>4.72</v>
      </c>
    </row>
    <row r="68" spans="1:17" customFormat="1">
      <c r="A68" s="82">
        <v>45358.625</v>
      </c>
      <c r="B68" s="6">
        <v>3.97</v>
      </c>
      <c r="C68" s="6">
        <v>29.54</v>
      </c>
      <c r="D68" s="6">
        <v>19.97</v>
      </c>
      <c r="E68" s="6">
        <v>26.53</v>
      </c>
      <c r="F68" s="6">
        <v>21.63</v>
      </c>
      <c r="G68" s="6">
        <v>66.81</v>
      </c>
      <c r="H68" s="6">
        <v>25.07</v>
      </c>
      <c r="I68" s="6">
        <v>18.579999999999998</v>
      </c>
      <c r="J68" s="6">
        <v>0.94</v>
      </c>
      <c r="K68" s="6">
        <v>28.64</v>
      </c>
      <c r="L68" s="6">
        <v>31.4</v>
      </c>
      <c r="M68" s="6">
        <v>39.79</v>
      </c>
      <c r="N68" s="6">
        <v>241.1</v>
      </c>
      <c r="O68" s="6">
        <v>0</v>
      </c>
      <c r="P68" s="6">
        <v>0.43</v>
      </c>
      <c r="Q68" s="6">
        <v>4.71</v>
      </c>
    </row>
    <row r="69" spans="1:17" customFormat="1">
      <c r="A69" s="82">
        <v>45358.635416666664</v>
      </c>
      <c r="B69" s="6">
        <v>5</v>
      </c>
      <c r="C69" s="6">
        <v>32.75</v>
      </c>
      <c r="D69" s="6">
        <v>22.48</v>
      </c>
      <c r="E69" s="6">
        <v>44.55</v>
      </c>
      <c r="F69" s="6">
        <v>25.53</v>
      </c>
      <c r="G69" s="6">
        <v>64.739999999999995</v>
      </c>
      <c r="H69" s="6">
        <v>33.340000000000003</v>
      </c>
      <c r="I69" s="6">
        <v>23.73</v>
      </c>
      <c r="J69" s="6">
        <v>0.9</v>
      </c>
      <c r="K69" s="6">
        <v>15.13</v>
      </c>
      <c r="L69" s="6">
        <v>31.42</v>
      </c>
      <c r="M69" s="6">
        <v>39.75</v>
      </c>
      <c r="N69" s="6">
        <v>170.2</v>
      </c>
      <c r="O69" s="6">
        <v>0</v>
      </c>
      <c r="P69" s="6">
        <v>0.5</v>
      </c>
      <c r="Q69" s="6">
        <v>4.71</v>
      </c>
    </row>
    <row r="70" spans="1:17" customFormat="1">
      <c r="A70" s="82">
        <v>45358.645833333336</v>
      </c>
      <c r="B70" s="6">
        <v>3.35</v>
      </c>
      <c r="C70" s="6">
        <v>31.16</v>
      </c>
      <c r="D70" s="6">
        <v>20.309999999999999</v>
      </c>
      <c r="E70" s="6">
        <v>53.68</v>
      </c>
      <c r="F70" s="6">
        <v>27.77</v>
      </c>
      <c r="G70" s="6">
        <v>64.739999999999995</v>
      </c>
      <c r="H70" s="6">
        <v>33.340000000000003</v>
      </c>
      <c r="I70" s="6">
        <v>22.94</v>
      </c>
      <c r="J70" s="6">
        <v>0.76</v>
      </c>
      <c r="K70" s="6">
        <v>32.5</v>
      </c>
      <c r="L70" s="6">
        <v>31.2</v>
      </c>
      <c r="M70" s="6">
        <v>39.86</v>
      </c>
      <c r="N70" s="6">
        <v>146.69999999999999</v>
      </c>
      <c r="O70" s="6">
        <v>0</v>
      </c>
      <c r="P70" s="6">
        <v>0.51</v>
      </c>
      <c r="Q70" s="6">
        <v>4.71</v>
      </c>
    </row>
    <row r="71" spans="1:17" customFormat="1">
      <c r="A71" s="82">
        <v>45358.65625</v>
      </c>
      <c r="B71" s="6">
        <v>2.85</v>
      </c>
      <c r="C71" s="6">
        <v>30.81</v>
      </c>
      <c r="D71" s="6">
        <v>19.739999999999998</v>
      </c>
      <c r="E71" s="6">
        <v>39.619999999999997</v>
      </c>
      <c r="F71" s="6">
        <v>21.7</v>
      </c>
      <c r="G71" s="6">
        <v>64.739999999999995</v>
      </c>
      <c r="H71" s="6">
        <v>33.340000000000003</v>
      </c>
      <c r="I71" s="6">
        <v>18.88</v>
      </c>
      <c r="J71" s="6">
        <v>1.53</v>
      </c>
      <c r="K71" s="6">
        <v>51</v>
      </c>
      <c r="L71" s="6">
        <v>31.06</v>
      </c>
      <c r="M71" s="6">
        <v>40.97</v>
      </c>
      <c r="N71" s="6">
        <v>209.8</v>
      </c>
      <c r="O71" s="6">
        <v>0</v>
      </c>
      <c r="P71" s="6">
        <v>0.52</v>
      </c>
      <c r="Q71" s="6">
        <v>4.71</v>
      </c>
    </row>
    <row r="72" spans="1:17" customFormat="1">
      <c r="A72" s="82">
        <v>45358.666666666664</v>
      </c>
      <c r="B72" s="6">
        <v>2.69</v>
      </c>
      <c r="C72" s="6">
        <v>30.29</v>
      </c>
      <c r="D72" s="6">
        <v>19.329999999999998</v>
      </c>
      <c r="E72" s="6">
        <v>44.36</v>
      </c>
      <c r="F72" s="6">
        <v>32.82</v>
      </c>
      <c r="G72" s="6">
        <v>65.36</v>
      </c>
      <c r="H72" s="6">
        <v>32.909999999999997</v>
      </c>
      <c r="I72" s="6">
        <v>16.71</v>
      </c>
      <c r="J72" s="6">
        <v>1.07</v>
      </c>
      <c r="K72" s="6">
        <v>39.6</v>
      </c>
      <c r="L72" s="6">
        <v>30.97</v>
      </c>
      <c r="M72" s="6">
        <v>40.950000000000003</v>
      </c>
      <c r="N72" s="6">
        <v>191.6</v>
      </c>
      <c r="O72" s="6">
        <v>0</v>
      </c>
      <c r="P72" s="6">
        <v>0.54</v>
      </c>
      <c r="Q72" s="6">
        <v>4.72</v>
      </c>
    </row>
    <row r="73" spans="1:17" customFormat="1">
      <c r="A73" s="82">
        <v>45358.677083333336</v>
      </c>
      <c r="B73" s="6">
        <v>2.98</v>
      </c>
      <c r="C73" s="6">
        <v>30.41</v>
      </c>
      <c r="D73" s="6">
        <v>19.63</v>
      </c>
      <c r="E73" s="6">
        <v>44.23</v>
      </c>
      <c r="F73" s="6">
        <v>33.76</v>
      </c>
      <c r="G73" s="6">
        <v>72.61</v>
      </c>
      <c r="H73" s="6">
        <v>27.62</v>
      </c>
      <c r="I73" s="6">
        <v>15.52</v>
      </c>
      <c r="J73" s="6">
        <v>0.71</v>
      </c>
      <c r="K73" s="6">
        <v>21.14</v>
      </c>
      <c r="L73" s="6">
        <v>31.19</v>
      </c>
      <c r="M73" s="6">
        <v>38.799999999999997</v>
      </c>
      <c r="N73" s="6">
        <v>216.2</v>
      </c>
      <c r="O73" s="6">
        <v>0</v>
      </c>
      <c r="P73" s="6">
        <v>0.56000000000000005</v>
      </c>
      <c r="Q73" s="6">
        <v>4.7300000000000004</v>
      </c>
    </row>
    <row r="74" spans="1:17" customFormat="1">
      <c r="A74" s="82">
        <v>45358.6875</v>
      </c>
      <c r="B74" s="6">
        <v>2.83</v>
      </c>
      <c r="C74" s="6">
        <v>29.38</v>
      </c>
      <c r="D74" s="6">
        <v>18.97</v>
      </c>
      <c r="E74" s="6">
        <v>36.270000000000003</v>
      </c>
      <c r="F74" s="6">
        <v>32.479999999999997</v>
      </c>
      <c r="G74" s="6">
        <v>72.61</v>
      </c>
      <c r="H74" s="6">
        <v>27.62</v>
      </c>
      <c r="I74" s="6">
        <v>12.79</v>
      </c>
      <c r="J74" s="6">
        <v>0.62</v>
      </c>
      <c r="K74" s="6">
        <v>351.76</v>
      </c>
      <c r="L74" s="6">
        <v>31.27</v>
      </c>
      <c r="M74" s="6">
        <v>38.700000000000003</v>
      </c>
      <c r="N74" s="6">
        <v>186.1</v>
      </c>
      <c r="O74" s="6">
        <v>0</v>
      </c>
      <c r="P74" s="6">
        <v>0.56999999999999995</v>
      </c>
      <c r="Q74" s="6">
        <v>4.74</v>
      </c>
    </row>
    <row r="75" spans="1:17" customFormat="1">
      <c r="A75" s="82">
        <v>45358.697916666664</v>
      </c>
      <c r="B75" s="6">
        <v>2.73</v>
      </c>
      <c r="C75" s="6">
        <v>30.38</v>
      </c>
      <c r="D75" s="6">
        <v>19.420000000000002</v>
      </c>
      <c r="E75" s="6">
        <v>38</v>
      </c>
      <c r="F75" s="6">
        <v>27.5</v>
      </c>
      <c r="G75" s="6">
        <v>72.61</v>
      </c>
      <c r="H75" s="6">
        <v>27.62</v>
      </c>
      <c r="I75" s="6">
        <v>10.6</v>
      </c>
      <c r="J75" s="6">
        <v>0.8</v>
      </c>
      <c r="K75" s="6">
        <v>31.55</v>
      </c>
      <c r="L75" s="6">
        <v>31.05</v>
      </c>
      <c r="M75" s="6">
        <v>39.409999999999997</v>
      </c>
      <c r="N75" s="6">
        <v>148.80000000000001</v>
      </c>
      <c r="O75" s="6">
        <v>0</v>
      </c>
      <c r="P75" s="6">
        <v>0.57999999999999996</v>
      </c>
      <c r="Q75" s="6">
        <v>4.7300000000000004</v>
      </c>
    </row>
    <row r="76" spans="1:17" customFormat="1">
      <c r="A76" s="82">
        <v>45358.708333333336</v>
      </c>
      <c r="B76" s="6">
        <v>2.5</v>
      </c>
      <c r="C76" s="6">
        <v>31.98</v>
      </c>
      <c r="D76" s="6">
        <v>20.059999999999999</v>
      </c>
      <c r="E76" s="6">
        <v>23.05</v>
      </c>
      <c r="F76" s="6">
        <v>15.66</v>
      </c>
      <c r="G76" s="6">
        <v>73.22</v>
      </c>
      <c r="H76" s="6">
        <v>28.19</v>
      </c>
      <c r="I76" s="6">
        <v>7.95</v>
      </c>
      <c r="J76" s="6">
        <v>1.05</v>
      </c>
      <c r="K76" s="6">
        <v>49.15</v>
      </c>
      <c r="L76" s="6">
        <v>30.7</v>
      </c>
      <c r="M76" s="6">
        <v>39.35</v>
      </c>
      <c r="N76" s="6">
        <v>110.4</v>
      </c>
      <c r="O76" s="6">
        <v>0</v>
      </c>
      <c r="P76" s="6">
        <v>0.57999999999999996</v>
      </c>
      <c r="Q76" s="6">
        <v>4.74</v>
      </c>
    </row>
    <row r="77" spans="1:17" customFormat="1">
      <c r="A77" s="82">
        <v>45358.71875</v>
      </c>
      <c r="B77" s="6">
        <v>2.63</v>
      </c>
      <c r="C77" s="6">
        <v>32.94</v>
      </c>
      <c r="D77" s="6">
        <v>20.67</v>
      </c>
      <c r="E77" s="6">
        <v>17.260000000000002</v>
      </c>
      <c r="F77" s="6">
        <v>10.68</v>
      </c>
      <c r="G77" s="6">
        <v>80.38</v>
      </c>
      <c r="H77" s="6">
        <v>35.21</v>
      </c>
      <c r="I77" s="6">
        <v>7.27</v>
      </c>
      <c r="J77" s="6">
        <v>0.87</v>
      </c>
      <c r="K77" s="6">
        <v>68.2</v>
      </c>
      <c r="L77" s="6">
        <v>30.47</v>
      </c>
      <c r="M77" s="6">
        <v>38.35</v>
      </c>
      <c r="N77" s="6">
        <v>60.5</v>
      </c>
      <c r="O77" s="6">
        <v>0</v>
      </c>
      <c r="P77" s="6">
        <v>0.57999999999999996</v>
      </c>
      <c r="Q77" s="6">
        <v>4.72</v>
      </c>
    </row>
    <row r="78" spans="1:17" customFormat="1">
      <c r="A78" s="82">
        <v>45358.729166666664</v>
      </c>
      <c r="B78" s="6">
        <v>2.79</v>
      </c>
      <c r="C78" s="6">
        <v>33.450000000000003</v>
      </c>
      <c r="D78" s="6">
        <v>21.06</v>
      </c>
      <c r="E78" s="6">
        <v>15.18</v>
      </c>
      <c r="F78" s="6">
        <v>10.87</v>
      </c>
      <c r="G78" s="6">
        <v>80.38</v>
      </c>
      <c r="H78" s="6">
        <v>35.21</v>
      </c>
      <c r="I78" s="6">
        <v>8.02</v>
      </c>
      <c r="J78" s="6">
        <v>0.63</v>
      </c>
      <c r="K78" s="6">
        <v>80.64</v>
      </c>
      <c r="L78" s="6">
        <v>30.09</v>
      </c>
      <c r="M78" s="6">
        <v>40.06</v>
      </c>
      <c r="N78" s="6">
        <v>21.7</v>
      </c>
      <c r="O78" s="6">
        <v>0</v>
      </c>
      <c r="P78" s="6">
        <v>0.59</v>
      </c>
      <c r="Q78" s="6">
        <v>4.7300000000000004</v>
      </c>
    </row>
    <row r="79" spans="1:17" customFormat="1">
      <c r="A79" s="82">
        <v>45358.739583333336</v>
      </c>
      <c r="B79" s="6">
        <v>2.79</v>
      </c>
      <c r="C79" s="6">
        <v>32.89</v>
      </c>
      <c r="D79" s="6">
        <v>20.77</v>
      </c>
      <c r="E79" s="6">
        <v>13.8</v>
      </c>
      <c r="F79" s="6">
        <v>10.47</v>
      </c>
      <c r="G79" s="6">
        <v>80.38</v>
      </c>
      <c r="H79" s="6">
        <v>35.21</v>
      </c>
      <c r="I79" s="6">
        <v>7.86</v>
      </c>
      <c r="J79" s="6">
        <v>0.21</v>
      </c>
      <c r="K79" s="6">
        <v>182.59</v>
      </c>
      <c r="L79" s="6">
        <v>29.74</v>
      </c>
      <c r="M79" s="6">
        <v>43.07</v>
      </c>
      <c r="N79" s="6">
        <v>6.5</v>
      </c>
      <c r="O79" s="6">
        <v>0</v>
      </c>
      <c r="P79" s="6">
        <v>0.59</v>
      </c>
      <c r="Q79" s="6">
        <v>4.71</v>
      </c>
    </row>
    <row r="80" spans="1:17" customFormat="1">
      <c r="A80" s="82">
        <v>45358.75</v>
      </c>
      <c r="B80" s="6">
        <v>2.88</v>
      </c>
      <c r="C80" s="6">
        <v>31.45</v>
      </c>
      <c r="D80" s="6">
        <v>20.09</v>
      </c>
      <c r="E80" s="6">
        <v>12.73</v>
      </c>
      <c r="F80" s="6">
        <v>10.81</v>
      </c>
      <c r="G80" s="6">
        <v>79.44</v>
      </c>
      <c r="H80" s="6">
        <v>34.72</v>
      </c>
      <c r="I80" s="6">
        <v>7.64</v>
      </c>
      <c r="J80" s="6">
        <v>0.2</v>
      </c>
      <c r="K80" s="6">
        <v>97.79</v>
      </c>
      <c r="L80" s="6">
        <v>29.17</v>
      </c>
      <c r="M80" s="6">
        <v>44.5</v>
      </c>
      <c r="N80" s="6">
        <v>0</v>
      </c>
      <c r="O80" s="6">
        <v>0</v>
      </c>
      <c r="P80" s="6">
        <v>0.56999999999999995</v>
      </c>
      <c r="Q80" s="6">
        <v>4.7300000000000004</v>
      </c>
    </row>
    <row r="81" spans="1:17" customFormat="1">
      <c r="A81" s="82">
        <v>45358.760416666664</v>
      </c>
      <c r="B81" s="6">
        <v>4.01</v>
      </c>
      <c r="C81" s="6">
        <v>33.14</v>
      </c>
      <c r="D81" s="6">
        <v>21.88</v>
      </c>
      <c r="E81" s="6">
        <v>11.14</v>
      </c>
      <c r="F81" s="6">
        <v>8.91</v>
      </c>
      <c r="G81" s="6">
        <v>68.3</v>
      </c>
      <c r="H81" s="6">
        <v>28.77</v>
      </c>
      <c r="I81" s="6">
        <v>7.39</v>
      </c>
      <c r="J81" s="6">
        <v>0.59</v>
      </c>
      <c r="K81" s="6">
        <v>65.63</v>
      </c>
      <c r="L81" s="6">
        <v>28.85</v>
      </c>
      <c r="M81" s="6">
        <v>45.44</v>
      </c>
      <c r="N81" s="6">
        <v>0</v>
      </c>
      <c r="O81" s="6">
        <v>0</v>
      </c>
      <c r="P81" s="6">
        <v>0.6</v>
      </c>
      <c r="Q81" s="6">
        <v>4.6900000000000004</v>
      </c>
    </row>
    <row r="82" spans="1:17" customFormat="1">
      <c r="A82" s="82">
        <v>45358.770833333336</v>
      </c>
      <c r="B82" s="6">
        <v>3.91</v>
      </c>
      <c r="C82" s="6">
        <v>33.380000000000003</v>
      </c>
      <c r="D82" s="6">
        <v>21.93</v>
      </c>
      <c r="E82" s="6">
        <v>11.14</v>
      </c>
      <c r="F82" s="6">
        <v>6.9</v>
      </c>
      <c r="G82" s="6">
        <v>68.3</v>
      </c>
      <c r="H82" s="6">
        <v>28.77</v>
      </c>
      <c r="I82" s="6">
        <v>7.16</v>
      </c>
      <c r="J82" s="6">
        <v>0.24</v>
      </c>
      <c r="K82" s="6">
        <v>84.1</v>
      </c>
      <c r="L82" s="6">
        <v>28.09</v>
      </c>
      <c r="M82" s="6">
        <v>49.77</v>
      </c>
      <c r="N82" s="6">
        <v>0</v>
      </c>
      <c r="O82" s="6">
        <v>0</v>
      </c>
      <c r="P82" s="6">
        <v>0.62</v>
      </c>
      <c r="Q82" s="6">
        <v>4.7</v>
      </c>
    </row>
    <row r="83" spans="1:17" customFormat="1">
      <c r="A83" s="82">
        <v>45358.78125</v>
      </c>
      <c r="B83" s="6">
        <v>3.96</v>
      </c>
      <c r="C83" s="6">
        <v>33.89</v>
      </c>
      <c r="D83" s="6">
        <v>22.23</v>
      </c>
      <c r="E83" s="6">
        <v>10.119999999999999</v>
      </c>
      <c r="F83" s="6">
        <v>6.31</v>
      </c>
      <c r="G83" s="6">
        <v>68.3</v>
      </c>
      <c r="H83" s="6">
        <v>28.77</v>
      </c>
      <c r="I83" s="6">
        <v>7.08</v>
      </c>
      <c r="J83" s="6">
        <v>0.45</v>
      </c>
      <c r="K83" s="6">
        <v>67.95</v>
      </c>
      <c r="L83" s="6">
        <v>28.18</v>
      </c>
      <c r="M83" s="6">
        <v>48.62</v>
      </c>
      <c r="N83" s="6">
        <v>0</v>
      </c>
      <c r="O83" s="6">
        <v>0</v>
      </c>
      <c r="P83" s="6">
        <v>0.64</v>
      </c>
      <c r="Q83" s="6">
        <v>4.7</v>
      </c>
    </row>
    <row r="84" spans="1:17" customFormat="1">
      <c r="A84" s="82">
        <v>45358.791666666664</v>
      </c>
      <c r="B84" s="6">
        <v>4.71</v>
      </c>
      <c r="C84" s="6">
        <v>32.659999999999997</v>
      </c>
      <c r="D84" s="6">
        <v>22.19</v>
      </c>
      <c r="E84" s="6">
        <v>9.5399999999999991</v>
      </c>
      <c r="F84" s="6">
        <v>6.1</v>
      </c>
      <c r="G84" s="6">
        <v>70.739999999999995</v>
      </c>
      <c r="H84" s="6">
        <v>29.16</v>
      </c>
      <c r="I84" s="6">
        <v>7.04</v>
      </c>
      <c r="J84" s="6">
        <v>0.57999999999999996</v>
      </c>
      <c r="K84" s="6">
        <v>57.91</v>
      </c>
      <c r="L84" s="6">
        <v>28.17</v>
      </c>
      <c r="M84" s="6">
        <v>48.24</v>
      </c>
      <c r="N84" s="6">
        <v>0</v>
      </c>
      <c r="O84" s="6">
        <v>0</v>
      </c>
      <c r="P84" s="6">
        <v>0.68</v>
      </c>
      <c r="Q84" s="6">
        <v>4.6900000000000004</v>
      </c>
    </row>
    <row r="85" spans="1:17" customFormat="1">
      <c r="A85" s="82">
        <v>45358.802083333336</v>
      </c>
      <c r="B85" s="6">
        <v>5.85</v>
      </c>
      <c r="C85" s="6">
        <v>31.3</v>
      </c>
      <c r="D85" s="6">
        <v>22.4</v>
      </c>
      <c r="E85" s="6">
        <v>10.18</v>
      </c>
      <c r="F85" s="6">
        <v>7.19</v>
      </c>
      <c r="G85" s="6">
        <v>99.73</v>
      </c>
      <c r="H85" s="6">
        <v>33.97</v>
      </c>
      <c r="I85" s="6">
        <v>7.07</v>
      </c>
      <c r="J85" s="6">
        <v>0.61</v>
      </c>
      <c r="K85" s="6">
        <v>57.56</v>
      </c>
      <c r="L85" s="6">
        <v>27.9</v>
      </c>
      <c r="M85" s="6">
        <v>49.26</v>
      </c>
      <c r="N85" s="6">
        <v>0</v>
      </c>
      <c r="O85" s="6">
        <v>0</v>
      </c>
      <c r="P85" s="6">
        <v>0.71</v>
      </c>
      <c r="Q85" s="6">
        <v>4.7</v>
      </c>
    </row>
    <row r="86" spans="1:17" customFormat="1">
      <c r="A86" s="82">
        <v>45358.8125</v>
      </c>
      <c r="B86" s="6">
        <v>6.45</v>
      </c>
      <c r="C86" s="6">
        <v>29.43</v>
      </c>
      <c r="D86" s="6">
        <v>21.9</v>
      </c>
      <c r="E86" s="6">
        <v>8.25</v>
      </c>
      <c r="F86" s="6">
        <v>6.35</v>
      </c>
      <c r="G86" s="6">
        <v>99.73</v>
      </c>
      <c r="H86" s="6">
        <v>33.97</v>
      </c>
      <c r="I86" s="6">
        <v>7.21</v>
      </c>
      <c r="J86" s="6">
        <v>0.57999999999999996</v>
      </c>
      <c r="K86" s="6">
        <v>57.46</v>
      </c>
      <c r="L86" s="6">
        <v>27.65</v>
      </c>
      <c r="M86" s="6">
        <v>50.34</v>
      </c>
      <c r="N86" s="6">
        <v>0</v>
      </c>
      <c r="O86" s="6">
        <v>0</v>
      </c>
      <c r="P86" s="6">
        <v>0.72</v>
      </c>
      <c r="Q86" s="6">
        <v>4.71</v>
      </c>
    </row>
    <row r="87" spans="1:17" customFormat="1">
      <c r="A87" s="82">
        <v>45358.822916666664</v>
      </c>
      <c r="B87" s="6">
        <v>6.83</v>
      </c>
      <c r="C87" s="6">
        <v>27.8</v>
      </c>
      <c r="D87" s="6">
        <v>21.35</v>
      </c>
      <c r="E87" s="6">
        <v>7.08</v>
      </c>
      <c r="F87" s="6">
        <v>5.69</v>
      </c>
      <c r="G87" s="6">
        <v>99.73</v>
      </c>
      <c r="H87" s="6">
        <v>33.97</v>
      </c>
      <c r="I87" s="6">
        <v>7.46</v>
      </c>
      <c r="J87" s="6">
        <v>0.28999999999999998</v>
      </c>
      <c r="K87" s="6">
        <v>75.08</v>
      </c>
      <c r="L87" s="6">
        <v>27.19</v>
      </c>
      <c r="M87" s="6">
        <v>54.82</v>
      </c>
      <c r="N87" s="6">
        <v>0</v>
      </c>
      <c r="O87" s="6">
        <v>0</v>
      </c>
      <c r="P87" s="6">
        <v>0.72</v>
      </c>
      <c r="Q87" s="6">
        <v>4.7</v>
      </c>
    </row>
    <row r="88" spans="1:17" customFormat="1">
      <c r="A88" s="82">
        <v>45358.833333333336</v>
      </c>
      <c r="B88" s="6">
        <v>7.16</v>
      </c>
      <c r="C88" s="6">
        <v>26.5</v>
      </c>
      <c r="D88" s="6">
        <v>20.94</v>
      </c>
      <c r="E88" s="6">
        <v>5.68</v>
      </c>
      <c r="F88" s="6">
        <v>5.25</v>
      </c>
      <c r="G88" s="6">
        <v>101.9</v>
      </c>
      <c r="H88" s="6">
        <v>34.409999999999997</v>
      </c>
      <c r="I88" s="6">
        <v>7.59</v>
      </c>
      <c r="J88" s="6">
        <v>0.26</v>
      </c>
      <c r="K88" s="6">
        <v>171.93</v>
      </c>
      <c r="L88" s="6">
        <v>25.88</v>
      </c>
      <c r="M88" s="6">
        <v>66.3</v>
      </c>
      <c r="N88" s="6">
        <v>0</v>
      </c>
      <c r="O88" s="6">
        <v>0</v>
      </c>
      <c r="P88" s="6">
        <v>0.73</v>
      </c>
      <c r="Q88" s="6">
        <v>4.7</v>
      </c>
    </row>
    <row r="89" spans="1:17" customFormat="1">
      <c r="A89" s="82">
        <v>45358.84375</v>
      </c>
      <c r="B89" s="6">
        <v>7.55</v>
      </c>
      <c r="C89" s="6">
        <v>25.98</v>
      </c>
      <c r="D89" s="6">
        <v>20.98</v>
      </c>
      <c r="E89" s="6">
        <v>4.9800000000000004</v>
      </c>
      <c r="F89" s="6">
        <v>5.3</v>
      </c>
      <c r="G89" s="6">
        <v>127.69</v>
      </c>
      <c r="H89" s="6">
        <v>39.83</v>
      </c>
      <c r="I89" s="6">
        <v>7.6</v>
      </c>
      <c r="J89" s="6">
        <v>0.12</v>
      </c>
      <c r="K89" s="6">
        <v>108.85</v>
      </c>
      <c r="L89" s="6">
        <v>25.71</v>
      </c>
      <c r="M89" s="6">
        <v>61.52</v>
      </c>
      <c r="N89" s="6">
        <v>0</v>
      </c>
      <c r="O89" s="6">
        <v>0</v>
      </c>
      <c r="P89" s="6">
        <v>0.74</v>
      </c>
      <c r="Q89" s="6">
        <v>4.72</v>
      </c>
    </row>
    <row r="90" spans="1:17" customFormat="1">
      <c r="A90" s="82">
        <v>45358.854166666664</v>
      </c>
      <c r="B90" s="6">
        <v>8.0299999999999994</v>
      </c>
      <c r="C90" s="6">
        <v>25.57</v>
      </c>
      <c r="D90" s="6">
        <v>21.15</v>
      </c>
      <c r="E90" s="6">
        <v>4.46</v>
      </c>
      <c r="F90" s="6">
        <v>5.01</v>
      </c>
      <c r="G90" s="6">
        <v>127.69</v>
      </c>
      <c r="H90" s="6">
        <v>39.83</v>
      </c>
      <c r="I90" s="6">
        <v>7.71</v>
      </c>
      <c r="J90" s="6">
        <v>0.24</v>
      </c>
      <c r="K90" s="6">
        <v>174.12</v>
      </c>
      <c r="L90" s="6">
        <v>25.51</v>
      </c>
      <c r="M90" s="6">
        <v>63.74</v>
      </c>
      <c r="N90" s="6">
        <v>0</v>
      </c>
      <c r="O90" s="6">
        <v>0</v>
      </c>
      <c r="P90" s="6">
        <v>0.76</v>
      </c>
      <c r="Q90" s="6">
        <v>4.7</v>
      </c>
    </row>
    <row r="91" spans="1:17" customFormat="1">
      <c r="A91" s="82">
        <v>45358.864583333336</v>
      </c>
      <c r="B91" s="6">
        <v>8.2899999999999991</v>
      </c>
      <c r="C91" s="6">
        <v>26.12</v>
      </c>
      <c r="D91" s="6">
        <v>21.65</v>
      </c>
      <c r="E91" s="6">
        <v>6.33</v>
      </c>
      <c r="F91" s="6">
        <v>4.8499999999999996</v>
      </c>
      <c r="G91" s="6">
        <v>127.69</v>
      </c>
      <c r="H91" s="6">
        <v>39.83</v>
      </c>
      <c r="I91" s="6">
        <v>7.88</v>
      </c>
      <c r="J91" s="6">
        <v>0.13</v>
      </c>
      <c r="K91" s="6">
        <v>82.45</v>
      </c>
      <c r="L91" s="6">
        <v>25.34</v>
      </c>
      <c r="M91" s="6">
        <v>64.010000000000005</v>
      </c>
      <c r="N91" s="6">
        <v>0</v>
      </c>
      <c r="O91" s="6">
        <v>0</v>
      </c>
      <c r="P91" s="6">
        <v>0.75</v>
      </c>
      <c r="Q91" s="6">
        <v>4.67</v>
      </c>
    </row>
    <row r="92" spans="1:17" customFormat="1">
      <c r="A92" s="82">
        <v>45358.875</v>
      </c>
      <c r="B92" s="6">
        <v>8.99</v>
      </c>
      <c r="C92" s="6">
        <v>28.47</v>
      </c>
      <c r="D92" s="6">
        <v>23.43</v>
      </c>
      <c r="E92" s="6">
        <v>7.79</v>
      </c>
      <c r="F92" s="6">
        <v>4.71</v>
      </c>
      <c r="G92" s="6">
        <v>129.35</v>
      </c>
      <c r="H92" s="6">
        <v>40.49</v>
      </c>
      <c r="I92" s="6">
        <v>8.02</v>
      </c>
      <c r="J92" s="6">
        <v>0.42</v>
      </c>
      <c r="K92" s="6">
        <v>48.79</v>
      </c>
      <c r="L92" s="6">
        <v>25.91</v>
      </c>
      <c r="M92" s="6">
        <v>56.7</v>
      </c>
      <c r="N92" s="6">
        <v>0</v>
      </c>
      <c r="O92" s="6">
        <v>0</v>
      </c>
      <c r="P92" s="6">
        <v>0.79</v>
      </c>
      <c r="Q92" s="6">
        <v>4.7</v>
      </c>
    </row>
    <row r="93" spans="1:17" customFormat="1">
      <c r="A93" s="82">
        <v>45358.885416666664</v>
      </c>
      <c r="B93" s="6">
        <v>10.36</v>
      </c>
      <c r="C93" s="6">
        <v>30.65</v>
      </c>
      <c r="D93" s="6">
        <v>25.67</v>
      </c>
      <c r="E93" s="6">
        <v>8.09</v>
      </c>
      <c r="F93" s="6">
        <v>4.6500000000000004</v>
      </c>
      <c r="G93" s="6">
        <v>149.1</v>
      </c>
      <c r="H93" s="6">
        <v>48.58</v>
      </c>
      <c r="I93" s="6">
        <v>8.2799999999999994</v>
      </c>
      <c r="J93" s="6">
        <v>0.41</v>
      </c>
      <c r="K93" s="6">
        <v>64.19</v>
      </c>
      <c r="L93" s="6">
        <v>25.94</v>
      </c>
      <c r="M93" s="6">
        <v>57.12</v>
      </c>
      <c r="N93" s="6">
        <v>0</v>
      </c>
      <c r="O93" s="6">
        <v>0</v>
      </c>
      <c r="P93" s="6">
        <v>0.84</v>
      </c>
      <c r="Q93" s="6">
        <v>4.71</v>
      </c>
    </row>
    <row r="94" spans="1:17" customFormat="1">
      <c r="A94" s="82">
        <v>45358.895833333336</v>
      </c>
      <c r="B94" s="6">
        <v>11.05</v>
      </c>
      <c r="C94" s="6">
        <v>32.43</v>
      </c>
      <c r="D94" s="6">
        <v>27.16</v>
      </c>
      <c r="E94" s="6">
        <v>7.87</v>
      </c>
      <c r="F94" s="6">
        <v>4.75</v>
      </c>
      <c r="G94" s="6">
        <v>149.1</v>
      </c>
      <c r="H94" s="6">
        <v>48.58</v>
      </c>
      <c r="I94" s="6">
        <v>8.57</v>
      </c>
      <c r="J94" s="6">
        <v>0.34</v>
      </c>
      <c r="K94" s="6">
        <v>72.63</v>
      </c>
      <c r="L94" s="6">
        <v>25.67</v>
      </c>
      <c r="M94" s="6">
        <v>59.56</v>
      </c>
      <c r="N94" s="6">
        <v>0</v>
      </c>
      <c r="O94" s="6">
        <v>0</v>
      </c>
      <c r="P94" s="6">
        <v>0.88</v>
      </c>
      <c r="Q94" s="6">
        <v>4.7300000000000004</v>
      </c>
    </row>
    <row r="95" spans="1:17" customFormat="1">
      <c r="A95" s="82">
        <v>45358.90625</v>
      </c>
      <c r="B95" s="6">
        <v>11.1</v>
      </c>
      <c r="C95" s="6">
        <v>33.56</v>
      </c>
      <c r="D95" s="6">
        <v>27.78</v>
      </c>
      <c r="E95" s="6">
        <v>8.44</v>
      </c>
      <c r="F95" s="6">
        <v>4.6900000000000004</v>
      </c>
      <c r="G95" s="6">
        <v>149.1</v>
      </c>
      <c r="H95" s="6">
        <v>48.58</v>
      </c>
      <c r="I95" s="6">
        <v>8.84</v>
      </c>
      <c r="J95" s="6">
        <v>0.28000000000000003</v>
      </c>
      <c r="K95" s="6">
        <v>66.959999999999994</v>
      </c>
      <c r="L95" s="6">
        <v>25.47</v>
      </c>
      <c r="M95" s="6">
        <v>60.07</v>
      </c>
      <c r="N95" s="6">
        <v>0</v>
      </c>
      <c r="O95" s="6">
        <v>0</v>
      </c>
      <c r="P95" s="6">
        <v>0.9</v>
      </c>
      <c r="Q95" s="6">
        <v>4.7300000000000004</v>
      </c>
    </row>
    <row r="96" spans="1:17" customFormat="1">
      <c r="A96" s="82">
        <v>45358.916666666664</v>
      </c>
      <c r="B96" s="6">
        <v>10.88</v>
      </c>
      <c r="C96" s="6">
        <v>34.19</v>
      </c>
      <c r="D96" s="6">
        <v>27.94</v>
      </c>
      <c r="E96" s="6">
        <v>8.64</v>
      </c>
      <c r="F96" s="6">
        <v>4.6500000000000004</v>
      </c>
      <c r="G96" s="6">
        <v>149.56</v>
      </c>
      <c r="H96" s="6">
        <v>48.64</v>
      </c>
      <c r="I96" s="6">
        <v>9.0399999999999991</v>
      </c>
      <c r="J96" s="6">
        <v>0.35</v>
      </c>
      <c r="K96" s="6">
        <v>185.68</v>
      </c>
      <c r="L96" s="6">
        <v>24.62</v>
      </c>
      <c r="M96" s="6">
        <v>68.319999999999993</v>
      </c>
      <c r="N96" s="6">
        <v>0</v>
      </c>
      <c r="O96" s="6">
        <v>0</v>
      </c>
      <c r="P96" s="6">
        <v>0.92</v>
      </c>
      <c r="Q96" s="6">
        <v>4.75</v>
      </c>
    </row>
    <row r="97" spans="1:22" customFormat="1">
      <c r="A97" s="82">
        <v>45358.927083333336</v>
      </c>
      <c r="B97" s="6">
        <v>10.49</v>
      </c>
      <c r="C97" s="6">
        <v>33.94</v>
      </c>
      <c r="D97" s="6">
        <v>27.49</v>
      </c>
      <c r="E97" s="6">
        <v>7.96</v>
      </c>
      <c r="F97" s="6">
        <v>4.68</v>
      </c>
      <c r="G97" s="6">
        <v>155.02000000000001</v>
      </c>
      <c r="H97" s="6">
        <v>49.4</v>
      </c>
      <c r="I97" s="6">
        <v>9.26</v>
      </c>
      <c r="J97" s="6">
        <v>0.24</v>
      </c>
      <c r="K97" s="6">
        <v>191.06</v>
      </c>
      <c r="L97" s="6">
        <v>23.73</v>
      </c>
      <c r="M97" s="6">
        <v>69.64</v>
      </c>
      <c r="N97" s="6">
        <v>0</v>
      </c>
      <c r="O97" s="6">
        <v>0</v>
      </c>
      <c r="P97" s="6">
        <v>0.93</v>
      </c>
      <c r="Q97" s="6">
        <v>4.7300000000000004</v>
      </c>
    </row>
    <row r="98" spans="1:22" customFormat="1">
      <c r="A98" s="82">
        <v>45358.9375</v>
      </c>
      <c r="B98" s="6">
        <v>10.050000000000001</v>
      </c>
      <c r="C98" s="6">
        <v>33.99</v>
      </c>
      <c r="D98" s="6">
        <v>27.17</v>
      </c>
      <c r="E98" s="6">
        <v>7.95</v>
      </c>
      <c r="F98" s="6">
        <v>4.62</v>
      </c>
      <c r="G98" s="6">
        <v>155.02000000000001</v>
      </c>
      <c r="H98" s="6">
        <v>49.4</v>
      </c>
      <c r="I98" s="6">
        <v>9.32</v>
      </c>
      <c r="J98" s="6">
        <v>0.23</v>
      </c>
      <c r="K98" s="6">
        <v>107.83</v>
      </c>
      <c r="L98" s="6">
        <v>24.09</v>
      </c>
      <c r="M98" s="6">
        <v>67.17</v>
      </c>
      <c r="N98" s="6">
        <v>0</v>
      </c>
      <c r="O98" s="6">
        <v>0</v>
      </c>
      <c r="P98" s="6">
        <v>0.94</v>
      </c>
      <c r="Q98" s="6">
        <v>4.74</v>
      </c>
    </row>
    <row r="99" spans="1:22" customFormat="1">
      <c r="A99" s="82">
        <v>45358.947916666664</v>
      </c>
      <c r="B99" s="6">
        <v>10.28</v>
      </c>
      <c r="C99" s="6">
        <v>34.56</v>
      </c>
      <c r="D99" s="6">
        <v>27.65</v>
      </c>
      <c r="E99" s="6">
        <v>8.39</v>
      </c>
      <c r="F99" s="6">
        <v>4.58</v>
      </c>
      <c r="G99" s="6">
        <v>155.02000000000001</v>
      </c>
      <c r="H99" s="6">
        <v>49.4</v>
      </c>
      <c r="I99" s="6">
        <v>9.43</v>
      </c>
      <c r="J99" s="6">
        <v>0.56000000000000005</v>
      </c>
      <c r="K99" s="6">
        <v>73.62</v>
      </c>
      <c r="L99" s="6">
        <v>24.73</v>
      </c>
      <c r="M99" s="6">
        <v>62.32</v>
      </c>
      <c r="N99" s="6">
        <v>0</v>
      </c>
      <c r="O99" s="6">
        <v>0</v>
      </c>
      <c r="P99" s="6">
        <v>0.94</v>
      </c>
      <c r="Q99" s="6">
        <v>4.74</v>
      </c>
    </row>
    <row r="100" spans="1:22" customFormat="1">
      <c r="A100" s="82">
        <v>45358.958333333336</v>
      </c>
      <c r="B100" s="6">
        <v>11.27</v>
      </c>
      <c r="C100" s="6">
        <v>35.69</v>
      </c>
      <c r="D100" s="6">
        <v>29.04</v>
      </c>
      <c r="E100" s="6">
        <v>8.7200000000000006</v>
      </c>
      <c r="F100" s="6">
        <v>4.62</v>
      </c>
      <c r="G100" s="6">
        <v>154.41</v>
      </c>
      <c r="H100" s="6">
        <v>49.67</v>
      </c>
      <c r="I100" s="6">
        <v>9.5399999999999991</v>
      </c>
      <c r="J100" s="6">
        <v>0.69</v>
      </c>
      <c r="K100" s="6">
        <v>63.32</v>
      </c>
      <c r="L100" s="6">
        <v>24.77</v>
      </c>
      <c r="M100" s="6">
        <v>62.16</v>
      </c>
      <c r="N100" s="6">
        <v>0</v>
      </c>
      <c r="O100" s="6">
        <v>0</v>
      </c>
      <c r="P100" s="6">
        <v>0.94</v>
      </c>
      <c r="Q100" s="6">
        <v>4.72</v>
      </c>
    </row>
    <row r="101" spans="1:22" customFormat="1">
      <c r="A101" s="82">
        <v>45358.96875</v>
      </c>
      <c r="B101" s="6">
        <v>12.31</v>
      </c>
      <c r="C101" s="6">
        <v>36.53</v>
      </c>
      <c r="D101" s="6">
        <v>30.31</v>
      </c>
      <c r="E101" s="6">
        <v>8.44</v>
      </c>
      <c r="F101" s="6">
        <v>4.5599999999999996</v>
      </c>
      <c r="G101" s="6">
        <v>147.21</v>
      </c>
      <c r="H101" s="6">
        <v>52.37</v>
      </c>
      <c r="I101" s="6">
        <v>9.4600000000000009</v>
      </c>
      <c r="J101" s="6">
        <v>0.49</v>
      </c>
      <c r="K101" s="6">
        <v>52.61</v>
      </c>
      <c r="L101" s="6">
        <v>24.53</v>
      </c>
      <c r="M101" s="6">
        <v>63.16</v>
      </c>
      <c r="N101" s="6">
        <v>0</v>
      </c>
      <c r="O101" s="6">
        <v>0</v>
      </c>
      <c r="P101" s="6">
        <v>0.93</v>
      </c>
      <c r="Q101" s="6">
        <v>4.7300000000000004</v>
      </c>
    </row>
    <row r="102" spans="1:22" customFormat="1">
      <c r="A102" s="82">
        <v>45358.979166666664</v>
      </c>
      <c r="B102" s="6">
        <v>13.44</v>
      </c>
      <c r="C102" s="6">
        <v>37.049999999999997</v>
      </c>
      <c r="D102" s="6">
        <v>31.49</v>
      </c>
      <c r="E102" s="6">
        <v>8.99</v>
      </c>
      <c r="F102" s="6">
        <v>4.4800000000000004</v>
      </c>
      <c r="G102" s="6">
        <v>147.21</v>
      </c>
      <c r="H102" s="6">
        <v>52.37</v>
      </c>
      <c r="I102" s="6">
        <v>9.26</v>
      </c>
      <c r="J102" s="6">
        <v>0.68</v>
      </c>
      <c r="K102" s="6">
        <v>56.39</v>
      </c>
      <c r="L102" s="6">
        <v>24.37</v>
      </c>
      <c r="M102" s="6">
        <v>63.71</v>
      </c>
      <c r="N102" s="6">
        <v>0</v>
      </c>
      <c r="O102" s="6">
        <v>0</v>
      </c>
      <c r="P102" s="6">
        <v>0.92</v>
      </c>
      <c r="Q102" s="6">
        <v>4.75</v>
      </c>
    </row>
    <row r="103" spans="1:22" customFormat="1">
      <c r="A103" s="82">
        <v>45358.989583333336</v>
      </c>
      <c r="B103" s="6">
        <v>13.81</v>
      </c>
      <c r="C103" s="6">
        <v>37.32</v>
      </c>
      <c r="D103" s="6">
        <v>31.93</v>
      </c>
      <c r="E103" s="6">
        <v>8.94</v>
      </c>
      <c r="F103" s="6">
        <v>4.55</v>
      </c>
      <c r="G103" s="6">
        <v>147.21</v>
      </c>
      <c r="H103" s="6">
        <v>52.37</v>
      </c>
      <c r="I103" s="6">
        <v>9.18</v>
      </c>
      <c r="J103" s="6">
        <v>0.4</v>
      </c>
      <c r="K103" s="6">
        <v>69.31</v>
      </c>
      <c r="L103" s="6">
        <v>24.34</v>
      </c>
      <c r="M103" s="6">
        <v>63.47</v>
      </c>
      <c r="N103" s="6">
        <v>0</v>
      </c>
      <c r="O103" s="6">
        <v>0</v>
      </c>
      <c r="P103" s="6">
        <v>0.9</v>
      </c>
      <c r="Q103" s="6">
        <v>4.74</v>
      </c>
    </row>
    <row r="104" spans="1:22" customFormat="1">
      <c r="A104" s="82">
        <v>45359</v>
      </c>
      <c r="B104" s="6">
        <v>13.36</v>
      </c>
      <c r="C104" s="6">
        <v>37.4</v>
      </c>
      <c r="D104" s="6">
        <v>31.6</v>
      </c>
      <c r="E104" s="6">
        <v>8.93</v>
      </c>
      <c r="F104" s="6">
        <v>4.6500000000000004</v>
      </c>
      <c r="G104" s="6">
        <v>146.47999999999999</v>
      </c>
      <c r="H104" s="6">
        <v>52.05</v>
      </c>
      <c r="I104" s="6">
        <v>8.98</v>
      </c>
      <c r="J104" s="6">
        <v>0.19</v>
      </c>
      <c r="K104" s="6">
        <v>123.63</v>
      </c>
      <c r="L104" s="6">
        <v>24.23</v>
      </c>
      <c r="M104" s="6">
        <v>65.83</v>
      </c>
      <c r="N104" s="6">
        <v>0</v>
      </c>
      <c r="O104" s="6">
        <v>0</v>
      </c>
      <c r="P104" s="6">
        <v>0.88</v>
      </c>
      <c r="Q104" s="6">
        <v>4.7300000000000004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6" t="s">
        <v>48</v>
      </c>
      <c r="B106" s="187">
        <f>MIN(B9:B104)</f>
        <v>2.5</v>
      </c>
      <c r="C106" s="187">
        <f>MIN(C9:C104)</f>
        <v>18.55</v>
      </c>
      <c r="D106" s="187">
        <f t="shared" ref="D106:Q106" si="0">MIN(D9:D104)</f>
        <v>13.35</v>
      </c>
      <c r="E106" s="187">
        <f t="shared" si="0"/>
        <v>4.46</v>
      </c>
      <c r="F106" s="187">
        <f t="shared" si="0"/>
        <v>4.4800000000000004</v>
      </c>
      <c r="G106" s="187">
        <f t="shared" si="0"/>
        <v>32.75</v>
      </c>
      <c r="H106" s="187">
        <f t="shared" si="0"/>
        <v>16.420000000000002</v>
      </c>
      <c r="I106" s="187">
        <f t="shared" si="0"/>
        <v>4.03</v>
      </c>
      <c r="J106" s="187">
        <f t="shared" si="0"/>
        <v>0.12</v>
      </c>
      <c r="K106" s="187">
        <f t="shared" si="0"/>
        <v>12.91</v>
      </c>
      <c r="L106" s="187">
        <f t="shared" si="0"/>
        <v>20.399999999999999</v>
      </c>
      <c r="M106" s="187">
        <f t="shared" si="0"/>
        <v>38.04</v>
      </c>
      <c r="N106" s="187">
        <f t="shared" si="0"/>
        <v>0</v>
      </c>
      <c r="O106" s="187">
        <f t="shared" si="0"/>
        <v>0</v>
      </c>
      <c r="P106" s="187">
        <f t="shared" si="0"/>
        <v>0.43</v>
      </c>
      <c r="Q106" s="187">
        <f t="shared" si="0"/>
        <v>4.67</v>
      </c>
      <c r="R106" s="192"/>
      <c r="S106" s="192"/>
      <c r="T106" s="192"/>
      <c r="U106" s="192"/>
    </row>
    <row r="107" spans="1:22">
      <c r="A107" s="186" t="s">
        <v>49</v>
      </c>
      <c r="B107" s="188">
        <f>MAX(B9:B104)</f>
        <v>13.81</v>
      </c>
      <c r="C107" s="188">
        <f t="shared" ref="C107:Q107" si="1">MAX(C9:C104)</f>
        <v>37.4</v>
      </c>
      <c r="D107" s="188">
        <f t="shared" si="1"/>
        <v>31.93</v>
      </c>
      <c r="E107" s="188">
        <f t="shared" si="1"/>
        <v>53.68</v>
      </c>
      <c r="F107" s="188">
        <f t="shared" si="1"/>
        <v>33.76</v>
      </c>
      <c r="G107" s="188">
        <f t="shared" si="1"/>
        <v>155.02000000000001</v>
      </c>
      <c r="H107" s="188">
        <f t="shared" si="1"/>
        <v>52.37</v>
      </c>
      <c r="I107" s="188">
        <f t="shared" si="1"/>
        <v>23.73</v>
      </c>
      <c r="J107" s="188">
        <f t="shared" si="1"/>
        <v>1.73</v>
      </c>
      <c r="K107" s="188">
        <f t="shared" si="1"/>
        <v>351.76</v>
      </c>
      <c r="L107" s="188">
        <f t="shared" si="1"/>
        <v>32.229999999999997</v>
      </c>
      <c r="M107" s="188">
        <f t="shared" si="1"/>
        <v>77.75</v>
      </c>
      <c r="N107" s="188">
        <f t="shared" si="1"/>
        <v>542.9</v>
      </c>
      <c r="O107" s="188">
        <f t="shared" si="1"/>
        <v>0</v>
      </c>
      <c r="P107" s="188">
        <f t="shared" si="1"/>
        <v>0.94</v>
      </c>
      <c r="Q107" s="188">
        <f t="shared" si="1"/>
        <v>4.95</v>
      </c>
      <c r="R107" s="193"/>
      <c r="S107" s="193"/>
      <c r="T107" s="193"/>
      <c r="U107" s="193"/>
    </row>
    <row r="108" spans="1:22">
      <c r="A108" s="186" t="s">
        <v>50</v>
      </c>
      <c r="B108" s="187">
        <f>AVERAGE(B9:B104)</f>
        <v>6.5055434782608694</v>
      </c>
      <c r="C108" s="187">
        <f t="shared" ref="C108:Q108" si="2">AVERAGE(C9:C104)</f>
        <v>26.648913043478274</v>
      </c>
      <c r="D108" s="187">
        <f t="shared" si="2"/>
        <v>20.490760869565225</v>
      </c>
      <c r="E108" s="187">
        <f t="shared" si="2"/>
        <v>13.413369565217391</v>
      </c>
      <c r="F108" s="187">
        <f t="shared" si="2"/>
        <v>10.038695652173912</v>
      </c>
      <c r="G108" s="187">
        <f t="shared" si="2"/>
        <v>72.665208333333325</v>
      </c>
      <c r="H108" s="187">
        <f t="shared" si="2"/>
        <v>28.714631578947362</v>
      </c>
      <c r="I108" s="187">
        <f t="shared" si="2"/>
        <v>7.043541666666667</v>
      </c>
      <c r="J108" s="187">
        <f t="shared" si="2"/>
        <v>0.80531249999999988</v>
      </c>
      <c r="K108" s="187">
        <f t="shared" si="2"/>
        <v>71.295104166666675</v>
      </c>
      <c r="L108" s="187">
        <f t="shared" si="2"/>
        <v>26.027812500000014</v>
      </c>
      <c r="M108" s="187">
        <f t="shared" si="2"/>
        <v>56.418541666666648</v>
      </c>
      <c r="N108" s="187">
        <f t="shared" si="2"/>
        <v>138.51041666666671</v>
      </c>
      <c r="O108" s="187">
        <f t="shared" si="2"/>
        <v>0</v>
      </c>
      <c r="P108" s="187">
        <f t="shared" si="2"/>
        <v>0.6132608695652173</v>
      </c>
      <c r="Q108" s="187">
        <f t="shared" si="2"/>
        <v>4.7616666666666685</v>
      </c>
      <c r="R108" s="192"/>
      <c r="S108" s="192"/>
      <c r="T108" s="192"/>
      <c r="U108" s="192"/>
    </row>
    <row r="109" spans="1:22">
      <c r="A109" s="186" t="s">
        <v>51</v>
      </c>
      <c r="B109" s="187">
        <f>STDEV(B9:B104)</f>
        <v>3.0056300153707656</v>
      </c>
      <c r="C109" s="187">
        <f t="shared" ref="C109:Q109" si="3">STDEV(C9:C104)</f>
        <v>5.0612263328520335</v>
      </c>
      <c r="D109" s="187">
        <f t="shared" si="3"/>
        <v>3.9619653890948765</v>
      </c>
      <c r="E109" s="187">
        <f t="shared" si="3"/>
        <v>9.4811502150520912</v>
      </c>
      <c r="F109" s="187">
        <f t="shared" si="3"/>
        <v>7.2893031996977422</v>
      </c>
      <c r="G109" s="187">
        <f t="shared" si="3"/>
        <v>35.59123928216539</v>
      </c>
      <c r="H109" s="187">
        <f t="shared" si="3"/>
        <v>9.9026646758320052</v>
      </c>
      <c r="I109" s="187">
        <f t="shared" si="3"/>
        <v>3.9686945962426465</v>
      </c>
      <c r="J109" s="187">
        <f t="shared" si="3"/>
        <v>0.37675610741391369</v>
      </c>
      <c r="K109" s="187">
        <f t="shared" si="3"/>
        <v>52.076468551843419</v>
      </c>
      <c r="L109" s="187">
        <f t="shared" si="3"/>
        <v>3.6505538738012566</v>
      </c>
      <c r="M109" s="187">
        <f t="shared" si="3"/>
        <v>11.615976563986704</v>
      </c>
      <c r="N109" s="187">
        <f t="shared" si="3"/>
        <v>192.87760148215438</v>
      </c>
      <c r="O109" s="187">
        <f t="shared" si="3"/>
        <v>0</v>
      </c>
      <c r="P109" s="187">
        <f t="shared" si="3"/>
        <v>0.13830296966810185</v>
      </c>
      <c r="Q109" s="187">
        <f t="shared" si="3"/>
        <v>6.3687835187555122E-2</v>
      </c>
      <c r="R109" s="192"/>
      <c r="S109" s="192"/>
      <c r="T109" s="192"/>
      <c r="U109" s="192"/>
    </row>
    <row r="110" spans="1:22">
      <c r="A110" s="186" t="s">
        <v>52</v>
      </c>
      <c r="B110" s="188">
        <v>96</v>
      </c>
      <c r="C110" s="188">
        <v>96</v>
      </c>
      <c r="D110" s="188">
        <v>96</v>
      </c>
      <c r="E110" s="188">
        <v>96</v>
      </c>
      <c r="F110" s="188">
        <v>96</v>
      </c>
      <c r="G110" s="188">
        <v>96</v>
      </c>
      <c r="H110" s="188">
        <v>96</v>
      </c>
      <c r="I110" s="188">
        <v>96</v>
      </c>
      <c r="J110" s="188">
        <v>96</v>
      </c>
      <c r="K110" s="188">
        <v>96</v>
      </c>
      <c r="L110" s="188">
        <v>96</v>
      </c>
      <c r="M110" s="188">
        <v>96</v>
      </c>
      <c r="N110" s="188">
        <v>96</v>
      </c>
      <c r="O110" s="188">
        <v>96</v>
      </c>
      <c r="P110" s="188">
        <v>96</v>
      </c>
      <c r="Q110" s="188">
        <v>96</v>
      </c>
      <c r="R110" s="193"/>
      <c r="S110" s="193"/>
      <c r="T110" s="193"/>
      <c r="U110" s="193"/>
      <c r="V110" s="188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4">IF(C110&gt;=87,"&gt;90%",IF(C110&lt;=87,"&lt;90%"))</f>
        <v>&gt;90%</v>
      </c>
      <c r="D111" s="147" t="str">
        <f t="shared" si="4"/>
        <v>&gt;90%</v>
      </c>
      <c r="E111" s="147" t="str">
        <f t="shared" si="4"/>
        <v>&gt;90%</v>
      </c>
      <c r="F111" s="147" t="str">
        <f t="shared" si="4"/>
        <v>&gt;90%</v>
      </c>
      <c r="G111" s="147" t="str">
        <f t="shared" si="4"/>
        <v>&gt;90%</v>
      </c>
      <c r="H111" s="147" t="str">
        <f t="shared" si="4"/>
        <v>&gt;90%</v>
      </c>
      <c r="I111" s="147" t="str">
        <f t="shared" si="4"/>
        <v>&gt;90%</v>
      </c>
      <c r="J111" s="147" t="str">
        <f t="shared" si="4"/>
        <v>&gt;90%</v>
      </c>
      <c r="K111" s="147" t="str">
        <f t="shared" si="4"/>
        <v>&gt;90%</v>
      </c>
      <c r="L111" s="147" t="str">
        <f t="shared" si="4"/>
        <v>&gt;90%</v>
      </c>
      <c r="M111" s="147" t="str">
        <f t="shared" si="4"/>
        <v>&gt;90%</v>
      </c>
      <c r="N111" s="147" t="str">
        <f t="shared" si="4"/>
        <v>&gt;90%</v>
      </c>
      <c r="O111" s="147" t="str">
        <f t="shared" si="4"/>
        <v>&gt;90%</v>
      </c>
      <c r="P111" s="147" t="str">
        <f t="shared" si="4"/>
        <v>&gt;90%</v>
      </c>
      <c r="Q111" s="147" t="str">
        <f t="shared" si="4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5">IF(C110&gt;=87,"OK",IF(C110&lt;=87,"LESS"))</f>
        <v>OK</v>
      </c>
      <c r="D112" s="147" t="str">
        <f t="shared" si="5"/>
        <v>OK</v>
      </c>
      <c r="E112" s="147" t="str">
        <f t="shared" si="5"/>
        <v>OK</v>
      </c>
      <c r="F112" s="147" t="str">
        <f t="shared" si="5"/>
        <v>OK</v>
      </c>
      <c r="G112" s="147" t="str">
        <f t="shared" si="5"/>
        <v>OK</v>
      </c>
      <c r="H112" s="147" t="str">
        <f t="shared" si="5"/>
        <v>OK</v>
      </c>
      <c r="I112" s="147" t="str">
        <f t="shared" si="5"/>
        <v>OK</v>
      </c>
      <c r="J112" s="147" t="str">
        <f t="shared" si="5"/>
        <v>OK</v>
      </c>
      <c r="K112" s="147" t="str">
        <f t="shared" si="5"/>
        <v>OK</v>
      </c>
      <c r="L112" s="147" t="str">
        <f t="shared" si="5"/>
        <v>OK</v>
      </c>
      <c r="M112" s="147" t="str">
        <f t="shared" si="5"/>
        <v>OK</v>
      </c>
      <c r="N112" s="147" t="str">
        <f t="shared" si="5"/>
        <v>OK</v>
      </c>
      <c r="O112" s="147" t="str">
        <f t="shared" si="5"/>
        <v>OK</v>
      </c>
      <c r="P112" s="147" t="str">
        <f t="shared" si="5"/>
        <v>OK</v>
      </c>
      <c r="Q112" s="147" t="str">
        <f t="shared" si="5"/>
        <v>OK</v>
      </c>
      <c r="R112" s="175"/>
      <c r="S112" s="175"/>
      <c r="T112" s="175"/>
      <c r="U112" s="175"/>
    </row>
    <row r="113" spans="1:21">
      <c r="L113" s="32"/>
      <c r="N113" s="191"/>
      <c r="O113" s="191"/>
      <c r="P113" s="191"/>
      <c r="Q113" s="191"/>
      <c r="R113" s="191"/>
      <c r="S113" s="191"/>
      <c r="T113" s="191"/>
      <c r="U113" s="191"/>
    </row>
    <row r="115" spans="1:21">
      <c r="A115" s="153" t="s">
        <v>55</v>
      </c>
      <c r="B115" s="197" t="s">
        <v>56</v>
      </c>
      <c r="C115" s="197"/>
      <c r="D115" s="197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9" t="s">
        <v>57</v>
      </c>
      <c r="B117" s="198"/>
      <c r="C117" s="198"/>
      <c r="D117" s="198"/>
      <c r="E117" s="198"/>
      <c r="F117" s="198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2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45359.010416666664</v>
      </c>
      <c r="C2" s="196" t="s">
        <v>3</v>
      </c>
      <c r="D2" s="196"/>
      <c r="E2" s="196"/>
      <c r="F2" s="196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2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6" t="s">
        <v>11</v>
      </c>
      <c r="D3" s="196"/>
      <c r="E3" s="196"/>
      <c r="F3" s="196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2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6" t="s">
        <v>18</v>
      </c>
      <c r="D4" s="196"/>
      <c r="E4" s="196"/>
      <c r="F4" s="196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3" t="s">
        <v>43</v>
      </c>
      <c r="M8" s="114" t="s">
        <v>44</v>
      </c>
      <c r="N8" s="114" t="s">
        <v>45</v>
      </c>
      <c r="O8" s="183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2">
        <v>45359.010416666664</v>
      </c>
      <c r="B9" s="6">
        <v>12.75</v>
      </c>
      <c r="C9" s="6">
        <v>35.9</v>
      </c>
      <c r="D9" s="6">
        <v>30.33</v>
      </c>
      <c r="E9" s="6">
        <v>8.83</v>
      </c>
      <c r="F9" s="6">
        <v>4.67</v>
      </c>
      <c r="G9" s="6">
        <v>137.91999999999999</v>
      </c>
      <c r="H9" s="6">
        <v>48.13</v>
      </c>
      <c r="I9" s="6">
        <v>8.7799999999999994</v>
      </c>
      <c r="J9" s="6">
        <v>0.17</v>
      </c>
      <c r="K9" s="6">
        <v>107.66</v>
      </c>
      <c r="L9" s="6">
        <v>23.74</v>
      </c>
      <c r="M9" s="6">
        <v>69.06</v>
      </c>
      <c r="N9" s="6">
        <v>0</v>
      </c>
      <c r="O9" s="6">
        <v>0</v>
      </c>
      <c r="P9" s="6">
        <v>0.87</v>
      </c>
      <c r="Q9" s="6">
        <v>4.76</v>
      </c>
    </row>
    <row r="10" spans="1:21" customFormat="1">
      <c r="A10" s="82">
        <v>45359.020833333336</v>
      </c>
      <c r="B10" s="6">
        <v>12.31</v>
      </c>
      <c r="C10" s="6">
        <v>36.270000000000003</v>
      </c>
      <c r="D10" s="6">
        <v>30.17</v>
      </c>
      <c r="E10" s="6">
        <v>8.99</v>
      </c>
      <c r="F10" s="6">
        <v>4.66</v>
      </c>
      <c r="G10" s="6">
        <v>137.91999999999999</v>
      </c>
      <c r="H10" s="6">
        <v>48.13</v>
      </c>
      <c r="I10" s="6">
        <v>8.59</v>
      </c>
      <c r="J10" s="6">
        <v>0.64</v>
      </c>
      <c r="K10" s="6">
        <v>64.28</v>
      </c>
      <c r="L10" s="6">
        <v>23.91</v>
      </c>
      <c r="M10" s="6">
        <v>64.8</v>
      </c>
      <c r="N10" s="6">
        <v>0</v>
      </c>
      <c r="O10" s="6">
        <v>0</v>
      </c>
      <c r="P10" s="6">
        <v>0.85</v>
      </c>
      <c r="Q10" s="6">
        <v>4.74</v>
      </c>
    </row>
    <row r="11" spans="1:21" customFormat="1">
      <c r="A11" s="82">
        <v>45359.03125</v>
      </c>
      <c r="B11" s="6">
        <v>11.61</v>
      </c>
      <c r="C11" s="6">
        <v>36.44</v>
      </c>
      <c r="D11" s="6">
        <v>29.7</v>
      </c>
      <c r="E11" s="6">
        <v>8.7200000000000006</v>
      </c>
      <c r="F11" s="6">
        <v>4.87</v>
      </c>
      <c r="G11" s="6">
        <v>137.91999999999999</v>
      </c>
      <c r="H11" s="6">
        <v>48.13</v>
      </c>
      <c r="I11" s="6">
        <v>8.44</v>
      </c>
      <c r="J11" s="6">
        <v>0.9</v>
      </c>
      <c r="K11" s="6">
        <v>61.52</v>
      </c>
      <c r="L11" s="6">
        <v>23.92</v>
      </c>
      <c r="M11" s="6">
        <v>64.099999999999994</v>
      </c>
      <c r="N11" s="6">
        <v>0</v>
      </c>
      <c r="O11" s="6">
        <v>0</v>
      </c>
      <c r="P11" s="6">
        <v>0.84</v>
      </c>
      <c r="Q11" s="6">
        <v>4.74</v>
      </c>
    </row>
    <row r="12" spans="1:21" customFormat="1">
      <c r="A12" s="82">
        <v>45359.041666666664</v>
      </c>
      <c r="B12" s="6">
        <v>10.87</v>
      </c>
      <c r="C12" s="6">
        <v>36.24</v>
      </c>
      <c r="D12" s="6">
        <v>29</v>
      </c>
      <c r="E12" s="6">
        <v>8.7200000000000006</v>
      </c>
      <c r="F12" s="6">
        <v>4.97</v>
      </c>
      <c r="G12" s="6">
        <v>136.74</v>
      </c>
      <c r="H12" s="6">
        <v>48.03</v>
      </c>
      <c r="I12" s="6">
        <v>8.3000000000000007</v>
      </c>
      <c r="J12" s="6">
        <v>0.99</v>
      </c>
      <c r="K12" s="6">
        <v>62.21</v>
      </c>
      <c r="L12" s="6">
        <v>23.75</v>
      </c>
      <c r="M12" s="6">
        <v>62.19</v>
      </c>
      <c r="N12" s="6">
        <v>0</v>
      </c>
      <c r="O12" s="6">
        <v>0</v>
      </c>
      <c r="P12" s="6">
        <v>0.82</v>
      </c>
      <c r="Q12" s="6">
        <v>4.74</v>
      </c>
    </row>
    <row r="13" spans="1:21" customFormat="1">
      <c r="A13" s="82">
        <v>45359.052083333336</v>
      </c>
      <c r="B13" s="6">
        <v>10.16</v>
      </c>
      <c r="C13" s="6">
        <v>35.72</v>
      </c>
      <c r="D13" s="6">
        <v>28.16</v>
      </c>
      <c r="E13" s="6">
        <v>9.0399999999999991</v>
      </c>
      <c r="F13" s="6">
        <v>5.0599999999999996</v>
      </c>
      <c r="G13" s="6">
        <v>124.66</v>
      </c>
      <c r="H13" s="6">
        <v>46.75</v>
      </c>
      <c r="I13" s="6">
        <v>8.17</v>
      </c>
      <c r="J13" s="6">
        <v>1.1000000000000001</v>
      </c>
      <c r="K13" s="6">
        <v>60.61</v>
      </c>
      <c r="L13" s="6">
        <v>23.56</v>
      </c>
      <c r="M13" s="6">
        <v>57.07</v>
      </c>
      <c r="N13" s="6">
        <v>0</v>
      </c>
      <c r="O13" s="6">
        <v>0</v>
      </c>
      <c r="P13" s="6">
        <v>0.81</v>
      </c>
      <c r="Q13" s="6">
        <v>4.7300000000000004</v>
      </c>
    </row>
    <row r="14" spans="1:21" customFormat="1">
      <c r="A14" s="82">
        <v>45359.0625</v>
      </c>
      <c r="B14" s="6">
        <v>9.67</v>
      </c>
      <c r="C14" s="6">
        <v>34.799999999999997</v>
      </c>
      <c r="D14" s="6">
        <v>27.29</v>
      </c>
      <c r="E14" s="6">
        <v>7.2</v>
      </c>
      <c r="F14" s="6">
        <v>5.04</v>
      </c>
      <c r="G14" s="6">
        <v>124.66</v>
      </c>
      <c r="H14" s="6">
        <v>46.75</v>
      </c>
      <c r="I14" s="6">
        <v>8.01</v>
      </c>
      <c r="J14" s="6">
        <v>1.21</v>
      </c>
      <c r="K14" s="6">
        <v>64.56</v>
      </c>
      <c r="L14" s="6">
        <v>23.39</v>
      </c>
      <c r="M14" s="6">
        <v>52.38</v>
      </c>
      <c r="N14" s="6">
        <v>0</v>
      </c>
      <c r="O14" s="6">
        <v>0</v>
      </c>
      <c r="P14" s="6">
        <v>0.83</v>
      </c>
      <c r="Q14" s="6">
        <v>4.72</v>
      </c>
    </row>
    <row r="15" spans="1:21" customFormat="1">
      <c r="A15" s="82">
        <v>45359.072916666664</v>
      </c>
      <c r="B15" s="6">
        <v>9.65</v>
      </c>
      <c r="C15" s="6">
        <v>31.05</v>
      </c>
      <c r="D15" s="6">
        <v>25.31</v>
      </c>
      <c r="E15" s="6">
        <v>5.41</v>
      </c>
      <c r="F15" s="6">
        <v>5.34</v>
      </c>
      <c r="G15" s="6">
        <v>124.66</v>
      </c>
      <c r="H15" s="6">
        <v>46.75</v>
      </c>
      <c r="I15" s="6">
        <v>7.81</v>
      </c>
      <c r="J15" s="6">
        <v>1.1399999999999999</v>
      </c>
      <c r="K15" s="6">
        <v>59.35</v>
      </c>
      <c r="L15" s="6">
        <v>23.15</v>
      </c>
      <c r="M15" s="6">
        <v>49.85</v>
      </c>
      <c r="N15" s="6">
        <v>0</v>
      </c>
      <c r="O15" s="6">
        <v>0</v>
      </c>
      <c r="P15" s="6">
        <v>0.81</v>
      </c>
      <c r="Q15" s="6">
        <v>4.75</v>
      </c>
    </row>
    <row r="16" spans="1:21" customFormat="1">
      <c r="A16" s="82">
        <v>45359.083333333336</v>
      </c>
      <c r="B16" s="6">
        <v>9.64</v>
      </c>
      <c r="C16" s="6">
        <v>28.28</v>
      </c>
      <c r="D16" s="6">
        <v>23.86</v>
      </c>
      <c r="E16" s="6">
        <v>4.29</v>
      </c>
      <c r="F16" s="6">
        <v>5.39</v>
      </c>
      <c r="G16" s="6">
        <v>122.4</v>
      </c>
      <c r="H16" s="6">
        <v>45.82</v>
      </c>
      <c r="I16" s="6">
        <v>7.76</v>
      </c>
      <c r="J16" s="6">
        <v>0.91</v>
      </c>
      <c r="K16" s="6">
        <v>57.04</v>
      </c>
      <c r="L16" s="6">
        <v>22.97</v>
      </c>
      <c r="M16" s="6">
        <v>48.18</v>
      </c>
      <c r="N16" s="6">
        <v>0</v>
      </c>
      <c r="O16" s="6">
        <v>0</v>
      </c>
      <c r="P16" s="6">
        <v>0.79</v>
      </c>
      <c r="Q16" s="6">
        <v>4.7300000000000004</v>
      </c>
    </row>
    <row r="17" spans="1:17" customFormat="1">
      <c r="A17" s="82">
        <v>45359.09375</v>
      </c>
      <c r="B17" s="6">
        <v>9.8800000000000008</v>
      </c>
      <c r="C17" s="6">
        <v>26.65</v>
      </c>
      <c r="D17" s="6">
        <v>23.19</v>
      </c>
      <c r="E17" s="6">
        <v>8.86</v>
      </c>
      <c r="F17" s="6">
        <v>5.15</v>
      </c>
      <c r="G17" s="6">
        <v>90.78</v>
      </c>
      <c r="H17" s="6">
        <v>34.57</v>
      </c>
      <c r="I17" s="6">
        <v>7.61</v>
      </c>
      <c r="J17" s="6">
        <v>0.56000000000000005</v>
      </c>
      <c r="K17" s="6">
        <v>61.49</v>
      </c>
      <c r="L17" s="6">
        <v>22.69</v>
      </c>
      <c r="M17" s="6">
        <v>48.24</v>
      </c>
      <c r="N17" s="6">
        <v>0</v>
      </c>
      <c r="O17" s="6">
        <v>0</v>
      </c>
      <c r="P17" s="6">
        <v>0.76</v>
      </c>
      <c r="Q17" s="6">
        <v>4.7300000000000004</v>
      </c>
    </row>
    <row r="18" spans="1:17" customFormat="1">
      <c r="A18" s="82">
        <v>45359.104166666664</v>
      </c>
      <c r="B18" s="6">
        <v>10.27</v>
      </c>
      <c r="C18" s="6">
        <v>25.4</v>
      </c>
      <c r="D18" s="6">
        <v>22.86</v>
      </c>
      <c r="E18" s="6">
        <v>9.9700000000000006</v>
      </c>
      <c r="F18" s="6">
        <v>4.96</v>
      </c>
      <c r="G18" s="6">
        <v>90.78</v>
      </c>
      <c r="H18" s="6">
        <v>34.57</v>
      </c>
      <c r="I18" s="6">
        <v>7.54</v>
      </c>
      <c r="J18" s="6">
        <v>0.68</v>
      </c>
      <c r="K18" s="6">
        <v>60.3</v>
      </c>
      <c r="L18" s="6">
        <v>22.45</v>
      </c>
      <c r="M18" s="6">
        <v>48.32</v>
      </c>
      <c r="N18" s="6">
        <v>0</v>
      </c>
      <c r="O18" s="6">
        <v>0</v>
      </c>
      <c r="P18" s="6">
        <v>0.74</v>
      </c>
      <c r="Q18" s="6">
        <v>4.7300000000000004</v>
      </c>
    </row>
    <row r="19" spans="1:17" customFormat="1">
      <c r="A19" s="82">
        <v>45359.114583333336</v>
      </c>
      <c r="B19" s="6">
        <v>10.71</v>
      </c>
      <c r="C19" s="6">
        <v>24.63</v>
      </c>
      <c r="D19" s="6">
        <v>22.81</v>
      </c>
      <c r="E19" s="6">
        <v>9.85</v>
      </c>
      <c r="F19" s="6">
        <v>4.99</v>
      </c>
      <c r="G19" s="6">
        <v>90.78</v>
      </c>
      <c r="H19" s="6">
        <v>34.57</v>
      </c>
      <c r="I19" s="6">
        <v>7.38</v>
      </c>
      <c r="J19" s="6">
        <v>0.94</v>
      </c>
      <c r="K19" s="6">
        <v>59.29</v>
      </c>
      <c r="L19" s="6">
        <v>22.25</v>
      </c>
      <c r="M19" s="6">
        <v>47.41</v>
      </c>
      <c r="N19" s="6">
        <v>0</v>
      </c>
      <c r="O19" s="6">
        <v>0</v>
      </c>
      <c r="P19" s="6">
        <v>0.72</v>
      </c>
      <c r="Q19" s="6">
        <v>4.7300000000000004</v>
      </c>
    </row>
    <row r="20" spans="1:17" customFormat="1">
      <c r="A20" s="82">
        <v>45359.125</v>
      </c>
      <c r="B20" s="6">
        <v>10.88</v>
      </c>
      <c r="C20" s="6">
        <v>24.06</v>
      </c>
      <c r="D20" s="6">
        <v>22.65</v>
      </c>
      <c r="E20" s="6">
        <v>9.56</v>
      </c>
      <c r="F20" s="6">
        <v>4.91</v>
      </c>
      <c r="G20" s="6">
        <v>89.3</v>
      </c>
      <c r="H20" s="6">
        <v>33.94</v>
      </c>
      <c r="I20" s="6">
        <v>7.3</v>
      </c>
      <c r="J20" s="6">
        <v>0.82</v>
      </c>
      <c r="K20" s="6">
        <v>59.61</v>
      </c>
      <c r="L20" s="6">
        <v>22.13</v>
      </c>
      <c r="M20" s="6">
        <v>46.77</v>
      </c>
      <c r="N20" s="6">
        <v>0</v>
      </c>
      <c r="O20" s="6">
        <v>0</v>
      </c>
      <c r="P20" s="6">
        <v>0.7</v>
      </c>
      <c r="Q20" s="6">
        <v>4.74</v>
      </c>
    </row>
    <row r="21" spans="1:17" customFormat="1">
      <c r="A21" s="82">
        <v>45359.135416666664</v>
      </c>
      <c r="B21" s="6">
        <v>11.26</v>
      </c>
      <c r="C21" s="6">
        <v>23.61</v>
      </c>
      <c r="D21" s="6">
        <v>22.72</v>
      </c>
      <c r="E21" s="6">
        <v>9.0299999999999994</v>
      </c>
      <c r="F21" s="6">
        <v>4.74</v>
      </c>
      <c r="G21" s="6">
        <v>68.61</v>
      </c>
      <c r="H21" s="6">
        <v>26.31</v>
      </c>
      <c r="I21" s="6">
        <v>7.22</v>
      </c>
      <c r="J21" s="6">
        <v>0.55000000000000004</v>
      </c>
      <c r="K21" s="6">
        <v>60.34</v>
      </c>
      <c r="L21" s="6">
        <v>21.9</v>
      </c>
      <c r="M21" s="6">
        <v>47.47</v>
      </c>
      <c r="N21" s="6">
        <v>0</v>
      </c>
      <c r="O21" s="6">
        <v>0</v>
      </c>
      <c r="P21" s="6">
        <v>0.67</v>
      </c>
      <c r="Q21" s="6">
        <v>4.75</v>
      </c>
    </row>
    <row r="22" spans="1:17" customFormat="1">
      <c r="A22" s="82">
        <v>45359.145833333336</v>
      </c>
      <c r="B22" s="6">
        <v>11.97</v>
      </c>
      <c r="C22" s="6">
        <v>24.84</v>
      </c>
      <c r="D22" s="6">
        <v>23.93</v>
      </c>
      <c r="E22" s="6">
        <v>11.58</v>
      </c>
      <c r="F22" s="6">
        <v>4.7300000000000004</v>
      </c>
      <c r="G22" s="6">
        <v>68.61</v>
      </c>
      <c r="H22" s="6">
        <v>26.31</v>
      </c>
      <c r="I22" s="6">
        <v>7.13</v>
      </c>
      <c r="J22" s="6">
        <v>0.54</v>
      </c>
      <c r="K22" s="6">
        <v>56.7</v>
      </c>
      <c r="L22" s="6">
        <v>21.75</v>
      </c>
      <c r="M22" s="6">
        <v>48.1</v>
      </c>
      <c r="N22" s="6">
        <v>0</v>
      </c>
      <c r="O22" s="6">
        <v>0</v>
      </c>
      <c r="P22" s="6">
        <v>0.65</v>
      </c>
      <c r="Q22" s="6">
        <v>4.72</v>
      </c>
    </row>
    <row r="23" spans="1:17" customFormat="1">
      <c r="A23" s="82">
        <v>45359.15625</v>
      </c>
      <c r="B23" s="6">
        <v>12.11</v>
      </c>
      <c r="C23" s="6">
        <v>26.23</v>
      </c>
      <c r="D23" s="6">
        <v>24.77</v>
      </c>
      <c r="E23" s="6">
        <v>11.12</v>
      </c>
      <c r="F23" s="6">
        <v>4.8</v>
      </c>
      <c r="G23" s="6">
        <v>68.61</v>
      </c>
      <c r="H23" s="6">
        <v>26.31</v>
      </c>
      <c r="I23" s="6">
        <v>6.95</v>
      </c>
      <c r="J23" s="6">
        <v>0.22</v>
      </c>
      <c r="K23" s="6">
        <v>82.27</v>
      </c>
      <c r="L23" s="6">
        <v>21.54</v>
      </c>
      <c r="M23" s="6">
        <v>50.01</v>
      </c>
      <c r="N23" s="6">
        <v>0</v>
      </c>
      <c r="O23" s="6">
        <v>0</v>
      </c>
      <c r="P23" s="6">
        <v>0.64</v>
      </c>
      <c r="Q23" s="6">
        <v>4.7300000000000004</v>
      </c>
    </row>
    <row r="24" spans="1:17" customFormat="1">
      <c r="A24" s="82">
        <v>45359.166666666664</v>
      </c>
      <c r="B24" s="6">
        <v>11.66</v>
      </c>
      <c r="C24" s="6">
        <v>27.04</v>
      </c>
      <c r="D24" s="6">
        <v>24.83</v>
      </c>
      <c r="E24" s="6">
        <v>11.56</v>
      </c>
      <c r="F24" s="6">
        <v>4.93</v>
      </c>
      <c r="G24" s="6">
        <v>68.16</v>
      </c>
      <c r="H24" s="6">
        <v>26.17</v>
      </c>
      <c r="I24" s="6">
        <v>6.74</v>
      </c>
      <c r="J24" s="6">
        <v>0.27</v>
      </c>
      <c r="K24" s="6">
        <v>71.78</v>
      </c>
      <c r="L24" s="6">
        <v>21.21</v>
      </c>
      <c r="M24" s="6">
        <v>51.18</v>
      </c>
      <c r="N24" s="6">
        <v>0</v>
      </c>
      <c r="O24" s="6">
        <v>0</v>
      </c>
      <c r="P24" s="6">
        <v>0.63</v>
      </c>
      <c r="Q24" s="6">
        <v>4.75</v>
      </c>
    </row>
    <row r="25" spans="1:17" customFormat="1">
      <c r="A25" s="82">
        <v>45359.177083333336</v>
      </c>
      <c r="B25" s="6">
        <v>11.21</v>
      </c>
      <c r="C25" s="6">
        <v>27.78</v>
      </c>
      <c r="D25" s="6">
        <v>24.86</v>
      </c>
      <c r="E25" s="6">
        <v>11.35</v>
      </c>
      <c r="F25" s="6">
        <v>4.8</v>
      </c>
      <c r="G25" s="6">
        <v>61.86</v>
      </c>
      <c r="H25" s="6">
        <v>24.49</v>
      </c>
      <c r="I25" s="6">
        <v>6.56</v>
      </c>
      <c r="J25" s="6">
        <v>0.56000000000000005</v>
      </c>
      <c r="K25" s="6">
        <v>59.1</v>
      </c>
      <c r="L25" s="6">
        <v>21.29</v>
      </c>
      <c r="M25" s="6">
        <v>48.59</v>
      </c>
      <c r="N25" s="6">
        <v>0</v>
      </c>
      <c r="O25" s="6">
        <v>0</v>
      </c>
      <c r="P25" s="6">
        <v>0.61</v>
      </c>
      <c r="Q25" s="6">
        <v>4.75</v>
      </c>
    </row>
    <row r="26" spans="1:17" customFormat="1">
      <c r="A26" s="82">
        <v>45359.1875</v>
      </c>
      <c r="B26" s="6">
        <v>11.18</v>
      </c>
      <c r="C26" s="6">
        <v>28.6</v>
      </c>
      <c r="D26" s="6">
        <v>25.26</v>
      </c>
      <c r="E26" s="6">
        <v>12.3</v>
      </c>
      <c r="F26" s="6">
        <v>4.91</v>
      </c>
      <c r="G26" s="6">
        <v>61.86</v>
      </c>
      <c r="H26" s="6">
        <v>24.49</v>
      </c>
      <c r="I26" s="6">
        <v>6.36</v>
      </c>
      <c r="J26" s="6">
        <v>0.63</v>
      </c>
      <c r="K26" s="6">
        <v>65.45</v>
      </c>
      <c r="L26" s="6">
        <v>21.32</v>
      </c>
      <c r="M26" s="6">
        <v>47.49</v>
      </c>
      <c r="N26" s="6">
        <v>0</v>
      </c>
      <c r="O26" s="6">
        <v>0</v>
      </c>
      <c r="P26" s="6">
        <v>0.59</v>
      </c>
      <c r="Q26" s="6">
        <v>4.7699999999999996</v>
      </c>
    </row>
    <row r="27" spans="1:17" customFormat="1">
      <c r="A27" s="82">
        <v>45359.197916666664</v>
      </c>
      <c r="B27" s="6">
        <v>11.31</v>
      </c>
      <c r="C27" s="6">
        <v>29.38</v>
      </c>
      <c r="D27" s="6">
        <v>25.77</v>
      </c>
      <c r="E27" s="6">
        <v>12.52</v>
      </c>
      <c r="F27" s="6">
        <v>4.67</v>
      </c>
      <c r="G27" s="6">
        <v>61.86</v>
      </c>
      <c r="H27" s="6">
        <v>24.49</v>
      </c>
      <c r="I27" s="6">
        <v>6.24</v>
      </c>
      <c r="J27" s="6">
        <v>0.24</v>
      </c>
      <c r="K27" s="6">
        <v>128.91999999999999</v>
      </c>
      <c r="L27" s="6">
        <v>20.88</v>
      </c>
      <c r="M27" s="6">
        <v>53.49</v>
      </c>
      <c r="N27" s="6">
        <v>0</v>
      </c>
      <c r="O27" s="6">
        <v>0</v>
      </c>
      <c r="P27" s="6">
        <v>0.56999999999999995</v>
      </c>
      <c r="Q27" s="6">
        <v>4.79</v>
      </c>
    </row>
    <row r="28" spans="1:17" customFormat="1">
      <c r="A28" s="82">
        <v>45359.208333333336</v>
      </c>
      <c r="B28" s="6">
        <v>11</v>
      </c>
      <c r="C28" s="6">
        <v>29.41</v>
      </c>
      <c r="D28" s="6">
        <v>25.53</v>
      </c>
      <c r="E28" s="6">
        <v>11.92</v>
      </c>
      <c r="F28" s="6">
        <v>4.71</v>
      </c>
      <c r="G28" s="6">
        <v>61.76</v>
      </c>
      <c r="H28" s="6">
        <v>24.55</v>
      </c>
      <c r="I28" s="6">
        <v>6.15</v>
      </c>
      <c r="J28" s="6">
        <v>0.53</v>
      </c>
      <c r="K28" s="6">
        <v>70.84</v>
      </c>
      <c r="L28" s="6">
        <v>20.440000000000001</v>
      </c>
      <c r="M28" s="6">
        <v>50.92</v>
      </c>
      <c r="N28" s="6">
        <v>0</v>
      </c>
      <c r="O28" s="6">
        <v>0</v>
      </c>
      <c r="P28" s="6">
        <v>0.56000000000000005</v>
      </c>
      <c r="Q28" s="6">
        <v>4.7699999999999996</v>
      </c>
    </row>
    <row r="29" spans="1:17" customFormat="1">
      <c r="A29" s="82">
        <v>45359.21875</v>
      </c>
      <c r="B29" s="6">
        <v>10.89</v>
      </c>
      <c r="C29" s="6">
        <v>29.58</v>
      </c>
      <c r="D29" s="6">
        <v>25.54</v>
      </c>
      <c r="E29" s="6">
        <v>12.32</v>
      </c>
      <c r="F29" s="6">
        <v>4.78</v>
      </c>
      <c r="G29" s="6">
        <v>60.38</v>
      </c>
      <c r="H29" s="6">
        <v>25.35</v>
      </c>
      <c r="I29" s="6">
        <v>6.02</v>
      </c>
      <c r="J29" s="6">
        <v>0.54</v>
      </c>
      <c r="K29" s="6">
        <v>65.5</v>
      </c>
      <c r="L29" s="6">
        <v>20.6</v>
      </c>
      <c r="M29" s="6">
        <v>49.92</v>
      </c>
      <c r="N29" s="6">
        <v>0</v>
      </c>
      <c r="O29" s="6">
        <v>0</v>
      </c>
      <c r="P29" s="6">
        <v>0.56000000000000005</v>
      </c>
      <c r="Q29" s="6">
        <v>4.79</v>
      </c>
    </row>
    <row r="30" spans="1:17" customFormat="1">
      <c r="A30" s="82">
        <v>45359.229166666664</v>
      </c>
      <c r="B30" s="6">
        <v>11.28</v>
      </c>
      <c r="C30" s="6">
        <v>29.95</v>
      </c>
      <c r="D30" s="6">
        <v>26.04</v>
      </c>
      <c r="E30" s="6">
        <v>12.14</v>
      </c>
      <c r="F30" s="6">
        <v>4.8</v>
      </c>
      <c r="G30" s="6">
        <v>60.38</v>
      </c>
      <c r="H30" s="6">
        <v>25.35</v>
      </c>
      <c r="I30" s="6">
        <v>5.95</v>
      </c>
      <c r="J30" s="6">
        <v>0.49</v>
      </c>
      <c r="K30" s="6">
        <v>57.41</v>
      </c>
      <c r="L30" s="6">
        <v>20.51</v>
      </c>
      <c r="M30" s="6">
        <v>50.27</v>
      </c>
      <c r="N30" s="6">
        <v>0</v>
      </c>
      <c r="O30" s="6">
        <v>0</v>
      </c>
      <c r="P30" s="6">
        <v>0.54</v>
      </c>
      <c r="Q30" s="6">
        <v>4.8099999999999996</v>
      </c>
    </row>
    <row r="31" spans="1:17" customFormat="1">
      <c r="A31" s="82">
        <v>45359.239583333336</v>
      </c>
      <c r="B31" s="6">
        <v>11.85</v>
      </c>
      <c r="C31" s="6">
        <v>30.62</v>
      </c>
      <c r="D31" s="6">
        <v>26.85</v>
      </c>
      <c r="E31" s="6">
        <v>12.01</v>
      </c>
      <c r="F31" s="6">
        <v>4.67</v>
      </c>
      <c r="G31" s="6">
        <v>60.38</v>
      </c>
      <c r="H31" s="6">
        <v>25.35</v>
      </c>
      <c r="I31" s="6">
        <v>5.84</v>
      </c>
      <c r="J31" s="6">
        <v>0.14000000000000001</v>
      </c>
      <c r="K31" s="6">
        <v>121.72</v>
      </c>
      <c r="L31" s="6">
        <v>20.32</v>
      </c>
      <c r="M31" s="6">
        <v>52.62</v>
      </c>
      <c r="N31" s="6">
        <v>0</v>
      </c>
      <c r="O31" s="6">
        <v>0</v>
      </c>
      <c r="P31" s="6">
        <v>0.53</v>
      </c>
      <c r="Q31" s="6">
        <v>4.8600000000000003</v>
      </c>
    </row>
    <row r="32" spans="1:17" customFormat="1">
      <c r="A32" s="82">
        <v>45359.25</v>
      </c>
      <c r="B32" s="6">
        <v>12.07</v>
      </c>
      <c r="C32" s="6">
        <v>30.76</v>
      </c>
      <c r="D32" s="6">
        <v>27.1</v>
      </c>
      <c r="E32" s="6">
        <v>11.91</v>
      </c>
      <c r="F32" s="6">
        <v>4.58</v>
      </c>
      <c r="G32" s="6">
        <v>60.54</v>
      </c>
      <c r="H32" s="6">
        <v>25.15</v>
      </c>
      <c r="I32" s="6">
        <v>5.75</v>
      </c>
      <c r="J32" s="6">
        <v>0.35</v>
      </c>
      <c r="K32" s="6">
        <v>86.6</v>
      </c>
      <c r="L32" s="6">
        <v>20.22</v>
      </c>
      <c r="M32" s="6">
        <v>49.91</v>
      </c>
      <c r="N32" s="6">
        <v>0</v>
      </c>
      <c r="O32" s="6">
        <v>0</v>
      </c>
      <c r="P32" s="6">
        <v>0.51</v>
      </c>
      <c r="Q32" s="6">
        <v>4.84</v>
      </c>
    </row>
    <row r="33" spans="1:17" customFormat="1">
      <c r="A33" s="82">
        <v>45359.260416666664</v>
      </c>
      <c r="B33" s="6">
        <v>12.43</v>
      </c>
      <c r="C33" s="6">
        <v>31.26</v>
      </c>
      <c r="D33" s="6">
        <v>27.65</v>
      </c>
      <c r="E33" s="6">
        <v>12.36</v>
      </c>
      <c r="F33" s="6">
        <v>4.66</v>
      </c>
      <c r="G33" s="6">
        <v>62.91</v>
      </c>
      <c r="H33" s="6">
        <v>22.71</v>
      </c>
      <c r="I33" s="6">
        <v>5.73</v>
      </c>
      <c r="J33" s="6">
        <v>0.77</v>
      </c>
      <c r="K33" s="6">
        <v>57.62</v>
      </c>
      <c r="L33" s="6">
        <v>20.3</v>
      </c>
      <c r="M33" s="6">
        <v>47.08</v>
      </c>
      <c r="N33" s="6">
        <v>0</v>
      </c>
      <c r="O33" s="6">
        <v>0</v>
      </c>
      <c r="P33" s="6">
        <v>0.51</v>
      </c>
      <c r="Q33" s="6">
        <v>4.8499999999999996</v>
      </c>
    </row>
    <row r="34" spans="1:17" customFormat="1">
      <c r="A34" s="82">
        <v>45359.270833333336</v>
      </c>
      <c r="B34" s="6">
        <v>13.41</v>
      </c>
      <c r="C34" s="6">
        <v>31.71</v>
      </c>
      <c r="D34" s="6">
        <v>28.67</v>
      </c>
      <c r="E34" s="6">
        <v>12.09</v>
      </c>
      <c r="F34" s="6">
        <v>4.72</v>
      </c>
      <c r="G34" s="6">
        <v>62.91</v>
      </c>
      <c r="H34" s="6">
        <v>22.71</v>
      </c>
      <c r="I34" s="6">
        <v>5.76</v>
      </c>
      <c r="J34" s="6">
        <v>0.77</v>
      </c>
      <c r="K34" s="6">
        <v>62.74</v>
      </c>
      <c r="L34" s="6">
        <v>20.39</v>
      </c>
      <c r="M34" s="6">
        <v>46.18</v>
      </c>
      <c r="N34" s="6">
        <v>2.1</v>
      </c>
      <c r="O34" s="6">
        <v>0</v>
      </c>
      <c r="P34" s="6">
        <v>0.51</v>
      </c>
      <c r="Q34" s="6">
        <v>4.84</v>
      </c>
    </row>
    <row r="35" spans="1:17" customFormat="1">
      <c r="A35" s="82">
        <v>45359.28125</v>
      </c>
      <c r="B35" s="6">
        <v>14.87</v>
      </c>
      <c r="C35" s="6">
        <v>32.44</v>
      </c>
      <c r="D35" s="6">
        <v>30.23</v>
      </c>
      <c r="E35" s="6">
        <v>13.44</v>
      </c>
      <c r="F35" s="6">
        <v>4.6500000000000004</v>
      </c>
      <c r="G35" s="6">
        <v>62.91</v>
      </c>
      <c r="H35" s="6">
        <v>22.71</v>
      </c>
      <c r="I35" s="6">
        <v>5.8</v>
      </c>
      <c r="J35" s="6">
        <v>1.18</v>
      </c>
      <c r="K35" s="6">
        <v>65.37</v>
      </c>
      <c r="L35" s="6">
        <v>20.34</v>
      </c>
      <c r="M35" s="6">
        <v>46.49</v>
      </c>
      <c r="N35" s="6">
        <v>11.9</v>
      </c>
      <c r="O35" s="6">
        <v>0</v>
      </c>
      <c r="P35" s="6">
        <v>0.5</v>
      </c>
      <c r="Q35" s="6">
        <v>4.8600000000000003</v>
      </c>
    </row>
    <row r="36" spans="1:17" customFormat="1">
      <c r="A36" s="82">
        <v>45359.291666666664</v>
      </c>
      <c r="B36" s="6">
        <v>15.81</v>
      </c>
      <c r="C36" s="6">
        <v>32.9</v>
      </c>
      <c r="D36" s="6">
        <v>31.22</v>
      </c>
      <c r="E36" s="6">
        <v>13.24</v>
      </c>
      <c r="F36" s="6">
        <v>4.7</v>
      </c>
      <c r="G36" s="6">
        <v>63.12</v>
      </c>
      <c r="H36" s="6">
        <v>22.73</v>
      </c>
      <c r="I36" s="6">
        <v>5.74</v>
      </c>
      <c r="J36" s="6">
        <v>0.87</v>
      </c>
      <c r="K36" s="6">
        <v>64.33</v>
      </c>
      <c r="L36" s="6">
        <v>20.47</v>
      </c>
      <c r="M36" s="6">
        <v>46.71</v>
      </c>
      <c r="N36" s="6">
        <v>22.1</v>
      </c>
      <c r="O36" s="6">
        <v>0</v>
      </c>
      <c r="P36" s="6">
        <v>0.5</v>
      </c>
      <c r="Q36" s="6">
        <v>4.8899999999999997</v>
      </c>
    </row>
    <row r="37" spans="1:17" customFormat="1">
      <c r="A37" s="82">
        <v>45359.302083333336</v>
      </c>
      <c r="B37" s="6">
        <v>16.7</v>
      </c>
      <c r="C37" s="6">
        <v>33.25</v>
      </c>
      <c r="D37" s="6">
        <v>32.11</v>
      </c>
      <c r="E37" s="6">
        <v>13.79</v>
      </c>
      <c r="F37" s="6">
        <v>4.63</v>
      </c>
      <c r="G37" s="6">
        <v>66.040000000000006</v>
      </c>
      <c r="H37" s="6">
        <v>23.03</v>
      </c>
      <c r="I37" s="6">
        <v>5.61</v>
      </c>
      <c r="J37" s="6">
        <v>0.74</v>
      </c>
      <c r="K37" s="6">
        <v>72.930000000000007</v>
      </c>
      <c r="L37" s="6">
        <v>20.92</v>
      </c>
      <c r="M37" s="6">
        <v>45.58</v>
      </c>
      <c r="N37" s="6">
        <v>32.5</v>
      </c>
      <c r="O37" s="6">
        <v>0</v>
      </c>
      <c r="P37" s="6">
        <v>0.51</v>
      </c>
      <c r="Q37" s="6">
        <v>4.9000000000000004</v>
      </c>
    </row>
    <row r="38" spans="1:17" customFormat="1">
      <c r="A38" s="82">
        <v>45359.3125</v>
      </c>
      <c r="B38" s="6">
        <v>17.059999999999999</v>
      </c>
      <c r="C38" s="6">
        <v>33.36</v>
      </c>
      <c r="D38" s="6">
        <v>32.46</v>
      </c>
      <c r="E38" s="6">
        <v>13.86</v>
      </c>
      <c r="F38" s="6">
        <v>4.7300000000000004</v>
      </c>
      <c r="G38" s="6">
        <v>66.040000000000006</v>
      </c>
      <c r="H38" s="6">
        <v>23.03</v>
      </c>
      <c r="I38" s="6">
        <v>5.54</v>
      </c>
      <c r="J38" s="6">
        <v>0.92</v>
      </c>
      <c r="K38" s="6">
        <v>69.56</v>
      </c>
      <c r="L38" s="6">
        <v>21.51</v>
      </c>
      <c r="M38" s="6">
        <v>43.95</v>
      </c>
      <c r="N38" s="6">
        <v>51.5</v>
      </c>
      <c r="O38" s="6">
        <v>0</v>
      </c>
      <c r="P38" s="6">
        <v>0.51</v>
      </c>
      <c r="Q38" s="6">
        <v>4.9000000000000004</v>
      </c>
    </row>
    <row r="39" spans="1:17" customFormat="1">
      <c r="A39" s="82">
        <v>45359.322916666664</v>
      </c>
      <c r="B39" s="6">
        <v>17.170000000000002</v>
      </c>
      <c r="C39" s="6">
        <v>33.54</v>
      </c>
      <c r="D39" s="6">
        <v>32.64</v>
      </c>
      <c r="E39" s="6">
        <v>13.55</v>
      </c>
      <c r="F39" s="6">
        <v>4.74</v>
      </c>
      <c r="G39" s="6">
        <v>66.040000000000006</v>
      </c>
      <c r="H39" s="6">
        <v>23.03</v>
      </c>
      <c r="I39" s="6">
        <v>5.55</v>
      </c>
      <c r="J39" s="6">
        <v>1.0900000000000001</v>
      </c>
      <c r="K39" s="6">
        <v>61.89</v>
      </c>
      <c r="L39" s="6">
        <v>22.11</v>
      </c>
      <c r="M39" s="6">
        <v>41.63</v>
      </c>
      <c r="N39" s="6">
        <v>101.1</v>
      </c>
      <c r="O39" s="6">
        <v>0</v>
      </c>
      <c r="P39" s="6">
        <v>0.51</v>
      </c>
      <c r="Q39" s="6">
        <v>4.9000000000000004</v>
      </c>
    </row>
    <row r="40" spans="1:17" customFormat="1">
      <c r="A40" s="82">
        <v>45359.333333333336</v>
      </c>
      <c r="B40" s="6">
        <v>17.11</v>
      </c>
      <c r="C40" s="6">
        <v>33.71</v>
      </c>
      <c r="D40" s="6">
        <v>32.69</v>
      </c>
      <c r="E40" s="6">
        <v>13.16</v>
      </c>
      <c r="F40" s="6">
        <v>4.8</v>
      </c>
      <c r="G40" s="6">
        <v>65.92</v>
      </c>
      <c r="H40" s="6">
        <v>22.75</v>
      </c>
      <c r="I40" s="6">
        <v>5.57</v>
      </c>
      <c r="J40" s="6">
        <v>1.22</v>
      </c>
      <c r="K40" s="6">
        <v>60.39</v>
      </c>
      <c r="L40" s="6">
        <v>22.9</v>
      </c>
      <c r="M40" s="6">
        <v>38.21</v>
      </c>
      <c r="N40" s="6">
        <v>106.5</v>
      </c>
      <c r="O40" s="6">
        <v>0</v>
      </c>
      <c r="P40" s="6">
        <v>0.52</v>
      </c>
      <c r="Q40" s="6">
        <v>4.91</v>
      </c>
    </row>
    <row r="41" spans="1:17" customFormat="1">
      <c r="A41" s="82">
        <v>45359.34375</v>
      </c>
      <c r="B41" s="6">
        <v>17.22</v>
      </c>
      <c r="C41" s="6">
        <v>32.299999999999997</v>
      </c>
      <c r="D41" s="6">
        <v>32.03</v>
      </c>
      <c r="E41" s="6">
        <v>11.06</v>
      </c>
      <c r="F41" s="6">
        <v>5.0199999999999996</v>
      </c>
      <c r="G41" s="6">
        <v>64.31</v>
      </c>
      <c r="H41" s="6">
        <v>19.260000000000002</v>
      </c>
      <c r="I41" s="6">
        <v>5.6</v>
      </c>
      <c r="J41" s="6">
        <v>1.6</v>
      </c>
      <c r="K41" s="6">
        <v>59.44</v>
      </c>
      <c r="L41" s="6">
        <v>23.41</v>
      </c>
      <c r="M41" s="6">
        <v>35.700000000000003</v>
      </c>
      <c r="N41" s="6">
        <v>156.80000000000001</v>
      </c>
      <c r="O41" s="6">
        <v>0</v>
      </c>
      <c r="P41" s="6">
        <v>0.53</v>
      </c>
      <c r="Q41" s="6">
        <v>4.91</v>
      </c>
    </row>
    <row r="42" spans="1:17" customFormat="1">
      <c r="A42" s="82">
        <v>45359.354166666664</v>
      </c>
      <c r="B42" s="6">
        <v>17.27</v>
      </c>
      <c r="C42" s="6">
        <v>29.92</v>
      </c>
      <c r="D42" s="6">
        <v>30.83</v>
      </c>
      <c r="E42" s="6">
        <v>9.57</v>
      </c>
      <c r="F42" s="6">
        <v>5.07</v>
      </c>
      <c r="G42" s="6">
        <v>64.31</v>
      </c>
      <c r="H42" s="6">
        <v>19.260000000000002</v>
      </c>
      <c r="I42" s="6">
        <v>5.52</v>
      </c>
      <c r="J42" s="6">
        <v>1.52</v>
      </c>
      <c r="K42" s="6">
        <v>69.040000000000006</v>
      </c>
      <c r="L42" s="6">
        <v>24.17</v>
      </c>
      <c r="M42" s="6">
        <v>34.26</v>
      </c>
      <c r="N42" s="6">
        <v>264.39999999999998</v>
      </c>
      <c r="O42" s="6">
        <v>0</v>
      </c>
      <c r="P42" s="6">
        <v>0.53</v>
      </c>
      <c r="Q42" s="6">
        <v>4.9000000000000004</v>
      </c>
    </row>
    <row r="43" spans="1:17" customFormat="1">
      <c r="A43" s="82">
        <v>45359.364583333336</v>
      </c>
      <c r="B43" s="6">
        <v>17.12</v>
      </c>
      <c r="C43" s="6">
        <v>28.6</v>
      </c>
      <c r="D43" s="6">
        <v>30.03</v>
      </c>
      <c r="E43" s="6">
        <v>9.7799999999999994</v>
      </c>
      <c r="F43" s="6">
        <v>5.07</v>
      </c>
      <c r="G43" s="6">
        <v>64.31</v>
      </c>
      <c r="H43" s="6">
        <v>19.260000000000002</v>
      </c>
      <c r="I43" s="6">
        <v>5.52</v>
      </c>
      <c r="J43" s="6">
        <v>1.46</v>
      </c>
      <c r="K43" s="6">
        <v>65.14</v>
      </c>
      <c r="L43" s="6">
        <v>24.84</v>
      </c>
      <c r="M43" s="6">
        <v>33.04</v>
      </c>
      <c r="N43" s="6">
        <v>316.60000000000002</v>
      </c>
      <c r="O43" s="6">
        <v>0</v>
      </c>
      <c r="P43" s="6">
        <v>0.52</v>
      </c>
      <c r="Q43" s="6">
        <v>4.9000000000000004</v>
      </c>
    </row>
    <row r="44" spans="1:17" customFormat="1">
      <c r="A44" s="82">
        <v>45359.375</v>
      </c>
      <c r="B44" s="6">
        <v>16.77</v>
      </c>
      <c r="C44" s="6">
        <v>27.8</v>
      </c>
      <c r="D44" s="6">
        <v>29.32</v>
      </c>
      <c r="E44" s="6">
        <v>10.029999999999999</v>
      </c>
      <c r="F44" s="6">
        <v>5.15</v>
      </c>
      <c r="G44" s="6">
        <v>64.430000000000007</v>
      </c>
      <c r="H44" s="6">
        <v>19.39</v>
      </c>
      <c r="I44" s="6">
        <v>5.54</v>
      </c>
      <c r="J44" s="6">
        <v>1.4</v>
      </c>
      <c r="K44" s="6">
        <v>59.72</v>
      </c>
      <c r="L44" s="6">
        <v>25.53</v>
      </c>
      <c r="M44" s="6">
        <v>32.130000000000003</v>
      </c>
      <c r="N44" s="6">
        <v>356.5</v>
      </c>
      <c r="O44" s="6">
        <v>0</v>
      </c>
      <c r="P44" s="6">
        <v>0.52</v>
      </c>
      <c r="Q44" s="6">
        <v>4.92</v>
      </c>
    </row>
    <row r="45" spans="1:17" customFormat="1">
      <c r="A45" s="82">
        <v>45359.385416666664</v>
      </c>
      <c r="B45" s="6">
        <v>16.43</v>
      </c>
      <c r="C45" s="6">
        <v>27.25</v>
      </c>
      <c r="D45" s="6">
        <v>28.76</v>
      </c>
      <c r="E45" s="6">
        <v>9.85</v>
      </c>
      <c r="F45" s="6">
        <v>5.05</v>
      </c>
      <c r="G45" s="6">
        <v>66.06</v>
      </c>
      <c r="H45" s="6">
        <v>20.97</v>
      </c>
      <c r="I45" s="6">
        <v>5.46</v>
      </c>
      <c r="J45" s="6">
        <v>1.01</v>
      </c>
      <c r="K45" s="6">
        <v>73.19</v>
      </c>
      <c r="L45" s="6">
        <v>26.74</v>
      </c>
      <c r="M45" s="6">
        <v>29.76</v>
      </c>
      <c r="N45" s="6">
        <v>390.3</v>
      </c>
      <c r="O45" s="6">
        <v>0</v>
      </c>
      <c r="P45" s="6">
        <v>0.53</v>
      </c>
      <c r="Q45" s="6">
        <v>4.92</v>
      </c>
    </row>
    <row r="46" spans="1:17" customFormat="1">
      <c r="A46" s="82">
        <v>45359.395833333336</v>
      </c>
      <c r="B46" s="6">
        <v>15.76</v>
      </c>
      <c r="C46" s="6">
        <v>26.67</v>
      </c>
      <c r="D46" s="6">
        <v>27.92</v>
      </c>
      <c r="E46" s="6">
        <v>10.37</v>
      </c>
      <c r="F46" s="6">
        <v>5.23</v>
      </c>
      <c r="G46" s="6">
        <v>66.06</v>
      </c>
      <c r="H46" s="6">
        <v>20.97</v>
      </c>
      <c r="I46" s="6">
        <v>5.42</v>
      </c>
      <c r="J46" s="6">
        <v>1.1200000000000001</v>
      </c>
      <c r="K46" s="6">
        <v>80.81</v>
      </c>
      <c r="L46" s="6">
        <v>27.55</v>
      </c>
      <c r="M46" s="6">
        <v>27.78</v>
      </c>
      <c r="N46" s="6">
        <v>420.8</v>
      </c>
      <c r="O46" s="6">
        <v>0</v>
      </c>
      <c r="P46" s="6">
        <v>0.53</v>
      </c>
      <c r="Q46" s="6">
        <v>4.92</v>
      </c>
    </row>
    <row r="47" spans="1:17" customFormat="1">
      <c r="A47" s="82">
        <v>45359.40625</v>
      </c>
      <c r="B47" s="6">
        <v>14.75</v>
      </c>
      <c r="C47" s="6">
        <v>26.01</v>
      </c>
      <c r="D47" s="6">
        <v>26.77</v>
      </c>
      <c r="E47" s="6">
        <v>10.96</v>
      </c>
      <c r="F47" s="6">
        <v>5.45</v>
      </c>
      <c r="G47" s="6">
        <v>66.06</v>
      </c>
      <c r="H47" s="6">
        <v>20.97</v>
      </c>
      <c r="I47" s="6">
        <v>5.45</v>
      </c>
      <c r="J47" s="6">
        <v>1.22</v>
      </c>
      <c r="K47" s="6">
        <v>80.28</v>
      </c>
      <c r="L47" s="6">
        <v>27.76</v>
      </c>
      <c r="M47" s="6">
        <v>27.25</v>
      </c>
      <c r="N47" s="6">
        <v>434.6</v>
      </c>
      <c r="O47" s="6">
        <v>0</v>
      </c>
      <c r="P47" s="6">
        <v>0.53</v>
      </c>
      <c r="Q47" s="6">
        <v>4.93</v>
      </c>
    </row>
    <row r="48" spans="1:17" customFormat="1">
      <c r="A48" s="82">
        <v>45359.416666666664</v>
      </c>
      <c r="B48" s="6">
        <v>13.74</v>
      </c>
      <c r="C48" s="6">
        <v>25.53</v>
      </c>
      <c r="D48" s="6">
        <v>25.71</v>
      </c>
      <c r="E48" s="6">
        <v>12.84</v>
      </c>
      <c r="F48" s="6">
        <v>5.78</v>
      </c>
      <c r="G48" s="6">
        <v>65.849999999999994</v>
      </c>
      <c r="H48" s="6">
        <v>21.11</v>
      </c>
      <c r="I48" s="6">
        <v>5.34</v>
      </c>
      <c r="J48" s="6">
        <v>1.55</v>
      </c>
      <c r="K48" s="6">
        <v>61.44</v>
      </c>
      <c r="L48" s="6">
        <v>28.56</v>
      </c>
      <c r="M48" s="6">
        <v>26.28</v>
      </c>
      <c r="N48" s="6">
        <v>337.3</v>
      </c>
      <c r="O48" s="6">
        <v>0</v>
      </c>
      <c r="P48" s="6">
        <v>0.51</v>
      </c>
      <c r="Q48" s="6">
        <v>4.92</v>
      </c>
    </row>
    <row r="49" spans="1:17" customFormat="1">
      <c r="A49" s="82">
        <v>45359.427083333336</v>
      </c>
      <c r="B49" s="6">
        <v>12.23</v>
      </c>
      <c r="C49" s="6">
        <v>26.7</v>
      </c>
      <c r="D49" s="6">
        <v>25.11</v>
      </c>
      <c r="E49" s="6">
        <v>12.6</v>
      </c>
      <c r="F49" s="6">
        <v>6.12</v>
      </c>
      <c r="G49" s="6">
        <v>62.93</v>
      </c>
      <c r="H49" s="6">
        <v>22.81</v>
      </c>
      <c r="I49" s="6">
        <v>5.31</v>
      </c>
      <c r="J49" s="6">
        <v>1.59</v>
      </c>
      <c r="K49" s="6">
        <v>61.69</v>
      </c>
      <c r="L49" s="6">
        <v>28.64</v>
      </c>
      <c r="M49" s="6">
        <v>25.94</v>
      </c>
      <c r="N49" s="6">
        <v>317.89999999999998</v>
      </c>
      <c r="O49" s="6">
        <v>0</v>
      </c>
      <c r="P49" s="6">
        <v>0.48</v>
      </c>
      <c r="Q49" s="6">
        <v>4.91</v>
      </c>
    </row>
    <row r="50" spans="1:17" customFormat="1">
      <c r="A50" s="82">
        <v>45359.4375</v>
      </c>
      <c r="B50" s="6">
        <v>10.58</v>
      </c>
      <c r="C50" s="6">
        <v>27.8</v>
      </c>
      <c r="D50" s="6">
        <v>24.36</v>
      </c>
      <c r="E50" s="6">
        <v>16.149999999999999</v>
      </c>
      <c r="F50" s="6">
        <v>7.62</v>
      </c>
      <c r="G50" s="6">
        <v>62.93</v>
      </c>
      <c r="H50" s="6">
        <v>22.81</v>
      </c>
      <c r="I50" s="6">
        <v>5.2</v>
      </c>
      <c r="J50" s="6">
        <v>1.71</v>
      </c>
      <c r="K50" s="6">
        <v>61.01</v>
      </c>
      <c r="L50" s="6">
        <v>29.02</v>
      </c>
      <c r="M50" s="6">
        <v>25.09</v>
      </c>
      <c r="N50" s="6">
        <v>498.4</v>
      </c>
      <c r="O50" s="6">
        <v>0</v>
      </c>
      <c r="P50" s="6">
        <v>0.47</v>
      </c>
      <c r="Q50" s="6">
        <v>4.91</v>
      </c>
    </row>
    <row r="51" spans="1:17" customFormat="1">
      <c r="A51" s="82">
        <v>45359.447916666664</v>
      </c>
      <c r="B51" s="6">
        <v>9.3800000000000008</v>
      </c>
      <c r="C51" s="6">
        <v>28.32</v>
      </c>
      <c r="D51" s="6">
        <v>23.67</v>
      </c>
      <c r="E51" s="6">
        <v>16.510000000000002</v>
      </c>
      <c r="F51" s="6">
        <v>7.84</v>
      </c>
      <c r="G51" s="6">
        <v>62.93</v>
      </c>
      <c r="H51" s="6">
        <v>22.81</v>
      </c>
      <c r="I51" s="6">
        <v>5.14</v>
      </c>
      <c r="J51" s="6">
        <v>1.77</v>
      </c>
      <c r="K51" s="6">
        <v>65.959999999999994</v>
      </c>
      <c r="L51" s="6">
        <v>29.48</v>
      </c>
      <c r="M51" s="6">
        <v>24.32</v>
      </c>
      <c r="N51" s="6">
        <v>535.6</v>
      </c>
      <c r="O51" s="6">
        <v>0</v>
      </c>
      <c r="P51" s="6">
        <v>0.47</v>
      </c>
      <c r="Q51" s="6">
        <v>4.9000000000000004</v>
      </c>
    </row>
    <row r="52" spans="1:17" customFormat="1">
      <c r="A52" s="82">
        <v>45359.458333333336</v>
      </c>
      <c r="B52" s="6">
        <v>8.27</v>
      </c>
      <c r="C52" s="6">
        <v>28.64</v>
      </c>
      <c r="D52" s="6">
        <v>22.95</v>
      </c>
      <c r="E52" s="6">
        <v>16.89</v>
      </c>
      <c r="F52" s="6">
        <v>7.69</v>
      </c>
      <c r="G52" s="6">
        <v>63.34</v>
      </c>
      <c r="H52" s="6">
        <v>22.95</v>
      </c>
      <c r="I52" s="6">
        <v>5</v>
      </c>
      <c r="J52" s="6">
        <v>1.75</v>
      </c>
      <c r="K52" s="6">
        <v>66.34</v>
      </c>
      <c r="L52" s="6">
        <v>29.95</v>
      </c>
      <c r="M52" s="6">
        <v>23.8</v>
      </c>
      <c r="N52" s="6">
        <v>563.1</v>
      </c>
      <c r="O52" s="6">
        <v>0</v>
      </c>
      <c r="P52" s="6">
        <v>0.47</v>
      </c>
      <c r="Q52" s="6">
        <v>4.88</v>
      </c>
    </row>
    <row r="53" spans="1:17" customFormat="1">
      <c r="A53" s="82">
        <v>45359.46875</v>
      </c>
      <c r="B53" s="6">
        <v>7.21</v>
      </c>
      <c r="C53" s="6">
        <v>28.86</v>
      </c>
      <c r="D53" s="6">
        <v>22.21</v>
      </c>
      <c r="E53" s="6">
        <v>16.37</v>
      </c>
      <c r="F53" s="6">
        <v>8.5</v>
      </c>
      <c r="G53" s="6">
        <v>69.069999999999993</v>
      </c>
      <c r="H53" s="6">
        <v>24.6</v>
      </c>
      <c r="I53" s="6">
        <v>4.8899999999999997</v>
      </c>
      <c r="J53" s="6">
        <v>1.59</v>
      </c>
      <c r="K53" s="6">
        <v>68.52</v>
      </c>
      <c r="L53" s="6">
        <v>30.25</v>
      </c>
      <c r="M53" s="6">
        <v>23.47</v>
      </c>
      <c r="N53" s="6">
        <v>537.6</v>
      </c>
      <c r="O53" s="6">
        <v>0</v>
      </c>
      <c r="P53" s="6">
        <v>0.48</v>
      </c>
      <c r="Q53" s="6">
        <v>4.87</v>
      </c>
    </row>
    <row r="54" spans="1:17" customFormat="1">
      <c r="A54" s="82">
        <v>45359.479166666664</v>
      </c>
      <c r="B54" s="6">
        <v>6.3</v>
      </c>
      <c r="C54" s="6">
        <v>28.79</v>
      </c>
      <c r="D54" s="6">
        <v>21.44</v>
      </c>
      <c r="E54" s="6">
        <v>15.63</v>
      </c>
      <c r="F54" s="6">
        <v>8.76</v>
      </c>
      <c r="G54" s="6">
        <v>69.069999999999993</v>
      </c>
      <c r="H54" s="6">
        <v>24.6</v>
      </c>
      <c r="I54" s="6">
        <v>4.84</v>
      </c>
      <c r="J54" s="6">
        <v>1.39</v>
      </c>
      <c r="K54" s="6">
        <v>79.52</v>
      </c>
      <c r="L54" s="6">
        <v>30.92</v>
      </c>
      <c r="M54" s="6">
        <v>22.82</v>
      </c>
      <c r="N54" s="6">
        <v>597.70000000000005</v>
      </c>
      <c r="O54" s="6">
        <v>0</v>
      </c>
      <c r="P54" s="6">
        <v>0.47</v>
      </c>
      <c r="Q54" s="6">
        <v>4.88</v>
      </c>
    </row>
    <row r="55" spans="1:17" customFormat="1">
      <c r="A55" s="82">
        <v>45359.489583333336</v>
      </c>
      <c r="B55" s="6">
        <v>5.74</v>
      </c>
      <c r="C55" s="6">
        <v>28.72</v>
      </c>
      <c r="D55" s="6">
        <v>20.96</v>
      </c>
      <c r="E55" s="6">
        <v>17.64</v>
      </c>
      <c r="F55" s="6">
        <v>10.66</v>
      </c>
      <c r="G55" s="6">
        <v>69.069999999999993</v>
      </c>
      <c r="H55" s="6">
        <v>24.6</v>
      </c>
      <c r="I55" s="6">
        <v>4.7300000000000004</v>
      </c>
      <c r="J55" s="6">
        <v>1.6</v>
      </c>
      <c r="K55" s="6">
        <v>56.24</v>
      </c>
      <c r="L55" s="6">
        <v>31</v>
      </c>
      <c r="M55" s="6">
        <v>23.12</v>
      </c>
      <c r="N55" s="6">
        <v>603</v>
      </c>
      <c r="O55" s="6">
        <v>0</v>
      </c>
      <c r="P55" s="6">
        <v>0.47</v>
      </c>
      <c r="Q55" s="6">
        <v>4.87</v>
      </c>
    </row>
    <row r="56" spans="1:17" customFormat="1">
      <c r="A56" s="82">
        <v>45359.5</v>
      </c>
      <c r="B56" s="6">
        <v>5.33</v>
      </c>
      <c r="C56" s="6">
        <v>28.32</v>
      </c>
      <c r="D56" s="6">
        <v>20.420000000000002</v>
      </c>
      <c r="E56" s="6">
        <v>17.37</v>
      </c>
      <c r="F56" s="6">
        <v>10.74</v>
      </c>
      <c r="G56" s="6">
        <v>69.25</v>
      </c>
      <c r="H56" s="6">
        <v>24.66</v>
      </c>
      <c r="I56" s="6">
        <v>4.67</v>
      </c>
      <c r="J56" s="6">
        <v>1.27</v>
      </c>
      <c r="K56" s="6">
        <v>67.260000000000005</v>
      </c>
      <c r="L56" s="6">
        <v>31.62</v>
      </c>
      <c r="M56" s="6">
        <v>22.89</v>
      </c>
      <c r="N56" s="6">
        <v>598.70000000000005</v>
      </c>
      <c r="O56" s="6">
        <v>0</v>
      </c>
      <c r="P56" s="6">
        <v>0.47</v>
      </c>
      <c r="Q56" s="6">
        <v>4.88</v>
      </c>
    </row>
    <row r="57" spans="1:17" customFormat="1">
      <c r="A57" s="82">
        <v>45359.510416666664</v>
      </c>
      <c r="B57" s="6">
        <v>4.82</v>
      </c>
      <c r="C57" s="6">
        <v>27.83</v>
      </c>
      <c r="D57" s="6">
        <v>19.75</v>
      </c>
      <c r="E57" s="6">
        <v>17.5</v>
      </c>
      <c r="F57" s="6">
        <v>10.4</v>
      </c>
      <c r="G57" s="6">
        <v>71.819999999999993</v>
      </c>
      <c r="H57" s="6">
        <v>25.47</v>
      </c>
      <c r="I57" s="6">
        <v>4.46</v>
      </c>
      <c r="J57" s="6">
        <v>1.54</v>
      </c>
      <c r="K57" s="6">
        <v>73.040000000000006</v>
      </c>
      <c r="L57" s="6">
        <v>31.75</v>
      </c>
      <c r="M57" s="6">
        <v>23.09</v>
      </c>
      <c r="N57" s="6">
        <v>596.4</v>
      </c>
      <c r="O57" s="6">
        <v>0</v>
      </c>
      <c r="P57" s="6">
        <v>0.47</v>
      </c>
      <c r="Q57" s="6">
        <v>4.87</v>
      </c>
    </row>
    <row r="58" spans="1:17" customFormat="1">
      <c r="A58" s="82">
        <v>45359.520833333336</v>
      </c>
      <c r="B58" s="6">
        <v>4.4800000000000004</v>
      </c>
      <c r="C58" s="6">
        <v>27.29</v>
      </c>
      <c r="D58" s="6">
        <v>19.2</v>
      </c>
      <c r="E58" s="6">
        <v>17.940000000000001</v>
      </c>
      <c r="F58" s="6">
        <v>11.86</v>
      </c>
      <c r="G58" s="6">
        <v>71.819999999999993</v>
      </c>
      <c r="H58" s="6">
        <v>25.47</v>
      </c>
      <c r="I58" s="6">
        <v>4.4400000000000004</v>
      </c>
      <c r="J58" s="6">
        <v>1.48</v>
      </c>
      <c r="K58" s="6">
        <v>63.76</v>
      </c>
      <c r="L58" s="6">
        <v>31.72</v>
      </c>
      <c r="M58" s="6">
        <v>23.1</v>
      </c>
      <c r="N58" s="6">
        <v>590</v>
      </c>
      <c r="O58" s="6">
        <v>0</v>
      </c>
      <c r="P58" s="6">
        <v>0.46</v>
      </c>
      <c r="Q58" s="6">
        <v>4.83</v>
      </c>
    </row>
    <row r="59" spans="1:17" customFormat="1">
      <c r="A59" s="82">
        <v>45359.53125</v>
      </c>
      <c r="B59" s="6">
        <v>4.46</v>
      </c>
      <c r="C59" s="6">
        <v>26.72</v>
      </c>
      <c r="D59" s="6">
        <v>18.89</v>
      </c>
      <c r="E59" s="6">
        <v>19.53</v>
      </c>
      <c r="F59" s="6">
        <v>12.85</v>
      </c>
      <c r="G59" s="6">
        <v>71.819999999999993</v>
      </c>
      <c r="H59" s="6">
        <v>25.47</v>
      </c>
      <c r="I59" s="6">
        <v>4.37</v>
      </c>
      <c r="J59" s="6">
        <v>1.54</v>
      </c>
      <c r="K59" s="6">
        <v>61.94</v>
      </c>
      <c r="L59" s="6">
        <v>32.130000000000003</v>
      </c>
      <c r="M59" s="6">
        <v>22.67</v>
      </c>
      <c r="N59" s="6">
        <v>589.29999999999995</v>
      </c>
      <c r="O59" s="6">
        <v>0</v>
      </c>
      <c r="P59" s="6">
        <v>0.46</v>
      </c>
      <c r="Q59" s="6">
        <v>4.83</v>
      </c>
    </row>
    <row r="60" spans="1:17" customFormat="1">
      <c r="A60" s="82">
        <v>45359.541666666664</v>
      </c>
      <c r="B60" s="6">
        <v>4.4800000000000004</v>
      </c>
      <c r="C60" s="6">
        <v>26.07</v>
      </c>
      <c r="D60" s="6">
        <v>18.559999999999999</v>
      </c>
      <c r="E60" s="6">
        <v>17.95</v>
      </c>
      <c r="F60" s="6">
        <v>13.43</v>
      </c>
      <c r="G60" s="6">
        <v>71.5</v>
      </c>
      <c r="H60" s="6">
        <v>25.67</v>
      </c>
      <c r="I60" s="6">
        <v>4.33</v>
      </c>
      <c r="J60" s="6">
        <v>1.49</v>
      </c>
      <c r="K60" s="6">
        <v>64.12</v>
      </c>
      <c r="L60" s="6">
        <v>32.19</v>
      </c>
      <c r="M60" s="6">
        <v>22.71</v>
      </c>
      <c r="N60" s="6">
        <v>584.70000000000005</v>
      </c>
      <c r="O60" s="6">
        <v>0</v>
      </c>
      <c r="P60" s="6">
        <v>0.45</v>
      </c>
      <c r="Q60" s="6">
        <v>4.82</v>
      </c>
    </row>
    <row r="61" spans="1:17" customFormat="1">
      <c r="A61" s="82">
        <v>45359.552083333336</v>
      </c>
      <c r="B61" s="6">
        <v>4.6399999999999997</v>
      </c>
      <c r="C61" s="6">
        <v>26.49</v>
      </c>
      <c r="D61" s="6">
        <v>18.91</v>
      </c>
      <c r="E61" s="6">
        <v>21.39</v>
      </c>
      <c r="F61" s="6">
        <v>15.48</v>
      </c>
      <c r="G61" s="6">
        <v>67.040000000000006</v>
      </c>
      <c r="H61" s="6">
        <v>28.05</v>
      </c>
      <c r="I61" s="6">
        <v>4.24</v>
      </c>
      <c r="J61" s="6">
        <v>0.98</v>
      </c>
      <c r="K61" s="6">
        <v>43.58</v>
      </c>
      <c r="L61" s="6">
        <v>32.28</v>
      </c>
      <c r="M61" s="6">
        <v>22.42</v>
      </c>
      <c r="N61" s="6">
        <v>576.20000000000005</v>
      </c>
      <c r="O61" s="6">
        <v>0</v>
      </c>
      <c r="P61" s="6">
        <v>0.45</v>
      </c>
      <c r="Q61" s="6">
        <v>4.82</v>
      </c>
    </row>
    <row r="62" spans="1:17" customFormat="1">
      <c r="A62" s="82">
        <v>45359.5625</v>
      </c>
      <c r="B62" s="6">
        <v>4.45</v>
      </c>
      <c r="C62" s="6">
        <v>25.66</v>
      </c>
      <c r="D62" s="6">
        <v>18.329999999999998</v>
      </c>
      <c r="E62" s="6">
        <v>18.05</v>
      </c>
      <c r="F62" s="6">
        <v>14.49</v>
      </c>
      <c r="G62" s="6">
        <v>67.040000000000006</v>
      </c>
      <c r="H62" s="6">
        <v>28.05</v>
      </c>
      <c r="I62" s="6">
        <v>4.1399999999999997</v>
      </c>
      <c r="J62" s="6">
        <v>1.31</v>
      </c>
      <c r="K62" s="6">
        <v>50.61</v>
      </c>
      <c r="L62" s="6">
        <v>32.6</v>
      </c>
      <c r="M62" s="6">
        <v>22.06</v>
      </c>
      <c r="N62" s="6">
        <v>529.6</v>
      </c>
      <c r="O62" s="6">
        <v>0</v>
      </c>
      <c r="P62" s="6">
        <v>0.45</v>
      </c>
      <c r="Q62" s="6">
        <v>4.8099999999999996</v>
      </c>
    </row>
    <row r="63" spans="1:17" customFormat="1">
      <c r="A63" s="82">
        <v>45359.572916666664</v>
      </c>
      <c r="B63" s="6">
        <v>4.4400000000000004</v>
      </c>
      <c r="C63" s="6">
        <v>25.05</v>
      </c>
      <c r="D63" s="6">
        <v>18</v>
      </c>
      <c r="E63" s="6">
        <v>18.899999999999999</v>
      </c>
      <c r="F63" s="6">
        <v>13.41</v>
      </c>
      <c r="G63" s="6">
        <v>67.040000000000006</v>
      </c>
      <c r="H63" s="6">
        <v>28.05</v>
      </c>
      <c r="I63" s="6">
        <v>4.04</v>
      </c>
      <c r="J63" s="6">
        <v>1.32</v>
      </c>
      <c r="K63" s="6">
        <v>34.46</v>
      </c>
      <c r="L63" s="6">
        <v>32.520000000000003</v>
      </c>
      <c r="M63" s="6">
        <v>22.26</v>
      </c>
      <c r="N63" s="6">
        <v>515.79999999999995</v>
      </c>
      <c r="O63" s="6">
        <v>0</v>
      </c>
      <c r="P63" s="6">
        <v>0.45</v>
      </c>
      <c r="Q63" s="6">
        <v>4.8099999999999996</v>
      </c>
    </row>
    <row r="64" spans="1:17" customFormat="1">
      <c r="A64" s="82">
        <v>45359.583333333336</v>
      </c>
      <c r="B64" s="6">
        <v>4.4400000000000004</v>
      </c>
      <c r="C64" s="6">
        <v>24.84</v>
      </c>
      <c r="D64" s="6">
        <v>17.89</v>
      </c>
      <c r="E64" s="6">
        <v>18.52</v>
      </c>
      <c r="F64" s="6">
        <v>14.78</v>
      </c>
      <c r="G64" s="6">
        <v>66.94</v>
      </c>
      <c r="H64" s="6">
        <v>27.93</v>
      </c>
      <c r="I64" s="6">
        <v>4.0199999999999996</v>
      </c>
      <c r="J64" s="6">
        <v>1.02</v>
      </c>
      <c r="K64" s="6">
        <v>51.94</v>
      </c>
      <c r="L64" s="6">
        <v>32.799999999999997</v>
      </c>
      <c r="M64" s="6">
        <v>22</v>
      </c>
      <c r="N64" s="6">
        <v>518.79999999999995</v>
      </c>
      <c r="O64" s="6">
        <v>0</v>
      </c>
      <c r="P64" s="6">
        <v>0.44</v>
      </c>
      <c r="Q64" s="6">
        <v>4.8099999999999996</v>
      </c>
    </row>
    <row r="65" spans="1:17" customFormat="1">
      <c r="A65" s="82">
        <v>45359.59375</v>
      </c>
      <c r="B65" s="6">
        <v>4.42</v>
      </c>
      <c r="C65" s="6">
        <v>24.38</v>
      </c>
      <c r="D65" s="6">
        <v>17.63</v>
      </c>
      <c r="E65" s="6">
        <v>19.36</v>
      </c>
      <c r="F65" s="6">
        <v>14.01</v>
      </c>
      <c r="G65" s="6">
        <v>65.55</v>
      </c>
      <c r="H65" s="6">
        <v>26.43</v>
      </c>
      <c r="I65" s="6">
        <v>3.97</v>
      </c>
      <c r="J65" s="6">
        <v>0.97</v>
      </c>
      <c r="K65" s="6">
        <v>39.56</v>
      </c>
      <c r="L65" s="6">
        <v>33.270000000000003</v>
      </c>
      <c r="M65" s="6">
        <v>21.72</v>
      </c>
      <c r="N65" s="6">
        <v>520.6</v>
      </c>
      <c r="O65" s="6">
        <v>0</v>
      </c>
      <c r="P65" s="6">
        <v>0.48</v>
      </c>
      <c r="Q65" s="6">
        <v>4.82</v>
      </c>
    </row>
    <row r="66" spans="1:17" customFormat="1">
      <c r="A66" s="82">
        <v>45359.604166666664</v>
      </c>
      <c r="B66" s="6">
        <v>4.43</v>
      </c>
      <c r="C66" s="6">
        <v>24.21</v>
      </c>
      <c r="D66" s="6">
        <v>17.55</v>
      </c>
      <c r="E66" s="6">
        <v>16.18</v>
      </c>
      <c r="F66" s="6">
        <v>13.48</v>
      </c>
      <c r="G66" s="6">
        <v>65.55</v>
      </c>
      <c r="H66" s="6">
        <v>26.43</v>
      </c>
      <c r="I66" s="6">
        <v>3.89</v>
      </c>
      <c r="J66" s="6">
        <v>0.31</v>
      </c>
      <c r="K66" s="6">
        <v>12.2</v>
      </c>
      <c r="L66" s="6">
        <v>33.270000000000003</v>
      </c>
      <c r="M66" s="6">
        <v>21.78</v>
      </c>
      <c r="N66" s="6">
        <v>459.4</v>
      </c>
      <c r="O66" s="6">
        <v>0</v>
      </c>
      <c r="P66" s="6">
        <v>0.5</v>
      </c>
      <c r="Q66" s="6">
        <v>4.82</v>
      </c>
    </row>
    <row r="67" spans="1:17" customFormat="1">
      <c r="A67" s="82">
        <v>45359.614583333336</v>
      </c>
      <c r="B67" s="6">
        <v>4.42</v>
      </c>
      <c r="C67" s="6">
        <v>23.76</v>
      </c>
      <c r="D67" s="6">
        <v>17.309999999999999</v>
      </c>
      <c r="E67" s="6">
        <v>16.57</v>
      </c>
      <c r="F67" s="6">
        <v>16.28</v>
      </c>
      <c r="G67" s="6">
        <v>65.55</v>
      </c>
      <c r="H67" s="6">
        <v>26.43</v>
      </c>
      <c r="I67" s="6">
        <v>3.82</v>
      </c>
      <c r="J67" s="6">
        <v>0.94</v>
      </c>
      <c r="K67" s="6">
        <v>44.83</v>
      </c>
      <c r="L67" s="6">
        <v>33.49</v>
      </c>
      <c r="M67" s="6">
        <v>21.62</v>
      </c>
      <c r="N67" s="6">
        <v>411.4</v>
      </c>
      <c r="O67" s="6">
        <v>0</v>
      </c>
      <c r="P67" s="6">
        <v>0.53</v>
      </c>
      <c r="Q67" s="6">
        <v>4.78</v>
      </c>
    </row>
    <row r="68" spans="1:17" customFormat="1">
      <c r="A68" s="82">
        <v>45359.625</v>
      </c>
      <c r="B68" s="6">
        <v>4.6500000000000004</v>
      </c>
      <c r="C68" s="6">
        <v>22.95</v>
      </c>
      <c r="D68" s="6">
        <v>17.07</v>
      </c>
      <c r="E68" s="6">
        <v>14.43</v>
      </c>
      <c r="F68" s="6">
        <v>13.06</v>
      </c>
      <c r="G68" s="6">
        <v>65.64</v>
      </c>
      <c r="H68" s="6">
        <v>26.54</v>
      </c>
      <c r="I68" s="6">
        <v>3.8</v>
      </c>
      <c r="J68" s="6">
        <v>1.43</v>
      </c>
      <c r="K68" s="6">
        <v>58.61</v>
      </c>
      <c r="L68" s="6">
        <v>33.090000000000003</v>
      </c>
      <c r="M68" s="6">
        <v>22.13</v>
      </c>
      <c r="N68" s="6">
        <v>266.2</v>
      </c>
      <c r="O68" s="6">
        <v>0</v>
      </c>
      <c r="P68" s="6">
        <v>0.55000000000000004</v>
      </c>
      <c r="Q68" s="6">
        <v>4.7699999999999996</v>
      </c>
    </row>
    <row r="69" spans="1:17" customFormat="1">
      <c r="A69" s="82">
        <v>45359.635416666664</v>
      </c>
      <c r="B69" s="6">
        <v>4.7300000000000004</v>
      </c>
      <c r="C69" s="6">
        <v>22.52</v>
      </c>
      <c r="D69" s="6">
        <v>16.91</v>
      </c>
      <c r="E69" s="6">
        <v>12.14</v>
      </c>
      <c r="F69" s="6">
        <v>11.36</v>
      </c>
      <c r="G69" s="6">
        <v>66.83</v>
      </c>
      <c r="H69" s="6">
        <v>27.79</v>
      </c>
      <c r="I69" s="6">
        <v>3.73</v>
      </c>
      <c r="J69" s="6">
        <v>0.78</v>
      </c>
      <c r="K69" s="6">
        <v>82.88</v>
      </c>
      <c r="L69" s="6">
        <v>33.29</v>
      </c>
      <c r="M69" s="6">
        <v>21.93</v>
      </c>
      <c r="N69" s="6">
        <v>181.4</v>
      </c>
      <c r="O69" s="6">
        <v>0</v>
      </c>
      <c r="P69" s="6">
        <v>0.56999999999999995</v>
      </c>
      <c r="Q69" s="6">
        <v>4.75</v>
      </c>
    </row>
    <row r="70" spans="1:17" customFormat="1">
      <c r="A70" s="82">
        <v>45359.645833333336</v>
      </c>
      <c r="B70" s="6">
        <v>4.7699999999999996</v>
      </c>
      <c r="C70" s="6">
        <v>22.03</v>
      </c>
      <c r="D70" s="6">
        <v>16.690000000000001</v>
      </c>
      <c r="E70" s="6">
        <v>12.96</v>
      </c>
      <c r="F70" s="6">
        <v>11.84</v>
      </c>
      <c r="G70" s="6">
        <v>66.83</v>
      </c>
      <c r="H70" s="6">
        <v>27.79</v>
      </c>
      <c r="I70" s="6">
        <v>3.79</v>
      </c>
      <c r="J70" s="6">
        <v>1.38</v>
      </c>
      <c r="K70" s="6">
        <v>47.95</v>
      </c>
      <c r="L70" s="6">
        <v>32.81</v>
      </c>
      <c r="M70" s="6">
        <v>22.78</v>
      </c>
      <c r="N70" s="6">
        <v>185.5</v>
      </c>
      <c r="O70" s="6">
        <v>0</v>
      </c>
      <c r="P70" s="6">
        <v>0.56999999999999995</v>
      </c>
      <c r="Q70" s="6">
        <v>4.72</v>
      </c>
    </row>
    <row r="71" spans="1:17" customFormat="1">
      <c r="A71" s="82">
        <v>45359.65625</v>
      </c>
      <c r="B71" s="6">
        <v>4.79</v>
      </c>
      <c r="C71" s="6">
        <v>21.85</v>
      </c>
      <c r="D71" s="6">
        <v>16.61</v>
      </c>
      <c r="E71" s="6">
        <v>11.76</v>
      </c>
      <c r="F71" s="6">
        <v>11.39</v>
      </c>
      <c r="G71" s="6">
        <v>66.83</v>
      </c>
      <c r="H71" s="6">
        <v>27.79</v>
      </c>
      <c r="I71" s="6">
        <v>3.84</v>
      </c>
      <c r="J71" s="6">
        <v>1.3</v>
      </c>
      <c r="K71" s="6">
        <v>50.37</v>
      </c>
      <c r="L71" s="6">
        <v>32.64</v>
      </c>
      <c r="M71" s="6">
        <v>22.79</v>
      </c>
      <c r="N71" s="6">
        <v>280.8</v>
      </c>
      <c r="O71" s="6">
        <v>0</v>
      </c>
      <c r="P71" s="6">
        <v>0.57999999999999996</v>
      </c>
      <c r="Q71" s="6">
        <v>4.72</v>
      </c>
    </row>
    <row r="72" spans="1:17" customFormat="1">
      <c r="A72" s="82">
        <v>45359.666666666664</v>
      </c>
      <c r="B72" s="6">
        <v>4.74</v>
      </c>
      <c r="C72" s="6">
        <v>21.96</v>
      </c>
      <c r="D72" s="6">
        <v>16.63</v>
      </c>
      <c r="E72" s="6">
        <v>12.08</v>
      </c>
      <c r="F72" s="6">
        <v>11.77</v>
      </c>
      <c r="G72" s="6">
        <v>66.209999999999994</v>
      </c>
      <c r="H72" s="6">
        <v>27.62</v>
      </c>
      <c r="I72" s="6">
        <v>3.85</v>
      </c>
      <c r="J72" s="6">
        <v>1.19</v>
      </c>
      <c r="K72" s="6">
        <v>44.66</v>
      </c>
      <c r="L72" s="6">
        <v>32.770000000000003</v>
      </c>
      <c r="M72" s="6">
        <v>22.73</v>
      </c>
      <c r="N72" s="6">
        <v>272.60000000000002</v>
      </c>
      <c r="O72" s="6">
        <v>0</v>
      </c>
      <c r="P72" s="6">
        <v>0.59</v>
      </c>
      <c r="Q72" s="6">
        <v>4.7300000000000004</v>
      </c>
    </row>
    <row r="73" spans="1:17" customFormat="1">
      <c r="A73" s="82">
        <v>45359.677083333336</v>
      </c>
      <c r="B73" s="6">
        <v>4.76</v>
      </c>
      <c r="C73" s="6">
        <v>22.36</v>
      </c>
      <c r="D73" s="6">
        <v>16.850000000000001</v>
      </c>
      <c r="E73" s="6">
        <v>13.33</v>
      </c>
      <c r="F73" s="6">
        <v>11.35</v>
      </c>
      <c r="G73" s="6">
        <v>57.41</v>
      </c>
      <c r="H73" s="6">
        <v>25.55</v>
      </c>
      <c r="I73" s="6">
        <v>3.9</v>
      </c>
      <c r="J73" s="6">
        <v>1.04</v>
      </c>
      <c r="K73" s="6">
        <v>47.02</v>
      </c>
      <c r="L73" s="6">
        <v>32.619999999999997</v>
      </c>
      <c r="M73" s="6">
        <v>22.75</v>
      </c>
      <c r="N73" s="6">
        <v>274.39999999999998</v>
      </c>
      <c r="O73" s="6">
        <v>0</v>
      </c>
      <c r="P73" s="6">
        <v>0.59</v>
      </c>
      <c r="Q73" s="6">
        <v>4.71</v>
      </c>
    </row>
    <row r="74" spans="1:17" customFormat="1">
      <c r="A74" s="82">
        <v>45359.6875</v>
      </c>
      <c r="B74" s="6">
        <v>4.95</v>
      </c>
      <c r="C74" s="6">
        <v>22.94</v>
      </c>
      <c r="D74" s="6">
        <v>17.3</v>
      </c>
      <c r="E74" s="6">
        <v>12.68</v>
      </c>
      <c r="F74" s="6">
        <v>9.43</v>
      </c>
      <c r="G74" s="6">
        <v>57.41</v>
      </c>
      <c r="H74" s="6">
        <v>25.55</v>
      </c>
      <c r="I74" s="6">
        <v>3.91</v>
      </c>
      <c r="J74" s="6">
        <v>0.99</v>
      </c>
      <c r="K74" s="6">
        <v>41.26</v>
      </c>
      <c r="L74" s="6">
        <v>32.520000000000003</v>
      </c>
      <c r="M74" s="6">
        <v>22.8</v>
      </c>
      <c r="N74" s="6">
        <v>215.9</v>
      </c>
      <c r="O74" s="6">
        <v>0</v>
      </c>
      <c r="P74" s="6">
        <v>0.6</v>
      </c>
      <c r="Q74" s="6">
        <v>4.71</v>
      </c>
    </row>
    <row r="75" spans="1:17" customFormat="1">
      <c r="A75" s="82">
        <v>45359.697916666664</v>
      </c>
      <c r="B75" s="6">
        <v>4.95</v>
      </c>
      <c r="C75" s="6">
        <v>24.01</v>
      </c>
      <c r="D75" s="6">
        <v>17.86</v>
      </c>
      <c r="E75" s="6">
        <v>14.72</v>
      </c>
      <c r="F75" s="6">
        <v>10.31</v>
      </c>
      <c r="G75" s="6">
        <v>57.41</v>
      </c>
      <c r="H75" s="6">
        <v>25.55</v>
      </c>
      <c r="I75" s="6">
        <v>3.94</v>
      </c>
      <c r="J75" s="6">
        <v>0.94</v>
      </c>
      <c r="K75" s="6">
        <v>31.7</v>
      </c>
      <c r="L75" s="6">
        <v>32.19</v>
      </c>
      <c r="M75" s="6">
        <v>23.28</v>
      </c>
      <c r="N75" s="6">
        <v>167.7</v>
      </c>
      <c r="O75" s="6">
        <v>0</v>
      </c>
      <c r="P75" s="6">
        <v>0.54</v>
      </c>
      <c r="Q75" s="6">
        <v>4.76</v>
      </c>
    </row>
    <row r="76" spans="1:17" customFormat="1">
      <c r="A76" s="82">
        <v>45359.708333333336</v>
      </c>
      <c r="B76" s="6">
        <v>4.79</v>
      </c>
      <c r="C76" s="6">
        <v>25.91</v>
      </c>
      <c r="D76" s="6">
        <v>18.73</v>
      </c>
      <c r="E76" s="6">
        <v>17.239999999999998</v>
      </c>
      <c r="F76" s="6">
        <v>9.01</v>
      </c>
      <c r="G76" s="6">
        <v>57.52</v>
      </c>
      <c r="H76" s="6">
        <v>25.58</v>
      </c>
      <c r="I76" s="6">
        <v>3.99</v>
      </c>
      <c r="J76" s="6">
        <v>1.1599999999999999</v>
      </c>
      <c r="K76" s="6">
        <v>46.73</v>
      </c>
      <c r="L76" s="6">
        <v>31.92</v>
      </c>
      <c r="M76" s="6">
        <v>23.41</v>
      </c>
      <c r="N76" s="6">
        <v>123.2</v>
      </c>
      <c r="O76" s="6">
        <v>0</v>
      </c>
      <c r="P76" s="6">
        <v>0.49</v>
      </c>
      <c r="Q76" s="6">
        <v>4.7699999999999996</v>
      </c>
    </row>
    <row r="77" spans="1:17" customFormat="1">
      <c r="A77" s="82">
        <v>45359.71875</v>
      </c>
      <c r="B77" s="6">
        <v>4.93</v>
      </c>
      <c r="C77" s="6">
        <v>28.64</v>
      </c>
      <c r="D77" s="6">
        <v>20.27</v>
      </c>
      <c r="E77" s="6">
        <v>17.399999999999999</v>
      </c>
      <c r="F77" s="6">
        <v>9.65</v>
      </c>
      <c r="G77" s="6">
        <v>59.08</v>
      </c>
      <c r="H77" s="6">
        <v>25.92</v>
      </c>
      <c r="I77" s="6">
        <v>3.8</v>
      </c>
      <c r="J77" s="6">
        <v>1.02</v>
      </c>
      <c r="K77" s="6">
        <v>51.6</v>
      </c>
      <c r="L77" s="6">
        <v>31.61</v>
      </c>
      <c r="M77" s="6">
        <v>23.69</v>
      </c>
      <c r="N77" s="6">
        <v>57.2</v>
      </c>
      <c r="O77" s="6">
        <v>0</v>
      </c>
      <c r="P77" s="6">
        <v>0.49</v>
      </c>
      <c r="Q77" s="6">
        <v>4.78</v>
      </c>
    </row>
    <row r="78" spans="1:17" customFormat="1">
      <c r="A78" s="82">
        <v>45359.729166666664</v>
      </c>
      <c r="B78" s="6">
        <v>5.26</v>
      </c>
      <c r="C78" s="6">
        <v>29.79</v>
      </c>
      <c r="D78" s="6">
        <v>21.13</v>
      </c>
      <c r="E78" s="6">
        <v>16.87</v>
      </c>
      <c r="F78" s="6">
        <v>9.0299999999999994</v>
      </c>
      <c r="G78" s="6">
        <v>59.08</v>
      </c>
      <c r="H78" s="6">
        <v>25.92</v>
      </c>
      <c r="I78" s="6">
        <v>3.68</v>
      </c>
      <c r="J78" s="6">
        <v>0.91</v>
      </c>
      <c r="K78" s="6">
        <v>53.05</v>
      </c>
      <c r="L78" s="6">
        <v>31.14</v>
      </c>
      <c r="M78" s="6">
        <v>24.7</v>
      </c>
      <c r="N78" s="6">
        <v>20.2</v>
      </c>
      <c r="O78" s="6">
        <v>0</v>
      </c>
      <c r="P78" s="6">
        <v>0.51</v>
      </c>
      <c r="Q78" s="6">
        <v>4.7699999999999996</v>
      </c>
    </row>
    <row r="79" spans="1:17" customFormat="1">
      <c r="A79" s="82">
        <v>45359.739583333336</v>
      </c>
      <c r="B79" s="6">
        <v>6.5</v>
      </c>
      <c r="C79" s="6">
        <v>31.07</v>
      </c>
      <c r="D79" s="6">
        <v>22.8</v>
      </c>
      <c r="E79" s="6">
        <v>16.170000000000002</v>
      </c>
      <c r="F79" s="6">
        <v>7.67</v>
      </c>
      <c r="G79" s="6">
        <v>59.08</v>
      </c>
      <c r="H79" s="6">
        <v>25.92</v>
      </c>
      <c r="I79" s="6">
        <v>3.65</v>
      </c>
      <c r="J79" s="6">
        <v>0.8</v>
      </c>
      <c r="K79" s="6">
        <v>56.65</v>
      </c>
      <c r="L79" s="6">
        <v>30.59</v>
      </c>
      <c r="M79" s="6">
        <v>25.77</v>
      </c>
      <c r="N79" s="6">
        <v>5.9</v>
      </c>
      <c r="O79" s="6">
        <v>0</v>
      </c>
      <c r="P79" s="6">
        <v>0.53</v>
      </c>
      <c r="Q79" s="6">
        <v>4.78</v>
      </c>
    </row>
    <row r="80" spans="1:17" customFormat="1">
      <c r="A80" s="82">
        <v>45359.75</v>
      </c>
      <c r="B80" s="6">
        <v>6.51</v>
      </c>
      <c r="C80" s="6">
        <v>33.43</v>
      </c>
      <c r="D80" s="6">
        <v>24.04</v>
      </c>
      <c r="E80" s="6">
        <v>15.53</v>
      </c>
      <c r="F80" s="6">
        <v>6.9</v>
      </c>
      <c r="G80" s="6">
        <v>59.27</v>
      </c>
      <c r="H80" s="6">
        <v>26.06</v>
      </c>
      <c r="I80" s="6">
        <v>3.75</v>
      </c>
      <c r="J80" s="6">
        <v>0.73</v>
      </c>
      <c r="K80" s="6">
        <v>62.06</v>
      </c>
      <c r="L80" s="6">
        <v>30.1</v>
      </c>
      <c r="M80" s="6">
        <v>26.66</v>
      </c>
      <c r="N80" s="6">
        <v>0</v>
      </c>
      <c r="O80" s="6">
        <v>0</v>
      </c>
      <c r="P80" s="6">
        <v>0.55000000000000004</v>
      </c>
      <c r="Q80" s="6">
        <v>4.79</v>
      </c>
    </row>
    <row r="81" spans="1:17" customFormat="1">
      <c r="A81" s="82">
        <v>45359.760416666664</v>
      </c>
      <c r="B81" s="6">
        <v>7.3</v>
      </c>
      <c r="C81" s="6">
        <v>35.86</v>
      </c>
      <c r="D81" s="6">
        <v>25.94</v>
      </c>
      <c r="E81" s="6">
        <v>14.64</v>
      </c>
      <c r="F81" s="6">
        <v>6.77</v>
      </c>
      <c r="G81" s="6">
        <v>61.99</v>
      </c>
      <c r="H81" s="6">
        <v>27.52</v>
      </c>
      <c r="I81" s="6">
        <v>3.74</v>
      </c>
      <c r="J81" s="6">
        <v>0.56999999999999995</v>
      </c>
      <c r="K81" s="6">
        <v>67.849999999999994</v>
      </c>
      <c r="L81" s="6">
        <v>29.4</v>
      </c>
      <c r="M81" s="6">
        <v>28.56</v>
      </c>
      <c r="N81" s="6">
        <v>0</v>
      </c>
      <c r="O81" s="6">
        <v>0</v>
      </c>
      <c r="P81" s="6">
        <v>0.56999999999999995</v>
      </c>
      <c r="Q81" s="6">
        <v>4.7699999999999996</v>
      </c>
    </row>
    <row r="82" spans="1:17" customFormat="1">
      <c r="A82" s="82">
        <v>45359.770833333336</v>
      </c>
      <c r="B82" s="6">
        <v>7.96</v>
      </c>
      <c r="C82" s="6">
        <v>35.729999999999997</v>
      </c>
      <c r="D82" s="6">
        <v>26.4</v>
      </c>
      <c r="E82" s="6">
        <v>14.69</v>
      </c>
      <c r="F82" s="6">
        <v>5.68</v>
      </c>
      <c r="G82" s="6">
        <v>61.99</v>
      </c>
      <c r="H82" s="6">
        <v>27.52</v>
      </c>
      <c r="I82" s="6">
        <v>3.77</v>
      </c>
      <c r="J82" s="6">
        <v>0.38</v>
      </c>
      <c r="K82" s="6">
        <v>72.73</v>
      </c>
      <c r="L82" s="6">
        <v>28.98</v>
      </c>
      <c r="M82" s="6">
        <v>30.77</v>
      </c>
      <c r="N82" s="6">
        <v>0</v>
      </c>
      <c r="O82" s="6">
        <v>0</v>
      </c>
      <c r="P82" s="6">
        <v>0.59</v>
      </c>
      <c r="Q82" s="6">
        <v>4.7699999999999996</v>
      </c>
    </row>
    <row r="83" spans="1:17" customFormat="1">
      <c r="A83" s="82">
        <v>45359.78125</v>
      </c>
      <c r="B83" s="6">
        <v>8.1999999999999993</v>
      </c>
      <c r="C83" s="6">
        <v>35.97</v>
      </c>
      <c r="D83" s="6">
        <v>26.72</v>
      </c>
      <c r="E83" s="6">
        <v>14.32</v>
      </c>
      <c r="F83" s="6">
        <v>5.16</v>
      </c>
      <c r="G83" s="6">
        <v>61.99</v>
      </c>
      <c r="H83" s="6">
        <v>27.52</v>
      </c>
      <c r="I83" s="6">
        <v>3.89</v>
      </c>
      <c r="J83" s="6">
        <v>0.37</v>
      </c>
      <c r="K83" s="6">
        <v>69.33</v>
      </c>
      <c r="L83" s="6">
        <v>28.55</v>
      </c>
      <c r="M83" s="6">
        <v>32.659999999999997</v>
      </c>
      <c r="N83" s="6">
        <v>0</v>
      </c>
      <c r="O83" s="6">
        <v>0</v>
      </c>
      <c r="P83" s="6">
        <v>0.63</v>
      </c>
      <c r="Q83" s="6">
        <v>4.78</v>
      </c>
    </row>
    <row r="84" spans="1:17" customFormat="1">
      <c r="A84" s="82">
        <v>45359.791666666664</v>
      </c>
      <c r="B84" s="6">
        <v>8.9700000000000006</v>
      </c>
      <c r="C84" s="6">
        <v>37.26</v>
      </c>
      <c r="D84" s="6">
        <v>28.01</v>
      </c>
      <c r="E84" s="6">
        <v>14.48</v>
      </c>
      <c r="F84" s="6">
        <v>4.8099999999999996</v>
      </c>
      <c r="G84" s="6">
        <v>63.58</v>
      </c>
      <c r="H84" s="6">
        <v>27.83</v>
      </c>
      <c r="I84" s="6">
        <v>4.09</v>
      </c>
      <c r="J84" s="6">
        <v>0.44</v>
      </c>
      <c r="K84" s="6">
        <v>56.72</v>
      </c>
      <c r="L84" s="6">
        <v>28.42</v>
      </c>
      <c r="M84" s="6">
        <v>32.380000000000003</v>
      </c>
      <c r="N84" s="6">
        <v>0</v>
      </c>
      <c r="O84" s="6">
        <v>0</v>
      </c>
      <c r="P84" s="6">
        <v>0.68</v>
      </c>
      <c r="Q84" s="6">
        <v>4.8</v>
      </c>
    </row>
    <row r="85" spans="1:17" customFormat="1">
      <c r="A85" s="82">
        <v>45359.802083333336</v>
      </c>
      <c r="B85" s="6">
        <v>10.41</v>
      </c>
      <c r="C85" s="6">
        <v>38.229999999999997</v>
      </c>
      <c r="D85" s="6">
        <v>29.68</v>
      </c>
      <c r="E85" s="6">
        <v>13.86</v>
      </c>
      <c r="F85" s="6">
        <v>4.7</v>
      </c>
      <c r="G85" s="6">
        <v>85.94</v>
      </c>
      <c r="H85" s="6">
        <v>31.64</v>
      </c>
      <c r="I85" s="6">
        <v>4.5599999999999996</v>
      </c>
      <c r="J85" s="6">
        <v>0.12</v>
      </c>
      <c r="K85" s="6">
        <v>120.74</v>
      </c>
      <c r="L85" s="6">
        <v>27.95</v>
      </c>
      <c r="M85" s="6">
        <v>38.46</v>
      </c>
      <c r="N85" s="6">
        <v>0</v>
      </c>
      <c r="O85" s="6">
        <v>0</v>
      </c>
      <c r="P85" s="6">
        <v>0.75</v>
      </c>
      <c r="Q85" s="6">
        <v>4.79</v>
      </c>
    </row>
    <row r="86" spans="1:17" customFormat="1">
      <c r="A86" s="82">
        <v>45359.8125</v>
      </c>
      <c r="B86" s="6">
        <v>10.96</v>
      </c>
      <c r="C86" s="6">
        <v>38.06</v>
      </c>
      <c r="D86" s="6">
        <v>30.02</v>
      </c>
      <c r="E86" s="6">
        <v>12.77</v>
      </c>
      <c r="F86" s="6">
        <v>4.72</v>
      </c>
      <c r="G86" s="6">
        <v>85.94</v>
      </c>
      <c r="H86" s="6">
        <v>31.64</v>
      </c>
      <c r="I86" s="6">
        <v>4.99</v>
      </c>
      <c r="J86" s="6">
        <v>0.27</v>
      </c>
      <c r="K86" s="6">
        <v>176.92</v>
      </c>
      <c r="L86" s="6">
        <v>26.89</v>
      </c>
      <c r="M86" s="6">
        <v>48.02</v>
      </c>
      <c r="N86" s="6">
        <v>0</v>
      </c>
      <c r="O86" s="6">
        <v>0</v>
      </c>
      <c r="P86" s="6">
        <v>0.79</v>
      </c>
      <c r="Q86" s="6">
        <v>4.8</v>
      </c>
    </row>
    <row r="87" spans="1:17" customFormat="1">
      <c r="A87" s="82">
        <v>45359.822916666664</v>
      </c>
      <c r="B87" s="6">
        <v>11.03</v>
      </c>
      <c r="C87" s="6">
        <v>37.81</v>
      </c>
      <c r="D87" s="6">
        <v>29.95</v>
      </c>
      <c r="E87" s="6">
        <v>12.22</v>
      </c>
      <c r="F87" s="6">
        <v>4.5999999999999996</v>
      </c>
      <c r="G87" s="6">
        <v>85.94</v>
      </c>
      <c r="H87" s="6">
        <v>31.64</v>
      </c>
      <c r="I87" s="6">
        <v>5.48</v>
      </c>
      <c r="J87" s="6">
        <v>0.24</v>
      </c>
      <c r="K87" s="6">
        <v>167.07</v>
      </c>
      <c r="L87" s="6">
        <v>26.36</v>
      </c>
      <c r="M87" s="6">
        <v>49.17</v>
      </c>
      <c r="N87" s="6">
        <v>0</v>
      </c>
      <c r="O87" s="6">
        <v>0</v>
      </c>
      <c r="P87" s="6">
        <v>0.83</v>
      </c>
      <c r="Q87" s="6">
        <v>4.8</v>
      </c>
    </row>
    <row r="88" spans="1:17" customFormat="1">
      <c r="A88" s="82">
        <v>45359.833333333336</v>
      </c>
      <c r="B88" s="6">
        <v>11.65</v>
      </c>
      <c r="C88" s="6">
        <v>37.950000000000003</v>
      </c>
      <c r="D88" s="6">
        <v>30.52</v>
      </c>
      <c r="E88" s="6">
        <v>12.87</v>
      </c>
      <c r="F88" s="6">
        <v>4.6399999999999997</v>
      </c>
      <c r="G88" s="6">
        <v>95.68</v>
      </c>
      <c r="H88" s="6">
        <v>32.49</v>
      </c>
      <c r="I88" s="6">
        <v>6.01</v>
      </c>
      <c r="J88" s="6">
        <v>0.21</v>
      </c>
      <c r="K88" s="6">
        <v>145.71</v>
      </c>
      <c r="L88" s="6">
        <v>26.22</v>
      </c>
      <c r="M88" s="6">
        <v>42.66</v>
      </c>
      <c r="N88" s="6">
        <v>0</v>
      </c>
      <c r="O88" s="6">
        <v>0</v>
      </c>
      <c r="P88" s="6">
        <v>0.89</v>
      </c>
      <c r="Q88" s="6">
        <v>4.8</v>
      </c>
    </row>
    <row r="89" spans="1:17" customFormat="1">
      <c r="A89" s="82">
        <v>45359.84375</v>
      </c>
      <c r="B89" s="6">
        <v>13.12</v>
      </c>
      <c r="C89" s="6">
        <v>38.4</v>
      </c>
      <c r="D89" s="6">
        <v>31.94</v>
      </c>
      <c r="E89" s="6">
        <v>12.75</v>
      </c>
      <c r="F89" s="6">
        <v>4.74</v>
      </c>
      <c r="G89" s="6">
        <v>211.11</v>
      </c>
      <c r="H89" s="6">
        <v>41.15</v>
      </c>
      <c r="I89" s="6">
        <v>6.49</v>
      </c>
      <c r="J89" s="6">
        <v>0.25</v>
      </c>
      <c r="K89" s="6">
        <v>198.6</v>
      </c>
      <c r="L89" s="6">
        <v>25.9</v>
      </c>
      <c r="M89" s="6">
        <v>48.6</v>
      </c>
      <c r="N89" s="6">
        <v>0</v>
      </c>
      <c r="O89" s="6">
        <v>0</v>
      </c>
      <c r="P89" s="6">
        <v>0.94</v>
      </c>
      <c r="Q89" s="6">
        <v>4.83</v>
      </c>
    </row>
    <row r="90" spans="1:17" customFormat="1">
      <c r="A90" s="82">
        <v>45359.854166666664</v>
      </c>
      <c r="B90" s="6">
        <v>13.89</v>
      </c>
      <c r="C90" s="6">
        <v>38.67</v>
      </c>
      <c r="D90" s="6">
        <v>32.69</v>
      </c>
      <c r="E90" s="6">
        <v>11.76</v>
      </c>
      <c r="F90" s="6">
        <v>4.5999999999999996</v>
      </c>
      <c r="G90" s="6">
        <v>211.11</v>
      </c>
      <c r="H90" s="6">
        <v>41.15</v>
      </c>
      <c r="I90" s="6">
        <v>7.31</v>
      </c>
      <c r="J90" s="6">
        <v>0.08</v>
      </c>
      <c r="K90" s="6">
        <v>186.77</v>
      </c>
      <c r="L90" s="6">
        <v>24.94</v>
      </c>
      <c r="M90" s="6">
        <v>48.3</v>
      </c>
      <c r="N90" s="6">
        <v>0</v>
      </c>
      <c r="O90" s="6">
        <v>0</v>
      </c>
      <c r="P90" s="6">
        <v>0.95</v>
      </c>
      <c r="Q90" s="6">
        <v>4.8</v>
      </c>
    </row>
    <row r="91" spans="1:17" customFormat="1">
      <c r="A91" s="82">
        <v>45359.864583333336</v>
      </c>
      <c r="B91" s="6">
        <v>15.2</v>
      </c>
      <c r="C91" s="6">
        <v>38.869999999999997</v>
      </c>
      <c r="D91" s="6">
        <v>33.85</v>
      </c>
      <c r="E91" s="6">
        <v>12.15</v>
      </c>
      <c r="F91" s="6">
        <v>4.62</v>
      </c>
      <c r="G91" s="6">
        <v>211.11</v>
      </c>
      <c r="H91" s="6">
        <v>41.15</v>
      </c>
      <c r="I91" s="6">
        <v>7.91</v>
      </c>
      <c r="J91" s="6">
        <v>0.26</v>
      </c>
      <c r="K91" s="6">
        <v>83.47</v>
      </c>
      <c r="L91" s="6">
        <v>25.28</v>
      </c>
      <c r="M91" s="6">
        <v>44.41</v>
      </c>
      <c r="N91" s="6">
        <v>0</v>
      </c>
      <c r="O91" s="6">
        <v>0</v>
      </c>
      <c r="P91" s="6">
        <v>0.98</v>
      </c>
      <c r="Q91" s="6">
        <v>4.79</v>
      </c>
    </row>
    <row r="92" spans="1:17" customFormat="1">
      <c r="A92" s="82">
        <v>45359.875</v>
      </c>
      <c r="B92" s="6">
        <v>18.14</v>
      </c>
      <c r="C92" s="6">
        <v>39.479999999999997</v>
      </c>
      <c r="D92" s="6">
        <v>36.53</v>
      </c>
      <c r="E92" s="6">
        <v>12.28</v>
      </c>
      <c r="F92" s="6">
        <v>4.63</v>
      </c>
      <c r="G92" s="6">
        <v>210.75</v>
      </c>
      <c r="H92" s="6">
        <v>42.53</v>
      </c>
      <c r="I92" s="6">
        <v>8.36</v>
      </c>
      <c r="J92" s="6">
        <v>0.23</v>
      </c>
      <c r="K92" s="6">
        <v>71.930000000000007</v>
      </c>
      <c r="L92" s="6">
        <v>25.43</v>
      </c>
      <c r="M92" s="6">
        <v>45.5</v>
      </c>
      <c r="N92" s="6">
        <v>0</v>
      </c>
      <c r="O92" s="6">
        <v>0</v>
      </c>
      <c r="P92" s="6">
        <v>1.02</v>
      </c>
      <c r="Q92" s="6">
        <v>4.8099999999999996</v>
      </c>
    </row>
    <row r="93" spans="1:17" customFormat="1">
      <c r="A93" s="82">
        <v>45359.885416666664</v>
      </c>
      <c r="B93" s="6">
        <v>20.96</v>
      </c>
      <c r="C93" s="6">
        <v>39.61</v>
      </c>
      <c r="D93" s="6">
        <v>38.86</v>
      </c>
      <c r="E93" s="6">
        <v>12.56</v>
      </c>
      <c r="F93" s="6">
        <v>4.7</v>
      </c>
      <c r="G93" s="6">
        <v>205.75</v>
      </c>
      <c r="H93" s="6">
        <v>56.56</v>
      </c>
      <c r="I93" s="6">
        <v>8.48</v>
      </c>
      <c r="J93" s="6">
        <v>0.59</v>
      </c>
      <c r="K93" s="6">
        <v>63.59</v>
      </c>
      <c r="L93" s="6">
        <v>25.73</v>
      </c>
      <c r="M93" s="6">
        <v>40.909999999999997</v>
      </c>
      <c r="N93" s="6">
        <v>0</v>
      </c>
      <c r="O93" s="6">
        <v>0</v>
      </c>
      <c r="P93" s="6">
        <v>1.05</v>
      </c>
      <c r="Q93" s="6">
        <v>4.82</v>
      </c>
    </row>
    <row r="94" spans="1:17" customFormat="1">
      <c r="A94" s="82">
        <v>45359.895833333336</v>
      </c>
      <c r="B94" s="6">
        <v>21.89</v>
      </c>
      <c r="C94" s="6">
        <v>39.33</v>
      </c>
      <c r="D94" s="6">
        <v>39.450000000000003</v>
      </c>
      <c r="E94" s="6">
        <v>9.26</v>
      </c>
      <c r="F94" s="6">
        <v>4.78</v>
      </c>
      <c r="G94" s="6">
        <v>205.75</v>
      </c>
      <c r="H94" s="6">
        <v>56.56</v>
      </c>
      <c r="I94" s="6">
        <v>8.65</v>
      </c>
      <c r="J94" s="6">
        <v>0.45</v>
      </c>
      <c r="K94" s="6">
        <v>74.83</v>
      </c>
      <c r="L94" s="6">
        <v>25.59</v>
      </c>
      <c r="M94" s="6">
        <v>41.09</v>
      </c>
      <c r="N94" s="6">
        <v>0</v>
      </c>
      <c r="O94" s="6">
        <v>0</v>
      </c>
      <c r="P94" s="6">
        <v>1.1000000000000001</v>
      </c>
      <c r="Q94" s="6">
        <v>4.82</v>
      </c>
    </row>
    <row r="95" spans="1:17" customFormat="1">
      <c r="A95" s="82">
        <v>45359.90625</v>
      </c>
      <c r="B95" s="6">
        <v>22.38</v>
      </c>
      <c r="C95" s="6">
        <v>36.65</v>
      </c>
      <c r="D95" s="6">
        <v>38.450000000000003</v>
      </c>
      <c r="E95" s="6">
        <v>8.2200000000000006</v>
      </c>
      <c r="F95" s="6">
        <v>4.93</v>
      </c>
      <c r="G95" s="6">
        <v>205.75</v>
      </c>
      <c r="H95" s="6">
        <v>56.56</v>
      </c>
      <c r="I95" s="6">
        <v>8.73</v>
      </c>
      <c r="J95" s="6">
        <v>0.84</v>
      </c>
      <c r="K95" s="6">
        <v>63.94</v>
      </c>
      <c r="L95" s="6">
        <v>25.44</v>
      </c>
      <c r="M95" s="6">
        <v>41.19</v>
      </c>
      <c r="N95" s="6">
        <v>0</v>
      </c>
      <c r="O95" s="6">
        <v>0</v>
      </c>
      <c r="P95" s="6">
        <v>1.0900000000000001</v>
      </c>
      <c r="Q95" s="6">
        <v>4.84</v>
      </c>
    </row>
    <row r="96" spans="1:17" customFormat="1">
      <c r="A96" s="82">
        <v>45359.916666666664</v>
      </c>
      <c r="B96" s="6">
        <v>22.38</v>
      </c>
      <c r="C96" s="6">
        <v>34.590000000000003</v>
      </c>
      <c r="D96" s="6">
        <v>37.369999999999997</v>
      </c>
      <c r="E96" s="6">
        <v>8.65</v>
      </c>
      <c r="F96" s="6">
        <v>5.08</v>
      </c>
      <c r="G96" s="6">
        <v>199.11</v>
      </c>
      <c r="H96" s="6">
        <v>56.42</v>
      </c>
      <c r="I96" s="6">
        <v>8.67</v>
      </c>
      <c r="J96" s="6">
        <v>0.96</v>
      </c>
      <c r="K96" s="6">
        <v>56.92</v>
      </c>
      <c r="L96" s="6">
        <v>25.35</v>
      </c>
      <c r="M96" s="6">
        <v>40.520000000000003</v>
      </c>
      <c r="N96" s="6">
        <v>0</v>
      </c>
      <c r="O96" s="6">
        <v>0</v>
      </c>
      <c r="P96" s="6">
        <v>1.08</v>
      </c>
      <c r="Q96" s="6">
        <v>4.84</v>
      </c>
    </row>
    <row r="97" spans="1:22" customFormat="1">
      <c r="A97" s="82">
        <v>45359.927083333336</v>
      </c>
      <c r="B97" s="6">
        <v>22.11</v>
      </c>
      <c r="C97" s="6">
        <v>33.01</v>
      </c>
      <c r="D97" s="6">
        <v>36.32</v>
      </c>
      <c r="E97" s="6">
        <v>8.26</v>
      </c>
      <c r="F97" s="6">
        <v>5.1100000000000003</v>
      </c>
      <c r="G97" s="6">
        <v>120.37</v>
      </c>
      <c r="H97" s="6">
        <v>55.01</v>
      </c>
      <c r="I97" s="6">
        <v>8.58</v>
      </c>
      <c r="J97" s="6">
        <v>0.91</v>
      </c>
      <c r="K97" s="6">
        <v>59.22</v>
      </c>
      <c r="L97" s="6">
        <v>25.02</v>
      </c>
      <c r="M97" s="6">
        <v>41.68</v>
      </c>
      <c r="N97" s="6">
        <v>0</v>
      </c>
      <c r="O97" s="6">
        <v>0</v>
      </c>
      <c r="P97" s="6">
        <v>1.07</v>
      </c>
      <c r="Q97" s="6">
        <v>4.82</v>
      </c>
    </row>
    <row r="98" spans="1:22" customFormat="1">
      <c r="A98" s="82">
        <v>45359.9375</v>
      </c>
      <c r="B98" s="6">
        <v>21.92</v>
      </c>
      <c r="C98" s="6">
        <v>32.03</v>
      </c>
      <c r="D98" s="6">
        <v>35.659999999999997</v>
      </c>
      <c r="E98" s="6">
        <v>8.0399999999999991</v>
      </c>
      <c r="F98" s="6">
        <v>5.14</v>
      </c>
      <c r="G98" s="6">
        <v>120.37</v>
      </c>
      <c r="H98" s="6">
        <v>55.01</v>
      </c>
      <c r="I98" s="6">
        <v>8.5299999999999994</v>
      </c>
      <c r="J98" s="6">
        <v>0.54</v>
      </c>
      <c r="K98" s="6">
        <v>62.33</v>
      </c>
      <c r="L98" s="6">
        <v>25.03</v>
      </c>
      <c r="M98" s="6">
        <v>41.34</v>
      </c>
      <c r="N98" s="6">
        <v>0</v>
      </c>
      <c r="O98" s="6">
        <v>0</v>
      </c>
      <c r="P98" s="6">
        <v>1.05</v>
      </c>
      <c r="Q98" s="6">
        <v>4.83</v>
      </c>
    </row>
    <row r="99" spans="1:22" customFormat="1">
      <c r="A99" s="82">
        <v>45359.947916666664</v>
      </c>
      <c r="B99" s="6">
        <v>21.72</v>
      </c>
      <c r="C99" s="6">
        <v>31.31</v>
      </c>
      <c r="D99" s="6">
        <v>35.130000000000003</v>
      </c>
      <c r="E99" s="6">
        <v>7.66</v>
      </c>
      <c r="F99" s="6">
        <v>5.09</v>
      </c>
      <c r="G99" s="6">
        <v>120.37</v>
      </c>
      <c r="H99" s="6">
        <v>55.01</v>
      </c>
      <c r="I99" s="6">
        <v>8.44</v>
      </c>
      <c r="J99" s="6">
        <v>0.46</v>
      </c>
      <c r="K99" s="6">
        <v>58.02</v>
      </c>
      <c r="L99" s="6">
        <v>24.92</v>
      </c>
      <c r="M99" s="6">
        <v>41.68</v>
      </c>
      <c r="N99" s="6">
        <v>0</v>
      </c>
      <c r="O99" s="6">
        <v>0</v>
      </c>
      <c r="P99" s="6">
        <v>1.03</v>
      </c>
      <c r="Q99" s="6">
        <v>4.83</v>
      </c>
    </row>
    <row r="100" spans="1:22" customFormat="1">
      <c r="A100" s="82">
        <v>45359.958333333336</v>
      </c>
      <c r="B100" s="6">
        <v>21.28</v>
      </c>
      <c r="C100" s="6">
        <v>30.49</v>
      </c>
      <c r="D100" s="6">
        <v>34.35</v>
      </c>
      <c r="E100" s="6">
        <v>6.66</v>
      </c>
      <c r="F100" s="6">
        <v>4.8899999999999997</v>
      </c>
      <c r="G100" s="6">
        <v>118.92</v>
      </c>
      <c r="H100" s="6">
        <v>54.49</v>
      </c>
      <c r="I100" s="6">
        <v>8.3699999999999992</v>
      </c>
      <c r="J100" s="6">
        <v>0.37</v>
      </c>
      <c r="K100" s="6">
        <v>62.73</v>
      </c>
      <c r="L100" s="6">
        <v>24.59</v>
      </c>
      <c r="M100" s="6">
        <v>42.97</v>
      </c>
      <c r="N100" s="6">
        <v>0</v>
      </c>
      <c r="O100" s="6">
        <v>0</v>
      </c>
      <c r="P100" s="6">
        <v>1.02</v>
      </c>
      <c r="Q100" s="6">
        <v>4.83</v>
      </c>
    </row>
    <row r="101" spans="1:22" customFormat="1">
      <c r="A101" s="82">
        <v>45359.96875</v>
      </c>
      <c r="B101" s="6">
        <v>20.6</v>
      </c>
      <c r="C101" s="6">
        <v>30.08</v>
      </c>
      <c r="D101" s="6">
        <v>33.590000000000003</v>
      </c>
      <c r="E101" s="6">
        <v>8.2100000000000009</v>
      </c>
      <c r="F101" s="6">
        <v>4.97</v>
      </c>
      <c r="G101" s="6">
        <v>98.64</v>
      </c>
      <c r="H101" s="6">
        <v>48.12</v>
      </c>
      <c r="I101" s="6">
        <v>8.2799999999999994</v>
      </c>
      <c r="J101" s="6">
        <v>0.16</v>
      </c>
      <c r="K101" s="6">
        <v>182.37</v>
      </c>
      <c r="L101" s="6">
        <v>23.78</v>
      </c>
      <c r="M101" s="6">
        <v>53.37</v>
      </c>
      <c r="N101" s="6">
        <v>0</v>
      </c>
      <c r="O101" s="6">
        <v>0</v>
      </c>
      <c r="P101" s="6">
        <v>0.98</v>
      </c>
      <c r="Q101" s="6">
        <v>4.83</v>
      </c>
    </row>
    <row r="102" spans="1:22" customFormat="1">
      <c r="A102" s="82">
        <v>45359.979166666664</v>
      </c>
      <c r="B102" s="6">
        <v>18.670000000000002</v>
      </c>
      <c r="C102" s="6">
        <v>30.51</v>
      </c>
      <c r="D102" s="6">
        <v>32.26</v>
      </c>
      <c r="E102" s="6">
        <v>9.69</v>
      </c>
      <c r="F102" s="6">
        <v>4.96</v>
      </c>
      <c r="G102" s="6">
        <v>98.64</v>
      </c>
      <c r="H102" s="6">
        <v>48.12</v>
      </c>
      <c r="I102" s="6">
        <v>8.19</v>
      </c>
      <c r="J102" s="6">
        <v>0.25</v>
      </c>
      <c r="K102" s="6">
        <v>203.83</v>
      </c>
      <c r="L102" s="6">
        <v>23.08</v>
      </c>
      <c r="M102" s="6">
        <v>57.67</v>
      </c>
      <c r="N102" s="6">
        <v>0</v>
      </c>
      <c r="O102" s="6">
        <v>0</v>
      </c>
      <c r="P102" s="6">
        <v>0.94</v>
      </c>
      <c r="Q102" s="6">
        <v>4.8099999999999996</v>
      </c>
    </row>
    <row r="103" spans="1:22" customFormat="1">
      <c r="A103" s="82">
        <v>45359.989583333336</v>
      </c>
      <c r="B103" s="6">
        <v>16.32</v>
      </c>
      <c r="C103" s="6">
        <v>30.89</v>
      </c>
      <c r="D103" s="6">
        <v>30.58</v>
      </c>
      <c r="E103" s="6">
        <v>10.62</v>
      </c>
      <c r="F103" s="6">
        <v>5.04</v>
      </c>
      <c r="G103" s="6">
        <v>98.64</v>
      </c>
      <c r="H103" s="6">
        <v>48.12</v>
      </c>
      <c r="I103" s="6">
        <v>8.06</v>
      </c>
      <c r="J103" s="6">
        <v>0.13</v>
      </c>
      <c r="K103" s="6">
        <v>184.42</v>
      </c>
      <c r="L103" s="6">
        <v>22.54</v>
      </c>
      <c r="M103" s="6">
        <v>54.6</v>
      </c>
      <c r="N103" s="6">
        <v>0</v>
      </c>
      <c r="O103" s="6">
        <v>0</v>
      </c>
      <c r="P103" s="6">
        <v>0.92</v>
      </c>
      <c r="Q103" s="6">
        <v>4.79</v>
      </c>
    </row>
    <row r="104" spans="1:22" customFormat="1">
      <c r="A104" s="82">
        <v>45360</v>
      </c>
      <c r="B104" s="6">
        <v>14.07</v>
      </c>
      <c r="C104" s="6">
        <v>30.83</v>
      </c>
      <c r="D104" s="6">
        <v>28.74</v>
      </c>
      <c r="E104" s="6">
        <v>10.02</v>
      </c>
      <c r="F104" s="6">
        <v>5.1100000000000003</v>
      </c>
      <c r="G104" s="6">
        <v>97.49</v>
      </c>
      <c r="H104" s="6">
        <v>47.71</v>
      </c>
      <c r="I104" s="6">
        <v>7.96</v>
      </c>
      <c r="J104" s="6">
        <v>0.14000000000000001</v>
      </c>
      <c r="K104" s="6">
        <v>232.87</v>
      </c>
      <c r="L104" s="6">
        <v>22.28</v>
      </c>
      <c r="M104" s="6">
        <v>56.42</v>
      </c>
      <c r="N104" s="6">
        <v>0</v>
      </c>
      <c r="O104" s="6">
        <v>0</v>
      </c>
      <c r="P104" s="6">
        <v>0.9</v>
      </c>
      <c r="Q104" s="6">
        <v>4.8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6" t="s">
        <v>48</v>
      </c>
      <c r="B106" s="187">
        <f>MIN(B9:B104)</f>
        <v>4.42</v>
      </c>
      <c r="C106" s="187">
        <f>MIN(C9:C104)</f>
        <v>21.85</v>
      </c>
      <c r="D106" s="187">
        <f t="shared" ref="D106:Q106" si="0">MIN(D9:D104)</f>
        <v>16.61</v>
      </c>
      <c r="E106" s="187">
        <f t="shared" si="0"/>
        <v>4.29</v>
      </c>
      <c r="F106" s="187">
        <f t="shared" si="0"/>
        <v>4.58</v>
      </c>
      <c r="G106" s="187">
        <f t="shared" si="0"/>
        <v>57.41</v>
      </c>
      <c r="H106" s="187">
        <f t="shared" si="0"/>
        <v>19.260000000000002</v>
      </c>
      <c r="I106" s="187">
        <f t="shared" si="0"/>
        <v>3.65</v>
      </c>
      <c r="J106" s="187">
        <f t="shared" si="0"/>
        <v>0.08</v>
      </c>
      <c r="K106" s="187">
        <f t="shared" si="0"/>
        <v>12.2</v>
      </c>
      <c r="L106" s="187">
        <f t="shared" si="0"/>
        <v>20.22</v>
      </c>
      <c r="M106" s="187">
        <f t="shared" si="0"/>
        <v>21.62</v>
      </c>
      <c r="N106" s="187">
        <f t="shared" si="0"/>
        <v>0</v>
      </c>
      <c r="O106" s="187">
        <f t="shared" si="0"/>
        <v>0</v>
      </c>
      <c r="P106" s="187">
        <f t="shared" si="0"/>
        <v>0.44</v>
      </c>
      <c r="Q106" s="187">
        <f t="shared" si="0"/>
        <v>4.71</v>
      </c>
      <c r="R106" s="192"/>
      <c r="S106" s="192"/>
      <c r="T106" s="192"/>
      <c r="U106" s="192"/>
    </row>
    <row r="107" spans="1:22">
      <c r="A107" s="186" t="s">
        <v>49</v>
      </c>
      <c r="B107" s="188">
        <f>MAX(B9:B104)</f>
        <v>22.38</v>
      </c>
      <c r="C107" s="188">
        <f t="shared" ref="C107:Q107" si="1">MAX(C9:C104)</f>
        <v>39.61</v>
      </c>
      <c r="D107" s="188">
        <f t="shared" si="1"/>
        <v>39.450000000000003</v>
      </c>
      <c r="E107" s="188">
        <f t="shared" si="1"/>
        <v>21.39</v>
      </c>
      <c r="F107" s="188">
        <f t="shared" si="1"/>
        <v>16.28</v>
      </c>
      <c r="G107" s="188">
        <f t="shared" si="1"/>
        <v>211.11</v>
      </c>
      <c r="H107" s="188">
        <f t="shared" si="1"/>
        <v>56.56</v>
      </c>
      <c r="I107" s="188">
        <f t="shared" si="1"/>
        <v>8.7799999999999994</v>
      </c>
      <c r="J107" s="188">
        <f t="shared" si="1"/>
        <v>1.77</v>
      </c>
      <c r="K107" s="188">
        <f t="shared" si="1"/>
        <v>232.87</v>
      </c>
      <c r="L107" s="188">
        <f t="shared" si="1"/>
        <v>33.49</v>
      </c>
      <c r="M107" s="188">
        <f t="shared" si="1"/>
        <v>69.06</v>
      </c>
      <c r="N107" s="188">
        <f t="shared" si="1"/>
        <v>603</v>
      </c>
      <c r="O107" s="188">
        <f t="shared" si="1"/>
        <v>0</v>
      </c>
      <c r="P107" s="188">
        <f t="shared" si="1"/>
        <v>1.1000000000000001</v>
      </c>
      <c r="Q107" s="188">
        <f t="shared" si="1"/>
        <v>4.93</v>
      </c>
      <c r="R107" s="193"/>
      <c r="S107" s="193"/>
      <c r="T107" s="193"/>
      <c r="U107" s="193"/>
    </row>
    <row r="108" spans="1:22">
      <c r="A108" s="186" t="s">
        <v>50</v>
      </c>
      <c r="B108" s="187">
        <f>AVERAGE(B9:B104)</f>
        <v>11.268645833333332</v>
      </c>
      <c r="C108" s="187">
        <f t="shared" ref="C108:Q108" si="2">AVERAGE(C9:C104)</f>
        <v>30.093958333333333</v>
      </c>
      <c r="D108" s="187">
        <f t="shared" si="2"/>
        <v>26.110520833333339</v>
      </c>
      <c r="E108" s="187">
        <f t="shared" si="2"/>
        <v>12.647395833333334</v>
      </c>
      <c r="F108" s="187">
        <f t="shared" si="2"/>
        <v>6.9502083333333324</v>
      </c>
      <c r="G108" s="187">
        <f t="shared" si="2"/>
        <v>87.756249999999952</v>
      </c>
      <c r="H108" s="187">
        <f t="shared" si="2"/>
        <v>31.590520833333329</v>
      </c>
      <c r="I108" s="187">
        <f t="shared" si="2"/>
        <v>5.8793750000000005</v>
      </c>
      <c r="J108" s="187">
        <f t="shared" si="2"/>
        <v>0.854375</v>
      </c>
      <c r="K108" s="187">
        <f t="shared" si="2"/>
        <v>75.338229166666679</v>
      </c>
      <c r="L108" s="187">
        <f t="shared" si="2"/>
        <v>26.471354166666671</v>
      </c>
      <c r="M108" s="187">
        <f t="shared" si="2"/>
        <v>37.975000000000001</v>
      </c>
      <c r="N108" s="187">
        <f t="shared" si="2"/>
        <v>158.3354166666667</v>
      </c>
      <c r="O108" s="187">
        <f t="shared" si="2"/>
        <v>0</v>
      </c>
      <c r="P108" s="187">
        <f t="shared" si="2"/>
        <v>0.65416666666666679</v>
      </c>
      <c r="Q108" s="187">
        <f t="shared" si="2"/>
        <v>4.8106249999999982</v>
      </c>
      <c r="R108" s="192"/>
      <c r="S108" s="192"/>
      <c r="T108" s="192"/>
      <c r="U108" s="192"/>
    </row>
    <row r="109" spans="1:22">
      <c r="A109" s="186" t="s">
        <v>51</v>
      </c>
      <c r="B109" s="187">
        <f>STDEV(B9:B104)</f>
        <v>5.3314894965847062</v>
      </c>
      <c r="C109" s="187">
        <f t="shared" ref="C109:Q109" si="3">STDEV(C9:C104)</f>
        <v>4.8766024581759293</v>
      </c>
      <c r="D109" s="187">
        <f t="shared" si="3"/>
        <v>5.9956988741125823</v>
      </c>
      <c r="E109" s="187">
        <f t="shared" si="3"/>
        <v>3.4382725910095808</v>
      </c>
      <c r="F109" s="187">
        <f t="shared" si="3"/>
        <v>3.2520086033312317</v>
      </c>
      <c r="G109" s="187">
        <f t="shared" si="3"/>
        <v>42.345562950313379</v>
      </c>
      <c r="H109" s="187">
        <f t="shared" si="3"/>
        <v>10.994901054559849</v>
      </c>
      <c r="I109" s="187">
        <f t="shared" si="3"/>
        <v>1.6793092643295811</v>
      </c>
      <c r="J109" s="187">
        <f t="shared" si="3"/>
        <v>0.47035219167186482</v>
      </c>
      <c r="K109" s="187">
        <f t="shared" si="3"/>
        <v>40.066181171572175</v>
      </c>
      <c r="L109" s="187">
        <f t="shared" si="3"/>
        <v>4.3571087999151672</v>
      </c>
      <c r="M109" s="187">
        <f t="shared" si="3"/>
        <v>12.967945339019208</v>
      </c>
      <c r="N109" s="187">
        <f t="shared" si="3"/>
        <v>218.77618939968221</v>
      </c>
      <c r="O109" s="187">
        <f t="shared" si="3"/>
        <v>0</v>
      </c>
      <c r="P109" s="187">
        <f t="shared" si="3"/>
        <v>0.19606479415940969</v>
      </c>
      <c r="Q109" s="187">
        <f t="shared" si="3"/>
        <v>6.1092035832056413E-2</v>
      </c>
      <c r="R109" s="192"/>
      <c r="S109" s="192"/>
      <c r="T109" s="192"/>
      <c r="U109" s="192"/>
    </row>
    <row r="110" spans="1:22">
      <c r="A110" s="186" t="s">
        <v>52</v>
      </c>
      <c r="B110" s="188">
        <f t="shared" ref="B110:Q110" si="4">COUNT(B9:B104)</f>
        <v>96</v>
      </c>
      <c r="C110" s="188">
        <f t="shared" si="4"/>
        <v>96</v>
      </c>
      <c r="D110" s="188">
        <f t="shared" si="4"/>
        <v>96</v>
      </c>
      <c r="E110" s="188">
        <f t="shared" si="4"/>
        <v>96</v>
      </c>
      <c r="F110" s="188">
        <f t="shared" si="4"/>
        <v>96</v>
      </c>
      <c r="G110" s="188">
        <f t="shared" si="4"/>
        <v>96</v>
      </c>
      <c r="H110" s="188">
        <f t="shared" si="4"/>
        <v>96</v>
      </c>
      <c r="I110" s="188">
        <f t="shared" si="4"/>
        <v>96</v>
      </c>
      <c r="J110" s="188">
        <f t="shared" si="4"/>
        <v>96</v>
      </c>
      <c r="K110" s="188">
        <f t="shared" si="4"/>
        <v>96</v>
      </c>
      <c r="L110" s="188">
        <f t="shared" si="4"/>
        <v>96</v>
      </c>
      <c r="M110" s="188">
        <f t="shared" si="4"/>
        <v>96</v>
      </c>
      <c r="N110" s="188">
        <f t="shared" si="4"/>
        <v>96</v>
      </c>
      <c r="O110" s="188">
        <f t="shared" si="4"/>
        <v>96</v>
      </c>
      <c r="P110" s="188">
        <f t="shared" si="4"/>
        <v>96</v>
      </c>
      <c r="Q110" s="188">
        <f t="shared" si="4"/>
        <v>96</v>
      </c>
      <c r="R110" s="193"/>
      <c r="S110" s="193"/>
      <c r="T110" s="193"/>
      <c r="U110" s="193"/>
      <c r="V110" s="188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91"/>
      <c r="O113" s="191"/>
      <c r="P113" s="191"/>
      <c r="Q113" s="191"/>
      <c r="R113" s="191"/>
      <c r="S113" s="191"/>
      <c r="T113" s="191"/>
      <c r="U113" s="191"/>
    </row>
    <row r="115" spans="1:21">
      <c r="A115" s="153" t="s">
        <v>55</v>
      </c>
      <c r="B115" s="197" t="s">
        <v>56</v>
      </c>
      <c r="C115" s="197"/>
      <c r="D115" s="197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9" t="s">
        <v>57</v>
      </c>
      <c r="B117" s="198"/>
      <c r="C117" s="198"/>
      <c r="D117" s="198"/>
      <c r="E117" s="198"/>
      <c r="F117" s="198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11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45360.010416666664</v>
      </c>
      <c r="C2" s="196" t="s">
        <v>3</v>
      </c>
      <c r="D2" s="196"/>
      <c r="E2" s="196"/>
      <c r="F2" s="196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2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6" t="s">
        <v>11</v>
      </c>
      <c r="D3" s="196"/>
      <c r="E3" s="196"/>
      <c r="F3" s="196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2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6" t="s">
        <v>18</v>
      </c>
      <c r="D4" s="196"/>
      <c r="E4" s="196"/>
      <c r="F4" s="196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3" t="s">
        <v>43</v>
      </c>
      <c r="M8" s="114" t="s">
        <v>44</v>
      </c>
      <c r="N8" s="114" t="s">
        <v>45</v>
      </c>
      <c r="O8" s="183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2">
        <v>45360.010416666664</v>
      </c>
      <c r="B9" s="6">
        <v>10.65</v>
      </c>
      <c r="C9" s="6">
        <v>31.16</v>
      </c>
      <c r="D9" s="6">
        <v>26.17</v>
      </c>
      <c r="E9" s="6">
        <v>10.42</v>
      </c>
      <c r="F9" s="6">
        <v>5.07</v>
      </c>
      <c r="G9" s="6">
        <v>83.9</v>
      </c>
      <c r="H9" s="6">
        <v>42.69</v>
      </c>
      <c r="I9" s="6">
        <v>7.72</v>
      </c>
      <c r="J9" s="6">
        <v>0.12</v>
      </c>
      <c r="K9" s="6">
        <v>191.37</v>
      </c>
      <c r="L9" s="6">
        <v>21.95</v>
      </c>
      <c r="M9" s="6">
        <v>56.53</v>
      </c>
      <c r="N9" s="6">
        <v>0</v>
      </c>
      <c r="O9" s="6">
        <v>0</v>
      </c>
      <c r="P9" s="6">
        <v>0.89</v>
      </c>
      <c r="Q9" s="6">
        <v>4.78</v>
      </c>
    </row>
    <row r="10" spans="1:21" customFormat="1">
      <c r="A10" s="82">
        <v>45360.020833333336</v>
      </c>
      <c r="B10" s="6">
        <v>9.93</v>
      </c>
      <c r="C10" s="6">
        <v>30.88</v>
      </c>
      <c r="D10" s="6">
        <v>25.45</v>
      </c>
      <c r="E10" s="6">
        <v>10.61</v>
      </c>
      <c r="F10" s="6">
        <v>4.97</v>
      </c>
      <c r="G10" s="6">
        <v>83.9</v>
      </c>
      <c r="H10" s="6">
        <v>42.69</v>
      </c>
      <c r="I10" s="6">
        <v>7.58</v>
      </c>
      <c r="J10" s="6">
        <v>0.14000000000000001</v>
      </c>
      <c r="K10" s="6">
        <v>178.1</v>
      </c>
      <c r="L10" s="6">
        <v>22.1</v>
      </c>
      <c r="M10" s="6">
        <v>54.66</v>
      </c>
      <c r="N10" s="6">
        <v>0</v>
      </c>
      <c r="O10" s="6">
        <v>0</v>
      </c>
      <c r="P10" s="6">
        <v>0.86</v>
      </c>
      <c r="Q10" s="6">
        <v>4.78</v>
      </c>
    </row>
    <row r="11" spans="1:21" customFormat="1">
      <c r="A11" s="82">
        <v>45360.03125</v>
      </c>
      <c r="B11" s="6">
        <v>9.3699999999999992</v>
      </c>
      <c r="C11" s="6">
        <v>31.12</v>
      </c>
      <c r="D11" s="6">
        <v>25.12</v>
      </c>
      <c r="E11" s="6">
        <v>10.42</v>
      </c>
      <c r="F11" s="6">
        <v>5</v>
      </c>
      <c r="G11" s="6">
        <v>83.9</v>
      </c>
      <c r="H11" s="6">
        <v>42.69</v>
      </c>
      <c r="I11" s="6">
        <v>7.45</v>
      </c>
      <c r="J11" s="6">
        <v>0.33</v>
      </c>
      <c r="K11" s="6">
        <v>47.65</v>
      </c>
      <c r="L11" s="6">
        <v>22.3</v>
      </c>
      <c r="M11" s="6">
        <v>51.18</v>
      </c>
      <c r="N11" s="6">
        <v>0</v>
      </c>
      <c r="O11" s="6">
        <v>0</v>
      </c>
      <c r="P11" s="6">
        <v>0.85</v>
      </c>
      <c r="Q11" s="6">
        <v>4.79</v>
      </c>
    </row>
    <row r="12" spans="1:21" customFormat="1">
      <c r="A12" s="82">
        <v>45360.041666666664</v>
      </c>
      <c r="B12" s="6">
        <v>10.06</v>
      </c>
      <c r="C12" s="6">
        <v>32.24</v>
      </c>
      <c r="D12" s="6">
        <v>26.27</v>
      </c>
      <c r="E12" s="6">
        <v>10.51</v>
      </c>
      <c r="F12" s="6">
        <v>4.84</v>
      </c>
      <c r="G12" s="6">
        <v>84.88</v>
      </c>
      <c r="H12" s="6">
        <v>42.69</v>
      </c>
      <c r="I12" s="6">
        <v>7.3</v>
      </c>
      <c r="J12" s="6">
        <v>0.28000000000000003</v>
      </c>
      <c r="K12" s="6">
        <v>51.87</v>
      </c>
      <c r="L12" s="6">
        <v>22.49</v>
      </c>
      <c r="M12" s="6">
        <v>49.61</v>
      </c>
      <c r="N12" s="6">
        <v>0</v>
      </c>
      <c r="O12" s="6">
        <v>0</v>
      </c>
      <c r="P12" s="6">
        <v>0.84</v>
      </c>
      <c r="Q12" s="6">
        <v>4.76</v>
      </c>
    </row>
    <row r="13" spans="1:21" customFormat="1">
      <c r="A13" s="82">
        <v>45360.052083333336</v>
      </c>
      <c r="B13" s="6">
        <v>10.45</v>
      </c>
      <c r="C13" s="6">
        <v>33.08</v>
      </c>
      <c r="D13" s="6">
        <v>27.01</v>
      </c>
      <c r="E13" s="6">
        <v>9.99</v>
      </c>
      <c r="F13" s="6">
        <v>4.75</v>
      </c>
      <c r="G13" s="6">
        <v>98.59</v>
      </c>
      <c r="H13" s="6">
        <v>42.76</v>
      </c>
      <c r="I13" s="6">
        <v>7.19</v>
      </c>
      <c r="J13" s="6">
        <v>0.42</v>
      </c>
      <c r="K13" s="6">
        <v>77.38</v>
      </c>
      <c r="L13" s="6">
        <v>22.43</v>
      </c>
      <c r="M13" s="6">
        <v>48.87</v>
      </c>
      <c r="N13" s="6">
        <v>0</v>
      </c>
      <c r="O13" s="6">
        <v>0</v>
      </c>
      <c r="P13" s="6">
        <v>0.82</v>
      </c>
      <c r="Q13" s="6">
        <v>4.78</v>
      </c>
    </row>
    <row r="14" spans="1:21" customFormat="1">
      <c r="A14" s="82">
        <v>45360.0625</v>
      </c>
      <c r="B14" s="6">
        <v>10.52</v>
      </c>
      <c r="C14" s="6">
        <v>33.61</v>
      </c>
      <c r="D14" s="6">
        <v>27.35</v>
      </c>
      <c r="E14" s="6">
        <v>9.94</v>
      </c>
      <c r="F14" s="6">
        <v>4.74</v>
      </c>
      <c r="G14" s="6">
        <v>98.59</v>
      </c>
      <c r="H14" s="6">
        <v>42.76</v>
      </c>
      <c r="I14" s="6">
        <v>7.03</v>
      </c>
      <c r="J14" s="6">
        <v>0.33</v>
      </c>
      <c r="K14" s="6">
        <v>73.739999999999995</v>
      </c>
      <c r="L14" s="6">
        <v>22.39</v>
      </c>
      <c r="M14" s="6">
        <v>48.45</v>
      </c>
      <c r="N14" s="6">
        <v>0</v>
      </c>
      <c r="O14" s="6">
        <v>0</v>
      </c>
      <c r="P14" s="6">
        <v>0.8</v>
      </c>
      <c r="Q14" s="6">
        <v>4.78</v>
      </c>
    </row>
    <row r="15" spans="1:21" customFormat="1">
      <c r="A15" s="82">
        <v>45360.072916666664</v>
      </c>
      <c r="B15" s="6">
        <v>10.28</v>
      </c>
      <c r="C15" s="6">
        <v>33.880000000000003</v>
      </c>
      <c r="D15" s="6">
        <v>27.3</v>
      </c>
      <c r="E15" s="6">
        <v>9.1199999999999992</v>
      </c>
      <c r="F15" s="6">
        <v>4.72</v>
      </c>
      <c r="G15" s="6">
        <v>98.59</v>
      </c>
      <c r="H15" s="6">
        <v>42.76</v>
      </c>
      <c r="I15" s="6">
        <v>6.86</v>
      </c>
      <c r="J15" s="6">
        <v>0.17</v>
      </c>
      <c r="K15" s="6">
        <v>80.150000000000006</v>
      </c>
      <c r="L15" s="6">
        <v>22.22</v>
      </c>
      <c r="M15" s="6">
        <v>49.25</v>
      </c>
      <c r="N15" s="6">
        <v>0</v>
      </c>
      <c r="O15" s="6">
        <v>0</v>
      </c>
      <c r="P15" s="6">
        <v>0.78</v>
      </c>
      <c r="Q15" s="6">
        <v>4.79</v>
      </c>
    </row>
    <row r="16" spans="1:21" customFormat="1">
      <c r="A16" s="82">
        <v>45360.083333333336</v>
      </c>
      <c r="B16" s="6">
        <v>9.65</v>
      </c>
      <c r="C16" s="6">
        <v>33.32</v>
      </c>
      <c r="D16" s="6">
        <v>26.5</v>
      </c>
      <c r="E16" s="6">
        <v>9.5399999999999991</v>
      </c>
      <c r="F16" s="6">
        <v>4.93</v>
      </c>
      <c r="G16" s="6">
        <v>96.61</v>
      </c>
      <c r="H16" s="6">
        <v>42.24</v>
      </c>
      <c r="I16" s="6">
        <v>6.75</v>
      </c>
      <c r="J16" s="6">
        <v>0.38</v>
      </c>
      <c r="K16" s="6">
        <v>68.03</v>
      </c>
      <c r="L16" s="6">
        <v>22.22</v>
      </c>
      <c r="M16" s="6">
        <v>47.32</v>
      </c>
      <c r="N16" s="6">
        <v>0</v>
      </c>
      <c r="O16" s="6">
        <v>0</v>
      </c>
      <c r="P16" s="6">
        <v>0.76</v>
      </c>
      <c r="Q16" s="6">
        <v>4.76</v>
      </c>
    </row>
    <row r="17" spans="1:17" customFormat="1">
      <c r="A17" s="82">
        <v>45360.09375</v>
      </c>
      <c r="B17" s="6">
        <v>8.92</v>
      </c>
      <c r="C17" s="6">
        <v>33.06</v>
      </c>
      <c r="D17" s="6">
        <v>25.78</v>
      </c>
      <c r="E17" s="6">
        <v>8.01</v>
      </c>
      <c r="F17" s="6">
        <v>5.01</v>
      </c>
      <c r="G17" s="6">
        <v>68.790000000000006</v>
      </c>
      <c r="H17" s="6">
        <v>35.97</v>
      </c>
      <c r="I17" s="6">
        <v>6.6</v>
      </c>
      <c r="J17" s="6">
        <v>0.53</v>
      </c>
      <c r="K17" s="6">
        <v>55.74</v>
      </c>
      <c r="L17" s="6">
        <v>21.97</v>
      </c>
      <c r="M17" s="6">
        <v>48.22</v>
      </c>
      <c r="N17" s="6">
        <v>0</v>
      </c>
      <c r="O17" s="6">
        <v>0</v>
      </c>
      <c r="P17" s="6">
        <v>0.74</v>
      </c>
      <c r="Q17" s="6">
        <v>4.7699999999999996</v>
      </c>
    </row>
    <row r="18" spans="1:17" customFormat="1">
      <c r="A18" s="82">
        <v>45360.104166666664</v>
      </c>
      <c r="B18" s="6">
        <v>8.23</v>
      </c>
      <c r="C18" s="6">
        <v>32.39</v>
      </c>
      <c r="D18" s="6">
        <v>24.87</v>
      </c>
      <c r="E18" s="6">
        <v>9.25</v>
      </c>
      <c r="F18" s="6">
        <v>5.15</v>
      </c>
      <c r="G18" s="6">
        <v>68.790000000000006</v>
      </c>
      <c r="H18" s="6">
        <v>35.97</v>
      </c>
      <c r="I18" s="6">
        <v>6.44</v>
      </c>
      <c r="J18" s="6">
        <v>1.29</v>
      </c>
      <c r="K18" s="6">
        <v>63.96</v>
      </c>
      <c r="L18" s="6">
        <v>21.92</v>
      </c>
      <c r="M18" s="6">
        <v>46.83</v>
      </c>
      <c r="N18" s="6">
        <v>0</v>
      </c>
      <c r="O18" s="6">
        <v>0</v>
      </c>
      <c r="P18" s="6">
        <v>0.71</v>
      </c>
      <c r="Q18" s="6">
        <v>4.76</v>
      </c>
    </row>
    <row r="19" spans="1:17" customFormat="1">
      <c r="A19" s="82">
        <v>45360.114583333336</v>
      </c>
      <c r="B19" s="6">
        <v>7.57</v>
      </c>
      <c r="C19" s="6">
        <v>31.35</v>
      </c>
      <c r="D19" s="6">
        <v>23.81</v>
      </c>
      <c r="E19" s="6">
        <v>10.1</v>
      </c>
      <c r="F19" s="6">
        <v>5.41</v>
      </c>
      <c r="G19" s="6">
        <v>68.790000000000006</v>
      </c>
      <c r="H19" s="6">
        <v>35.97</v>
      </c>
      <c r="I19" s="6">
        <v>6.22</v>
      </c>
      <c r="J19" s="6">
        <v>0.86</v>
      </c>
      <c r="K19" s="6">
        <v>62.89</v>
      </c>
      <c r="L19" s="6">
        <v>21.91</v>
      </c>
      <c r="M19" s="6">
        <v>46.07</v>
      </c>
      <c r="N19" s="6">
        <v>0</v>
      </c>
      <c r="O19" s="6">
        <v>0</v>
      </c>
      <c r="P19" s="6">
        <v>0.69</v>
      </c>
      <c r="Q19" s="6">
        <v>4.75</v>
      </c>
    </row>
    <row r="20" spans="1:17" customFormat="1">
      <c r="A20" s="82">
        <v>45360.125</v>
      </c>
      <c r="B20" s="6">
        <v>6.88</v>
      </c>
      <c r="C20" s="6">
        <v>30.75</v>
      </c>
      <c r="D20" s="6">
        <v>22.93</v>
      </c>
      <c r="E20" s="6">
        <v>10.81</v>
      </c>
      <c r="F20" s="6">
        <v>5.48</v>
      </c>
      <c r="G20" s="6">
        <v>68.41</v>
      </c>
      <c r="H20" s="6">
        <v>35.659999999999997</v>
      </c>
      <c r="I20" s="6">
        <v>6.11</v>
      </c>
      <c r="J20" s="6">
        <v>1.02</v>
      </c>
      <c r="K20" s="6">
        <v>58.41</v>
      </c>
      <c r="L20" s="6">
        <v>21.83</v>
      </c>
      <c r="M20" s="6">
        <v>45.06</v>
      </c>
      <c r="N20" s="6">
        <v>0</v>
      </c>
      <c r="O20" s="6">
        <v>0</v>
      </c>
      <c r="P20" s="6">
        <v>0.68</v>
      </c>
      <c r="Q20" s="6">
        <v>4.75</v>
      </c>
    </row>
    <row r="21" spans="1:17" customFormat="1">
      <c r="A21" s="82">
        <v>45360.135416666664</v>
      </c>
      <c r="B21" s="6">
        <v>6.43</v>
      </c>
      <c r="C21" s="6">
        <v>30.1</v>
      </c>
      <c r="D21" s="6">
        <v>22.23</v>
      </c>
      <c r="E21" s="6">
        <v>10.87</v>
      </c>
      <c r="F21" s="6">
        <v>5.46</v>
      </c>
      <c r="G21" s="6">
        <v>63.12</v>
      </c>
      <c r="H21" s="6">
        <v>31.96</v>
      </c>
      <c r="I21" s="6">
        <v>5.99</v>
      </c>
      <c r="J21" s="6">
        <v>0.95</v>
      </c>
      <c r="K21" s="6">
        <v>61.8</v>
      </c>
      <c r="L21" s="6">
        <v>21.7</v>
      </c>
      <c r="M21" s="6">
        <v>44.82</v>
      </c>
      <c r="N21" s="6">
        <v>0</v>
      </c>
      <c r="O21" s="6">
        <v>0</v>
      </c>
      <c r="P21" s="6">
        <v>0.66</v>
      </c>
      <c r="Q21" s="6">
        <v>4.74</v>
      </c>
    </row>
    <row r="22" spans="1:17" customFormat="1">
      <c r="A22" s="82">
        <v>45360.145833333336</v>
      </c>
      <c r="B22" s="6">
        <v>6.13</v>
      </c>
      <c r="C22" s="6">
        <v>29.38</v>
      </c>
      <c r="D22" s="6">
        <v>21.62</v>
      </c>
      <c r="E22" s="6">
        <v>10.51</v>
      </c>
      <c r="F22" s="6">
        <v>5.48</v>
      </c>
      <c r="G22" s="6">
        <v>63.12</v>
      </c>
      <c r="H22" s="6">
        <v>31.96</v>
      </c>
      <c r="I22" s="6">
        <v>5.84</v>
      </c>
      <c r="J22" s="6">
        <v>0.56000000000000005</v>
      </c>
      <c r="K22" s="6">
        <v>65.13</v>
      </c>
      <c r="L22" s="6">
        <v>21.36</v>
      </c>
      <c r="M22" s="6">
        <v>46.92</v>
      </c>
      <c r="N22" s="6">
        <v>0</v>
      </c>
      <c r="O22" s="6">
        <v>0</v>
      </c>
      <c r="P22" s="6">
        <v>0.64</v>
      </c>
      <c r="Q22" s="6">
        <v>4.74</v>
      </c>
    </row>
    <row r="23" spans="1:17" customFormat="1">
      <c r="A23" s="82">
        <v>45360.15625</v>
      </c>
      <c r="B23" s="6">
        <v>6.3</v>
      </c>
      <c r="C23" s="6">
        <v>28.93</v>
      </c>
      <c r="D23" s="6">
        <v>21.52</v>
      </c>
      <c r="E23" s="6">
        <v>10.59</v>
      </c>
      <c r="F23" s="6">
        <v>5.32</v>
      </c>
      <c r="G23" s="6">
        <v>63.12</v>
      </c>
      <c r="H23" s="6">
        <v>31.96</v>
      </c>
      <c r="I23" s="6">
        <v>5.77</v>
      </c>
      <c r="J23" s="6">
        <v>0.68</v>
      </c>
      <c r="K23" s="6">
        <v>59.57</v>
      </c>
      <c r="L23" s="6">
        <v>21.15</v>
      </c>
      <c r="M23" s="6">
        <v>47.75</v>
      </c>
      <c r="N23" s="6">
        <v>0</v>
      </c>
      <c r="O23" s="6">
        <v>0</v>
      </c>
      <c r="P23" s="6">
        <v>0.63</v>
      </c>
      <c r="Q23" s="6">
        <v>4.74</v>
      </c>
    </row>
    <row r="24" spans="1:17" customFormat="1">
      <c r="A24" s="82">
        <v>45360.166666666664</v>
      </c>
      <c r="B24" s="6">
        <v>6.7</v>
      </c>
      <c r="C24" s="6">
        <v>29.43</v>
      </c>
      <c r="D24" s="6">
        <v>22.1</v>
      </c>
      <c r="E24" s="6">
        <v>8.89</v>
      </c>
      <c r="F24" s="6">
        <v>4.91</v>
      </c>
      <c r="G24" s="6">
        <v>62.73</v>
      </c>
      <c r="H24" s="6">
        <v>31.71</v>
      </c>
      <c r="I24" s="6">
        <v>5.63</v>
      </c>
      <c r="J24" s="6">
        <v>0.7</v>
      </c>
      <c r="K24" s="6">
        <v>66.430000000000007</v>
      </c>
      <c r="L24" s="6">
        <v>21.03</v>
      </c>
      <c r="M24" s="6">
        <v>47.66</v>
      </c>
      <c r="N24" s="6">
        <v>0</v>
      </c>
      <c r="O24" s="6">
        <v>0</v>
      </c>
      <c r="P24" s="6">
        <v>0.67</v>
      </c>
      <c r="Q24" s="6">
        <v>4.7300000000000004</v>
      </c>
    </row>
    <row r="25" spans="1:17" customFormat="1">
      <c r="A25" s="82">
        <v>45360.177083333336</v>
      </c>
      <c r="B25" s="6">
        <v>7.31</v>
      </c>
      <c r="C25" s="6">
        <v>27.75</v>
      </c>
      <c r="D25" s="6">
        <v>21.71</v>
      </c>
      <c r="E25" s="6">
        <v>7.49</v>
      </c>
      <c r="F25" s="6">
        <v>5.03</v>
      </c>
      <c r="G25" s="6">
        <v>57.24</v>
      </c>
      <c r="H25" s="6">
        <v>28.75</v>
      </c>
      <c r="I25" s="6">
        <v>5.67</v>
      </c>
      <c r="J25" s="6">
        <v>0.66</v>
      </c>
      <c r="K25" s="6">
        <v>56.54</v>
      </c>
      <c r="L25" s="6">
        <v>20.92</v>
      </c>
      <c r="M25" s="6">
        <v>47.94</v>
      </c>
      <c r="N25" s="6">
        <v>0</v>
      </c>
      <c r="O25" s="6">
        <v>0</v>
      </c>
      <c r="P25" s="6">
        <v>0.69</v>
      </c>
      <c r="Q25" s="6">
        <v>4.74</v>
      </c>
    </row>
    <row r="26" spans="1:17" customFormat="1">
      <c r="A26" s="82">
        <v>45360.1875</v>
      </c>
      <c r="B26" s="6">
        <v>8.01</v>
      </c>
      <c r="C26" s="6">
        <v>25.99</v>
      </c>
      <c r="D26" s="6">
        <v>21.35</v>
      </c>
      <c r="E26" s="6">
        <v>5.63</v>
      </c>
      <c r="F26" s="6">
        <v>5.0199999999999996</v>
      </c>
      <c r="G26" s="6">
        <v>57.24</v>
      </c>
      <c r="H26" s="6">
        <v>28.75</v>
      </c>
      <c r="I26" s="6">
        <v>5.67</v>
      </c>
      <c r="J26" s="6">
        <v>0.83</v>
      </c>
      <c r="K26" s="6">
        <v>65.33</v>
      </c>
      <c r="L26" s="6">
        <v>20.78</v>
      </c>
      <c r="M26" s="6">
        <v>48.28</v>
      </c>
      <c r="N26" s="6">
        <v>0</v>
      </c>
      <c r="O26" s="6">
        <v>0</v>
      </c>
      <c r="P26" s="6">
        <v>0.67</v>
      </c>
      <c r="Q26" s="6">
        <v>4.74</v>
      </c>
    </row>
    <row r="27" spans="1:17" customFormat="1">
      <c r="A27" s="82">
        <v>45360.197916666664</v>
      </c>
      <c r="B27" s="6">
        <v>8.44</v>
      </c>
      <c r="C27" s="6">
        <v>24.97</v>
      </c>
      <c r="D27" s="6">
        <v>21.17</v>
      </c>
      <c r="E27" s="6">
        <v>5.84</v>
      </c>
      <c r="F27" s="6">
        <v>4.95</v>
      </c>
      <c r="G27" s="6">
        <v>57.24</v>
      </c>
      <c r="H27" s="6">
        <v>28.75</v>
      </c>
      <c r="I27" s="6">
        <v>5.63</v>
      </c>
      <c r="J27" s="6">
        <v>0.86</v>
      </c>
      <c r="K27" s="6">
        <v>60.98</v>
      </c>
      <c r="L27" s="6">
        <v>20.56</v>
      </c>
      <c r="M27" s="6">
        <v>48.6</v>
      </c>
      <c r="N27" s="6">
        <v>0</v>
      </c>
      <c r="O27" s="6">
        <v>0</v>
      </c>
      <c r="P27" s="6">
        <v>0.66</v>
      </c>
      <c r="Q27" s="6">
        <v>4.74</v>
      </c>
    </row>
    <row r="28" spans="1:17" customFormat="1">
      <c r="A28" s="82">
        <v>45360.208333333336</v>
      </c>
      <c r="B28" s="6">
        <v>8.8699999999999992</v>
      </c>
      <c r="C28" s="6">
        <v>24.07</v>
      </c>
      <c r="D28" s="6">
        <v>21.04</v>
      </c>
      <c r="E28" s="6">
        <v>4.9800000000000004</v>
      </c>
      <c r="F28" s="6">
        <v>4.7300000000000004</v>
      </c>
      <c r="G28" s="6">
        <v>57.65</v>
      </c>
      <c r="H28" s="6">
        <v>28.5</v>
      </c>
      <c r="I28" s="6">
        <v>5.61</v>
      </c>
      <c r="J28" s="6">
        <v>0.87</v>
      </c>
      <c r="K28" s="6">
        <v>55.51</v>
      </c>
      <c r="L28" s="6">
        <v>20.45</v>
      </c>
      <c r="M28" s="6">
        <v>48.37</v>
      </c>
      <c r="N28" s="6">
        <v>0</v>
      </c>
      <c r="O28" s="6">
        <v>0</v>
      </c>
      <c r="P28" s="6">
        <v>0.64</v>
      </c>
      <c r="Q28" s="6">
        <v>4.75</v>
      </c>
    </row>
    <row r="29" spans="1:17" customFormat="1">
      <c r="A29" s="82">
        <v>45360.21875</v>
      </c>
      <c r="B29" s="6">
        <v>9.2899999999999991</v>
      </c>
      <c r="C29" s="6">
        <v>23.6</v>
      </c>
      <c r="D29" s="6">
        <v>21.14</v>
      </c>
      <c r="E29" s="6">
        <v>5.54</v>
      </c>
      <c r="F29" s="6">
        <v>4.57</v>
      </c>
      <c r="G29" s="6">
        <v>63.44</v>
      </c>
      <c r="H29" s="6">
        <v>25.49</v>
      </c>
      <c r="I29" s="6">
        <v>5.6</v>
      </c>
      <c r="J29" s="6">
        <v>0.86</v>
      </c>
      <c r="K29" s="6">
        <v>63.83</v>
      </c>
      <c r="L29" s="6">
        <v>20.28</v>
      </c>
      <c r="M29" s="6">
        <v>48.99</v>
      </c>
      <c r="N29" s="6">
        <v>0</v>
      </c>
      <c r="O29" s="6">
        <v>0</v>
      </c>
      <c r="P29" s="6">
        <v>0.61</v>
      </c>
      <c r="Q29" s="6">
        <v>4.75</v>
      </c>
    </row>
    <row r="30" spans="1:17" customFormat="1">
      <c r="A30" s="82">
        <v>45360.229166666664</v>
      </c>
      <c r="B30" s="6">
        <v>9.57</v>
      </c>
      <c r="C30" s="6">
        <v>23.66</v>
      </c>
      <c r="D30" s="6">
        <v>21.39</v>
      </c>
      <c r="E30" s="6">
        <v>5.0599999999999996</v>
      </c>
      <c r="F30" s="6">
        <v>4.59</v>
      </c>
      <c r="G30" s="6">
        <v>63.44</v>
      </c>
      <c r="H30" s="6">
        <v>25.49</v>
      </c>
      <c r="I30" s="6">
        <v>5.56</v>
      </c>
      <c r="J30" s="6">
        <v>1.06</v>
      </c>
      <c r="K30" s="6">
        <v>58.82</v>
      </c>
      <c r="L30" s="6">
        <v>20.09</v>
      </c>
      <c r="M30" s="6">
        <v>49.19</v>
      </c>
      <c r="N30" s="6">
        <v>0</v>
      </c>
      <c r="O30" s="6">
        <v>0</v>
      </c>
      <c r="P30" s="6">
        <v>0.6</v>
      </c>
      <c r="Q30" s="6">
        <v>4.75</v>
      </c>
    </row>
    <row r="31" spans="1:17" customFormat="1">
      <c r="A31" s="82">
        <v>45360.239583333336</v>
      </c>
      <c r="B31" s="6">
        <v>9.86</v>
      </c>
      <c r="C31" s="6">
        <v>23.52</v>
      </c>
      <c r="D31" s="6">
        <v>21.54</v>
      </c>
      <c r="E31" s="6">
        <v>5.67</v>
      </c>
      <c r="F31" s="6">
        <v>4.5999999999999996</v>
      </c>
      <c r="G31" s="6">
        <v>63.44</v>
      </c>
      <c r="H31" s="6">
        <v>25.49</v>
      </c>
      <c r="I31" s="6">
        <v>5.51</v>
      </c>
      <c r="J31" s="6">
        <v>1.03</v>
      </c>
      <c r="K31" s="6">
        <v>61.28</v>
      </c>
      <c r="L31" s="6">
        <v>20</v>
      </c>
      <c r="M31" s="6">
        <v>48.44</v>
      </c>
      <c r="N31" s="6">
        <v>0</v>
      </c>
      <c r="O31" s="6">
        <v>0</v>
      </c>
      <c r="P31" s="6">
        <v>0.57999999999999996</v>
      </c>
      <c r="Q31" s="6">
        <v>4.7699999999999996</v>
      </c>
    </row>
    <row r="32" spans="1:17" customFormat="1">
      <c r="A32" s="82">
        <v>45360.25</v>
      </c>
      <c r="B32" s="6">
        <v>10.26</v>
      </c>
      <c r="C32" s="6">
        <v>23.63</v>
      </c>
      <c r="D32" s="6">
        <v>21.93</v>
      </c>
      <c r="E32" s="6">
        <v>7.24</v>
      </c>
      <c r="F32" s="6">
        <v>4.8099999999999996</v>
      </c>
      <c r="G32" s="6">
        <v>63.29</v>
      </c>
      <c r="H32" s="6">
        <v>25.44</v>
      </c>
      <c r="I32" s="6">
        <v>5.47</v>
      </c>
      <c r="J32" s="6">
        <v>0.82</v>
      </c>
      <c r="K32" s="6">
        <v>50.55</v>
      </c>
      <c r="L32" s="6">
        <v>19.87</v>
      </c>
      <c r="M32" s="6">
        <v>49.29</v>
      </c>
      <c r="N32" s="6">
        <v>0</v>
      </c>
      <c r="O32" s="6">
        <v>0</v>
      </c>
      <c r="P32" s="6">
        <v>0.55000000000000004</v>
      </c>
      <c r="Q32" s="6">
        <v>4.75</v>
      </c>
    </row>
    <row r="33" spans="1:17" customFormat="1">
      <c r="A33" s="82">
        <v>45360.260416666664</v>
      </c>
      <c r="B33" s="6">
        <v>10.67</v>
      </c>
      <c r="C33" s="6">
        <v>24.69</v>
      </c>
      <c r="D33" s="6">
        <v>22.81</v>
      </c>
      <c r="E33" s="6">
        <v>7.82</v>
      </c>
      <c r="F33" s="6">
        <v>4.8099999999999996</v>
      </c>
      <c r="G33" s="6">
        <v>61.22</v>
      </c>
      <c r="H33" s="6">
        <v>24.86</v>
      </c>
      <c r="I33" s="6">
        <v>5.42</v>
      </c>
      <c r="J33" s="6">
        <v>0.86</v>
      </c>
      <c r="K33" s="6">
        <v>51.83</v>
      </c>
      <c r="L33" s="6">
        <v>19.87</v>
      </c>
      <c r="M33" s="6">
        <v>49.8</v>
      </c>
      <c r="N33" s="6">
        <v>0</v>
      </c>
      <c r="O33" s="6">
        <v>0</v>
      </c>
      <c r="P33" s="6">
        <v>0.57999999999999996</v>
      </c>
      <c r="Q33" s="6">
        <v>4.72</v>
      </c>
    </row>
    <row r="34" spans="1:17" customFormat="1">
      <c r="A34" s="82">
        <v>45360.270833333336</v>
      </c>
      <c r="B34" s="6">
        <v>11.89</v>
      </c>
      <c r="C34" s="6">
        <v>26.24</v>
      </c>
      <c r="D34" s="6">
        <v>24.6</v>
      </c>
      <c r="E34" s="6">
        <v>9.49</v>
      </c>
      <c r="F34" s="6">
        <v>4.79</v>
      </c>
      <c r="G34" s="6">
        <v>61.22</v>
      </c>
      <c r="H34" s="6">
        <v>24.86</v>
      </c>
      <c r="I34" s="6">
        <v>5.41</v>
      </c>
      <c r="J34" s="6">
        <v>0.83</v>
      </c>
      <c r="K34" s="6">
        <v>47.92</v>
      </c>
      <c r="L34" s="6">
        <v>19.829999999999998</v>
      </c>
      <c r="M34" s="6">
        <v>51.24</v>
      </c>
      <c r="N34" s="6">
        <v>2.6</v>
      </c>
      <c r="O34" s="6">
        <v>0</v>
      </c>
      <c r="P34" s="6">
        <v>0.6</v>
      </c>
      <c r="Q34" s="6">
        <v>4.7300000000000004</v>
      </c>
    </row>
    <row r="35" spans="1:17" customFormat="1">
      <c r="A35" s="82">
        <v>45360.28125</v>
      </c>
      <c r="B35" s="6">
        <v>13.49</v>
      </c>
      <c r="C35" s="6">
        <v>27.71</v>
      </c>
      <c r="D35" s="6">
        <v>26.64</v>
      </c>
      <c r="E35" s="6">
        <v>8.74</v>
      </c>
      <c r="F35" s="6">
        <v>4.8600000000000003</v>
      </c>
      <c r="G35" s="6">
        <v>61.22</v>
      </c>
      <c r="H35" s="6">
        <v>24.86</v>
      </c>
      <c r="I35" s="6">
        <v>5.52</v>
      </c>
      <c r="J35" s="6">
        <v>0.95</v>
      </c>
      <c r="K35" s="6">
        <v>67.66</v>
      </c>
      <c r="L35" s="6">
        <v>19.82</v>
      </c>
      <c r="M35" s="6">
        <v>51.05</v>
      </c>
      <c r="N35" s="6">
        <v>11.9</v>
      </c>
      <c r="O35" s="6">
        <v>0</v>
      </c>
      <c r="P35" s="6">
        <v>0.61</v>
      </c>
      <c r="Q35" s="6">
        <v>4.74</v>
      </c>
    </row>
    <row r="36" spans="1:17" customFormat="1">
      <c r="A36" s="82">
        <v>45360.291666666664</v>
      </c>
      <c r="B36" s="6">
        <v>14.69</v>
      </c>
      <c r="C36" s="6">
        <v>29.04</v>
      </c>
      <c r="D36" s="6">
        <v>28.3</v>
      </c>
      <c r="E36" s="6">
        <v>9.59</v>
      </c>
      <c r="F36" s="6">
        <v>4.79</v>
      </c>
      <c r="G36" s="6">
        <v>62.31</v>
      </c>
      <c r="H36" s="6">
        <v>24.91</v>
      </c>
      <c r="I36" s="6">
        <v>5.69</v>
      </c>
      <c r="J36" s="6">
        <v>1.06</v>
      </c>
      <c r="K36" s="6">
        <v>52.89</v>
      </c>
      <c r="L36" s="6">
        <v>19.97</v>
      </c>
      <c r="M36" s="6">
        <v>50.75</v>
      </c>
      <c r="N36" s="6">
        <v>22.2</v>
      </c>
      <c r="O36" s="6">
        <v>0</v>
      </c>
      <c r="P36" s="6">
        <v>0.61</v>
      </c>
      <c r="Q36" s="6">
        <v>4.7699999999999996</v>
      </c>
    </row>
    <row r="37" spans="1:17" customFormat="1">
      <c r="A37" s="82">
        <v>45360.302083333336</v>
      </c>
      <c r="B37" s="6">
        <v>15.78</v>
      </c>
      <c r="C37" s="6">
        <v>29.99</v>
      </c>
      <c r="D37" s="6">
        <v>29.68</v>
      </c>
      <c r="E37" s="6">
        <v>9.15</v>
      </c>
      <c r="F37" s="6">
        <v>4.68</v>
      </c>
      <c r="G37" s="6">
        <v>77.64</v>
      </c>
      <c r="H37" s="6">
        <v>25.44</v>
      </c>
      <c r="I37" s="6">
        <v>5.8</v>
      </c>
      <c r="J37" s="6">
        <v>0.76</v>
      </c>
      <c r="K37" s="6">
        <v>56.14</v>
      </c>
      <c r="L37" s="6">
        <v>20.25</v>
      </c>
      <c r="M37" s="6">
        <v>50.33</v>
      </c>
      <c r="N37" s="6">
        <v>32.1</v>
      </c>
      <c r="O37" s="6">
        <v>0</v>
      </c>
      <c r="P37" s="6">
        <v>0.62</v>
      </c>
      <c r="Q37" s="6">
        <v>4.76</v>
      </c>
    </row>
    <row r="38" spans="1:17" customFormat="1">
      <c r="A38" s="82">
        <v>45360.3125</v>
      </c>
      <c r="B38" s="6">
        <v>16.850000000000001</v>
      </c>
      <c r="C38" s="6">
        <v>30.86</v>
      </c>
      <c r="D38" s="6">
        <v>30.99</v>
      </c>
      <c r="E38" s="6">
        <v>9.1300000000000008</v>
      </c>
      <c r="F38" s="6">
        <v>4.67</v>
      </c>
      <c r="G38" s="6">
        <v>77.64</v>
      </c>
      <c r="H38" s="6">
        <v>25.44</v>
      </c>
      <c r="I38" s="6">
        <v>5.9</v>
      </c>
      <c r="J38" s="6">
        <v>1.07</v>
      </c>
      <c r="K38" s="6">
        <v>62.22</v>
      </c>
      <c r="L38" s="6">
        <v>20.85</v>
      </c>
      <c r="M38" s="6">
        <v>47.95</v>
      </c>
      <c r="N38" s="6">
        <v>45.2</v>
      </c>
      <c r="O38" s="6">
        <v>0</v>
      </c>
      <c r="P38" s="6">
        <v>0.63</v>
      </c>
      <c r="Q38" s="6">
        <v>4.79</v>
      </c>
    </row>
    <row r="39" spans="1:17" customFormat="1">
      <c r="A39" s="82">
        <v>45360.322916666664</v>
      </c>
      <c r="B39" s="6">
        <v>17.47</v>
      </c>
      <c r="C39" s="6">
        <v>31.64</v>
      </c>
      <c r="D39" s="6">
        <v>31.89</v>
      </c>
      <c r="E39" s="6">
        <v>10.32</v>
      </c>
      <c r="F39" s="6">
        <v>4.6900000000000004</v>
      </c>
      <c r="G39" s="6">
        <v>77.64</v>
      </c>
      <c r="H39" s="6">
        <v>25.44</v>
      </c>
      <c r="I39" s="6">
        <v>5.96</v>
      </c>
      <c r="J39" s="6">
        <v>1.49</v>
      </c>
      <c r="K39" s="6">
        <v>63.23</v>
      </c>
      <c r="L39" s="6">
        <v>21.54</v>
      </c>
      <c r="M39" s="6">
        <v>44.55</v>
      </c>
      <c r="N39" s="6">
        <v>101.6</v>
      </c>
      <c r="O39" s="6">
        <v>0</v>
      </c>
      <c r="P39" s="6">
        <v>0.63</v>
      </c>
      <c r="Q39" s="6">
        <v>4.8099999999999996</v>
      </c>
    </row>
    <row r="40" spans="1:17" customFormat="1">
      <c r="A40" s="82">
        <v>45360.333333333336</v>
      </c>
      <c r="B40" s="6">
        <v>17.89</v>
      </c>
      <c r="C40" s="6">
        <v>32.14</v>
      </c>
      <c r="D40" s="6">
        <v>32.49</v>
      </c>
      <c r="E40" s="6">
        <v>10.72</v>
      </c>
      <c r="F40" s="6">
        <v>4.68</v>
      </c>
      <c r="G40" s="6">
        <v>77</v>
      </c>
      <c r="H40" s="6">
        <v>25.17</v>
      </c>
      <c r="I40" s="6">
        <v>6.07</v>
      </c>
      <c r="J40" s="6">
        <v>1.76</v>
      </c>
      <c r="K40" s="6">
        <v>61.07</v>
      </c>
      <c r="L40" s="6">
        <v>22.36</v>
      </c>
      <c r="M40" s="6">
        <v>41.19</v>
      </c>
      <c r="N40" s="6">
        <v>114.6</v>
      </c>
      <c r="O40" s="6">
        <v>0</v>
      </c>
      <c r="P40" s="6">
        <v>0.62</v>
      </c>
      <c r="Q40" s="6">
        <v>4.8099999999999996</v>
      </c>
    </row>
    <row r="41" spans="1:17" customFormat="1">
      <c r="A41" s="82">
        <v>45360.34375</v>
      </c>
      <c r="B41" s="6">
        <v>17.59</v>
      </c>
      <c r="C41" s="6">
        <v>32.54</v>
      </c>
      <c r="D41" s="6">
        <v>32.46</v>
      </c>
      <c r="E41" s="6">
        <v>11.02</v>
      </c>
      <c r="F41" s="6">
        <v>4.7699999999999996</v>
      </c>
      <c r="G41" s="6">
        <v>68.099999999999994</v>
      </c>
      <c r="H41" s="6">
        <v>21.94</v>
      </c>
      <c r="I41" s="6">
        <v>6.11</v>
      </c>
      <c r="J41" s="6">
        <v>1.65</v>
      </c>
      <c r="K41" s="6">
        <v>56.33</v>
      </c>
      <c r="L41" s="6">
        <v>23.19</v>
      </c>
      <c r="M41" s="6">
        <v>39.049999999999997</v>
      </c>
      <c r="N41" s="6">
        <v>156.19999999999999</v>
      </c>
      <c r="O41" s="6">
        <v>0</v>
      </c>
      <c r="P41" s="6">
        <v>0.63</v>
      </c>
      <c r="Q41" s="6">
        <v>4.8099999999999996</v>
      </c>
    </row>
    <row r="42" spans="1:17" customFormat="1">
      <c r="A42" s="82">
        <v>45360.354166666664</v>
      </c>
      <c r="B42" s="6">
        <v>16.89</v>
      </c>
      <c r="C42" s="6">
        <v>32.93</v>
      </c>
      <c r="D42" s="6">
        <v>32.1</v>
      </c>
      <c r="E42" s="6">
        <v>11.28</v>
      </c>
      <c r="F42" s="6">
        <v>4.92</v>
      </c>
      <c r="G42" s="6">
        <v>68.099999999999994</v>
      </c>
      <c r="H42" s="6">
        <v>21.94</v>
      </c>
      <c r="I42" s="6">
        <v>6.05</v>
      </c>
      <c r="J42" s="6">
        <v>2.0299999999999998</v>
      </c>
      <c r="K42" s="6">
        <v>59.6</v>
      </c>
      <c r="L42" s="6">
        <v>23.8</v>
      </c>
      <c r="M42" s="6">
        <v>37.380000000000003</v>
      </c>
      <c r="N42" s="6">
        <v>273.7</v>
      </c>
      <c r="O42" s="6">
        <v>0</v>
      </c>
      <c r="P42" s="6">
        <v>0.61</v>
      </c>
      <c r="Q42" s="6">
        <v>4.82</v>
      </c>
    </row>
    <row r="43" spans="1:17" customFormat="1">
      <c r="A43" s="82">
        <v>45360.364583333336</v>
      </c>
      <c r="B43" s="6">
        <v>15.9</v>
      </c>
      <c r="C43" s="6">
        <v>33.200000000000003</v>
      </c>
      <c r="D43" s="6">
        <v>31.45</v>
      </c>
      <c r="E43" s="6">
        <v>12.88</v>
      </c>
      <c r="F43" s="6">
        <v>5.0199999999999996</v>
      </c>
      <c r="G43" s="6">
        <v>68.099999999999994</v>
      </c>
      <c r="H43" s="6">
        <v>21.94</v>
      </c>
      <c r="I43" s="6">
        <v>5.96</v>
      </c>
      <c r="J43" s="6">
        <v>1.7</v>
      </c>
      <c r="K43" s="6">
        <v>55.63</v>
      </c>
      <c r="L43" s="6">
        <v>24.73</v>
      </c>
      <c r="M43" s="6">
        <v>35.54</v>
      </c>
      <c r="N43" s="6">
        <v>324.2</v>
      </c>
      <c r="O43" s="6">
        <v>0</v>
      </c>
      <c r="P43" s="6">
        <v>0.61</v>
      </c>
      <c r="Q43" s="6">
        <v>4.82</v>
      </c>
    </row>
    <row r="44" spans="1:17" customFormat="1">
      <c r="A44" s="82">
        <v>45360.375</v>
      </c>
      <c r="B44" s="6">
        <v>15.04</v>
      </c>
      <c r="C44" s="6">
        <v>33.26</v>
      </c>
      <c r="D44" s="6">
        <v>30.79</v>
      </c>
      <c r="E44" s="6">
        <v>15.09</v>
      </c>
      <c r="F44" s="6">
        <v>5.35</v>
      </c>
      <c r="G44" s="6">
        <v>68.239999999999995</v>
      </c>
      <c r="H44" s="6">
        <v>22.02</v>
      </c>
      <c r="I44" s="6">
        <v>5.95</v>
      </c>
      <c r="J44" s="6">
        <v>1.86</v>
      </c>
      <c r="K44" s="6">
        <v>63.36</v>
      </c>
      <c r="L44" s="6">
        <v>25.57</v>
      </c>
      <c r="M44" s="6">
        <v>33.479999999999997</v>
      </c>
      <c r="N44" s="6">
        <v>364.5</v>
      </c>
      <c r="O44" s="6">
        <v>0</v>
      </c>
      <c r="P44" s="6">
        <v>0.61</v>
      </c>
      <c r="Q44" s="6">
        <v>4.8</v>
      </c>
    </row>
    <row r="45" spans="1:17" customFormat="1">
      <c r="A45" s="82">
        <v>45360.385416666664</v>
      </c>
      <c r="B45" s="6">
        <v>13.75</v>
      </c>
      <c r="C45" s="6">
        <v>33.229999999999997</v>
      </c>
      <c r="D45" s="6">
        <v>29.74</v>
      </c>
      <c r="E45" s="6">
        <v>13.75</v>
      </c>
      <c r="F45" s="6">
        <v>5.48</v>
      </c>
      <c r="G45" s="6">
        <v>70.16</v>
      </c>
      <c r="H45" s="6">
        <v>22.99</v>
      </c>
      <c r="I45" s="6">
        <v>5.88</v>
      </c>
      <c r="J45" s="6">
        <v>1.57</v>
      </c>
      <c r="K45" s="6">
        <v>61.21</v>
      </c>
      <c r="L45" s="6">
        <v>26.53</v>
      </c>
      <c r="M45" s="6">
        <v>32.020000000000003</v>
      </c>
      <c r="N45" s="6">
        <v>394.7</v>
      </c>
      <c r="O45" s="6">
        <v>0</v>
      </c>
      <c r="P45" s="6">
        <v>0.6</v>
      </c>
      <c r="Q45" s="6">
        <v>4.8099999999999996</v>
      </c>
    </row>
    <row r="46" spans="1:17" customFormat="1">
      <c r="A46" s="82">
        <v>45360.395833333336</v>
      </c>
      <c r="B46" s="6">
        <v>12.51</v>
      </c>
      <c r="C46" s="6">
        <v>32.92</v>
      </c>
      <c r="D46" s="6">
        <v>28.58</v>
      </c>
      <c r="E46" s="6">
        <v>13.28</v>
      </c>
      <c r="F46" s="6">
        <v>5.66</v>
      </c>
      <c r="G46" s="6">
        <v>70.16</v>
      </c>
      <c r="H46" s="6">
        <v>22.99</v>
      </c>
      <c r="I46" s="6">
        <v>5.88</v>
      </c>
      <c r="J46" s="6">
        <v>1.52</v>
      </c>
      <c r="K46" s="6">
        <v>71.77</v>
      </c>
      <c r="L46" s="6">
        <v>27.19</v>
      </c>
      <c r="M46" s="6">
        <v>30.43</v>
      </c>
      <c r="N46" s="6">
        <v>424.1</v>
      </c>
      <c r="O46" s="6">
        <v>0</v>
      </c>
      <c r="P46" s="6">
        <v>0.6</v>
      </c>
      <c r="Q46" s="6">
        <v>4.82</v>
      </c>
    </row>
    <row r="47" spans="1:17" customFormat="1">
      <c r="A47" s="82">
        <v>45360.40625</v>
      </c>
      <c r="B47" s="6">
        <v>11.04</v>
      </c>
      <c r="C47" s="6">
        <v>32.619999999999997</v>
      </c>
      <c r="D47" s="6">
        <v>27.25</v>
      </c>
      <c r="E47" s="6">
        <v>13.44</v>
      </c>
      <c r="F47" s="6">
        <v>5.83</v>
      </c>
      <c r="G47" s="6">
        <v>70.16</v>
      </c>
      <c r="H47" s="6">
        <v>22.99</v>
      </c>
      <c r="I47" s="6">
        <v>5.77</v>
      </c>
      <c r="J47" s="6">
        <v>1.36</v>
      </c>
      <c r="K47" s="6">
        <v>70.06</v>
      </c>
      <c r="L47" s="6">
        <v>27.99</v>
      </c>
      <c r="M47" s="6">
        <v>29.08</v>
      </c>
      <c r="N47" s="6">
        <v>438.3</v>
      </c>
      <c r="O47" s="6">
        <v>0</v>
      </c>
      <c r="P47" s="6">
        <v>0.6</v>
      </c>
      <c r="Q47" s="6">
        <v>4.8</v>
      </c>
    </row>
    <row r="48" spans="1:17" customFormat="1">
      <c r="A48" s="82">
        <v>45360.416666666664</v>
      </c>
      <c r="B48" s="6">
        <v>9.65</v>
      </c>
      <c r="C48" s="6">
        <v>32.04</v>
      </c>
      <c r="D48" s="6">
        <v>25.83</v>
      </c>
      <c r="E48" s="6">
        <v>14.49</v>
      </c>
      <c r="F48" s="6">
        <v>6.2</v>
      </c>
      <c r="G48" s="6">
        <v>70.52</v>
      </c>
      <c r="H48" s="6">
        <v>23.04</v>
      </c>
      <c r="I48" s="6">
        <v>5.66</v>
      </c>
      <c r="J48" s="6">
        <v>1.89</v>
      </c>
      <c r="K48" s="6">
        <v>60.4</v>
      </c>
      <c r="L48" s="6">
        <v>27.91</v>
      </c>
      <c r="M48" s="6">
        <v>29.08</v>
      </c>
      <c r="N48" s="6">
        <v>345.3</v>
      </c>
      <c r="O48" s="6">
        <v>0</v>
      </c>
      <c r="P48" s="6">
        <v>0.59</v>
      </c>
      <c r="Q48" s="6">
        <v>4.79</v>
      </c>
    </row>
    <row r="49" spans="1:17" customFormat="1">
      <c r="A49" s="82">
        <v>45360.427083333336</v>
      </c>
      <c r="B49" s="6">
        <v>8.34</v>
      </c>
      <c r="C49" s="6">
        <v>31.52</v>
      </c>
      <c r="D49" s="6">
        <v>24.51</v>
      </c>
      <c r="E49" s="6">
        <v>13.78</v>
      </c>
      <c r="F49" s="6">
        <v>6.64</v>
      </c>
      <c r="G49" s="6">
        <v>75.489999999999995</v>
      </c>
      <c r="H49" s="6">
        <v>23.6</v>
      </c>
      <c r="I49" s="6">
        <v>5.59</v>
      </c>
      <c r="J49" s="6">
        <v>1.43</v>
      </c>
      <c r="K49" s="6">
        <v>69.05</v>
      </c>
      <c r="L49" s="6">
        <v>28.7</v>
      </c>
      <c r="M49" s="6">
        <v>28.86</v>
      </c>
      <c r="N49" s="6">
        <v>319.8</v>
      </c>
      <c r="O49" s="6">
        <v>0</v>
      </c>
      <c r="P49" s="6">
        <v>0.59</v>
      </c>
      <c r="Q49" s="6">
        <v>4.79</v>
      </c>
    </row>
    <row r="50" spans="1:17" customFormat="1">
      <c r="A50" s="82">
        <v>45360.4375</v>
      </c>
      <c r="B50" s="6">
        <v>7.17</v>
      </c>
      <c r="C50" s="6">
        <v>31.03</v>
      </c>
      <c r="D50" s="6">
        <v>23.31</v>
      </c>
      <c r="E50" s="6">
        <v>15.71</v>
      </c>
      <c r="F50" s="6">
        <v>6.92</v>
      </c>
      <c r="G50" s="6">
        <v>75.489999999999995</v>
      </c>
      <c r="H50" s="6">
        <v>23.6</v>
      </c>
      <c r="I50" s="6">
        <v>5.57</v>
      </c>
      <c r="J50" s="6">
        <v>1.08</v>
      </c>
      <c r="K50" s="6">
        <v>80.45</v>
      </c>
      <c r="L50" s="6">
        <v>29.55</v>
      </c>
      <c r="M50" s="6">
        <v>28.82</v>
      </c>
      <c r="N50" s="6">
        <v>508.7</v>
      </c>
      <c r="O50" s="6">
        <v>0</v>
      </c>
      <c r="P50" s="6">
        <v>0.6</v>
      </c>
      <c r="Q50" s="6">
        <v>4.78</v>
      </c>
    </row>
    <row r="51" spans="1:17" customFormat="1">
      <c r="A51" s="82">
        <v>45360.447916666664</v>
      </c>
      <c r="B51" s="6">
        <v>6.47</v>
      </c>
      <c r="C51" s="6">
        <v>30.42</v>
      </c>
      <c r="D51" s="6">
        <v>22.43</v>
      </c>
      <c r="E51" s="6">
        <v>12.41</v>
      </c>
      <c r="F51" s="6">
        <v>6.75</v>
      </c>
      <c r="G51" s="6">
        <v>75.489999999999995</v>
      </c>
      <c r="H51" s="6">
        <v>23.6</v>
      </c>
      <c r="I51" s="6">
        <v>5.48</v>
      </c>
      <c r="J51" s="6">
        <v>1.02</v>
      </c>
      <c r="K51" s="6">
        <v>83.92</v>
      </c>
      <c r="L51" s="6">
        <v>29.83</v>
      </c>
      <c r="M51" s="6">
        <v>30.29</v>
      </c>
      <c r="N51" s="6">
        <v>547</v>
      </c>
      <c r="O51" s="6">
        <v>0</v>
      </c>
      <c r="P51" s="6">
        <v>0.67</v>
      </c>
      <c r="Q51" s="6">
        <v>4.78</v>
      </c>
    </row>
    <row r="52" spans="1:17" customFormat="1">
      <c r="A52" s="82">
        <v>45360.458333333336</v>
      </c>
      <c r="B52" s="6">
        <v>5.79</v>
      </c>
      <c r="C52" s="6">
        <v>29.36</v>
      </c>
      <c r="D52" s="6">
        <v>21.34</v>
      </c>
      <c r="E52" s="6">
        <v>10.53</v>
      </c>
      <c r="F52" s="6">
        <v>7.59</v>
      </c>
      <c r="G52" s="6">
        <v>75.760000000000005</v>
      </c>
      <c r="H52" s="6">
        <v>23.81</v>
      </c>
      <c r="I52" s="6">
        <v>5.49</v>
      </c>
      <c r="J52" s="6">
        <v>1.22</v>
      </c>
      <c r="K52" s="6">
        <v>73.86</v>
      </c>
      <c r="L52" s="6">
        <v>30.04</v>
      </c>
      <c r="M52" s="6">
        <v>33.32</v>
      </c>
      <c r="N52" s="6">
        <v>571.70000000000005</v>
      </c>
      <c r="O52" s="6">
        <v>0</v>
      </c>
      <c r="P52" s="6">
        <v>0.69</v>
      </c>
      <c r="Q52" s="6">
        <v>4.72</v>
      </c>
    </row>
    <row r="53" spans="1:17" customFormat="1">
      <c r="A53" s="82">
        <v>45360.46875</v>
      </c>
      <c r="B53" s="6">
        <v>5.37</v>
      </c>
      <c r="C53" s="6">
        <v>27.91</v>
      </c>
      <c r="D53" s="6">
        <v>20.239999999999998</v>
      </c>
      <c r="E53" s="6">
        <v>10.85</v>
      </c>
      <c r="F53" s="6">
        <v>7.99</v>
      </c>
      <c r="G53" s="6">
        <v>79.48</v>
      </c>
      <c r="H53" s="6">
        <v>26.37</v>
      </c>
      <c r="I53" s="6">
        <v>5.51</v>
      </c>
      <c r="J53" s="6">
        <v>1.1000000000000001</v>
      </c>
      <c r="K53" s="6">
        <v>76.040000000000006</v>
      </c>
      <c r="L53" s="6">
        <v>30.5</v>
      </c>
      <c r="M53" s="6">
        <v>33.520000000000003</v>
      </c>
      <c r="N53" s="6">
        <v>542.29999999999995</v>
      </c>
      <c r="O53" s="6">
        <v>0</v>
      </c>
      <c r="P53" s="6">
        <v>0.68</v>
      </c>
      <c r="Q53" s="6">
        <v>4.74</v>
      </c>
    </row>
    <row r="54" spans="1:17" customFormat="1">
      <c r="A54" s="82">
        <v>45360.479166666664</v>
      </c>
      <c r="B54" s="6">
        <v>4.2</v>
      </c>
      <c r="C54" s="6">
        <v>25.03</v>
      </c>
      <c r="D54" s="6">
        <v>17.79</v>
      </c>
      <c r="E54" s="6">
        <v>18.41</v>
      </c>
      <c r="F54" s="6">
        <v>19.88</v>
      </c>
      <c r="G54" s="6">
        <v>79.48</v>
      </c>
      <c r="H54" s="6">
        <v>26.37</v>
      </c>
      <c r="I54" s="6">
        <v>5.47</v>
      </c>
      <c r="J54" s="6">
        <v>1.1399999999999999</v>
      </c>
      <c r="K54" s="6">
        <v>60.86</v>
      </c>
      <c r="L54" s="6">
        <v>30.8</v>
      </c>
      <c r="M54" s="6">
        <v>32.21</v>
      </c>
      <c r="N54" s="6">
        <v>606</v>
      </c>
      <c r="O54" s="6">
        <v>0</v>
      </c>
      <c r="P54" s="6">
        <v>0.67</v>
      </c>
      <c r="Q54" s="6">
        <v>4.7</v>
      </c>
    </row>
    <row r="55" spans="1:17" customFormat="1">
      <c r="A55" s="82">
        <v>45360.489583333336</v>
      </c>
      <c r="B55" s="6">
        <v>3.13</v>
      </c>
      <c r="C55" s="6">
        <v>23.14</v>
      </c>
      <c r="D55" s="6">
        <v>15.95</v>
      </c>
      <c r="E55" s="6">
        <v>18.62</v>
      </c>
      <c r="F55" s="6">
        <v>19.98</v>
      </c>
      <c r="G55" s="6">
        <v>79.48</v>
      </c>
      <c r="H55" s="6">
        <v>26.37</v>
      </c>
      <c r="I55" s="6">
        <v>5.44</v>
      </c>
      <c r="J55" s="6">
        <v>1.34</v>
      </c>
      <c r="K55" s="6">
        <v>69.97</v>
      </c>
      <c r="L55" s="6">
        <v>31.26</v>
      </c>
      <c r="M55" s="6">
        <v>31.7</v>
      </c>
      <c r="N55" s="6">
        <v>619.29999999999995</v>
      </c>
      <c r="O55" s="6">
        <v>0</v>
      </c>
      <c r="P55" s="6">
        <v>0.68</v>
      </c>
      <c r="Q55" s="6">
        <v>4.7</v>
      </c>
    </row>
    <row r="56" spans="1:17" customFormat="1">
      <c r="A56" s="82">
        <v>45360.5</v>
      </c>
      <c r="B56" s="6">
        <v>2.69</v>
      </c>
      <c r="C56" s="6">
        <v>22.63</v>
      </c>
      <c r="D56" s="6">
        <v>15.33</v>
      </c>
      <c r="E56" s="6">
        <v>19.170000000000002</v>
      </c>
      <c r="F56" s="6">
        <v>21.14</v>
      </c>
      <c r="G56" s="6">
        <v>78.180000000000007</v>
      </c>
      <c r="H56" s="6">
        <v>26.38</v>
      </c>
      <c r="I56" s="6">
        <v>4.9800000000000004</v>
      </c>
      <c r="J56" s="6">
        <v>0.97</v>
      </c>
      <c r="K56" s="6">
        <v>68.540000000000006</v>
      </c>
      <c r="L56" s="6">
        <v>31.72</v>
      </c>
      <c r="M56" s="6">
        <v>30.87</v>
      </c>
      <c r="N56" s="6">
        <v>609.79999999999995</v>
      </c>
      <c r="O56" s="6">
        <v>0</v>
      </c>
      <c r="P56" s="6">
        <v>0.68</v>
      </c>
      <c r="Q56" s="6">
        <v>4.6900000000000004</v>
      </c>
    </row>
    <row r="57" spans="1:17" customFormat="1">
      <c r="A57" s="82">
        <v>45360.510416666664</v>
      </c>
      <c r="B57" s="6">
        <v>2.4700000000000002</v>
      </c>
      <c r="C57" s="6">
        <v>21.69</v>
      </c>
      <c r="D57" s="6">
        <v>14.67</v>
      </c>
      <c r="E57" s="6">
        <v>16.329999999999998</v>
      </c>
      <c r="F57" s="6">
        <v>19.3</v>
      </c>
      <c r="G57" s="6">
        <v>59.99</v>
      </c>
      <c r="H57" s="6">
        <v>26.5</v>
      </c>
      <c r="I57" s="6">
        <v>4.75</v>
      </c>
      <c r="J57" s="6">
        <v>0.6</v>
      </c>
      <c r="K57" s="6">
        <v>71.72</v>
      </c>
      <c r="L57" s="6">
        <v>32.369999999999997</v>
      </c>
      <c r="M57" s="6">
        <v>29.25</v>
      </c>
      <c r="N57" s="6">
        <v>606.5</v>
      </c>
      <c r="O57" s="6">
        <v>0</v>
      </c>
      <c r="P57" s="6">
        <v>0.68</v>
      </c>
      <c r="Q57" s="6">
        <v>4.6900000000000004</v>
      </c>
    </row>
    <row r="58" spans="1:17" customFormat="1">
      <c r="A58" s="82">
        <v>45360.520833333336</v>
      </c>
      <c r="B58" s="6">
        <v>2.17</v>
      </c>
      <c r="C58" s="6">
        <v>21.55</v>
      </c>
      <c r="D58" s="6">
        <v>14.35</v>
      </c>
      <c r="E58" s="6">
        <v>16</v>
      </c>
      <c r="F58" s="6">
        <v>22.36</v>
      </c>
      <c r="G58" s="6">
        <v>59.99</v>
      </c>
      <c r="H58" s="6">
        <v>26.5</v>
      </c>
      <c r="I58" s="6">
        <v>4.5</v>
      </c>
      <c r="J58" s="6">
        <v>0.44</v>
      </c>
      <c r="K58" s="6">
        <v>83.37</v>
      </c>
      <c r="L58" s="6">
        <v>33.119999999999997</v>
      </c>
      <c r="M58" s="6">
        <v>28.27</v>
      </c>
      <c r="N58" s="6">
        <v>599.4</v>
      </c>
      <c r="O58" s="6">
        <v>0</v>
      </c>
      <c r="P58" s="6">
        <v>0.65</v>
      </c>
      <c r="Q58" s="6">
        <v>4.6900000000000004</v>
      </c>
    </row>
    <row r="59" spans="1:17" customFormat="1">
      <c r="A59" s="82">
        <v>45360.53125</v>
      </c>
      <c r="B59" s="6">
        <v>3.03</v>
      </c>
      <c r="C59" s="6">
        <v>20.69</v>
      </c>
      <c r="D59" s="6">
        <v>14.59</v>
      </c>
      <c r="E59" s="6">
        <v>17.79</v>
      </c>
      <c r="F59" s="6">
        <v>27.68</v>
      </c>
      <c r="G59" s="6">
        <v>59.99</v>
      </c>
      <c r="H59" s="6">
        <v>26.5</v>
      </c>
      <c r="I59" s="6">
        <v>4.4000000000000004</v>
      </c>
      <c r="J59" s="6">
        <v>0.47</v>
      </c>
      <c r="K59" s="6">
        <v>61.09</v>
      </c>
      <c r="L59" s="6">
        <v>33.42</v>
      </c>
      <c r="M59" s="6">
        <v>27.67</v>
      </c>
      <c r="N59" s="6">
        <v>595.4</v>
      </c>
      <c r="O59" s="6">
        <v>0</v>
      </c>
      <c r="P59" s="6">
        <v>0.53</v>
      </c>
      <c r="Q59" s="6">
        <v>4.71</v>
      </c>
    </row>
    <row r="60" spans="1:17" customFormat="1">
      <c r="A60" s="82">
        <v>45360.541666666664</v>
      </c>
      <c r="B60" s="6">
        <v>3.42</v>
      </c>
      <c r="C60" s="6">
        <v>19.77</v>
      </c>
      <c r="D60" s="6">
        <v>14.42</v>
      </c>
      <c r="E60" s="6">
        <v>21.61</v>
      </c>
      <c r="F60" s="6">
        <v>28.85</v>
      </c>
      <c r="G60" s="6">
        <v>59.59</v>
      </c>
      <c r="H60" s="6">
        <v>26.54</v>
      </c>
      <c r="I60" s="6">
        <v>4.16</v>
      </c>
      <c r="J60" s="6">
        <v>0.47</v>
      </c>
      <c r="K60" s="6">
        <v>269.74</v>
      </c>
      <c r="L60" s="6">
        <v>34.18</v>
      </c>
      <c r="M60" s="6">
        <v>26.9</v>
      </c>
      <c r="N60" s="6">
        <v>589.5</v>
      </c>
      <c r="O60" s="6">
        <v>0</v>
      </c>
      <c r="P60" s="6">
        <v>0.46</v>
      </c>
      <c r="Q60" s="6">
        <v>4.7300000000000004</v>
      </c>
    </row>
    <row r="61" spans="1:17" customFormat="1">
      <c r="A61" s="82">
        <v>45360.552083333336</v>
      </c>
      <c r="B61" s="6">
        <v>3.21</v>
      </c>
      <c r="C61" s="6">
        <v>19.16</v>
      </c>
      <c r="D61" s="6">
        <v>13.93</v>
      </c>
      <c r="E61" s="6">
        <v>22.18</v>
      </c>
      <c r="F61" s="6">
        <v>32.270000000000003</v>
      </c>
      <c r="G61" s="6">
        <v>54</v>
      </c>
      <c r="H61" s="6">
        <v>27.04</v>
      </c>
      <c r="I61" s="6">
        <v>3.86</v>
      </c>
      <c r="J61" s="6">
        <v>0.12</v>
      </c>
      <c r="K61" s="6">
        <v>113.24</v>
      </c>
      <c r="L61" s="6">
        <v>34.94</v>
      </c>
      <c r="M61" s="6">
        <v>25.87</v>
      </c>
      <c r="N61" s="6">
        <v>587.1</v>
      </c>
      <c r="O61" s="6">
        <v>0</v>
      </c>
      <c r="P61" s="6">
        <v>0.44</v>
      </c>
      <c r="Q61" s="6">
        <v>4.72</v>
      </c>
    </row>
    <row r="62" spans="1:17" customFormat="1">
      <c r="A62" s="82">
        <v>45360.5625</v>
      </c>
      <c r="B62" s="6">
        <v>3.3</v>
      </c>
      <c r="C62" s="6">
        <v>18.760000000000002</v>
      </c>
      <c r="D62" s="6">
        <v>13.8</v>
      </c>
      <c r="E62" s="6">
        <v>21.08</v>
      </c>
      <c r="F62" s="6">
        <v>34.11</v>
      </c>
      <c r="G62" s="6">
        <v>54</v>
      </c>
      <c r="H62" s="6">
        <v>27.04</v>
      </c>
      <c r="I62" s="6">
        <v>3.64</v>
      </c>
      <c r="J62" s="6">
        <v>0.42</v>
      </c>
      <c r="K62" s="6">
        <v>172.08</v>
      </c>
      <c r="L62" s="6">
        <v>35.46</v>
      </c>
      <c r="M62" s="6">
        <v>24.79</v>
      </c>
      <c r="N62" s="6">
        <v>547.29999999999995</v>
      </c>
      <c r="O62" s="6">
        <v>0</v>
      </c>
      <c r="P62" s="6">
        <v>0.43</v>
      </c>
      <c r="Q62" s="6">
        <v>4.72</v>
      </c>
    </row>
    <row r="63" spans="1:17" customFormat="1">
      <c r="A63" s="82">
        <v>45360.572916666664</v>
      </c>
      <c r="B63" s="6">
        <v>3.29</v>
      </c>
      <c r="C63" s="6">
        <v>18.93</v>
      </c>
      <c r="D63" s="6">
        <v>13.88</v>
      </c>
      <c r="E63" s="6">
        <v>18.78</v>
      </c>
      <c r="F63" s="6">
        <v>24.94</v>
      </c>
      <c r="G63" s="6">
        <v>54</v>
      </c>
      <c r="H63" s="6">
        <v>27.04</v>
      </c>
      <c r="I63" s="6">
        <v>3.55</v>
      </c>
      <c r="J63" s="6">
        <v>0.37</v>
      </c>
      <c r="K63" s="6">
        <v>74.150000000000006</v>
      </c>
      <c r="L63" s="6">
        <v>34.74</v>
      </c>
      <c r="M63" s="6">
        <v>25.54</v>
      </c>
      <c r="N63" s="6">
        <v>548.70000000000005</v>
      </c>
      <c r="O63" s="6">
        <v>0</v>
      </c>
      <c r="P63" s="6">
        <v>0.43</v>
      </c>
      <c r="Q63" s="6">
        <v>4.6900000000000004</v>
      </c>
    </row>
    <row r="64" spans="1:17" customFormat="1">
      <c r="A64" s="82">
        <v>45360.583333333336</v>
      </c>
      <c r="B64" s="6">
        <v>3.44</v>
      </c>
      <c r="C64" s="6">
        <v>18.579999999999998</v>
      </c>
      <c r="D64" s="6">
        <v>13.82</v>
      </c>
      <c r="E64" s="6">
        <v>21.46</v>
      </c>
      <c r="F64" s="6">
        <v>39.299999999999997</v>
      </c>
      <c r="G64" s="6">
        <v>53.27</v>
      </c>
      <c r="H64" s="6">
        <v>26.96</v>
      </c>
      <c r="I64" s="6">
        <v>3.44</v>
      </c>
      <c r="J64" s="6">
        <v>0.37</v>
      </c>
      <c r="K64" s="6">
        <v>170.87</v>
      </c>
      <c r="L64" s="6">
        <v>35.58</v>
      </c>
      <c r="M64" s="6">
        <v>23.24</v>
      </c>
      <c r="N64" s="6">
        <v>540.70000000000005</v>
      </c>
      <c r="O64" s="6">
        <v>0</v>
      </c>
      <c r="P64" s="6">
        <v>0.41</v>
      </c>
      <c r="Q64" s="6">
        <v>4.7</v>
      </c>
    </row>
    <row r="65" spans="1:17" customFormat="1">
      <c r="A65" s="82">
        <v>45360.59375</v>
      </c>
      <c r="B65" s="6">
        <v>3.62</v>
      </c>
      <c r="C65" s="6">
        <v>15.82</v>
      </c>
      <c r="D65" s="6">
        <v>12.52</v>
      </c>
      <c r="E65" s="6">
        <v>27.54</v>
      </c>
      <c r="F65" s="6">
        <v>44.44</v>
      </c>
      <c r="G65" s="6">
        <v>42.99</v>
      </c>
      <c r="H65" s="6">
        <v>26.04</v>
      </c>
      <c r="I65" s="6">
        <v>3.38</v>
      </c>
      <c r="J65" s="6">
        <v>0.45</v>
      </c>
      <c r="K65" s="6">
        <v>288.99</v>
      </c>
      <c r="L65" s="6">
        <v>34.82</v>
      </c>
      <c r="M65" s="6">
        <v>23.21</v>
      </c>
      <c r="N65" s="6">
        <v>543.9</v>
      </c>
      <c r="O65" s="6">
        <v>0</v>
      </c>
      <c r="P65" s="6">
        <v>0.46</v>
      </c>
      <c r="Q65" s="6">
        <v>4.6900000000000004</v>
      </c>
    </row>
    <row r="66" spans="1:17" customFormat="1">
      <c r="A66" s="82">
        <v>45360.604166666664</v>
      </c>
      <c r="B66" s="6">
        <v>3.99</v>
      </c>
      <c r="C66" s="6">
        <v>15.65</v>
      </c>
      <c r="D66" s="6">
        <v>12.73</v>
      </c>
      <c r="E66" s="6">
        <v>29.35</v>
      </c>
      <c r="F66" s="6">
        <v>44.6</v>
      </c>
      <c r="G66" s="6">
        <v>42.99</v>
      </c>
      <c r="H66" s="6">
        <v>26.04</v>
      </c>
      <c r="I66" s="6">
        <v>3.17</v>
      </c>
      <c r="J66" s="6">
        <v>0.78</v>
      </c>
      <c r="K66" s="6">
        <v>331.88</v>
      </c>
      <c r="L66" s="6">
        <v>34.200000000000003</v>
      </c>
      <c r="M66" s="6">
        <v>20.079999999999998</v>
      </c>
      <c r="N66" s="6">
        <v>520.1</v>
      </c>
      <c r="O66" s="6">
        <v>0</v>
      </c>
      <c r="P66" s="6">
        <v>0.48</v>
      </c>
      <c r="Q66" s="6">
        <v>4.67</v>
      </c>
    </row>
    <row r="67" spans="1:17" customFormat="1">
      <c r="A67" s="82">
        <v>45360.614583333336</v>
      </c>
      <c r="B67" s="6">
        <v>4.26</v>
      </c>
      <c r="C67" s="6">
        <v>17.489999999999998</v>
      </c>
      <c r="D67" s="6">
        <v>13.91</v>
      </c>
      <c r="E67" s="6">
        <v>26.51</v>
      </c>
      <c r="F67" s="6">
        <v>40.909999999999997</v>
      </c>
      <c r="G67" s="6">
        <v>42.99</v>
      </c>
      <c r="H67" s="6">
        <v>26.04</v>
      </c>
      <c r="I67" s="6">
        <v>3.02</v>
      </c>
      <c r="J67" s="6">
        <v>0.82</v>
      </c>
      <c r="K67" s="6">
        <v>331.75</v>
      </c>
      <c r="L67" s="6">
        <v>34.57</v>
      </c>
      <c r="M67" s="6">
        <v>19.93</v>
      </c>
      <c r="N67" s="6">
        <v>429.2</v>
      </c>
      <c r="O67" s="6">
        <v>0</v>
      </c>
      <c r="P67" s="6">
        <v>0.47</v>
      </c>
      <c r="Q67" s="6">
        <v>4.67</v>
      </c>
    </row>
    <row r="68" spans="1:17" customFormat="1">
      <c r="A68" s="82">
        <v>45360.625</v>
      </c>
      <c r="B68" s="6">
        <v>4.07</v>
      </c>
      <c r="C68" s="6">
        <v>17.59</v>
      </c>
      <c r="D68" s="6">
        <v>13.81</v>
      </c>
      <c r="E68" s="6">
        <v>27.86</v>
      </c>
      <c r="F68" s="6">
        <v>43.89</v>
      </c>
      <c r="G68" s="6">
        <v>43.14</v>
      </c>
      <c r="H68" s="6">
        <v>25.83</v>
      </c>
      <c r="I68" s="6">
        <v>2.88</v>
      </c>
      <c r="J68" s="6">
        <v>0.13</v>
      </c>
      <c r="K68" s="6">
        <v>254.78</v>
      </c>
      <c r="L68" s="6">
        <v>34.4</v>
      </c>
      <c r="M68" s="6">
        <v>20.92</v>
      </c>
      <c r="N68" s="6">
        <v>208.5</v>
      </c>
      <c r="O68" s="6">
        <v>0</v>
      </c>
      <c r="P68" s="6">
        <v>0.47</v>
      </c>
      <c r="Q68" s="6">
        <v>4.66</v>
      </c>
    </row>
    <row r="69" spans="1:17" customFormat="1">
      <c r="A69" s="82">
        <v>45360.635416666664</v>
      </c>
      <c r="B69" s="6">
        <v>3.81</v>
      </c>
      <c r="C69" s="6">
        <v>16.62</v>
      </c>
      <c r="D69" s="6">
        <v>13.09</v>
      </c>
      <c r="E69" s="6">
        <v>29.21</v>
      </c>
      <c r="F69" s="6">
        <v>48.06</v>
      </c>
      <c r="G69" s="6">
        <v>45.36</v>
      </c>
      <c r="H69" s="6">
        <v>23.17</v>
      </c>
      <c r="I69" s="6">
        <v>2.85</v>
      </c>
      <c r="J69" s="6">
        <v>0.45</v>
      </c>
      <c r="K69" s="6">
        <v>330.35</v>
      </c>
      <c r="L69" s="6">
        <v>34.14</v>
      </c>
      <c r="M69" s="6">
        <v>20.97</v>
      </c>
      <c r="N69" s="6">
        <v>172.2</v>
      </c>
      <c r="O69" s="6">
        <v>0</v>
      </c>
      <c r="P69" s="6">
        <v>0.47</v>
      </c>
      <c r="Q69" s="6">
        <v>4.67</v>
      </c>
    </row>
    <row r="70" spans="1:17" customFormat="1">
      <c r="A70" s="82">
        <v>45360.645833333336</v>
      </c>
      <c r="B70" s="6">
        <v>4.0199999999999996</v>
      </c>
      <c r="C70" s="6">
        <v>17.579999999999998</v>
      </c>
      <c r="D70" s="6">
        <v>13.76</v>
      </c>
      <c r="E70" s="6">
        <v>35.72</v>
      </c>
      <c r="F70" s="6">
        <v>36.49</v>
      </c>
      <c r="G70" s="6">
        <v>45.36</v>
      </c>
      <c r="H70" s="6">
        <v>23.17</v>
      </c>
      <c r="I70" s="6">
        <v>2.87</v>
      </c>
      <c r="J70" s="6">
        <v>0.65</v>
      </c>
      <c r="K70" s="6">
        <v>314.13</v>
      </c>
      <c r="L70" s="6">
        <v>33.450000000000003</v>
      </c>
      <c r="M70" s="6">
        <v>21.2</v>
      </c>
      <c r="N70" s="6">
        <v>159.5</v>
      </c>
      <c r="O70" s="6">
        <v>0</v>
      </c>
      <c r="P70" s="6">
        <v>0.49</v>
      </c>
      <c r="Q70" s="6">
        <v>4.67</v>
      </c>
    </row>
    <row r="71" spans="1:17" customFormat="1">
      <c r="A71" s="82">
        <v>45360.65625</v>
      </c>
      <c r="B71" s="6">
        <v>4.28</v>
      </c>
      <c r="C71" s="6">
        <v>19.77</v>
      </c>
      <c r="D71" s="6">
        <v>15.11</v>
      </c>
      <c r="E71" s="6">
        <v>24.37</v>
      </c>
      <c r="F71" s="6">
        <v>21.79</v>
      </c>
      <c r="G71" s="6">
        <v>45.36</v>
      </c>
      <c r="H71" s="6">
        <v>23.17</v>
      </c>
      <c r="I71" s="6">
        <v>2.9</v>
      </c>
      <c r="J71" s="6">
        <v>0.82</v>
      </c>
      <c r="K71" s="6">
        <v>35.090000000000003</v>
      </c>
      <c r="L71" s="6">
        <v>33.450000000000003</v>
      </c>
      <c r="M71" s="6">
        <v>22.32</v>
      </c>
      <c r="N71" s="6">
        <v>282.8</v>
      </c>
      <c r="O71" s="6">
        <v>0</v>
      </c>
      <c r="P71" s="6">
        <v>0.5</v>
      </c>
      <c r="Q71" s="6">
        <v>4.68</v>
      </c>
    </row>
    <row r="72" spans="1:17" customFormat="1">
      <c r="A72" s="82">
        <v>45360.666666666664</v>
      </c>
      <c r="B72" s="6">
        <v>4.9000000000000004</v>
      </c>
      <c r="C72" s="6">
        <v>22.14</v>
      </c>
      <c r="D72" s="6">
        <v>16.850000000000001</v>
      </c>
      <c r="E72" s="6">
        <v>25.11</v>
      </c>
      <c r="F72" s="6">
        <v>17.28</v>
      </c>
      <c r="G72" s="6">
        <v>45.92</v>
      </c>
      <c r="H72" s="6">
        <v>23.44</v>
      </c>
      <c r="I72" s="6">
        <v>2.95</v>
      </c>
      <c r="J72" s="6">
        <v>1.63</v>
      </c>
      <c r="K72" s="6">
        <v>57.23</v>
      </c>
      <c r="L72" s="6">
        <v>33.44</v>
      </c>
      <c r="M72" s="6">
        <v>23.57</v>
      </c>
      <c r="N72" s="6">
        <v>277.89999999999998</v>
      </c>
      <c r="O72" s="6">
        <v>0</v>
      </c>
      <c r="P72" s="6">
        <v>0.52</v>
      </c>
      <c r="Q72" s="6">
        <v>4.66</v>
      </c>
    </row>
    <row r="73" spans="1:17" customFormat="1">
      <c r="A73" s="82">
        <v>45360.677083333336</v>
      </c>
      <c r="B73" s="6">
        <v>4.9400000000000004</v>
      </c>
      <c r="C73" s="6">
        <v>25.24</v>
      </c>
      <c r="D73" s="6">
        <v>18.5</v>
      </c>
      <c r="E73" s="6">
        <v>26.33</v>
      </c>
      <c r="F73" s="6">
        <v>16.97</v>
      </c>
      <c r="G73" s="6">
        <v>53.87</v>
      </c>
      <c r="H73" s="6">
        <v>26.22</v>
      </c>
      <c r="I73" s="6">
        <v>3.1</v>
      </c>
      <c r="J73" s="6">
        <v>1.25</v>
      </c>
      <c r="K73" s="6">
        <v>50.95</v>
      </c>
      <c r="L73" s="6">
        <v>33.229999999999997</v>
      </c>
      <c r="M73" s="6">
        <v>23.75</v>
      </c>
      <c r="N73" s="6">
        <v>257.7</v>
      </c>
      <c r="O73" s="6">
        <v>0</v>
      </c>
      <c r="P73" s="6">
        <v>0.54</v>
      </c>
      <c r="Q73" s="6">
        <v>4.67</v>
      </c>
    </row>
    <row r="74" spans="1:17" customFormat="1">
      <c r="A74" s="82">
        <v>45360.6875</v>
      </c>
      <c r="B74" s="6">
        <v>4.91</v>
      </c>
      <c r="C74" s="6">
        <v>25.43</v>
      </c>
      <c r="D74" s="6">
        <v>18.579999999999998</v>
      </c>
      <c r="E74" s="6">
        <v>25.77</v>
      </c>
      <c r="F74" s="6">
        <v>14.99</v>
      </c>
      <c r="G74" s="6">
        <v>53.87</v>
      </c>
      <c r="H74" s="6">
        <v>26.22</v>
      </c>
      <c r="I74" s="6">
        <v>3.17</v>
      </c>
      <c r="J74" s="6">
        <v>1.51</v>
      </c>
      <c r="K74" s="6">
        <v>51.14</v>
      </c>
      <c r="L74" s="6">
        <v>33.26</v>
      </c>
      <c r="M74" s="6">
        <v>21.96</v>
      </c>
      <c r="N74" s="6">
        <v>229.2</v>
      </c>
      <c r="O74" s="6">
        <v>0</v>
      </c>
      <c r="P74" s="6">
        <v>0.54</v>
      </c>
      <c r="Q74" s="6">
        <v>4.67</v>
      </c>
    </row>
    <row r="75" spans="1:17" customFormat="1">
      <c r="A75" s="82">
        <v>45360.697916666664</v>
      </c>
      <c r="B75" s="6">
        <v>5.83</v>
      </c>
      <c r="C75" s="6">
        <v>30.7</v>
      </c>
      <c r="D75" s="6">
        <v>22.07</v>
      </c>
      <c r="E75" s="6">
        <v>24.39</v>
      </c>
      <c r="F75" s="6">
        <v>13.33</v>
      </c>
      <c r="G75" s="6">
        <v>53.87</v>
      </c>
      <c r="H75" s="6">
        <v>26.22</v>
      </c>
      <c r="I75" s="6">
        <v>3.21</v>
      </c>
      <c r="J75" s="6">
        <v>1.28</v>
      </c>
      <c r="K75" s="6">
        <v>51.88</v>
      </c>
      <c r="L75" s="6">
        <v>33.090000000000003</v>
      </c>
      <c r="M75" s="6">
        <v>21.99</v>
      </c>
      <c r="N75" s="6">
        <v>188.4</v>
      </c>
      <c r="O75" s="6">
        <v>0</v>
      </c>
      <c r="P75" s="6">
        <v>0.56000000000000005</v>
      </c>
      <c r="Q75" s="6">
        <v>4.68</v>
      </c>
    </row>
    <row r="76" spans="1:17" customFormat="1">
      <c r="A76" s="82">
        <v>45360.708333333336</v>
      </c>
      <c r="B76" s="6">
        <v>6.22</v>
      </c>
      <c r="C76" s="6">
        <v>29.01</v>
      </c>
      <c r="D76" s="6">
        <v>21.5</v>
      </c>
      <c r="E76" s="6">
        <v>22.71</v>
      </c>
      <c r="F76" s="6">
        <v>12.95</v>
      </c>
      <c r="G76" s="6">
        <v>54.64</v>
      </c>
      <c r="H76" s="6">
        <v>26.55</v>
      </c>
      <c r="I76" s="6">
        <v>3.31</v>
      </c>
      <c r="J76" s="6">
        <v>1.46</v>
      </c>
      <c r="K76" s="6">
        <v>58.08</v>
      </c>
      <c r="L76" s="6">
        <v>32.72</v>
      </c>
      <c r="M76" s="6">
        <v>22.83</v>
      </c>
      <c r="N76" s="6">
        <v>137.5</v>
      </c>
      <c r="O76" s="6">
        <v>0</v>
      </c>
      <c r="P76" s="6">
        <v>0.56000000000000005</v>
      </c>
      <c r="Q76" s="6">
        <v>4.68</v>
      </c>
    </row>
    <row r="77" spans="1:17" customFormat="1">
      <c r="A77" s="82">
        <v>45360.71875</v>
      </c>
      <c r="B77" s="6">
        <v>7.14</v>
      </c>
      <c r="C77" s="6">
        <v>28.94</v>
      </c>
      <c r="D77" s="6">
        <v>22.2</v>
      </c>
      <c r="E77" s="6">
        <v>23.94</v>
      </c>
      <c r="F77" s="6">
        <v>18.77</v>
      </c>
      <c r="G77" s="6">
        <v>65.38</v>
      </c>
      <c r="H77" s="6">
        <v>29.91</v>
      </c>
      <c r="I77" s="6">
        <v>3.38</v>
      </c>
      <c r="J77" s="6">
        <v>1.47</v>
      </c>
      <c r="K77" s="6">
        <v>49.14</v>
      </c>
      <c r="L77" s="6">
        <v>31.98</v>
      </c>
      <c r="M77" s="6">
        <v>25.01</v>
      </c>
      <c r="N77" s="6">
        <v>58</v>
      </c>
      <c r="O77" s="6">
        <v>0</v>
      </c>
      <c r="P77" s="6">
        <v>0.6</v>
      </c>
      <c r="Q77" s="6">
        <v>4.68</v>
      </c>
    </row>
    <row r="78" spans="1:17" customFormat="1">
      <c r="A78" s="82">
        <v>45360.729166666664</v>
      </c>
      <c r="B78" s="6">
        <v>7.12</v>
      </c>
      <c r="C78" s="6">
        <v>28.46</v>
      </c>
      <c r="D78" s="6">
        <v>21.93</v>
      </c>
      <c r="E78" s="6">
        <v>23.89</v>
      </c>
      <c r="F78" s="6">
        <v>15.49</v>
      </c>
      <c r="G78" s="6">
        <v>65.38</v>
      </c>
      <c r="H78" s="6">
        <v>29.91</v>
      </c>
      <c r="I78" s="6">
        <v>3.36</v>
      </c>
      <c r="J78" s="6">
        <v>0.92</v>
      </c>
      <c r="K78" s="6">
        <v>43.33</v>
      </c>
      <c r="L78" s="6">
        <v>31.46</v>
      </c>
      <c r="M78" s="6">
        <v>26.08</v>
      </c>
      <c r="N78" s="6">
        <v>22.5</v>
      </c>
      <c r="O78" s="6">
        <v>0</v>
      </c>
      <c r="P78" s="6">
        <v>0.66</v>
      </c>
      <c r="Q78" s="6">
        <v>4.68</v>
      </c>
    </row>
    <row r="79" spans="1:17" customFormat="1">
      <c r="A79" s="82">
        <v>45360.739583333336</v>
      </c>
      <c r="B79" s="6">
        <v>7.04</v>
      </c>
      <c r="C79" s="6">
        <v>28.07</v>
      </c>
      <c r="D79" s="6">
        <v>21.66</v>
      </c>
      <c r="E79" s="6">
        <v>19.88</v>
      </c>
      <c r="F79" s="6">
        <v>12.6</v>
      </c>
      <c r="G79" s="6">
        <v>65.38</v>
      </c>
      <c r="H79" s="6">
        <v>29.91</v>
      </c>
      <c r="I79" s="6">
        <v>3.41</v>
      </c>
      <c r="J79" s="6">
        <v>0.86</v>
      </c>
      <c r="K79" s="6">
        <v>54.46</v>
      </c>
      <c r="L79" s="6">
        <v>30.93</v>
      </c>
      <c r="M79" s="6">
        <v>28.11</v>
      </c>
      <c r="N79" s="6">
        <v>7.1</v>
      </c>
      <c r="O79" s="6">
        <v>0</v>
      </c>
      <c r="P79" s="6">
        <v>0.69</v>
      </c>
      <c r="Q79" s="6">
        <v>4.68</v>
      </c>
    </row>
    <row r="80" spans="1:17" customFormat="1">
      <c r="A80" s="82">
        <v>45360.75</v>
      </c>
      <c r="B80" s="6">
        <v>8.18</v>
      </c>
      <c r="C80" s="6">
        <v>28.84</v>
      </c>
      <c r="D80" s="6">
        <v>22.98</v>
      </c>
      <c r="E80" s="6">
        <v>17.79</v>
      </c>
      <c r="F80" s="6">
        <v>9.15</v>
      </c>
      <c r="G80" s="6">
        <v>66.59</v>
      </c>
      <c r="H80" s="6">
        <v>29.78</v>
      </c>
      <c r="I80" s="6">
        <v>3.5</v>
      </c>
      <c r="J80" s="6">
        <v>0.72</v>
      </c>
      <c r="K80" s="6">
        <v>48.91</v>
      </c>
      <c r="L80" s="6">
        <v>30.37</v>
      </c>
      <c r="M80" s="6">
        <v>30.18</v>
      </c>
      <c r="N80" s="6">
        <v>0</v>
      </c>
      <c r="O80" s="6">
        <v>0</v>
      </c>
      <c r="P80" s="6">
        <v>0.71</v>
      </c>
      <c r="Q80" s="6">
        <v>4.68</v>
      </c>
    </row>
    <row r="81" spans="1:17" customFormat="1">
      <c r="A81" s="82">
        <v>45360.760416666664</v>
      </c>
      <c r="B81" s="6">
        <v>9.23</v>
      </c>
      <c r="C81" s="6">
        <v>30.62</v>
      </c>
      <c r="D81" s="6">
        <v>24.75</v>
      </c>
      <c r="E81" s="6">
        <v>9.06</v>
      </c>
      <c r="F81" s="6">
        <v>7.99</v>
      </c>
      <c r="G81" s="6">
        <v>83.55</v>
      </c>
      <c r="H81" s="6">
        <v>28.43</v>
      </c>
      <c r="I81" s="6">
        <v>3.63</v>
      </c>
      <c r="J81" s="6">
        <v>0.44</v>
      </c>
      <c r="K81" s="6">
        <v>62.78</v>
      </c>
      <c r="L81" s="6">
        <v>29.74</v>
      </c>
      <c r="M81" s="6">
        <v>32.869999999999997</v>
      </c>
      <c r="N81" s="6">
        <v>0</v>
      </c>
      <c r="O81" s="6">
        <v>0</v>
      </c>
      <c r="P81" s="6">
        <v>0.72</v>
      </c>
      <c r="Q81" s="6">
        <v>4.7</v>
      </c>
    </row>
    <row r="82" spans="1:17" customFormat="1">
      <c r="A82" s="82">
        <v>45360.770833333336</v>
      </c>
      <c r="B82" s="6">
        <v>8.14</v>
      </c>
      <c r="C82" s="6">
        <v>27.86</v>
      </c>
      <c r="D82" s="6">
        <v>22.43</v>
      </c>
      <c r="E82" s="6">
        <v>8.26</v>
      </c>
      <c r="F82" s="6">
        <v>6.02</v>
      </c>
      <c r="G82" s="6">
        <v>83.55</v>
      </c>
      <c r="H82" s="6">
        <v>28.43</v>
      </c>
      <c r="I82" s="6">
        <v>3.75</v>
      </c>
      <c r="J82" s="6">
        <v>0.4</v>
      </c>
      <c r="K82" s="6">
        <v>53.5</v>
      </c>
      <c r="L82" s="6">
        <v>29.13</v>
      </c>
      <c r="M82" s="6">
        <v>35.270000000000003</v>
      </c>
      <c r="N82" s="6">
        <v>0</v>
      </c>
      <c r="O82" s="6">
        <v>0</v>
      </c>
      <c r="P82" s="6">
        <v>0.72</v>
      </c>
      <c r="Q82" s="6">
        <v>4.6900000000000004</v>
      </c>
    </row>
    <row r="83" spans="1:17" customFormat="1">
      <c r="A83" s="82">
        <v>45360.78125</v>
      </c>
      <c r="B83" s="6">
        <v>8.2899999999999991</v>
      </c>
      <c r="C83" s="6">
        <v>26.89</v>
      </c>
      <c r="D83" s="6">
        <v>22.05</v>
      </c>
      <c r="E83" s="6">
        <v>7.54</v>
      </c>
      <c r="F83" s="6">
        <v>5.44</v>
      </c>
      <c r="G83" s="6">
        <v>83.55</v>
      </c>
      <c r="H83" s="6">
        <v>28.43</v>
      </c>
      <c r="I83" s="6">
        <v>3.82</v>
      </c>
      <c r="J83" s="6">
        <v>0.21</v>
      </c>
      <c r="K83" s="6">
        <v>142.19999999999999</v>
      </c>
      <c r="L83" s="6">
        <v>28.27</v>
      </c>
      <c r="M83" s="6">
        <v>42.59</v>
      </c>
      <c r="N83" s="6">
        <v>0</v>
      </c>
      <c r="O83" s="6">
        <v>0</v>
      </c>
      <c r="P83" s="6">
        <v>0.73</v>
      </c>
      <c r="Q83" s="6">
        <v>4.7</v>
      </c>
    </row>
    <row r="84" spans="1:17" customFormat="1">
      <c r="A84" s="82">
        <v>45360.791666666664</v>
      </c>
      <c r="B84" s="6">
        <v>8.44</v>
      </c>
      <c r="C84" s="6">
        <v>25.97</v>
      </c>
      <c r="D84" s="6">
        <v>21.69</v>
      </c>
      <c r="E84" s="6">
        <v>6.18</v>
      </c>
      <c r="F84" s="6">
        <v>5.23</v>
      </c>
      <c r="G84" s="6">
        <v>84.56</v>
      </c>
      <c r="H84" s="6">
        <v>29.24</v>
      </c>
      <c r="I84" s="6">
        <v>3.93</v>
      </c>
      <c r="J84" s="6">
        <v>0.22</v>
      </c>
      <c r="K84" s="6">
        <v>162.47</v>
      </c>
      <c r="L84" s="6">
        <v>27.09</v>
      </c>
      <c r="M84" s="6">
        <v>49</v>
      </c>
      <c r="N84" s="6">
        <v>0</v>
      </c>
      <c r="O84" s="6">
        <v>0</v>
      </c>
      <c r="P84" s="6">
        <v>0.73</v>
      </c>
      <c r="Q84" s="6">
        <v>4.7300000000000004</v>
      </c>
    </row>
    <row r="85" spans="1:17" customFormat="1">
      <c r="A85" s="82">
        <v>45360.802083333336</v>
      </c>
      <c r="B85" s="6">
        <v>8.33</v>
      </c>
      <c r="C85" s="6">
        <v>25.49</v>
      </c>
      <c r="D85" s="6">
        <v>21.35</v>
      </c>
      <c r="E85" s="6">
        <v>7.56</v>
      </c>
      <c r="F85" s="6">
        <v>5.67</v>
      </c>
      <c r="G85" s="6">
        <v>98.66</v>
      </c>
      <c r="H85" s="6">
        <v>37.479999999999997</v>
      </c>
      <c r="I85" s="6">
        <v>4.03</v>
      </c>
      <c r="J85" s="6">
        <v>0.2</v>
      </c>
      <c r="K85" s="6">
        <v>154.68</v>
      </c>
      <c r="L85" s="6">
        <v>27.11</v>
      </c>
      <c r="M85" s="6">
        <v>44.98</v>
      </c>
      <c r="N85" s="6">
        <v>0</v>
      </c>
      <c r="O85" s="6">
        <v>0</v>
      </c>
      <c r="P85" s="6">
        <v>0.7</v>
      </c>
      <c r="Q85" s="6">
        <v>4.74</v>
      </c>
    </row>
    <row r="86" spans="1:17" customFormat="1">
      <c r="A86" s="82">
        <v>45360.8125</v>
      </c>
      <c r="B86" s="6">
        <v>7.79</v>
      </c>
      <c r="C86" s="6">
        <v>27.24</v>
      </c>
      <c r="D86" s="6">
        <v>21.83</v>
      </c>
      <c r="E86" s="6">
        <v>8.58</v>
      </c>
      <c r="F86" s="6">
        <v>5.37</v>
      </c>
      <c r="G86" s="6">
        <v>98.66</v>
      </c>
      <c r="H86" s="6">
        <v>37.479999999999997</v>
      </c>
      <c r="I86" s="6">
        <v>4.07</v>
      </c>
      <c r="J86" s="6">
        <v>0.2</v>
      </c>
      <c r="K86" s="6">
        <v>170.36</v>
      </c>
      <c r="L86" s="6">
        <v>26.85</v>
      </c>
      <c r="M86" s="6">
        <v>48.07</v>
      </c>
      <c r="N86" s="6">
        <v>0</v>
      </c>
      <c r="O86" s="6">
        <v>0</v>
      </c>
      <c r="P86" s="6">
        <v>0.68</v>
      </c>
      <c r="Q86" s="6">
        <v>4.76</v>
      </c>
    </row>
    <row r="87" spans="1:17" customFormat="1">
      <c r="A87" s="82">
        <v>45360.822916666664</v>
      </c>
      <c r="B87" s="6">
        <v>7.55</v>
      </c>
      <c r="C87" s="6">
        <v>28.79</v>
      </c>
      <c r="D87" s="6">
        <v>22.45</v>
      </c>
      <c r="E87" s="6">
        <v>8.86</v>
      </c>
      <c r="F87" s="6">
        <v>5.23</v>
      </c>
      <c r="G87" s="6">
        <v>98.66</v>
      </c>
      <c r="H87" s="6">
        <v>37.479999999999997</v>
      </c>
      <c r="I87" s="6">
        <v>4.26</v>
      </c>
      <c r="J87" s="6">
        <v>0.22</v>
      </c>
      <c r="K87" s="6">
        <v>213.68</v>
      </c>
      <c r="L87" s="6">
        <v>25.96</v>
      </c>
      <c r="M87" s="6">
        <v>49.21</v>
      </c>
      <c r="N87" s="6">
        <v>0</v>
      </c>
      <c r="O87" s="6">
        <v>0</v>
      </c>
      <c r="P87" s="6">
        <v>0.72</v>
      </c>
      <c r="Q87" s="6">
        <v>4.7699999999999996</v>
      </c>
    </row>
    <row r="88" spans="1:17" customFormat="1">
      <c r="A88" s="82">
        <v>45360.833333333336</v>
      </c>
      <c r="B88" s="6">
        <v>7.38</v>
      </c>
      <c r="C88" s="6">
        <v>29.28</v>
      </c>
      <c r="D88" s="6">
        <v>22.57</v>
      </c>
      <c r="E88" s="6">
        <v>9.36</v>
      </c>
      <c r="F88" s="6">
        <v>5.36</v>
      </c>
      <c r="G88" s="6">
        <v>99.6</v>
      </c>
      <c r="H88" s="6">
        <v>37.89</v>
      </c>
      <c r="I88" s="6">
        <v>4.63</v>
      </c>
      <c r="J88" s="6">
        <v>0.19</v>
      </c>
      <c r="K88" s="6">
        <v>196.4</v>
      </c>
      <c r="L88" s="6">
        <v>25.38</v>
      </c>
      <c r="M88" s="6">
        <v>54.27</v>
      </c>
      <c r="N88" s="6">
        <v>0</v>
      </c>
      <c r="O88" s="6">
        <v>0</v>
      </c>
      <c r="P88" s="6">
        <v>0.74</v>
      </c>
      <c r="Q88" s="6">
        <v>4.78</v>
      </c>
    </row>
    <row r="89" spans="1:17" customFormat="1">
      <c r="A89" s="82">
        <v>45360.84375</v>
      </c>
      <c r="B89" s="6">
        <v>7.06</v>
      </c>
      <c r="C89" s="6">
        <v>29.32</v>
      </c>
      <c r="D89" s="6">
        <v>22.33</v>
      </c>
      <c r="E89" s="6">
        <v>9.4700000000000006</v>
      </c>
      <c r="F89" s="6">
        <v>5.34</v>
      </c>
      <c r="G89" s="6">
        <v>112.57</v>
      </c>
      <c r="H89" s="6">
        <v>42.79</v>
      </c>
      <c r="I89" s="6">
        <v>4.9800000000000004</v>
      </c>
      <c r="J89" s="6">
        <v>0.21</v>
      </c>
      <c r="K89" s="6">
        <v>169.09</v>
      </c>
      <c r="L89" s="6">
        <v>25.28</v>
      </c>
      <c r="M89" s="6">
        <v>53.17</v>
      </c>
      <c r="N89" s="6">
        <v>0</v>
      </c>
      <c r="O89" s="6">
        <v>0</v>
      </c>
      <c r="P89" s="6">
        <v>0.77</v>
      </c>
      <c r="Q89" s="6">
        <v>4.7699999999999996</v>
      </c>
    </row>
    <row r="90" spans="1:17" customFormat="1">
      <c r="A90" s="82">
        <v>45360.854166666664</v>
      </c>
      <c r="B90" s="6">
        <v>7.01</v>
      </c>
      <c r="C90" s="6">
        <v>29.61</v>
      </c>
      <c r="D90" s="6">
        <v>22.44</v>
      </c>
      <c r="E90" s="6">
        <v>9.1199999999999992</v>
      </c>
      <c r="F90" s="6">
        <v>5.33</v>
      </c>
      <c r="G90" s="6">
        <v>112.57</v>
      </c>
      <c r="H90" s="6">
        <v>42.79</v>
      </c>
      <c r="I90" s="6">
        <v>5.04</v>
      </c>
      <c r="J90" s="6">
        <v>0.22</v>
      </c>
      <c r="K90" s="6">
        <v>170.47</v>
      </c>
      <c r="L90" s="6">
        <v>24.94</v>
      </c>
      <c r="M90" s="6">
        <v>55.93</v>
      </c>
      <c r="N90" s="6">
        <v>0</v>
      </c>
      <c r="O90" s="6">
        <v>0</v>
      </c>
      <c r="P90" s="6">
        <v>0.78</v>
      </c>
      <c r="Q90" s="6">
        <v>4.76</v>
      </c>
    </row>
    <row r="91" spans="1:17" customFormat="1">
      <c r="A91" s="82">
        <v>45360.864583333336</v>
      </c>
      <c r="B91" s="6">
        <v>7.04</v>
      </c>
      <c r="C91" s="6">
        <v>29.84</v>
      </c>
      <c r="D91" s="6">
        <v>22.59</v>
      </c>
      <c r="E91" s="6">
        <v>9.4</v>
      </c>
      <c r="F91" s="6">
        <v>5.16</v>
      </c>
      <c r="G91" s="6">
        <v>112.57</v>
      </c>
      <c r="H91" s="6">
        <v>42.79</v>
      </c>
      <c r="I91" s="6">
        <v>5.28</v>
      </c>
      <c r="J91" s="6">
        <v>0.21</v>
      </c>
      <c r="K91" s="6">
        <v>197.13</v>
      </c>
      <c r="L91" s="6">
        <v>24.55</v>
      </c>
      <c r="M91" s="6">
        <v>56.9</v>
      </c>
      <c r="N91" s="6">
        <v>0</v>
      </c>
      <c r="O91" s="6">
        <v>0</v>
      </c>
      <c r="P91" s="6">
        <v>0.81</v>
      </c>
      <c r="Q91" s="6">
        <v>4.75</v>
      </c>
    </row>
    <row r="92" spans="1:17" customFormat="1">
      <c r="A92" s="82">
        <v>45360.875</v>
      </c>
      <c r="B92" s="6">
        <v>7.11</v>
      </c>
      <c r="C92" s="6">
        <v>30.16</v>
      </c>
      <c r="D92" s="6">
        <v>22.81</v>
      </c>
      <c r="E92" s="6">
        <v>8.9499999999999993</v>
      </c>
      <c r="F92" s="6">
        <v>5.15</v>
      </c>
      <c r="G92" s="6">
        <v>112.84</v>
      </c>
      <c r="H92" s="6">
        <v>42.76</v>
      </c>
      <c r="I92" s="6">
        <v>5.5</v>
      </c>
      <c r="J92" s="6">
        <v>0.26</v>
      </c>
      <c r="K92" s="6">
        <v>171.34</v>
      </c>
      <c r="L92" s="6">
        <v>24.27</v>
      </c>
      <c r="M92" s="6">
        <v>57.3</v>
      </c>
      <c r="N92" s="6">
        <v>0</v>
      </c>
      <c r="O92" s="6">
        <v>0</v>
      </c>
      <c r="P92" s="6">
        <v>0.84</v>
      </c>
      <c r="Q92" s="6">
        <v>4.75</v>
      </c>
    </row>
    <row r="93" spans="1:17" customFormat="1">
      <c r="A93" s="82">
        <v>45360.885416666664</v>
      </c>
      <c r="B93" s="6">
        <v>7.29</v>
      </c>
      <c r="C93" s="6">
        <v>30.37</v>
      </c>
      <c r="D93" s="6">
        <v>23.06</v>
      </c>
      <c r="E93" s="6">
        <v>9.17</v>
      </c>
      <c r="F93" s="6">
        <v>5.16</v>
      </c>
      <c r="G93" s="6">
        <v>116.65</v>
      </c>
      <c r="H93" s="6">
        <v>42.38</v>
      </c>
      <c r="I93" s="6">
        <v>5.69</v>
      </c>
      <c r="J93" s="6">
        <v>0.22</v>
      </c>
      <c r="K93" s="6">
        <v>181.38</v>
      </c>
      <c r="L93" s="6">
        <v>23.78</v>
      </c>
      <c r="M93" s="6">
        <v>60.92</v>
      </c>
      <c r="N93" s="6">
        <v>0</v>
      </c>
      <c r="O93" s="6">
        <v>0</v>
      </c>
      <c r="P93" s="6">
        <v>0.85</v>
      </c>
      <c r="Q93" s="6">
        <v>4.75</v>
      </c>
    </row>
    <row r="94" spans="1:17" customFormat="1">
      <c r="A94" s="82">
        <v>45360.895833333336</v>
      </c>
      <c r="B94" s="6">
        <v>7.5</v>
      </c>
      <c r="C94" s="6">
        <v>30.08</v>
      </c>
      <c r="D94" s="6">
        <v>23.08</v>
      </c>
      <c r="E94" s="6">
        <v>9.42</v>
      </c>
      <c r="F94" s="6">
        <v>5.14</v>
      </c>
      <c r="G94" s="6">
        <v>116.65</v>
      </c>
      <c r="H94" s="6">
        <v>42.38</v>
      </c>
      <c r="I94" s="6">
        <v>5.97</v>
      </c>
      <c r="J94" s="6">
        <v>0.33</v>
      </c>
      <c r="K94" s="6">
        <v>79.900000000000006</v>
      </c>
      <c r="L94" s="6">
        <v>24.03</v>
      </c>
      <c r="M94" s="6">
        <v>58.22</v>
      </c>
      <c r="N94" s="6">
        <v>0</v>
      </c>
      <c r="O94" s="6">
        <v>0</v>
      </c>
      <c r="P94" s="6">
        <v>0.86</v>
      </c>
      <c r="Q94" s="6">
        <v>4.75</v>
      </c>
    </row>
    <row r="95" spans="1:17" customFormat="1">
      <c r="A95" s="82">
        <v>45360.90625</v>
      </c>
      <c r="B95" s="6">
        <v>8.41</v>
      </c>
      <c r="C95" s="6">
        <v>30.66</v>
      </c>
      <c r="D95" s="6">
        <v>24.11</v>
      </c>
      <c r="E95" s="6">
        <v>10.17</v>
      </c>
      <c r="F95" s="6">
        <v>5.14</v>
      </c>
      <c r="G95" s="6">
        <v>116.65</v>
      </c>
      <c r="H95" s="6">
        <v>42.38</v>
      </c>
      <c r="I95" s="6">
        <v>6.02</v>
      </c>
      <c r="J95" s="6">
        <v>1.34</v>
      </c>
      <c r="K95" s="6">
        <v>60.73</v>
      </c>
      <c r="L95" s="6">
        <v>25.22</v>
      </c>
      <c r="M95" s="6">
        <v>45.82</v>
      </c>
      <c r="N95" s="6">
        <v>0</v>
      </c>
      <c r="O95" s="6">
        <v>0</v>
      </c>
      <c r="P95" s="6">
        <v>0.88</v>
      </c>
      <c r="Q95" s="6">
        <v>4.74</v>
      </c>
    </row>
    <row r="96" spans="1:17" customFormat="1">
      <c r="A96" s="82">
        <v>45360.916666666664</v>
      </c>
      <c r="B96" s="6">
        <v>8.86</v>
      </c>
      <c r="C96" s="6">
        <v>31.76</v>
      </c>
      <c r="D96" s="6">
        <v>25.05</v>
      </c>
      <c r="E96" s="6">
        <v>11.07</v>
      </c>
      <c r="F96" s="6">
        <v>5.31</v>
      </c>
      <c r="G96" s="6">
        <v>116.71</v>
      </c>
      <c r="H96" s="6">
        <v>42.33</v>
      </c>
      <c r="I96" s="6">
        <v>6.13</v>
      </c>
      <c r="J96" s="6">
        <v>0.8</v>
      </c>
      <c r="K96" s="6">
        <v>62.49</v>
      </c>
      <c r="L96" s="6">
        <v>25.37</v>
      </c>
      <c r="M96" s="6">
        <v>44.69</v>
      </c>
      <c r="N96" s="6">
        <v>0</v>
      </c>
      <c r="O96" s="6">
        <v>0</v>
      </c>
      <c r="P96" s="6">
        <v>0.89</v>
      </c>
      <c r="Q96" s="6">
        <v>4.7300000000000004</v>
      </c>
    </row>
    <row r="97" spans="1:22" customFormat="1">
      <c r="A97" s="82">
        <v>45360.927083333336</v>
      </c>
      <c r="B97" s="6">
        <v>8.84</v>
      </c>
      <c r="C97" s="6">
        <v>32.520000000000003</v>
      </c>
      <c r="D97" s="6">
        <v>25.43</v>
      </c>
      <c r="E97" s="6">
        <v>11.51</v>
      </c>
      <c r="F97" s="6">
        <v>5.4</v>
      </c>
      <c r="G97" s="6">
        <v>117.5</v>
      </c>
      <c r="H97" s="6">
        <v>41.77</v>
      </c>
      <c r="I97" s="6">
        <v>6.32</v>
      </c>
      <c r="J97" s="6">
        <v>0.22</v>
      </c>
      <c r="K97" s="6">
        <v>146.34</v>
      </c>
      <c r="L97" s="6">
        <v>25.18</v>
      </c>
      <c r="M97" s="6">
        <v>47.41</v>
      </c>
      <c r="N97" s="6">
        <v>0</v>
      </c>
      <c r="O97" s="6">
        <v>0</v>
      </c>
      <c r="P97" s="6">
        <v>0.88</v>
      </c>
      <c r="Q97" s="6">
        <v>4.7300000000000004</v>
      </c>
    </row>
    <row r="98" spans="1:22" customFormat="1">
      <c r="A98" s="82">
        <v>45360.9375</v>
      </c>
      <c r="B98" s="6">
        <v>8.48</v>
      </c>
      <c r="C98" s="6">
        <v>32.549999999999997</v>
      </c>
      <c r="D98" s="6">
        <v>25.16</v>
      </c>
      <c r="E98" s="6">
        <v>10.26</v>
      </c>
      <c r="F98" s="6">
        <v>5.58</v>
      </c>
      <c r="G98" s="6">
        <v>117.5</v>
      </c>
      <c r="H98" s="6">
        <v>41.77</v>
      </c>
      <c r="I98" s="6">
        <v>6.43</v>
      </c>
      <c r="J98" s="6">
        <v>0.11</v>
      </c>
      <c r="K98" s="6">
        <v>174.9</v>
      </c>
      <c r="L98" s="6">
        <v>24.41</v>
      </c>
      <c r="M98" s="6">
        <v>50.67</v>
      </c>
      <c r="N98" s="6">
        <v>0</v>
      </c>
      <c r="O98" s="6">
        <v>0</v>
      </c>
      <c r="P98" s="6">
        <v>0.87</v>
      </c>
      <c r="Q98" s="6">
        <v>4.74</v>
      </c>
    </row>
    <row r="99" spans="1:22" customFormat="1">
      <c r="A99" s="82">
        <v>45360.947916666664</v>
      </c>
      <c r="B99" s="6">
        <v>8.2100000000000009</v>
      </c>
      <c r="C99" s="6">
        <v>32.17</v>
      </c>
      <c r="D99" s="6">
        <v>24.74</v>
      </c>
      <c r="E99" s="6">
        <v>10.5</v>
      </c>
      <c r="F99" s="6">
        <v>5.69</v>
      </c>
      <c r="G99" s="6">
        <v>117.5</v>
      </c>
      <c r="H99" s="6">
        <v>41.77</v>
      </c>
      <c r="I99" s="6">
        <v>6.41</v>
      </c>
      <c r="J99" s="6">
        <v>0.18</v>
      </c>
      <c r="K99" s="6">
        <v>99.5</v>
      </c>
      <c r="L99" s="6">
        <v>24.4</v>
      </c>
      <c r="M99" s="6">
        <v>49.57</v>
      </c>
      <c r="N99" s="6">
        <v>0</v>
      </c>
      <c r="O99" s="6">
        <v>0</v>
      </c>
      <c r="P99" s="6">
        <v>0.86</v>
      </c>
      <c r="Q99" s="6">
        <v>4.7300000000000004</v>
      </c>
    </row>
    <row r="100" spans="1:22" customFormat="1">
      <c r="A100" s="82">
        <v>45360.958333333336</v>
      </c>
      <c r="B100" s="6">
        <v>8.49</v>
      </c>
      <c r="C100" s="6">
        <v>32.94</v>
      </c>
      <c r="D100" s="6">
        <v>25.37</v>
      </c>
      <c r="E100" s="6">
        <v>10.54</v>
      </c>
      <c r="F100" s="6">
        <v>5.24</v>
      </c>
      <c r="G100" s="6">
        <v>118.14</v>
      </c>
      <c r="H100" s="6">
        <v>41.77</v>
      </c>
      <c r="I100" s="6">
        <v>6.35</v>
      </c>
      <c r="J100" s="6">
        <v>0.28000000000000003</v>
      </c>
      <c r="K100" s="6">
        <v>194.21</v>
      </c>
      <c r="L100" s="6">
        <v>23.61</v>
      </c>
      <c r="M100" s="6">
        <v>57.73</v>
      </c>
      <c r="N100" s="6">
        <v>0</v>
      </c>
      <c r="O100" s="6">
        <v>0</v>
      </c>
      <c r="P100" s="6">
        <v>0.86</v>
      </c>
      <c r="Q100" s="6">
        <v>4.72</v>
      </c>
    </row>
    <row r="101" spans="1:22" customFormat="1">
      <c r="A101" s="82">
        <v>45360.96875</v>
      </c>
      <c r="B101" s="6">
        <v>8.39</v>
      </c>
      <c r="C101" s="6">
        <v>32.380000000000003</v>
      </c>
      <c r="D101" s="6">
        <v>25</v>
      </c>
      <c r="E101" s="6">
        <v>9.6999999999999993</v>
      </c>
      <c r="F101" s="6">
        <v>5.35</v>
      </c>
      <c r="G101" s="6">
        <v>127.15</v>
      </c>
      <c r="H101" s="6">
        <v>41.8</v>
      </c>
      <c r="I101" s="6">
        <v>6.35</v>
      </c>
      <c r="J101" s="6">
        <v>0.18</v>
      </c>
      <c r="K101" s="6">
        <v>183.19</v>
      </c>
      <c r="L101" s="6">
        <v>22.94</v>
      </c>
      <c r="M101" s="6">
        <v>58.9</v>
      </c>
      <c r="N101" s="6">
        <v>0</v>
      </c>
      <c r="O101" s="6">
        <v>0</v>
      </c>
      <c r="P101" s="6">
        <v>0.84</v>
      </c>
      <c r="Q101" s="6">
        <v>4.75</v>
      </c>
    </row>
    <row r="102" spans="1:22" customFormat="1">
      <c r="A102" s="82">
        <v>45360.979166666664</v>
      </c>
      <c r="B102" s="6">
        <v>8.06</v>
      </c>
      <c r="C102" s="6">
        <v>31.19</v>
      </c>
      <c r="D102" s="6">
        <v>24.11</v>
      </c>
      <c r="E102" s="6">
        <v>9.9</v>
      </c>
      <c r="F102" s="6">
        <v>5.74</v>
      </c>
      <c r="G102" s="6">
        <v>127.15</v>
      </c>
      <c r="H102" s="6">
        <v>41.8</v>
      </c>
      <c r="I102" s="6">
        <v>6.43</v>
      </c>
      <c r="J102" s="6">
        <v>0.08</v>
      </c>
      <c r="K102" s="6">
        <v>198.82</v>
      </c>
      <c r="L102" s="6">
        <v>22.62</v>
      </c>
      <c r="M102" s="6">
        <v>59.9</v>
      </c>
      <c r="N102" s="6">
        <v>0</v>
      </c>
      <c r="O102" s="6">
        <v>0</v>
      </c>
      <c r="P102" s="6">
        <v>0.83</v>
      </c>
      <c r="Q102" s="6">
        <v>4.7300000000000004</v>
      </c>
    </row>
    <row r="103" spans="1:22" customFormat="1">
      <c r="A103" s="82">
        <v>45360.989583333336</v>
      </c>
      <c r="B103" s="6">
        <v>8.66</v>
      </c>
      <c r="C103" s="6">
        <v>31.7</v>
      </c>
      <c r="D103" s="6">
        <v>24.86</v>
      </c>
      <c r="E103" s="6">
        <v>9.64</v>
      </c>
      <c r="F103" s="6">
        <v>5.16</v>
      </c>
      <c r="G103" s="6">
        <v>127.15</v>
      </c>
      <c r="H103" s="6">
        <v>41.8</v>
      </c>
      <c r="I103" s="6">
        <v>6.32</v>
      </c>
      <c r="J103" s="6">
        <v>0.16</v>
      </c>
      <c r="K103" s="6">
        <v>107.52</v>
      </c>
      <c r="L103" s="6">
        <v>23.29</v>
      </c>
      <c r="M103" s="6">
        <v>55.48</v>
      </c>
      <c r="N103" s="6">
        <v>0</v>
      </c>
      <c r="O103" s="6">
        <v>0</v>
      </c>
      <c r="P103" s="6">
        <v>0.83</v>
      </c>
      <c r="Q103" s="6">
        <v>4.71</v>
      </c>
    </row>
    <row r="104" spans="1:22" customFormat="1">
      <c r="A104" s="82">
        <v>45361</v>
      </c>
      <c r="B104" s="6">
        <v>10.19</v>
      </c>
      <c r="C104" s="6">
        <v>32.86</v>
      </c>
      <c r="D104" s="6">
        <v>26.69</v>
      </c>
      <c r="E104" s="6">
        <v>8.1300000000000008</v>
      </c>
      <c r="F104" s="6">
        <v>4.7300000000000004</v>
      </c>
      <c r="G104" s="6">
        <v>125.83</v>
      </c>
      <c r="H104" s="6">
        <v>42.01</v>
      </c>
      <c r="I104" s="6">
        <v>6.27</v>
      </c>
      <c r="J104" s="6">
        <v>0.49</v>
      </c>
      <c r="K104" s="6">
        <v>75.73</v>
      </c>
      <c r="L104" s="6">
        <v>23.48</v>
      </c>
      <c r="M104" s="6">
        <v>54.72</v>
      </c>
      <c r="N104" s="6">
        <v>0</v>
      </c>
      <c r="O104" s="6">
        <v>0</v>
      </c>
      <c r="P104" s="6">
        <v>0.89</v>
      </c>
      <c r="Q104" s="6">
        <v>4.72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6" t="s">
        <v>48</v>
      </c>
      <c r="B106" s="187">
        <f>MIN(B9:B104)</f>
        <v>2.17</v>
      </c>
      <c r="C106" s="187">
        <f>MIN(C9:C104)</f>
        <v>15.65</v>
      </c>
      <c r="D106" s="187">
        <f t="shared" ref="D106:Q106" si="0">MIN(D9:D104)</f>
        <v>12.52</v>
      </c>
      <c r="E106" s="187">
        <f t="shared" si="0"/>
        <v>4.9800000000000004</v>
      </c>
      <c r="F106" s="187">
        <f t="shared" si="0"/>
        <v>4.57</v>
      </c>
      <c r="G106" s="187">
        <f t="shared" si="0"/>
        <v>42.99</v>
      </c>
      <c r="H106" s="187">
        <f t="shared" si="0"/>
        <v>21.94</v>
      </c>
      <c r="I106" s="187">
        <f t="shared" si="0"/>
        <v>2.85</v>
      </c>
      <c r="J106" s="187">
        <f t="shared" si="0"/>
        <v>0.08</v>
      </c>
      <c r="K106" s="187">
        <f t="shared" si="0"/>
        <v>35.090000000000003</v>
      </c>
      <c r="L106" s="187">
        <f t="shared" si="0"/>
        <v>19.82</v>
      </c>
      <c r="M106" s="187">
        <f t="shared" si="0"/>
        <v>19.93</v>
      </c>
      <c r="N106" s="187">
        <f t="shared" si="0"/>
        <v>0</v>
      </c>
      <c r="O106" s="187">
        <f t="shared" si="0"/>
        <v>0</v>
      </c>
      <c r="P106" s="187">
        <f t="shared" si="0"/>
        <v>0.41</v>
      </c>
      <c r="Q106" s="187">
        <f t="shared" si="0"/>
        <v>4.66</v>
      </c>
      <c r="R106" s="192"/>
      <c r="S106" s="192"/>
      <c r="T106" s="192"/>
      <c r="U106" s="192"/>
    </row>
    <row r="107" spans="1:22">
      <c r="A107" s="186" t="s">
        <v>49</v>
      </c>
      <c r="B107" s="188">
        <f>MAX(B9:B104)</f>
        <v>17.89</v>
      </c>
      <c r="C107" s="188">
        <f t="shared" ref="C107:Q107" si="1">MAX(C9:C104)</f>
        <v>33.880000000000003</v>
      </c>
      <c r="D107" s="188">
        <f t="shared" si="1"/>
        <v>32.49</v>
      </c>
      <c r="E107" s="188">
        <f t="shared" si="1"/>
        <v>35.72</v>
      </c>
      <c r="F107" s="188">
        <f t="shared" si="1"/>
        <v>48.06</v>
      </c>
      <c r="G107" s="188">
        <f t="shared" si="1"/>
        <v>127.15</v>
      </c>
      <c r="H107" s="188">
        <f t="shared" si="1"/>
        <v>42.79</v>
      </c>
      <c r="I107" s="188">
        <f t="shared" si="1"/>
        <v>7.72</v>
      </c>
      <c r="J107" s="188">
        <f t="shared" si="1"/>
        <v>2.0299999999999998</v>
      </c>
      <c r="K107" s="188">
        <f t="shared" si="1"/>
        <v>331.88</v>
      </c>
      <c r="L107" s="188">
        <f t="shared" si="1"/>
        <v>35.58</v>
      </c>
      <c r="M107" s="188">
        <f t="shared" si="1"/>
        <v>60.92</v>
      </c>
      <c r="N107" s="188">
        <f t="shared" si="1"/>
        <v>619.29999999999995</v>
      </c>
      <c r="O107" s="188">
        <f t="shared" si="1"/>
        <v>0</v>
      </c>
      <c r="P107" s="188">
        <f t="shared" si="1"/>
        <v>0.89</v>
      </c>
      <c r="Q107" s="188">
        <f t="shared" si="1"/>
        <v>4.82</v>
      </c>
      <c r="R107" s="193"/>
      <c r="S107" s="193"/>
      <c r="T107" s="193"/>
      <c r="U107" s="193"/>
    </row>
    <row r="108" spans="1:22">
      <c r="A108" s="186" t="s">
        <v>50</v>
      </c>
      <c r="B108" s="187">
        <f>AVERAGE(B9:B104)</f>
        <v>8.2015624999999979</v>
      </c>
      <c r="C108" s="187">
        <f t="shared" ref="C108:Q108" si="2">AVERAGE(C9:C104)</f>
        <v>27.77802083333334</v>
      </c>
      <c r="D108" s="187">
        <f t="shared" si="2"/>
        <v>22.441770833333326</v>
      </c>
      <c r="E108" s="187">
        <f t="shared" si="2"/>
        <v>13.485937500000004</v>
      </c>
      <c r="F108" s="187">
        <f t="shared" si="2"/>
        <v>11.136250000000004</v>
      </c>
      <c r="G108" s="187">
        <f t="shared" si="2"/>
        <v>76.884687499999941</v>
      </c>
      <c r="H108" s="187">
        <f t="shared" si="2"/>
        <v>31.101250000000007</v>
      </c>
      <c r="I108" s="187">
        <f t="shared" si="2"/>
        <v>5.1888541666666681</v>
      </c>
      <c r="J108" s="187">
        <f t="shared" si="2"/>
        <v>0.76291666666666658</v>
      </c>
      <c r="K108" s="187">
        <f t="shared" si="2"/>
        <v>104.96072916666662</v>
      </c>
      <c r="L108" s="187">
        <f t="shared" si="2"/>
        <v>26.436875000000004</v>
      </c>
      <c r="M108" s="187">
        <f t="shared" si="2"/>
        <v>40.396249999999995</v>
      </c>
      <c r="N108" s="187">
        <f t="shared" si="2"/>
        <v>161.30104166666669</v>
      </c>
      <c r="O108" s="187">
        <f t="shared" si="2"/>
        <v>0</v>
      </c>
      <c r="P108" s="187">
        <f t="shared" si="2"/>
        <v>0.66729166666666673</v>
      </c>
      <c r="Q108" s="187">
        <f t="shared" si="2"/>
        <v>4.7378125000000013</v>
      </c>
      <c r="R108" s="192"/>
      <c r="S108" s="192"/>
      <c r="T108" s="192"/>
      <c r="U108" s="192"/>
    </row>
    <row r="109" spans="1:22">
      <c r="A109" s="186" t="s">
        <v>51</v>
      </c>
      <c r="B109" s="187">
        <f>STDEV(B9:B104)</f>
        <v>3.6661157784930709</v>
      </c>
      <c r="C109" s="187">
        <f t="shared" ref="C109:Q109" si="3">STDEV(C9:C104)</f>
        <v>4.9347055838784266</v>
      </c>
      <c r="D109" s="187">
        <f t="shared" si="3"/>
        <v>5.0016580397834112</v>
      </c>
      <c r="E109" s="187">
        <f t="shared" si="3"/>
        <v>6.7530223375011449</v>
      </c>
      <c r="F109" s="187">
        <f t="shared" si="3"/>
        <v>11.165686369644416</v>
      </c>
      <c r="G109" s="187">
        <f t="shared" si="3"/>
        <v>23.25242968416665</v>
      </c>
      <c r="H109" s="187">
        <f t="shared" si="3"/>
        <v>7.4504340036070964</v>
      </c>
      <c r="I109" s="187">
        <f t="shared" si="3"/>
        <v>1.2775897288843838</v>
      </c>
      <c r="J109" s="187">
        <f t="shared" si="3"/>
        <v>0.5074371450143863</v>
      </c>
      <c r="K109" s="187">
        <f t="shared" si="3"/>
        <v>73.914898993010453</v>
      </c>
      <c r="L109" s="187">
        <f t="shared" si="3"/>
        <v>5.0280556695197367</v>
      </c>
      <c r="M109" s="187">
        <f t="shared" si="3"/>
        <v>12.126980120463005</v>
      </c>
      <c r="N109" s="187">
        <f t="shared" si="3"/>
        <v>224.02720628708965</v>
      </c>
      <c r="O109" s="187">
        <f t="shared" si="3"/>
        <v>0</v>
      </c>
      <c r="P109" s="187">
        <f t="shared" si="3"/>
        <v>0.12592795907658005</v>
      </c>
      <c r="Q109" s="187">
        <f t="shared" si="3"/>
        <v>4.2629446827775086E-2</v>
      </c>
      <c r="R109" s="192"/>
      <c r="S109" s="192"/>
      <c r="T109" s="192"/>
      <c r="U109" s="192"/>
    </row>
    <row r="110" spans="1:22">
      <c r="A110" s="186" t="s">
        <v>52</v>
      </c>
      <c r="B110" s="188">
        <f t="shared" ref="B110:Q110" si="4">COUNT(B9:B104)</f>
        <v>96</v>
      </c>
      <c r="C110" s="188">
        <f t="shared" si="4"/>
        <v>96</v>
      </c>
      <c r="D110" s="188">
        <f t="shared" si="4"/>
        <v>96</v>
      </c>
      <c r="E110" s="188">
        <f t="shared" si="4"/>
        <v>96</v>
      </c>
      <c r="F110" s="188">
        <f t="shared" si="4"/>
        <v>96</v>
      </c>
      <c r="G110" s="188">
        <f t="shared" si="4"/>
        <v>96</v>
      </c>
      <c r="H110" s="188">
        <f t="shared" si="4"/>
        <v>96</v>
      </c>
      <c r="I110" s="188">
        <f t="shared" si="4"/>
        <v>96</v>
      </c>
      <c r="J110" s="188">
        <f t="shared" si="4"/>
        <v>96</v>
      </c>
      <c r="K110" s="188">
        <f t="shared" si="4"/>
        <v>96</v>
      </c>
      <c r="L110" s="188">
        <f t="shared" si="4"/>
        <v>96</v>
      </c>
      <c r="M110" s="188">
        <f t="shared" si="4"/>
        <v>96</v>
      </c>
      <c r="N110" s="188">
        <f t="shared" si="4"/>
        <v>96</v>
      </c>
      <c r="O110" s="188">
        <f t="shared" si="4"/>
        <v>96</v>
      </c>
      <c r="P110" s="188">
        <f t="shared" si="4"/>
        <v>96</v>
      </c>
      <c r="Q110" s="188">
        <f t="shared" si="4"/>
        <v>96</v>
      </c>
      <c r="R110" s="193"/>
      <c r="S110" s="193"/>
      <c r="T110" s="193"/>
      <c r="U110" s="193"/>
      <c r="V110" s="188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91"/>
      <c r="O113" s="191"/>
      <c r="P113" s="191"/>
      <c r="Q113" s="191"/>
      <c r="R113" s="191"/>
      <c r="S113" s="191"/>
      <c r="T113" s="191"/>
      <c r="U113" s="191"/>
    </row>
    <row r="115" spans="1:21">
      <c r="A115" s="153" t="s">
        <v>55</v>
      </c>
      <c r="B115" s="197" t="s">
        <v>56</v>
      </c>
      <c r="C115" s="197"/>
      <c r="D115" s="197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9" t="s">
        <v>57</v>
      </c>
      <c r="B117" s="198"/>
      <c r="C117" s="198"/>
      <c r="D117" s="198"/>
      <c r="E117" s="198"/>
      <c r="F117" s="198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45361.010416666664</v>
      </c>
      <c r="C2" s="196" t="s">
        <v>3</v>
      </c>
      <c r="D2" s="196"/>
      <c r="E2" s="196"/>
      <c r="F2" s="196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2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6" t="s">
        <v>11</v>
      </c>
      <c r="D3" s="196"/>
      <c r="E3" s="196"/>
      <c r="F3" s="196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2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6" t="s">
        <v>18</v>
      </c>
      <c r="D4" s="196"/>
      <c r="E4" s="196"/>
      <c r="F4" s="196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3" t="s">
        <v>43</v>
      </c>
      <c r="M8" s="114" t="s">
        <v>44</v>
      </c>
      <c r="N8" s="114" t="s">
        <v>45</v>
      </c>
      <c r="O8" s="183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2">
        <v>45361.010416666664</v>
      </c>
      <c r="B9" s="6">
        <v>8.44</v>
      </c>
      <c r="C9" s="6">
        <v>30.07</v>
      </c>
      <c r="D9" s="6">
        <v>23.83</v>
      </c>
      <c r="E9" s="6">
        <v>7.4</v>
      </c>
      <c r="F9" s="6">
        <v>5.08</v>
      </c>
      <c r="G9" s="6">
        <v>107.39</v>
      </c>
      <c r="H9" s="6">
        <v>44.15</v>
      </c>
      <c r="I9" s="6">
        <v>6.25</v>
      </c>
      <c r="J9" s="6">
        <v>0.34</v>
      </c>
      <c r="K9" s="6">
        <v>79.099999999999994</v>
      </c>
      <c r="L9" s="6">
        <v>23.75</v>
      </c>
      <c r="M9" s="6">
        <v>52.77</v>
      </c>
      <c r="N9" s="6">
        <v>0</v>
      </c>
      <c r="O9" s="6">
        <v>0</v>
      </c>
      <c r="P9" s="6">
        <v>0.89</v>
      </c>
      <c r="Q9" s="6">
        <v>4.7300000000000004</v>
      </c>
    </row>
    <row r="10" spans="1:21" customFormat="1">
      <c r="A10" s="82">
        <v>45361.020833333336</v>
      </c>
      <c r="B10" s="6">
        <v>8.65</v>
      </c>
      <c r="C10" s="6">
        <v>28.47</v>
      </c>
      <c r="D10" s="6">
        <v>23.16</v>
      </c>
      <c r="E10" s="6">
        <v>6.55</v>
      </c>
      <c r="F10" s="6">
        <v>5.21</v>
      </c>
      <c r="G10" s="6">
        <v>107.39</v>
      </c>
      <c r="H10" s="6">
        <v>44.15</v>
      </c>
      <c r="I10" s="6">
        <v>6.24</v>
      </c>
      <c r="J10" s="6">
        <v>0.27</v>
      </c>
      <c r="K10" s="6">
        <v>176.41</v>
      </c>
      <c r="L10" s="6">
        <v>23.08</v>
      </c>
      <c r="M10" s="6">
        <v>58.76</v>
      </c>
      <c r="N10" s="6">
        <v>0</v>
      </c>
      <c r="O10" s="6">
        <v>0</v>
      </c>
      <c r="P10" s="6">
        <v>0.88</v>
      </c>
      <c r="Q10" s="6">
        <v>4.76</v>
      </c>
    </row>
    <row r="11" spans="1:21" customFormat="1">
      <c r="A11" s="82">
        <v>45361.03125</v>
      </c>
      <c r="B11" s="6">
        <v>8.39</v>
      </c>
      <c r="C11" s="6">
        <v>27.07</v>
      </c>
      <c r="D11" s="6">
        <v>22.22</v>
      </c>
      <c r="E11" s="6">
        <v>5.77</v>
      </c>
      <c r="F11" s="6">
        <v>5.27</v>
      </c>
      <c r="G11" s="6">
        <v>107.39</v>
      </c>
      <c r="H11" s="6">
        <v>44.15</v>
      </c>
      <c r="I11" s="6">
        <v>6.22</v>
      </c>
      <c r="J11" s="6">
        <v>0.24</v>
      </c>
      <c r="K11" s="6">
        <v>163.37</v>
      </c>
      <c r="L11" s="6">
        <v>22.17</v>
      </c>
      <c r="M11" s="6">
        <v>62.56</v>
      </c>
      <c r="N11" s="6">
        <v>0</v>
      </c>
      <c r="O11" s="6">
        <v>0</v>
      </c>
      <c r="P11" s="6">
        <v>0.87</v>
      </c>
      <c r="Q11" s="6">
        <v>4.7699999999999996</v>
      </c>
    </row>
    <row r="12" spans="1:21" customFormat="1">
      <c r="A12" s="82">
        <v>45361.041666666664</v>
      </c>
      <c r="B12" s="6">
        <v>7.95</v>
      </c>
      <c r="C12" s="6">
        <v>25.84</v>
      </c>
      <c r="D12" s="6">
        <v>21.23</v>
      </c>
      <c r="E12" s="6">
        <v>5.51</v>
      </c>
      <c r="F12" s="6">
        <v>5.17</v>
      </c>
      <c r="G12" s="6">
        <v>106.74</v>
      </c>
      <c r="H12" s="6">
        <v>43.92</v>
      </c>
      <c r="I12" s="6">
        <v>6.24</v>
      </c>
      <c r="J12" s="6">
        <v>0.12</v>
      </c>
      <c r="K12" s="6">
        <v>189.59</v>
      </c>
      <c r="L12" s="6">
        <v>22.11</v>
      </c>
      <c r="M12" s="6">
        <v>62.01</v>
      </c>
      <c r="N12" s="6">
        <v>0</v>
      </c>
      <c r="O12" s="6">
        <v>0</v>
      </c>
      <c r="P12" s="6">
        <v>0.86</v>
      </c>
      <c r="Q12" s="6">
        <v>4.76</v>
      </c>
    </row>
    <row r="13" spans="1:21" customFormat="1">
      <c r="A13" s="82">
        <v>45361.052083333336</v>
      </c>
      <c r="B13" s="6">
        <v>7.32</v>
      </c>
      <c r="C13" s="6">
        <v>24.8</v>
      </c>
      <c r="D13" s="6">
        <v>20.18</v>
      </c>
      <c r="E13" s="6">
        <v>4.42</v>
      </c>
      <c r="F13" s="6">
        <v>5.03</v>
      </c>
      <c r="G13" s="6">
        <v>99.09</v>
      </c>
      <c r="H13" s="6">
        <v>41.54</v>
      </c>
      <c r="I13" s="6">
        <v>6.3</v>
      </c>
      <c r="J13" s="6">
        <v>0.79</v>
      </c>
      <c r="K13" s="6">
        <v>54.19</v>
      </c>
      <c r="L13" s="6">
        <v>22.66</v>
      </c>
      <c r="M13" s="6">
        <v>56.04</v>
      </c>
      <c r="N13" s="6">
        <v>0</v>
      </c>
      <c r="O13" s="6">
        <v>0</v>
      </c>
      <c r="P13" s="6">
        <v>0.83</v>
      </c>
      <c r="Q13" s="6">
        <v>4.7699999999999996</v>
      </c>
    </row>
    <row r="14" spans="1:21" customFormat="1">
      <c r="A14" s="82">
        <v>45361.0625</v>
      </c>
      <c r="B14" s="6">
        <v>7.06</v>
      </c>
      <c r="C14" s="6">
        <v>24.03</v>
      </c>
      <c r="D14" s="6">
        <v>19.57</v>
      </c>
      <c r="E14" s="6">
        <v>4.1500000000000004</v>
      </c>
      <c r="F14" s="6">
        <v>5.07</v>
      </c>
      <c r="G14" s="6">
        <v>99.09</v>
      </c>
      <c r="H14" s="6">
        <v>41.54</v>
      </c>
      <c r="I14" s="6">
        <v>6.26</v>
      </c>
      <c r="J14" s="6">
        <v>0.9</v>
      </c>
      <c r="K14" s="6">
        <v>64.39</v>
      </c>
      <c r="L14" s="6">
        <v>22.74</v>
      </c>
      <c r="M14" s="6">
        <v>55.97</v>
      </c>
      <c r="N14" s="6">
        <v>0</v>
      </c>
      <c r="O14" s="6">
        <v>0</v>
      </c>
      <c r="P14" s="6">
        <v>0.83</v>
      </c>
      <c r="Q14" s="6">
        <v>4.78</v>
      </c>
    </row>
    <row r="15" spans="1:21" customFormat="1">
      <c r="A15" s="82">
        <v>45361.072916666664</v>
      </c>
      <c r="B15" s="6">
        <v>6.76</v>
      </c>
      <c r="C15" s="6">
        <v>23.47</v>
      </c>
      <c r="D15" s="6">
        <v>19.04</v>
      </c>
      <c r="E15" s="6">
        <v>4.26</v>
      </c>
      <c r="F15" s="6">
        <v>5.09</v>
      </c>
      <c r="G15" s="6">
        <v>99.09</v>
      </c>
      <c r="H15" s="6">
        <v>41.54</v>
      </c>
      <c r="I15" s="6">
        <v>6.2</v>
      </c>
      <c r="J15" s="6">
        <v>0.21</v>
      </c>
      <c r="K15" s="6">
        <v>87.31</v>
      </c>
      <c r="L15" s="6">
        <v>22.75</v>
      </c>
      <c r="M15" s="6">
        <v>56.38</v>
      </c>
      <c r="N15" s="6">
        <v>0</v>
      </c>
      <c r="O15" s="6">
        <v>0</v>
      </c>
      <c r="P15" s="6">
        <v>0.81</v>
      </c>
      <c r="Q15" s="6">
        <v>4.7699999999999996</v>
      </c>
    </row>
    <row r="16" spans="1:21" customFormat="1">
      <c r="A16" s="82">
        <v>45361.083333333336</v>
      </c>
      <c r="B16" s="6">
        <v>6.05</v>
      </c>
      <c r="C16" s="6">
        <v>23.58</v>
      </c>
      <c r="D16" s="6">
        <v>18.52</v>
      </c>
      <c r="E16" s="6">
        <v>6.49</v>
      </c>
      <c r="F16" s="6">
        <v>5.63</v>
      </c>
      <c r="G16" s="6">
        <v>97.98</v>
      </c>
      <c r="H16" s="6">
        <v>41.33</v>
      </c>
      <c r="I16" s="6">
        <v>6.22</v>
      </c>
      <c r="J16" s="6">
        <v>0.15</v>
      </c>
      <c r="K16" s="6">
        <v>192.72</v>
      </c>
      <c r="L16" s="6">
        <v>22.09</v>
      </c>
      <c r="M16" s="6">
        <v>60.3</v>
      </c>
      <c r="N16" s="6">
        <v>0</v>
      </c>
      <c r="O16" s="6">
        <v>0</v>
      </c>
      <c r="P16" s="6">
        <v>0.78</v>
      </c>
      <c r="Q16" s="6">
        <v>4.74</v>
      </c>
    </row>
    <row r="17" spans="1:17" customFormat="1">
      <c r="A17" s="82">
        <v>45361.09375</v>
      </c>
      <c r="B17" s="6">
        <v>5.0199999999999996</v>
      </c>
      <c r="C17" s="6">
        <v>24.11</v>
      </c>
      <c r="D17" s="6">
        <v>17.97</v>
      </c>
      <c r="E17" s="6">
        <v>8.75</v>
      </c>
      <c r="F17" s="6">
        <v>6.19</v>
      </c>
      <c r="G17" s="6">
        <v>82.33</v>
      </c>
      <c r="H17" s="6">
        <v>38.82</v>
      </c>
      <c r="I17" s="6">
        <v>6.13</v>
      </c>
      <c r="J17" s="6">
        <v>0.23</v>
      </c>
      <c r="K17" s="6">
        <v>200.52</v>
      </c>
      <c r="L17" s="6">
        <v>21.83</v>
      </c>
      <c r="M17" s="6">
        <v>62.88</v>
      </c>
      <c r="N17" s="6">
        <v>0</v>
      </c>
      <c r="O17" s="6">
        <v>0</v>
      </c>
      <c r="P17" s="6">
        <v>0.78</v>
      </c>
      <c r="Q17" s="6">
        <v>4.74</v>
      </c>
    </row>
    <row r="18" spans="1:17" customFormat="1">
      <c r="A18" s="82">
        <v>45361.104166666664</v>
      </c>
      <c r="B18" s="6">
        <v>4.28</v>
      </c>
      <c r="C18" s="6">
        <v>24.16</v>
      </c>
      <c r="D18" s="6">
        <v>17.399999999999999</v>
      </c>
      <c r="E18" s="6">
        <v>10.37</v>
      </c>
      <c r="F18" s="6">
        <v>6.25</v>
      </c>
      <c r="G18" s="6">
        <v>82.33</v>
      </c>
      <c r="H18" s="6">
        <v>38.82</v>
      </c>
      <c r="I18" s="6">
        <v>6.01</v>
      </c>
      <c r="J18" s="6">
        <v>0.09</v>
      </c>
      <c r="K18" s="6">
        <v>211.21</v>
      </c>
      <c r="L18" s="6">
        <v>21.33</v>
      </c>
      <c r="M18" s="6">
        <v>64.459999999999994</v>
      </c>
      <c r="N18" s="6">
        <v>0</v>
      </c>
      <c r="O18" s="6">
        <v>0</v>
      </c>
      <c r="P18" s="6">
        <v>0.77</v>
      </c>
      <c r="Q18" s="6">
        <v>4.76</v>
      </c>
    </row>
    <row r="19" spans="1:17" customFormat="1">
      <c r="A19" s="82">
        <v>45361.114583333336</v>
      </c>
      <c r="B19" s="6">
        <v>3.83</v>
      </c>
      <c r="C19" s="6">
        <v>24.16</v>
      </c>
      <c r="D19" s="6">
        <v>17.04</v>
      </c>
      <c r="E19" s="6">
        <v>10.07</v>
      </c>
      <c r="F19" s="6">
        <v>6.14</v>
      </c>
      <c r="G19" s="6">
        <v>82.33</v>
      </c>
      <c r="H19" s="6">
        <v>38.82</v>
      </c>
      <c r="I19" s="6">
        <v>5.92</v>
      </c>
      <c r="J19" s="6">
        <v>0.17</v>
      </c>
      <c r="K19" s="6">
        <v>10.35</v>
      </c>
      <c r="L19" s="6">
        <v>21.46</v>
      </c>
      <c r="M19" s="6">
        <v>62.15</v>
      </c>
      <c r="N19" s="6">
        <v>0</v>
      </c>
      <c r="O19" s="6">
        <v>0</v>
      </c>
      <c r="P19" s="6">
        <v>0.76</v>
      </c>
      <c r="Q19" s="6">
        <v>4.75</v>
      </c>
    </row>
    <row r="20" spans="1:17" customFormat="1">
      <c r="A20" s="82">
        <v>45361.125</v>
      </c>
      <c r="B20" s="6">
        <v>3.89</v>
      </c>
      <c r="C20" s="6">
        <v>25.04</v>
      </c>
      <c r="D20" s="6">
        <v>17.559999999999999</v>
      </c>
      <c r="E20" s="6">
        <v>10.67</v>
      </c>
      <c r="F20" s="6">
        <v>5.77</v>
      </c>
      <c r="G20" s="6">
        <v>81.93</v>
      </c>
      <c r="H20" s="6">
        <v>38.44</v>
      </c>
      <c r="I20" s="6">
        <v>5.8</v>
      </c>
      <c r="J20" s="6">
        <v>0.71</v>
      </c>
      <c r="K20" s="6">
        <v>48.44</v>
      </c>
      <c r="L20" s="6">
        <v>21.97</v>
      </c>
      <c r="M20" s="6">
        <v>56.47</v>
      </c>
      <c r="N20" s="6">
        <v>0</v>
      </c>
      <c r="O20" s="6">
        <v>0</v>
      </c>
      <c r="P20" s="6">
        <v>0.75</v>
      </c>
      <c r="Q20" s="6">
        <v>4.76</v>
      </c>
    </row>
    <row r="21" spans="1:17" customFormat="1">
      <c r="A21" s="82">
        <v>45361.135416666664</v>
      </c>
      <c r="B21" s="6">
        <v>4.08</v>
      </c>
      <c r="C21" s="6">
        <v>25.74</v>
      </c>
      <c r="D21" s="6">
        <v>18.079999999999998</v>
      </c>
      <c r="E21" s="6">
        <v>10.8</v>
      </c>
      <c r="F21" s="6">
        <v>5.82</v>
      </c>
      <c r="G21" s="6">
        <v>76.36</v>
      </c>
      <c r="H21" s="6">
        <v>33.770000000000003</v>
      </c>
      <c r="I21" s="6">
        <v>5.75</v>
      </c>
      <c r="J21" s="6">
        <v>0.66</v>
      </c>
      <c r="K21" s="6">
        <v>36.630000000000003</v>
      </c>
      <c r="L21" s="6">
        <v>21.98</v>
      </c>
      <c r="M21" s="6">
        <v>55.72</v>
      </c>
      <c r="N21" s="6">
        <v>0</v>
      </c>
      <c r="O21" s="6">
        <v>0</v>
      </c>
      <c r="P21" s="6">
        <v>0.74</v>
      </c>
      <c r="Q21" s="6">
        <v>4.76</v>
      </c>
    </row>
    <row r="22" spans="1:17" customFormat="1">
      <c r="A22" s="82">
        <v>45361.145833333336</v>
      </c>
      <c r="B22" s="6">
        <v>4.41</v>
      </c>
      <c r="C22" s="6">
        <v>26.37</v>
      </c>
      <c r="D22" s="6">
        <v>18.670000000000002</v>
      </c>
      <c r="E22" s="6">
        <v>10.220000000000001</v>
      </c>
      <c r="F22" s="6">
        <v>5.67</v>
      </c>
      <c r="G22" s="6">
        <v>76.36</v>
      </c>
      <c r="H22" s="6">
        <v>33.770000000000003</v>
      </c>
      <c r="I22" s="6">
        <v>5.62</v>
      </c>
      <c r="J22" s="6">
        <v>0.52</v>
      </c>
      <c r="K22" s="6">
        <v>32.86</v>
      </c>
      <c r="L22" s="6">
        <v>21.26</v>
      </c>
      <c r="M22" s="6">
        <v>57.83</v>
      </c>
      <c r="N22" s="6">
        <v>0</v>
      </c>
      <c r="O22" s="6">
        <v>0</v>
      </c>
      <c r="P22" s="6">
        <v>0.74</v>
      </c>
      <c r="Q22" s="6">
        <v>4.7699999999999996</v>
      </c>
    </row>
    <row r="23" spans="1:17" customFormat="1">
      <c r="A23" s="82">
        <v>45361.15625</v>
      </c>
      <c r="B23" s="6">
        <v>4.78</v>
      </c>
      <c r="C23" s="6">
        <v>26.97</v>
      </c>
      <c r="D23" s="6">
        <v>19.27</v>
      </c>
      <c r="E23" s="6">
        <v>10.95</v>
      </c>
      <c r="F23" s="6">
        <v>5.46</v>
      </c>
      <c r="G23" s="6">
        <v>76.36</v>
      </c>
      <c r="H23" s="6">
        <v>33.770000000000003</v>
      </c>
      <c r="I23" s="6">
        <v>5.56</v>
      </c>
      <c r="J23" s="6">
        <v>0.55000000000000004</v>
      </c>
      <c r="K23" s="6">
        <v>45.73</v>
      </c>
      <c r="L23" s="6">
        <v>21.5</v>
      </c>
      <c r="M23" s="6">
        <v>53.93</v>
      </c>
      <c r="N23" s="6">
        <v>0</v>
      </c>
      <c r="O23" s="6">
        <v>0</v>
      </c>
      <c r="P23" s="6">
        <v>0.73</v>
      </c>
      <c r="Q23" s="6">
        <v>4.75</v>
      </c>
    </row>
    <row r="24" spans="1:17" customFormat="1">
      <c r="A24" s="82">
        <v>45361.166666666664</v>
      </c>
      <c r="B24" s="6">
        <v>5.07</v>
      </c>
      <c r="C24" s="6">
        <v>27.34</v>
      </c>
      <c r="D24" s="6">
        <v>19.71</v>
      </c>
      <c r="E24" s="6">
        <v>10.81</v>
      </c>
      <c r="F24" s="6">
        <v>5.43</v>
      </c>
      <c r="G24" s="6">
        <v>76.44</v>
      </c>
      <c r="H24" s="6">
        <v>33.89</v>
      </c>
      <c r="I24" s="6">
        <v>5.49</v>
      </c>
      <c r="J24" s="6">
        <v>0.57999999999999996</v>
      </c>
      <c r="K24" s="6">
        <v>40.74</v>
      </c>
      <c r="L24" s="6">
        <v>21.67</v>
      </c>
      <c r="M24" s="6">
        <v>53.27</v>
      </c>
      <c r="N24" s="6">
        <v>0</v>
      </c>
      <c r="O24" s="6">
        <v>0</v>
      </c>
      <c r="P24" s="6">
        <v>0.72</v>
      </c>
      <c r="Q24" s="6">
        <v>4.74</v>
      </c>
    </row>
    <row r="25" spans="1:17" customFormat="1">
      <c r="A25" s="82">
        <v>45361.177083333336</v>
      </c>
      <c r="B25" s="6">
        <v>5.48</v>
      </c>
      <c r="C25" s="6">
        <v>27.96</v>
      </c>
      <c r="D25" s="6">
        <v>20.350000000000001</v>
      </c>
      <c r="E25" s="6">
        <v>12.34</v>
      </c>
      <c r="F25" s="6">
        <v>5.19</v>
      </c>
      <c r="G25" s="6">
        <v>77.47</v>
      </c>
      <c r="H25" s="6">
        <v>35.25</v>
      </c>
      <c r="I25" s="6">
        <v>5.41</v>
      </c>
      <c r="J25" s="6">
        <v>0.6</v>
      </c>
      <c r="K25" s="6">
        <v>52.04</v>
      </c>
      <c r="L25" s="6">
        <v>21.54</v>
      </c>
      <c r="M25" s="6">
        <v>54.05</v>
      </c>
      <c r="N25" s="6">
        <v>0</v>
      </c>
      <c r="O25" s="6">
        <v>0</v>
      </c>
      <c r="P25" s="6">
        <v>0.71</v>
      </c>
      <c r="Q25" s="6">
        <v>4.75</v>
      </c>
    </row>
    <row r="26" spans="1:17" customFormat="1">
      <c r="A26" s="82">
        <v>45361.1875</v>
      </c>
      <c r="B26" s="6">
        <v>5.76</v>
      </c>
      <c r="C26" s="6">
        <v>27.97</v>
      </c>
      <c r="D26" s="6">
        <v>20.59</v>
      </c>
      <c r="E26" s="6">
        <v>11.91</v>
      </c>
      <c r="F26" s="6">
        <v>5.24</v>
      </c>
      <c r="G26" s="6">
        <v>77.47</v>
      </c>
      <c r="H26" s="6">
        <v>35.25</v>
      </c>
      <c r="I26" s="6">
        <v>5.33</v>
      </c>
      <c r="J26" s="6">
        <v>0.78</v>
      </c>
      <c r="K26" s="6">
        <v>56.65</v>
      </c>
      <c r="L26" s="6">
        <v>21.28</v>
      </c>
      <c r="M26" s="6">
        <v>55.27</v>
      </c>
      <c r="N26" s="6">
        <v>0</v>
      </c>
      <c r="O26" s="6">
        <v>0</v>
      </c>
      <c r="P26" s="6">
        <v>0.72</v>
      </c>
      <c r="Q26" s="6">
        <v>4.74</v>
      </c>
    </row>
    <row r="27" spans="1:17" customFormat="1">
      <c r="A27" s="82">
        <v>45361.197916666664</v>
      </c>
      <c r="B27" s="6">
        <v>6.11</v>
      </c>
      <c r="C27" s="6">
        <v>28.31</v>
      </c>
      <c r="D27" s="6">
        <v>21.04</v>
      </c>
      <c r="E27" s="6">
        <v>12.2</v>
      </c>
      <c r="F27" s="6">
        <v>5.09</v>
      </c>
      <c r="G27" s="6">
        <v>77.47</v>
      </c>
      <c r="H27" s="6">
        <v>35.25</v>
      </c>
      <c r="I27" s="6">
        <v>5.4</v>
      </c>
      <c r="J27" s="6">
        <v>0.66</v>
      </c>
      <c r="K27" s="6">
        <v>34.06</v>
      </c>
      <c r="L27" s="6">
        <v>21.12</v>
      </c>
      <c r="M27" s="6">
        <v>55.4</v>
      </c>
      <c r="N27" s="6">
        <v>0</v>
      </c>
      <c r="O27" s="6">
        <v>0</v>
      </c>
      <c r="P27" s="6">
        <v>0.71</v>
      </c>
      <c r="Q27" s="6">
        <v>4.76</v>
      </c>
    </row>
    <row r="28" spans="1:17" customFormat="1">
      <c r="A28" s="82">
        <v>45361.208333333336</v>
      </c>
      <c r="B28" s="6">
        <v>6.55</v>
      </c>
      <c r="C28" s="6">
        <v>28.7</v>
      </c>
      <c r="D28" s="6">
        <v>21.6</v>
      </c>
      <c r="E28" s="6">
        <v>12.34</v>
      </c>
      <c r="F28" s="6">
        <v>5.0199999999999996</v>
      </c>
      <c r="G28" s="6">
        <v>77.23</v>
      </c>
      <c r="H28" s="6">
        <v>35.17</v>
      </c>
      <c r="I28" s="6">
        <v>5.34</v>
      </c>
      <c r="J28" s="6">
        <v>0.68</v>
      </c>
      <c r="K28" s="6">
        <v>34.08</v>
      </c>
      <c r="L28" s="6">
        <v>21.04</v>
      </c>
      <c r="M28" s="6">
        <v>55.34</v>
      </c>
      <c r="N28" s="6">
        <v>0</v>
      </c>
      <c r="O28" s="6">
        <v>0</v>
      </c>
      <c r="P28" s="6">
        <v>0.71</v>
      </c>
      <c r="Q28" s="6">
        <v>4.75</v>
      </c>
    </row>
    <row r="29" spans="1:17" customFormat="1">
      <c r="A29" s="82">
        <v>45361.21875</v>
      </c>
      <c r="B29" s="6">
        <v>6.73</v>
      </c>
      <c r="C29" s="6">
        <v>29.04</v>
      </c>
      <c r="D29" s="6">
        <v>21.92</v>
      </c>
      <c r="E29" s="6">
        <v>11.79</v>
      </c>
      <c r="F29" s="6">
        <v>4.9400000000000004</v>
      </c>
      <c r="G29" s="6">
        <v>73.930000000000007</v>
      </c>
      <c r="H29" s="6">
        <v>34.119999999999997</v>
      </c>
      <c r="I29" s="6">
        <v>5.42</v>
      </c>
      <c r="J29" s="6">
        <v>0.85</v>
      </c>
      <c r="K29" s="6">
        <v>44.26</v>
      </c>
      <c r="L29" s="6">
        <v>20.98</v>
      </c>
      <c r="M29" s="6">
        <v>55.27</v>
      </c>
      <c r="N29" s="6">
        <v>0</v>
      </c>
      <c r="O29" s="6">
        <v>0</v>
      </c>
      <c r="P29" s="6">
        <v>0.72</v>
      </c>
      <c r="Q29" s="6">
        <v>4.76</v>
      </c>
    </row>
    <row r="30" spans="1:17" customFormat="1">
      <c r="A30" s="82">
        <v>45361.229166666664</v>
      </c>
      <c r="B30" s="6">
        <v>7.37</v>
      </c>
      <c r="C30" s="6">
        <v>29.25</v>
      </c>
      <c r="D30" s="6">
        <v>22.55</v>
      </c>
      <c r="E30" s="6">
        <v>12.11</v>
      </c>
      <c r="F30" s="6">
        <v>4.8</v>
      </c>
      <c r="G30" s="6">
        <v>73.930000000000007</v>
      </c>
      <c r="H30" s="6">
        <v>34.119999999999997</v>
      </c>
      <c r="I30" s="6">
        <v>5.43</v>
      </c>
      <c r="J30" s="6">
        <v>0.83</v>
      </c>
      <c r="K30" s="6">
        <v>54.49</v>
      </c>
      <c r="L30" s="6">
        <v>20.86</v>
      </c>
      <c r="M30" s="6">
        <v>55.14</v>
      </c>
      <c r="N30" s="6">
        <v>0</v>
      </c>
      <c r="O30" s="6">
        <v>0</v>
      </c>
      <c r="P30" s="6">
        <v>0.72</v>
      </c>
      <c r="Q30" s="6">
        <v>4.75</v>
      </c>
    </row>
    <row r="31" spans="1:17" customFormat="1">
      <c r="A31" s="82">
        <v>45361.239583333336</v>
      </c>
      <c r="B31" s="6">
        <v>8.2899999999999991</v>
      </c>
      <c r="C31" s="6">
        <v>29.97</v>
      </c>
      <c r="D31" s="6">
        <v>23.65</v>
      </c>
      <c r="E31" s="6">
        <v>12.67</v>
      </c>
      <c r="F31" s="6">
        <v>4.71</v>
      </c>
      <c r="G31" s="6">
        <v>73.930000000000007</v>
      </c>
      <c r="H31" s="6">
        <v>34.119999999999997</v>
      </c>
      <c r="I31" s="6">
        <v>5.52</v>
      </c>
      <c r="J31" s="6">
        <v>0.66</v>
      </c>
      <c r="K31" s="6">
        <v>54.59</v>
      </c>
      <c r="L31" s="6">
        <v>20.73</v>
      </c>
      <c r="M31" s="6">
        <v>55.2</v>
      </c>
      <c r="N31" s="6">
        <v>0</v>
      </c>
      <c r="O31" s="6">
        <v>0</v>
      </c>
      <c r="P31" s="6">
        <v>0.73</v>
      </c>
      <c r="Q31" s="6">
        <v>4.75</v>
      </c>
    </row>
    <row r="32" spans="1:17" customFormat="1">
      <c r="A32" s="82">
        <v>45361.25</v>
      </c>
      <c r="B32" s="6">
        <v>9.5500000000000007</v>
      </c>
      <c r="C32" s="6">
        <v>30.91</v>
      </c>
      <c r="D32" s="6">
        <v>25.16</v>
      </c>
      <c r="E32" s="6">
        <v>12.67</v>
      </c>
      <c r="F32" s="6">
        <v>4.6500000000000004</v>
      </c>
      <c r="G32" s="6">
        <v>74.069999999999993</v>
      </c>
      <c r="H32" s="6">
        <v>34.380000000000003</v>
      </c>
      <c r="I32" s="6">
        <v>5.58</v>
      </c>
      <c r="J32" s="6">
        <v>1.03</v>
      </c>
      <c r="K32" s="6">
        <v>56.47</v>
      </c>
      <c r="L32" s="6">
        <v>20.53</v>
      </c>
      <c r="M32" s="6">
        <v>56.07</v>
      </c>
      <c r="N32" s="6">
        <v>0</v>
      </c>
      <c r="O32" s="6">
        <v>0</v>
      </c>
      <c r="P32" s="6">
        <v>0.74</v>
      </c>
      <c r="Q32" s="6">
        <v>4.74</v>
      </c>
    </row>
    <row r="33" spans="1:17" customFormat="1">
      <c r="A33" s="82">
        <v>45361.260416666664</v>
      </c>
      <c r="B33" s="6">
        <v>10.16</v>
      </c>
      <c r="C33" s="6">
        <v>31.15</v>
      </c>
      <c r="D33" s="6">
        <v>25.77</v>
      </c>
      <c r="E33" s="6">
        <v>12.28</v>
      </c>
      <c r="F33" s="6">
        <v>4.7</v>
      </c>
      <c r="G33" s="6">
        <v>76</v>
      </c>
      <c r="H33" s="6">
        <v>37.630000000000003</v>
      </c>
      <c r="I33" s="6">
        <v>5.79</v>
      </c>
      <c r="J33" s="6">
        <v>0.99</v>
      </c>
      <c r="K33" s="6">
        <v>49.05</v>
      </c>
      <c r="L33" s="6">
        <v>20.37</v>
      </c>
      <c r="M33" s="6">
        <v>56.81</v>
      </c>
      <c r="N33" s="6">
        <v>0</v>
      </c>
      <c r="O33" s="6">
        <v>0</v>
      </c>
      <c r="P33" s="6">
        <v>0.76</v>
      </c>
      <c r="Q33" s="6">
        <v>4.79</v>
      </c>
    </row>
    <row r="34" spans="1:17" customFormat="1">
      <c r="A34" s="82">
        <v>45361.270833333336</v>
      </c>
      <c r="B34" s="6">
        <v>10.67</v>
      </c>
      <c r="C34" s="6">
        <v>31.24</v>
      </c>
      <c r="D34" s="6">
        <v>26.23</v>
      </c>
      <c r="E34" s="6">
        <v>10.89</v>
      </c>
      <c r="F34" s="6">
        <v>4.5999999999999996</v>
      </c>
      <c r="G34" s="6">
        <v>76</v>
      </c>
      <c r="H34" s="6">
        <v>37.630000000000003</v>
      </c>
      <c r="I34" s="6">
        <v>6.21</v>
      </c>
      <c r="J34" s="6">
        <v>0.71</v>
      </c>
      <c r="K34" s="6">
        <v>59.52</v>
      </c>
      <c r="L34" s="6">
        <v>20.260000000000002</v>
      </c>
      <c r="M34" s="6">
        <v>58.03</v>
      </c>
      <c r="N34" s="6">
        <v>2.9</v>
      </c>
      <c r="O34" s="6">
        <v>0</v>
      </c>
      <c r="P34" s="6">
        <v>0.78</v>
      </c>
      <c r="Q34" s="6">
        <v>4.78</v>
      </c>
    </row>
    <row r="35" spans="1:17" customFormat="1">
      <c r="A35" s="82">
        <v>45361.28125</v>
      </c>
      <c r="B35" s="6">
        <v>11.4</v>
      </c>
      <c r="C35" s="6">
        <v>30.08</v>
      </c>
      <c r="D35" s="6">
        <v>26.21</v>
      </c>
      <c r="E35" s="6">
        <v>9.1300000000000008</v>
      </c>
      <c r="F35" s="6">
        <v>4.71</v>
      </c>
      <c r="G35" s="6">
        <v>76</v>
      </c>
      <c r="H35" s="6">
        <v>37.630000000000003</v>
      </c>
      <c r="I35" s="6">
        <v>6.27</v>
      </c>
      <c r="J35" s="6">
        <v>0.7</v>
      </c>
      <c r="K35" s="6">
        <v>62.03</v>
      </c>
      <c r="L35" s="6">
        <v>20.3</v>
      </c>
      <c r="M35" s="6">
        <v>58.2</v>
      </c>
      <c r="N35" s="6">
        <v>12.7</v>
      </c>
      <c r="O35" s="6">
        <v>0</v>
      </c>
      <c r="P35" s="6">
        <v>0.82</v>
      </c>
      <c r="Q35" s="6">
        <v>4.78</v>
      </c>
    </row>
    <row r="36" spans="1:17" customFormat="1">
      <c r="A36" s="82">
        <v>45361.291666666664</v>
      </c>
      <c r="B36" s="6">
        <v>11.85</v>
      </c>
      <c r="C36" s="6">
        <v>27.92</v>
      </c>
      <c r="D36" s="6">
        <v>25.45</v>
      </c>
      <c r="E36" s="6">
        <v>8.4</v>
      </c>
      <c r="F36" s="6">
        <v>4.91</v>
      </c>
      <c r="G36" s="6">
        <v>76.13</v>
      </c>
      <c r="H36" s="6">
        <v>42.95</v>
      </c>
      <c r="I36" s="6">
        <v>6.39</v>
      </c>
      <c r="J36" s="6">
        <v>1</v>
      </c>
      <c r="K36" s="6">
        <v>65.91</v>
      </c>
      <c r="L36" s="6">
        <v>20.36</v>
      </c>
      <c r="M36" s="6">
        <v>58.01</v>
      </c>
      <c r="N36" s="6">
        <v>23.2</v>
      </c>
      <c r="O36" s="6">
        <v>0</v>
      </c>
      <c r="P36" s="6">
        <v>0.81</v>
      </c>
      <c r="Q36" s="6">
        <v>4.76</v>
      </c>
    </row>
    <row r="37" spans="1:17" customFormat="1">
      <c r="A37" s="82">
        <v>45361.302083333336</v>
      </c>
      <c r="B37" s="6">
        <v>12.12</v>
      </c>
      <c r="C37" s="6">
        <v>26.49</v>
      </c>
      <c r="D37" s="6">
        <v>24.91</v>
      </c>
      <c r="E37" s="6">
        <v>7.43</v>
      </c>
      <c r="F37" s="6">
        <v>4.88</v>
      </c>
      <c r="G37" s="6">
        <v>77.94</v>
      </c>
      <c r="H37" s="6">
        <v>107.93</v>
      </c>
      <c r="I37" s="6">
        <v>6.42</v>
      </c>
      <c r="J37" s="6">
        <v>1.04</v>
      </c>
      <c r="K37" s="6">
        <v>55.66</v>
      </c>
      <c r="L37" s="6">
        <v>20.54</v>
      </c>
      <c r="M37" s="6">
        <v>57.23</v>
      </c>
      <c r="N37" s="6">
        <v>33.5</v>
      </c>
      <c r="O37" s="6">
        <v>0</v>
      </c>
      <c r="P37" s="6">
        <v>0.8</v>
      </c>
      <c r="Q37" s="6">
        <v>4.76</v>
      </c>
    </row>
    <row r="38" spans="1:17" customFormat="1">
      <c r="A38" s="82">
        <v>45361.3125</v>
      </c>
      <c r="B38" s="6">
        <v>12.48</v>
      </c>
      <c r="C38" s="6">
        <v>25.56</v>
      </c>
      <c r="D38" s="6">
        <v>24.71</v>
      </c>
      <c r="E38" s="6">
        <v>8.3800000000000008</v>
      </c>
      <c r="F38" s="6">
        <v>4.8</v>
      </c>
      <c r="G38" s="6">
        <v>77.94</v>
      </c>
      <c r="H38" s="6">
        <v>107.93</v>
      </c>
      <c r="I38" s="6">
        <v>6.52</v>
      </c>
      <c r="J38" s="6">
        <v>0.96</v>
      </c>
      <c r="K38" s="6">
        <v>65.150000000000006</v>
      </c>
      <c r="L38" s="6">
        <v>20.98</v>
      </c>
      <c r="M38" s="6">
        <v>54.99</v>
      </c>
      <c r="N38" s="6">
        <v>45</v>
      </c>
      <c r="O38" s="6">
        <v>0</v>
      </c>
      <c r="P38" s="6">
        <v>0.79</v>
      </c>
      <c r="Q38" s="6">
        <v>4.78</v>
      </c>
    </row>
    <row r="39" spans="1:17" customFormat="1">
      <c r="A39" s="82">
        <v>45361.322916666664</v>
      </c>
      <c r="B39" s="6">
        <v>12.64</v>
      </c>
      <c r="C39" s="6">
        <v>24.81</v>
      </c>
      <c r="D39" s="6">
        <v>24.45</v>
      </c>
      <c r="E39" s="6">
        <v>7.4</v>
      </c>
      <c r="F39" s="6">
        <v>4.87</v>
      </c>
      <c r="G39" s="6">
        <v>77.94</v>
      </c>
      <c r="H39" s="6">
        <v>107.93</v>
      </c>
      <c r="I39" s="6">
        <v>6.57</v>
      </c>
      <c r="J39" s="6">
        <v>1.1200000000000001</v>
      </c>
      <c r="K39" s="6">
        <v>56.57</v>
      </c>
      <c r="L39" s="6">
        <v>21.71</v>
      </c>
      <c r="M39" s="6">
        <v>51.72</v>
      </c>
      <c r="N39" s="6">
        <v>94.8</v>
      </c>
      <c r="O39" s="6">
        <v>0</v>
      </c>
      <c r="P39" s="6">
        <v>0.78</v>
      </c>
      <c r="Q39" s="6">
        <v>4.78</v>
      </c>
    </row>
    <row r="40" spans="1:17" customFormat="1">
      <c r="A40" s="82">
        <v>45361.333333333336</v>
      </c>
      <c r="B40" s="6">
        <v>12.95</v>
      </c>
      <c r="C40" s="6">
        <v>24.25</v>
      </c>
      <c r="D40" s="6">
        <v>24.41</v>
      </c>
      <c r="E40" s="6">
        <v>7.02</v>
      </c>
      <c r="F40" s="6">
        <v>4.87</v>
      </c>
      <c r="G40" s="6">
        <v>78.14</v>
      </c>
      <c r="H40" s="6">
        <v>102.07</v>
      </c>
      <c r="I40" s="6">
        <v>6.62</v>
      </c>
      <c r="J40" s="6">
        <v>1.2</v>
      </c>
      <c r="K40" s="6">
        <v>65.81</v>
      </c>
      <c r="L40" s="6">
        <v>22.72</v>
      </c>
      <c r="M40" s="6">
        <v>46.98</v>
      </c>
      <c r="N40" s="6">
        <v>117.7</v>
      </c>
      <c r="O40" s="6">
        <v>0</v>
      </c>
      <c r="P40" s="6">
        <v>0.78</v>
      </c>
      <c r="Q40" s="6">
        <v>4.79</v>
      </c>
    </row>
    <row r="41" spans="1:17" customFormat="1">
      <c r="A41" s="82">
        <v>45361.34375</v>
      </c>
      <c r="B41" s="6">
        <v>13.1</v>
      </c>
      <c r="C41" s="6">
        <v>23.93</v>
      </c>
      <c r="D41" s="6">
        <v>24.35</v>
      </c>
      <c r="E41" s="6">
        <v>7.75</v>
      </c>
      <c r="F41" s="6">
        <v>4.83</v>
      </c>
      <c r="G41" s="6">
        <v>80.97</v>
      </c>
      <c r="H41" s="6">
        <v>30.58</v>
      </c>
      <c r="I41" s="6">
        <v>6.64</v>
      </c>
      <c r="J41" s="6">
        <v>1.27</v>
      </c>
      <c r="K41" s="6">
        <v>60.07</v>
      </c>
      <c r="L41" s="6">
        <v>23.54</v>
      </c>
      <c r="M41" s="6">
        <v>43.91</v>
      </c>
      <c r="N41" s="6">
        <v>148.4</v>
      </c>
      <c r="O41" s="6">
        <v>0</v>
      </c>
      <c r="P41" s="6">
        <v>0.78</v>
      </c>
      <c r="Q41" s="6">
        <v>4.79</v>
      </c>
    </row>
    <row r="42" spans="1:17" customFormat="1">
      <c r="A42" s="82">
        <v>45361.354166666664</v>
      </c>
      <c r="B42" s="6">
        <v>12.83</v>
      </c>
      <c r="C42" s="6">
        <v>23.64</v>
      </c>
      <c r="D42" s="6">
        <v>23.99</v>
      </c>
      <c r="E42" s="6">
        <v>9.7799999999999994</v>
      </c>
      <c r="F42" s="6">
        <v>5.21</v>
      </c>
      <c r="G42" s="6">
        <v>80.97</v>
      </c>
      <c r="H42" s="6">
        <v>30.58</v>
      </c>
      <c r="I42" s="6">
        <v>6.66</v>
      </c>
      <c r="J42" s="6">
        <v>1.1499999999999999</v>
      </c>
      <c r="K42" s="6">
        <v>69.489999999999995</v>
      </c>
      <c r="L42" s="6">
        <v>24.43</v>
      </c>
      <c r="M42" s="6">
        <v>41.66</v>
      </c>
      <c r="N42" s="6">
        <v>261.39999999999998</v>
      </c>
      <c r="O42" s="6">
        <v>0</v>
      </c>
      <c r="P42" s="6">
        <v>0.76</v>
      </c>
      <c r="Q42" s="6">
        <v>4.7699999999999996</v>
      </c>
    </row>
    <row r="43" spans="1:17" customFormat="1">
      <c r="A43" s="82">
        <v>45361.364583333336</v>
      </c>
      <c r="B43" s="6">
        <v>11.65</v>
      </c>
      <c r="C43" s="6">
        <v>24.58</v>
      </c>
      <c r="D43" s="6">
        <v>23.54</v>
      </c>
      <c r="E43" s="6">
        <v>12.79</v>
      </c>
      <c r="F43" s="6">
        <v>5.51</v>
      </c>
      <c r="G43" s="6">
        <v>80.97</v>
      </c>
      <c r="H43" s="6">
        <v>30.58</v>
      </c>
      <c r="I43" s="6">
        <v>6.73</v>
      </c>
      <c r="J43" s="6">
        <v>1.1299999999999999</v>
      </c>
      <c r="K43" s="6">
        <v>49.2</v>
      </c>
      <c r="L43" s="6">
        <v>25.2</v>
      </c>
      <c r="M43" s="6">
        <v>40.61</v>
      </c>
      <c r="N43" s="6">
        <v>312.89999999999998</v>
      </c>
      <c r="O43" s="6">
        <v>0</v>
      </c>
      <c r="P43" s="6">
        <v>0.77</v>
      </c>
      <c r="Q43" s="6">
        <v>4.7300000000000004</v>
      </c>
    </row>
    <row r="44" spans="1:17" customFormat="1">
      <c r="A44" s="82">
        <v>45361.375</v>
      </c>
      <c r="B44" s="6">
        <v>10.37</v>
      </c>
      <c r="C44" s="6">
        <v>25.83</v>
      </c>
      <c r="D44" s="6">
        <v>23.16</v>
      </c>
      <c r="E44" s="6">
        <v>12.79</v>
      </c>
      <c r="F44" s="6">
        <v>5.55</v>
      </c>
      <c r="G44" s="6">
        <v>81.44</v>
      </c>
      <c r="H44" s="6">
        <v>30.8</v>
      </c>
      <c r="I44" s="6">
        <v>6.75</v>
      </c>
      <c r="J44" s="6">
        <v>1.18</v>
      </c>
      <c r="K44" s="6">
        <v>47.19</v>
      </c>
      <c r="L44" s="6">
        <v>25.93</v>
      </c>
      <c r="M44" s="6">
        <v>39.61</v>
      </c>
      <c r="N44" s="6">
        <v>354.6</v>
      </c>
      <c r="O44" s="6">
        <v>0</v>
      </c>
      <c r="P44" s="6">
        <v>0.78</v>
      </c>
      <c r="Q44" s="6">
        <v>4.74</v>
      </c>
    </row>
    <row r="45" spans="1:17" customFormat="1">
      <c r="A45" s="82">
        <v>45361.385416666664</v>
      </c>
      <c r="B45" s="6">
        <v>9.01</v>
      </c>
      <c r="C45" s="6">
        <v>27.13</v>
      </c>
      <c r="D45" s="6">
        <v>22.75</v>
      </c>
      <c r="E45" s="6">
        <v>13.53</v>
      </c>
      <c r="F45" s="6">
        <v>5.68</v>
      </c>
      <c r="G45" s="6">
        <v>87.98</v>
      </c>
      <c r="H45" s="6">
        <v>33.51</v>
      </c>
      <c r="I45" s="6">
        <v>6.75</v>
      </c>
      <c r="J45" s="6">
        <v>1.26</v>
      </c>
      <c r="K45" s="6">
        <v>64.84</v>
      </c>
      <c r="L45" s="6">
        <v>26.7</v>
      </c>
      <c r="M45" s="6">
        <v>38.229999999999997</v>
      </c>
      <c r="N45" s="6">
        <v>382.9</v>
      </c>
      <c r="O45" s="6">
        <v>0</v>
      </c>
      <c r="P45" s="6">
        <v>0.78</v>
      </c>
      <c r="Q45" s="6">
        <v>4.72</v>
      </c>
    </row>
    <row r="46" spans="1:17" customFormat="1">
      <c r="A46" s="82">
        <v>45361.395833333336</v>
      </c>
      <c r="B46" s="6">
        <v>7.76</v>
      </c>
      <c r="C46" s="6">
        <v>27.73</v>
      </c>
      <c r="D46" s="6">
        <v>22.07</v>
      </c>
      <c r="E46" s="6">
        <v>14.35</v>
      </c>
      <c r="F46" s="6">
        <v>6.27</v>
      </c>
      <c r="G46" s="6">
        <v>87.98</v>
      </c>
      <c r="H46" s="6">
        <v>33.51</v>
      </c>
      <c r="I46" s="6">
        <v>6.74</v>
      </c>
      <c r="J46" s="6">
        <v>1.07</v>
      </c>
      <c r="K46" s="6">
        <v>46.34</v>
      </c>
      <c r="L46" s="6">
        <v>27.31</v>
      </c>
      <c r="M46" s="6">
        <v>37.56</v>
      </c>
      <c r="N46" s="6">
        <v>406.6</v>
      </c>
      <c r="O46" s="6">
        <v>0</v>
      </c>
      <c r="P46" s="6">
        <v>0.77</v>
      </c>
      <c r="Q46" s="6">
        <v>4.7300000000000004</v>
      </c>
    </row>
    <row r="47" spans="1:17" customFormat="1">
      <c r="A47" s="82">
        <v>45361.40625</v>
      </c>
      <c r="B47" s="6">
        <v>7.12</v>
      </c>
      <c r="C47" s="6">
        <v>29.07</v>
      </c>
      <c r="D47" s="6">
        <v>22.25</v>
      </c>
      <c r="E47" s="6">
        <v>13.89</v>
      </c>
      <c r="F47" s="6">
        <v>6.28</v>
      </c>
      <c r="G47" s="6">
        <v>87.98</v>
      </c>
      <c r="H47" s="6">
        <v>33.51</v>
      </c>
      <c r="I47" s="6">
        <v>6.66</v>
      </c>
      <c r="J47" s="6">
        <v>1</v>
      </c>
      <c r="K47" s="6">
        <v>68.37</v>
      </c>
      <c r="L47" s="6">
        <v>28.04</v>
      </c>
      <c r="M47" s="6">
        <v>36.44</v>
      </c>
      <c r="N47" s="6">
        <v>417.6</v>
      </c>
      <c r="O47" s="6">
        <v>0</v>
      </c>
      <c r="P47" s="6">
        <v>0.78</v>
      </c>
      <c r="Q47" s="6">
        <v>4.74</v>
      </c>
    </row>
    <row r="48" spans="1:17" customFormat="1">
      <c r="A48" s="82">
        <v>45361.416666666664</v>
      </c>
      <c r="B48" s="6">
        <v>6</v>
      </c>
      <c r="C48" s="6">
        <v>29.37</v>
      </c>
      <c r="D48" s="6">
        <v>21.51</v>
      </c>
      <c r="E48" s="6">
        <v>13.47</v>
      </c>
      <c r="F48" s="6">
        <v>6.97</v>
      </c>
      <c r="G48" s="6">
        <v>88.02</v>
      </c>
      <c r="H48" s="6">
        <v>33.49</v>
      </c>
      <c r="I48" s="6">
        <v>6.65</v>
      </c>
      <c r="J48" s="6">
        <v>0.36</v>
      </c>
      <c r="K48" s="6">
        <v>336.42</v>
      </c>
      <c r="L48" s="6">
        <v>28.87</v>
      </c>
      <c r="M48" s="6">
        <v>35.17</v>
      </c>
      <c r="N48" s="6">
        <v>331.5</v>
      </c>
      <c r="O48" s="6">
        <v>0</v>
      </c>
      <c r="P48" s="6">
        <v>0.77</v>
      </c>
      <c r="Q48" s="6">
        <v>4.75</v>
      </c>
    </row>
    <row r="49" spans="1:17" customFormat="1">
      <c r="A49" s="82">
        <v>45361.427083333336</v>
      </c>
      <c r="B49" s="6">
        <v>4.67</v>
      </c>
      <c r="C49" s="6">
        <v>28.95</v>
      </c>
      <c r="D49" s="6">
        <v>20.22</v>
      </c>
      <c r="E49" s="6">
        <v>13.79</v>
      </c>
      <c r="F49" s="6">
        <v>7.66</v>
      </c>
      <c r="G49" s="6">
        <v>88.48</v>
      </c>
      <c r="H49" s="6">
        <v>33.17</v>
      </c>
      <c r="I49" s="6">
        <v>6.54</v>
      </c>
      <c r="J49" s="6">
        <v>0.35</v>
      </c>
      <c r="K49" s="6">
        <v>14.68</v>
      </c>
      <c r="L49" s="6">
        <v>29.34</v>
      </c>
      <c r="M49" s="6">
        <v>34.14</v>
      </c>
      <c r="N49" s="6">
        <v>310.3</v>
      </c>
      <c r="O49" s="6">
        <v>0</v>
      </c>
      <c r="P49" s="6">
        <v>0.76</v>
      </c>
      <c r="Q49" s="6">
        <v>4.7300000000000004</v>
      </c>
    </row>
    <row r="50" spans="1:17" customFormat="1">
      <c r="A50" s="82">
        <v>45361.4375</v>
      </c>
      <c r="B50" s="6">
        <v>3.63</v>
      </c>
      <c r="C50" s="6">
        <v>28.11</v>
      </c>
      <c r="D50" s="6">
        <v>18.940000000000001</v>
      </c>
      <c r="E50" s="6">
        <v>15.66</v>
      </c>
      <c r="F50" s="6">
        <v>8.34</v>
      </c>
      <c r="G50" s="6">
        <v>88.48</v>
      </c>
      <c r="H50" s="6">
        <v>33.17</v>
      </c>
      <c r="I50" s="6">
        <v>6.46</v>
      </c>
      <c r="J50" s="6">
        <v>0.22</v>
      </c>
      <c r="K50" s="6">
        <v>8.9499999999999993</v>
      </c>
      <c r="L50" s="6">
        <v>30.53</v>
      </c>
      <c r="M50" s="6">
        <v>31.96</v>
      </c>
      <c r="N50" s="6">
        <v>485.9</v>
      </c>
      <c r="O50" s="6">
        <v>0</v>
      </c>
      <c r="P50" s="6">
        <v>0.75</v>
      </c>
      <c r="Q50" s="6">
        <v>4.74</v>
      </c>
    </row>
    <row r="51" spans="1:17" customFormat="1">
      <c r="A51" s="82">
        <v>45361.447916666664</v>
      </c>
      <c r="B51" s="6">
        <v>3.05</v>
      </c>
      <c r="C51" s="6">
        <v>27</v>
      </c>
      <c r="D51" s="6">
        <v>17.899999999999999</v>
      </c>
      <c r="E51" s="6">
        <v>15.39</v>
      </c>
      <c r="F51" s="6">
        <v>9.86</v>
      </c>
      <c r="G51" s="6">
        <v>88.48</v>
      </c>
      <c r="H51" s="6">
        <v>33.17</v>
      </c>
      <c r="I51" s="6">
        <v>6.28</v>
      </c>
      <c r="J51" s="6">
        <v>0.22</v>
      </c>
      <c r="K51" s="6">
        <v>354.14</v>
      </c>
      <c r="L51" s="6">
        <v>31.31</v>
      </c>
      <c r="M51" s="6">
        <v>31.07</v>
      </c>
      <c r="N51" s="6">
        <v>520.20000000000005</v>
      </c>
      <c r="O51" s="6">
        <v>0</v>
      </c>
      <c r="P51" s="6">
        <v>0.74</v>
      </c>
      <c r="Q51" s="6">
        <v>4.7300000000000004</v>
      </c>
    </row>
    <row r="52" spans="1:17" customFormat="1">
      <c r="A52" s="82">
        <v>45361.458333333336</v>
      </c>
      <c r="B52" s="6">
        <v>2.89</v>
      </c>
      <c r="C52" s="6">
        <v>26.12</v>
      </c>
      <c r="D52" s="6">
        <v>17.309999999999999</v>
      </c>
      <c r="E52" s="6">
        <v>16.29</v>
      </c>
      <c r="F52" s="6">
        <v>10.68</v>
      </c>
      <c r="G52" s="6">
        <v>88.03</v>
      </c>
      <c r="H52" s="6">
        <v>32.92</v>
      </c>
      <c r="I52" s="6">
        <v>6.17</v>
      </c>
      <c r="J52" s="6">
        <v>0.51</v>
      </c>
      <c r="K52" s="6">
        <v>46.81</v>
      </c>
      <c r="L52" s="6">
        <v>32.08</v>
      </c>
      <c r="M52" s="6">
        <v>29.49</v>
      </c>
      <c r="N52" s="6">
        <v>545.4</v>
      </c>
      <c r="O52" s="6">
        <v>0</v>
      </c>
      <c r="P52" s="6">
        <v>0.73</v>
      </c>
      <c r="Q52" s="6">
        <v>4.7300000000000004</v>
      </c>
    </row>
    <row r="53" spans="1:17" customFormat="1">
      <c r="A53" s="82">
        <v>45361.46875</v>
      </c>
      <c r="B53" s="6">
        <v>2.76</v>
      </c>
      <c r="C53" s="6">
        <v>25.79</v>
      </c>
      <c r="D53" s="6">
        <v>17.04</v>
      </c>
      <c r="E53" s="6">
        <v>15.77</v>
      </c>
      <c r="F53" s="6">
        <v>11.6</v>
      </c>
      <c r="G53" s="6">
        <v>81.77</v>
      </c>
      <c r="H53" s="6">
        <v>30.38</v>
      </c>
      <c r="I53" s="6">
        <v>6.03</v>
      </c>
      <c r="J53" s="6">
        <v>0.35</v>
      </c>
      <c r="K53" s="6">
        <v>106.96</v>
      </c>
      <c r="L53" s="6">
        <v>32.74</v>
      </c>
      <c r="M53" s="6">
        <v>28.69</v>
      </c>
      <c r="N53" s="6">
        <v>521.5</v>
      </c>
      <c r="O53" s="6">
        <v>0</v>
      </c>
      <c r="P53" s="6">
        <v>0.73</v>
      </c>
      <c r="Q53" s="6">
        <v>4.71</v>
      </c>
    </row>
    <row r="54" spans="1:17" customFormat="1">
      <c r="A54" s="82">
        <v>45361.479166666664</v>
      </c>
      <c r="B54" s="6">
        <v>2.69</v>
      </c>
      <c r="C54" s="6">
        <v>25.62</v>
      </c>
      <c r="D54" s="6">
        <v>16.899999999999999</v>
      </c>
      <c r="E54" s="6">
        <v>16.72</v>
      </c>
      <c r="F54" s="6">
        <v>12.41</v>
      </c>
      <c r="G54" s="6">
        <v>81.77</v>
      </c>
      <c r="H54" s="6">
        <v>30.38</v>
      </c>
      <c r="I54" s="6">
        <v>5.85</v>
      </c>
      <c r="J54" s="6">
        <v>0.96</v>
      </c>
      <c r="K54" s="6">
        <v>52.21</v>
      </c>
      <c r="L54" s="6">
        <v>32.159999999999997</v>
      </c>
      <c r="M54" s="6">
        <v>29.32</v>
      </c>
      <c r="N54" s="6">
        <v>582.20000000000005</v>
      </c>
      <c r="O54" s="6">
        <v>0</v>
      </c>
      <c r="P54" s="6">
        <v>0.71</v>
      </c>
      <c r="Q54" s="6">
        <v>4.72</v>
      </c>
    </row>
    <row r="55" spans="1:17" customFormat="1">
      <c r="A55" s="82">
        <v>45361.489583333336</v>
      </c>
      <c r="B55" s="6">
        <v>2.79</v>
      </c>
      <c r="C55" s="6">
        <v>25.38</v>
      </c>
      <c r="D55" s="6">
        <v>16.850000000000001</v>
      </c>
      <c r="E55" s="6">
        <v>16.55</v>
      </c>
      <c r="F55" s="6">
        <v>12.94</v>
      </c>
      <c r="G55" s="6">
        <v>81.77</v>
      </c>
      <c r="H55" s="6">
        <v>30.38</v>
      </c>
      <c r="I55" s="6">
        <v>5.81</v>
      </c>
      <c r="J55" s="6">
        <v>0.42</v>
      </c>
      <c r="K55" s="6">
        <v>32.9</v>
      </c>
      <c r="L55" s="6">
        <v>32.26</v>
      </c>
      <c r="M55" s="6">
        <v>29.03</v>
      </c>
      <c r="N55" s="6">
        <v>588.70000000000005</v>
      </c>
      <c r="O55" s="6">
        <v>0</v>
      </c>
      <c r="P55" s="6">
        <v>0.72</v>
      </c>
      <c r="Q55" s="6">
        <v>4.7300000000000004</v>
      </c>
    </row>
    <row r="56" spans="1:17" customFormat="1">
      <c r="A56" s="82">
        <v>45361.5</v>
      </c>
      <c r="B56" s="6">
        <v>2.74</v>
      </c>
      <c r="C56" s="6">
        <v>24.8</v>
      </c>
      <c r="D56" s="6">
        <v>16.510000000000002</v>
      </c>
      <c r="E56" s="6">
        <v>16.09</v>
      </c>
      <c r="F56" s="6">
        <v>13.48</v>
      </c>
      <c r="G56" s="6">
        <v>81.62</v>
      </c>
      <c r="H56" s="6">
        <v>29.27</v>
      </c>
      <c r="I56" s="6">
        <v>5.73</v>
      </c>
      <c r="J56" s="6">
        <v>0.11</v>
      </c>
      <c r="K56" s="6">
        <v>219.35</v>
      </c>
      <c r="L56" s="6">
        <v>33.799999999999997</v>
      </c>
      <c r="M56" s="6">
        <v>26.82</v>
      </c>
      <c r="N56" s="6">
        <v>583.6</v>
      </c>
      <c r="O56" s="6">
        <v>0</v>
      </c>
      <c r="P56" s="6">
        <v>0.7</v>
      </c>
      <c r="Q56" s="6">
        <v>4.7300000000000004</v>
      </c>
    </row>
    <row r="57" spans="1:17" customFormat="1">
      <c r="A57" s="82">
        <v>45361.510416666664</v>
      </c>
      <c r="B57" s="6">
        <v>2.72</v>
      </c>
      <c r="C57" s="6">
        <v>23.86</v>
      </c>
      <c r="D57" s="6">
        <v>15.99</v>
      </c>
      <c r="E57" s="6">
        <v>15.8</v>
      </c>
      <c r="F57" s="6">
        <v>13.52</v>
      </c>
      <c r="G57" s="6">
        <v>79.55</v>
      </c>
      <c r="H57" s="6">
        <v>15.64</v>
      </c>
      <c r="I57" s="6">
        <v>5.58</v>
      </c>
      <c r="J57" s="6">
        <v>0.38</v>
      </c>
      <c r="K57" s="6">
        <v>82.2</v>
      </c>
      <c r="L57" s="6">
        <v>33.97</v>
      </c>
      <c r="M57" s="6">
        <v>26.11</v>
      </c>
      <c r="N57" s="6">
        <v>593.70000000000005</v>
      </c>
      <c r="O57" s="6">
        <v>0</v>
      </c>
      <c r="P57" s="6">
        <v>0.69</v>
      </c>
      <c r="Q57" s="6">
        <v>4.7</v>
      </c>
    </row>
    <row r="58" spans="1:17" customFormat="1">
      <c r="A58" s="82">
        <v>45361.520833333336</v>
      </c>
      <c r="B58" s="6">
        <v>2.59</v>
      </c>
      <c r="C58" s="6">
        <v>23.42</v>
      </c>
      <c r="D58" s="6">
        <v>15.67</v>
      </c>
      <c r="E58" s="6">
        <v>15.36</v>
      </c>
      <c r="F58" s="6">
        <v>13.67</v>
      </c>
      <c r="G58" s="6">
        <v>79.55</v>
      </c>
      <c r="H58" s="6">
        <v>15.64</v>
      </c>
      <c r="I58" s="6">
        <v>5.49</v>
      </c>
      <c r="J58" s="6">
        <v>0.35</v>
      </c>
      <c r="K58" s="6">
        <v>298.07</v>
      </c>
      <c r="L58" s="6">
        <v>34.69</v>
      </c>
      <c r="M58" s="6">
        <v>24.32</v>
      </c>
      <c r="N58" s="6">
        <v>589.20000000000005</v>
      </c>
      <c r="O58" s="6">
        <v>0</v>
      </c>
      <c r="P58" s="6">
        <v>0.67</v>
      </c>
      <c r="Q58" s="6">
        <v>4.71</v>
      </c>
    </row>
    <row r="59" spans="1:17" customFormat="1">
      <c r="A59" s="82">
        <v>45361.53125</v>
      </c>
      <c r="B59" s="6">
        <v>2.65</v>
      </c>
      <c r="C59" s="6">
        <v>22.96</v>
      </c>
      <c r="D59" s="6">
        <v>15.47</v>
      </c>
      <c r="E59" s="6">
        <v>15.79</v>
      </c>
      <c r="F59" s="6">
        <v>14.84</v>
      </c>
      <c r="G59" s="6">
        <v>79.55</v>
      </c>
      <c r="H59" s="6">
        <v>15.64</v>
      </c>
      <c r="I59" s="6">
        <v>5.32</v>
      </c>
      <c r="J59" s="6">
        <v>0.55000000000000004</v>
      </c>
      <c r="K59" s="6">
        <v>326.08</v>
      </c>
      <c r="L59" s="6">
        <v>34.4</v>
      </c>
      <c r="M59" s="6">
        <v>24.22</v>
      </c>
      <c r="N59" s="6">
        <v>587.29999999999995</v>
      </c>
      <c r="O59" s="6">
        <v>0</v>
      </c>
      <c r="P59" s="6">
        <v>0.66</v>
      </c>
      <c r="Q59" s="6">
        <v>4.7</v>
      </c>
    </row>
    <row r="60" spans="1:17" customFormat="1">
      <c r="A60" s="82">
        <v>45361.541666666664</v>
      </c>
      <c r="B60" s="6">
        <v>2.69</v>
      </c>
      <c r="C60" s="6">
        <v>22.31</v>
      </c>
      <c r="D60" s="6">
        <v>15.16</v>
      </c>
      <c r="E60" s="6">
        <v>16.93</v>
      </c>
      <c r="F60" s="6">
        <v>15.69</v>
      </c>
      <c r="G60" s="6">
        <v>78.95</v>
      </c>
      <c r="H60" s="6">
        <v>16.440000000000001</v>
      </c>
      <c r="I60" s="6">
        <v>5.23</v>
      </c>
      <c r="J60" s="6">
        <v>0.57999999999999996</v>
      </c>
      <c r="K60" s="6">
        <v>322.18</v>
      </c>
      <c r="L60" s="6">
        <v>34.619999999999997</v>
      </c>
      <c r="M60" s="6">
        <v>23.2</v>
      </c>
      <c r="N60" s="6">
        <v>571.1</v>
      </c>
      <c r="O60" s="6">
        <v>0</v>
      </c>
      <c r="P60" s="6">
        <v>0.65</v>
      </c>
      <c r="Q60" s="6">
        <v>4.71</v>
      </c>
    </row>
    <row r="61" spans="1:17" customFormat="1">
      <c r="A61" s="82">
        <v>45361.552083333336</v>
      </c>
      <c r="B61" s="6">
        <v>2.73</v>
      </c>
      <c r="C61" s="6">
        <v>21.99</v>
      </c>
      <c r="D61" s="6">
        <v>15.03</v>
      </c>
      <c r="E61" s="6">
        <v>17.41</v>
      </c>
      <c r="F61" s="6">
        <v>17.690000000000001</v>
      </c>
      <c r="G61" s="6">
        <v>70.62</v>
      </c>
      <c r="H61" s="6">
        <v>26.16</v>
      </c>
      <c r="I61" s="6">
        <v>5.09</v>
      </c>
      <c r="J61" s="6">
        <v>0.65</v>
      </c>
      <c r="K61" s="6">
        <v>323.64</v>
      </c>
      <c r="L61" s="6">
        <v>34.53</v>
      </c>
      <c r="M61" s="6">
        <v>23.76</v>
      </c>
      <c r="N61" s="6">
        <v>562.6</v>
      </c>
      <c r="O61" s="6">
        <v>0</v>
      </c>
      <c r="P61" s="6">
        <v>0.71</v>
      </c>
      <c r="Q61" s="6">
        <v>4.72</v>
      </c>
    </row>
    <row r="62" spans="1:17" customFormat="1">
      <c r="A62" s="82">
        <v>45361.5625</v>
      </c>
      <c r="B62" s="6">
        <v>2.86</v>
      </c>
      <c r="C62" s="6">
        <v>21.92</v>
      </c>
      <c r="D62" s="6">
        <v>15.1</v>
      </c>
      <c r="E62" s="6">
        <v>15.27</v>
      </c>
      <c r="F62" s="6">
        <v>12.82</v>
      </c>
      <c r="G62" s="6">
        <v>70.62</v>
      </c>
      <c r="H62" s="6">
        <v>26.16</v>
      </c>
      <c r="I62" s="6">
        <v>4.93</v>
      </c>
      <c r="J62" s="6">
        <v>0.46</v>
      </c>
      <c r="K62" s="6">
        <v>295.85000000000002</v>
      </c>
      <c r="L62" s="6">
        <v>34.99</v>
      </c>
      <c r="M62" s="6">
        <v>23.2</v>
      </c>
      <c r="N62" s="6">
        <v>518.6</v>
      </c>
      <c r="O62" s="6">
        <v>0</v>
      </c>
      <c r="P62" s="6">
        <v>0.75</v>
      </c>
      <c r="Q62" s="6">
        <v>4.6900000000000004</v>
      </c>
    </row>
    <row r="63" spans="1:17" customFormat="1">
      <c r="A63" s="82">
        <v>45361.572916666664</v>
      </c>
      <c r="B63" s="6">
        <v>2.81</v>
      </c>
      <c r="C63" s="6">
        <v>22.73</v>
      </c>
      <c r="D63" s="6">
        <v>15.48</v>
      </c>
      <c r="E63" s="6">
        <v>13.77</v>
      </c>
      <c r="F63" s="6">
        <v>10.56</v>
      </c>
      <c r="G63" s="6">
        <v>70.62</v>
      </c>
      <c r="H63" s="6">
        <v>26.16</v>
      </c>
      <c r="I63" s="6">
        <v>4.91</v>
      </c>
      <c r="J63" s="6">
        <v>0.7</v>
      </c>
      <c r="K63" s="6">
        <v>350.23</v>
      </c>
      <c r="L63" s="6">
        <v>35.119999999999997</v>
      </c>
      <c r="M63" s="6">
        <v>21.74</v>
      </c>
      <c r="N63" s="6">
        <v>533.4</v>
      </c>
      <c r="O63" s="6">
        <v>0</v>
      </c>
      <c r="P63" s="6">
        <v>0.77</v>
      </c>
      <c r="Q63" s="6">
        <v>4.67</v>
      </c>
    </row>
    <row r="64" spans="1:17" customFormat="1">
      <c r="A64" s="82">
        <v>45361.583333333336</v>
      </c>
      <c r="B64" s="6">
        <v>2.63</v>
      </c>
      <c r="C64" s="6">
        <v>22.94</v>
      </c>
      <c r="D64" s="6">
        <v>15.44</v>
      </c>
      <c r="E64" s="6">
        <v>12.65</v>
      </c>
      <c r="F64" s="6">
        <v>9.69</v>
      </c>
      <c r="G64" s="6">
        <v>70.33</v>
      </c>
      <c r="H64" s="6">
        <v>25.41</v>
      </c>
      <c r="I64" s="6">
        <v>5.03</v>
      </c>
      <c r="J64" s="6">
        <v>0.76</v>
      </c>
      <c r="K64" s="6">
        <v>319.89999999999998</v>
      </c>
      <c r="L64" s="6">
        <v>35.42</v>
      </c>
      <c r="M64" s="6">
        <v>21.12</v>
      </c>
      <c r="N64" s="6">
        <v>534.1</v>
      </c>
      <c r="O64" s="6">
        <v>0</v>
      </c>
      <c r="P64" s="6">
        <v>0.78</v>
      </c>
      <c r="Q64" s="6">
        <v>4.6500000000000004</v>
      </c>
    </row>
    <row r="65" spans="1:17" customFormat="1">
      <c r="A65" s="82">
        <v>45361.59375</v>
      </c>
      <c r="B65" s="6">
        <v>2.62</v>
      </c>
      <c r="C65" s="6">
        <v>22.96</v>
      </c>
      <c r="D65" s="6">
        <v>15.45</v>
      </c>
      <c r="E65" s="6">
        <v>12.27</v>
      </c>
      <c r="F65" s="6">
        <v>8.4</v>
      </c>
      <c r="G65" s="6">
        <v>66.36</v>
      </c>
      <c r="H65" s="6">
        <v>16.260000000000002</v>
      </c>
      <c r="I65" s="6">
        <v>5.07</v>
      </c>
      <c r="J65" s="6">
        <v>0.81</v>
      </c>
      <c r="K65" s="6">
        <v>305.5</v>
      </c>
      <c r="L65" s="6">
        <v>35.619999999999997</v>
      </c>
      <c r="M65" s="6">
        <v>19.989999999999998</v>
      </c>
      <c r="N65" s="6">
        <v>546.20000000000005</v>
      </c>
      <c r="O65" s="6">
        <v>0</v>
      </c>
      <c r="P65" s="6">
        <v>0.54</v>
      </c>
      <c r="Q65" s="6">
        <v>4.6500000000000004</v>
      </c>
    </row>
    <row r="66" spans="1:17" customFormat="1">
      <c r="A66" s="82">
        <v>45361.604166666664</v>
      </c>
      <c r="B66" s="6">
        <v>2.59</v>
      </c>
      <c r="C66" s="6">
        <v>23.07</v>
      </c>
      <c r="D66" s="6">
        <v>15.48</v>
      </c>
      <c r="E66" s="6">
        <v>12.5</v>
      </c>
      <c r="F66" s="6">
        <v>7.64</v>
      </c>
      <c r="G66" s="6">
        <v>66.36</v>
      </c>
      <c r="H66" s="6">
        <v>16.260000000000002</v>
      </c>
      <c r="I66" s="6">
        <v>5.12</v>
      </c>
      <c r="J66" s="6">
        <v>0.3</v>
      </c>
      <c r="K66" s="6">
        <v>239.97</v>
      </c>
      <c r="L66" s="6">
        <v>36.33</v>
      </c>
      <c r="M66" s="6">
        <v>18.22</v>
      </c>
      <c r="N66" s="6">
        <v>499.1</v>
      </c>
      <c r="O66" s="6">
        <v>0</v>
      </c>
      <c r="P66" s="6">
        <v>0.56000000000000005</v>
      </c>
      <c r="Q66" s="6">
        <v>4.63</v>
      </c>
    </row>
    <row r="67" spans="1:17" customFormat="1">
      <c r="A67" s="82">
        <v>45361.614583333336</v>
      </c>
      <c r="B67" s="6">
        <v>2.62</v>
      </c>
      <c r="C67" s="6">
        <v>23.22</v>
      </c>
      <c r="D67" s="6">
        <v>15.58</v>
      </c>
      <c r="E67" s="6">
        <v>11.93</v>
      </c>
      <c r="F67" s="6">
        <v>7.2</v>
      </c>
      <c r="G67" s="6">
        <v>66.36</v>
      </c>
      <c r="H67" s="6">
        <v>16.260000000000002</v>
      </c>
      <c r="I67" s="6">
        <v>5.15</v>
      </c>
      <c r="J67" s="6">
        <v>0.72</v>
      </c>
      <c r="K67" s="6">
        <v>311.27999999999997</v>
      </c>
      <c r="L67" s="6">
        <v>35.630000000000003</v>
      </c>
      <c r="M67" s="6">
        <v>18.3</v>
      </c>
      <c r="N67" s="6">
        <v>404.1</v>
      </c>
      <c r="O67" s="6">
        <v>0</v>
      </c>
      <c r="P67" s="6">
        <v>0.55000000000000004</v>
      </c>
      <c r="Q67" s="6">
        <v>4.6500000000000004</v>
      </c>
    </row>
    <row r="68" spans="1:17" customFormat="1">
      <c r="A68" s="82">
        <v>45361.625</v>
      </c>
      <c r="B68" s="6">
        <v>2.75</v>
      </c>
      <c r="C68" s="6">
        <v>23.22</v>
      </c>
      <c r="D68" s="6">
        <v>15.69</v>
      </c>
      <c r="E68" s="6">
        <v>12.23</v>
      </c>
      <c r="F68" s="6">
        <v>7.1</v>
      </c>
      <c r="G68" s="6">
        <v>65.81</v>
      </c>
      <c r="H68" s="6">
        <v>16.829999999999998</v>
      </c>
      <c r="I68" s="6">
        <v>5.18</v>
      </c>
      <c r="J68" s="6">
        <v>0.41</v>
      </c>
      <c r="K68" s="6">
        <v>274.75</v>
      </c>
      <c r="L68" s="6">
        <v>35.54</v>
      </c>
      <c r="M68" s="6">
        <v>18.920000000000002</v>
      </c>
      <c r="N68" s="6">
        <v>227.7</v>
      </c>
      <c r="O68" s="6">
        <v>0</v>
      </c>
      <c r="P68" s="6">
        <v>0.55000000000000004</v>
      </c>
      <c r="Q68" s="6">
        <v>4.6500000000000004</v>
      </c>
    </row>
    <row r="69" spans="1:17" customFormat="1">
      <c r="A69" s="82">
        <v>45361.635416666664</v>
      </c>
      <c r="B69" s="6">
        <v>2.59</v>
      </c>
      <c r="C69" s="6">
        <v>23.16</v>
      </c>
      <c r="D69" s="6">
        <v>15.53</v>
      </c>
      <c r="E69" s="6">
        <v>12.95</v>
      </c>
      <c r="F69" s="6">
        <v>8.2200000000000006</v>
      </c>
      <c r="G69" s="6">
        <v>58.11</v>
      </c>
      <c r="H69" s="6">
        <v>23.85</v>
      </c>
      <c r="I69" s="6">
        <v>5.15</v>
      </c>
      <c r="J69" s="6">
        <v>0.39</v>
      </c>
      <c r="K69" s="6">
        <v>224.31</v>
      </c>
      <c r="L69" s="6">
        <v>35.76</v>
      </c>
      <c r="M69" s="6">
        <v>18.02</v>
      </c>
      <c r="N69" s="6">
        <v>132.5</v>
      </c>
      <c r="O69" s="6">
        <v>0</v>
      </c>
      <c r="P69" s="6">
        <v>0.45</v>
      </c>
      <c r="Q69" s="6">
        <v>4.67</v>
      </c>
    </row>
    <row r="70" spans="1:17" customFormat="1">
      <c r="A70" s="82">
        <v>45361.645833333336</v>
      </c>
      <c r="B70" s="6">
        <v>2.17</v>
      </c>
      <c r="C70" s="6">
        <v>22.97</v>
      </c>
      <c r="D70" s="6">
        <v>15.09</v>
      </c>
      <c r="E70" s="6">
        <v>13.58</v>
      </c>
      <c r="F70" s="6">
        <v>9.94</v>
      </c>
      <c r="G70" s="6">
        <v>58.11</v>
      </c>
      <c r="H70" s="6">
        <v>23.85</v>
      </c>
      <c r="I70" s="6">
        <v>5.16</v>
      </c>
      <c r="J70" s="6">
        <v>0.24</v>
      </c>
      <c r="K70" s="6">
        <v>299.17</v>
      </c>
      <c r="L70" s="6">
        <v>35.53</v>
      </c>
      <c r="M70" s="6">
        <v>17.71</v>
      </c>
      <c r="N70" s="6">
        <v>122.9</v>
      </c>
      <c r="O70" s="6">
        <v>0</v>
      </c>
      <c r="P70" s="6">
        <v>0.35</v>
      </c>
      <c r="Q70" s="6">
        <v>4.6900000000000004</v>
      </c>
    </row>
    <row r="71" spans="1:17" customFormat="1">
      <c r="A71" s="82">
        <v>45361.65625</v>
      </c>
      <c r="B71" s="6">
        <v>1.98</v>
      </c>
      <c r="C71" s="6">
        <v>22.47</v>
      </c>
      <c r="D71" s="6">
        <v>14.68</v>
      </c>
      <c r="E71" s="6">
        <v>13.52</v>
      </c>
      <c r="F71" s="6">
        <v>11.32</v>
      </c>
      <c r="G71" s="6">
        <v>58.11</v>
      </c>
      <c r="H71" s="6">
        <v>23.85</v>
      </c>
      <c r="I71" s="6">
        <v>4.7</v>
      </c>
      <c r="J71" s="6">
        <v>0.31</v>
      </c>
      <c r="K71" s="6">
        <v>265.79000000000002</v>
      </c>
      <c r="L71" s="6">
        <v>35.4</v>
      </c>
      <c r="M71" s="6">
        <v>20.100000000000001</v>
      </c>
      <c r="N71" s="6">
        <v>278.2</v>
      </c>
      <c r="O71" s="6">
        <v>0</v>
      </c>
      <c r="P71" s="6">
        <v>0.31</v>
      </c>
      <c r="Q71" s="6">
        <v>4.72</v>
      </c>
    </row>
    <row r="72" spans="1:17" customFormat="1">
      <c r="A72" s="82">
        <v>45361.666666666664</v>
      </c>
      <c r="B72" s="6">
        <v>2.2999999999999998</v>
      </c>
      <c r="C72" s="6">
        <v>22.8</v>
      </c>
      <c r="D72" s="6">
        <v>15.11</v>
      </c>
      <c r="E72" s="6">
        <v>16.600000000000001</v>
      </c>
      <c r="F72" s="6">
        <v>17.3</v>
      </c>
      <c r="G72" s="6">
        <v>57.51</v>
      </c>
      <c r="H72" s="6">
        <v>23.65</v>
      </c>
      <c r="I72" s="6">
        <v>4.4800000000000004</v>
      </c>
      <c r="J72" s="6">
        <v>0.4</v>
      </c>
      <c r="K72" s="6">
        <v>26.42</v>
      </c>
      <c r="L72" s="6">
        <v>35.21</v>
      </c>
      <c r="M72" s="6">
        <v>20.2</v>
      </c>
      <c r="N72" s="6">
        <v>283.7</v>
      </c>
      <c r="O72" s="6">
        <v>0</v>
      </c>
      <c r="P72" s="6">
        <v>0.32</v>
      </c>
      <c r="Q72" s="6">
        <v>4.74</v>
      </c>
    </row>
    <row r="73" spans="1:17" customFormat="1">
      <c r="A73" s="82">
        <v>45361.677083333336</v>
      </c>
      <c r="B73" s="6">
        <v>2.5299999999999998</v>
      </c>
      <c r="C73" s="6">
        <v>22.76</v>
      </c>
      <c r="D73" s="6">
        <v>15.28</v>
      </c>
      <c r="E73" s="6">
        <v>17.68</v>
      </c>
      <c r="F73" s="6">
        <v>16.93</v>
      </c>
      <c r="G73" s="6">
        <v>49.02</v>
      </c>
      <c r="H73" s="6">
        <v>21.16</v>
      </c>
      <c r="I73" s="6">
        <v>4.3</v>
      </c>
      <c r="J73" s="6">
        <v>0.42</v>
      </c>
      <c r="K73" s="6">
        <v>86.18</v>
      </c>
      <c r="L73" s="6">
        <v>35.01</v>
      </c>
      <c r="M73" s="6">
        <v>20.57</v>
      </c>
      <c r="N73" s="6">
        <v>237.9</v>
      </c>
      <c r="O73" s="6">
        <v>0</v>
      </c>
      <c r="P73" s="6">
        <v>0.34</v>
      </c>
      <c r="Q73" s="6">
        <v>4.74</v>
      </c>
    </row>
    <row r="74" spans="1:17" customFormat="1">
      <c r="A74" s="82">
        <v>45361.6875</v>
      </c>
      <c r="B74" s="6">
        <v>2.35</v>
      </c>
      <c r="C74" s="6">
        <v>21.89</v>
      </c>
      <c r="D74" s="6">
        <v>14.67</v>
      </c>
      <c r="E74" s="6">
        <v>17.48</v>
      </c>
      <c r="F74" s="6">
        <v>16.29</v>
      </c>
      <c r="G74" s="6">
        <v>49.02</v>
      </c>
      <c r="H74" s="6">
        <v>21.16</v>
      </c>
      <c r="I74" s="6">
        <v>4.26</v>
      </c>
      <c r="J74" s="6">
        <v>0.34</v>
      </c>
      <c r="K74" s="6">
        <v>180.08</v>
      </c>
      <c r="L74" s="6">
        <v>35.380000000000003</v>
      </c>
      <c r="M74" s="6">
        <v>21.72</v>
      </c>
      <c r="N74" s="6">
        <v>190.6</v>
      </c>
      <c r="O74" s="6">
        <v>0</v>
      </c>
      <c r="P74" s="6">
        <v>0.34</v>
      </c>
      <c r="Q74" s="6">
        <v>4.71</v>
      </c>
    </row>
    <row r="75" spans="1:17" customFormat="1">
      <c r="A75" s="82">
        <v>45361.697916666664</v>
      </c>
      <c r="B75" s="6">
        <v>2.42</v>
      </c>
      <c r="C75" s="6">
        <v>20.87</v>
      </c>
      <c r="D75" s="6">
        <v>14.2</v>
      </c>
      <c r="E75" s="6">
        <v>18.29</v>
      </c>
      <c r="F75" s="6">
        <v>19.690000000000001</v>
      </c>
      <c r="G75" s="6">
        <v>49.02</v>
      </c>
      <c r="H75" s="6">
        <v>21.16</v>
      </c>
      <c r="I75" s="6">
        <v>4.3099999999999996</v>
      </c>
      <c r="J75" s="6">
        <v>0.25</v>
      </c>
      <c r="K75" s="6">
        <v>71.260000000000005</v>
      </c>
      <c r="L75" s="6">
        <v>35.090000000000003</v>
      </c>
      <c r="M75" s="6">
        <v>21.81</v>
      </c>
      <c r="N75" s="6">
        <v>133.6</v>
      </c>
      <c r="O75" s="6">
        <v>0</v>
      </c>
      <c r="P75" s="6">
        <v>0.36</v>
      </c>
      <c r="Q75" s="6">
        <v>4.7300000000000004</v>
      </c>
    </row>
    <row r="76" spans="1:17" customFormat="1">
      <c r="A76" s="82">
        <v>45361.708333333336</v>
      </c>
      <c r="B76" s="6">
        <v>2.71</v>
      </c>
      <c r="C76" s="6">
        <v>21.83</v>
      </c>
      <c r="D76" s="6">
        <v>14.93</v>
      </c>
      <c r="E76" s="6">
        <v>20.18</v>
      </c>
      <c r="F76" s="6">
        <v>18.71</v>
      </c>
      <c r="G76" s="6">
        <v>49.28</v>
      </c>
      <c r="H76" s="6">
        <v>21.41</v>
      </c>
      <c r="I76" s="6">
        <v>4.28</v>
      </c>
      <c r="J76" s="6">
        <v>0.52</v>
      </c>
      <c r="K76" s="6">
        <v>46.96</v>
      </c>
      <c r="L76" s="6">
        <v>34.44</v>
      </c>
      <c r="M76" s="6">
        <v>21.52</v>
      </c>
      <c r="N76" s="6">
        <v>91.7</v>
      </c>
      <c r="O76" s="6">
        <v>0</v>
      </c>
      <c r="P76" s="6">
        <v>0.38</v>
      </c>
      <c r="Q76" s="6">
        <v>4.7300000000000004</v>
      </c>
    </row>
    <row r="77" spans="1:17" customFormat="1">
      <c r="A77" s="82">
        <v>45361.71875</v>
      </c>
      <c r="B77" s="6">
        <v>3.15</v>
      </c>
      <c r="C77" s="6">
        <v>25.57</v>
      </c>
      <c r="D77" s="6">
        <v>17.239999999999998</v>
      </c>
      <c r="E77" s="6">
        <v>22.55</v>
      </c>
      <c r="F77" s="6">
        <v>19.89</v>
      </c>
      <c r="G77" s="6">
        <v>52.91</v>
      </c>
      <c r="H77" s="6">
        <v>24.04</v>
      </c>
      <c r="I77" s="6">
        <v>4.33</v>
      </c>
      <c r="J77" s="6">
        <v>0.57999999999999996</v>
      </c>
      <c r="K77" s="6">
        <v>49.41</v>
      </c>
      <c r="L77" s="6">
        <v>33.96</v>
      </c>
      <c r="M77" s="6">
        <v>22.29</v>
      </c>
      <c r="N77" s="6">
        <v>43.7</v>
      </c>
      <c r="O77" s="6">
        <v>0</v>
      </c>
      <c r="P77" s="6">
        <v>0.43</v>
      </c>
      <c r="Q77" s="6">
        <v>4.72</v>
      </c>
    </row>
    <row r="78" spans="1:17" customFormat="1">
      <c r="A78" s="82">
        <v>45361.729166666664</v>
      </c>
      <c r="B78" s="6">
        <v>3.31</v>
      </c>
      <c r="C78" s="6">
        <v>27.09</v>
      </c>
      <c r="D78" s="6">
        <v>18.16</v>
      </c>
      <c r="E78" s="6">
        <v>20.21</v>
      </c>
      <c r="F78" s="6">
        <v>14.73</v>
      </c>
      <c r="G78" s="6">
        <v>52.91</v>
      </c>
      <c r="H78" s="6">
        <v>24.04</v>
      </c>
      <c r="I78" s="6">
        <v>4.32</v>
      </c>
      <c r="J78" s="6">
        <v>0.55000000000000004</v>
      </c>
      <c r="K78" s="6">
        <v>44.25</v>
      </c>
      <c r="L78" s="6">
        <v>33.44</v>
      </c>
      <c r="M78" s="6">
        <v>23.5</v>
      </c>
      <c r="N78" s="6">
        <v>16.8</v>
      </c>
      <c r="O78" s="6">
        <v>0</v>
      </c>
      <c r="P78" s="6">
        <v>0.45</v>
      </c>
      <c r="Q78" s="6">
        <v>4.72</v>
      </c>
    </row>
    <row r="79" spans="1:17" customFormat="1">
      <c r="A79" s="82">
        <v>45361.739583333336</v>
      </c>
      <c r="B79" s="6">
        <v>3.49</v>
      </c>
      <c r="C79" s="6">
        <v>29.77</v>
      </c>
      <c r="D79" s="6">
        <v>19.71</v>
      </c>
      <c r="E79" s="6">
        <v>28.08</v>
      </c>
      <c r="F79" s="6">
        <v>16.190000000000001</v>
      </c>
      <c r="G79" s="6">
        <v>52.91</v>
      </c>
      <c r="H79" s="6">
        <v>24.04</v>
      </c>
      <c r="I79" s="6">
        <v>4.5599999999999996</v>
      </c>
      <c r="J79" s="6">
        <v>0.83</v>
      </c>
      <c r="K79" s="6">
        <v>45.42</v>
      </c>
      <c r="L79" s="6">
        <v>32.5</v>
      </c>
      <c r="M79" s="6">
        <v>26.67</v>
      </c>
      <c r="N79" s="6">
        <v>4.5</v>
      </c>
      <c r="O79" s="6">
        <v>0</v>
      </c>
      <c r="P79" s="6">
        <v>0.47</v>
      </c>
      <c r="Q79" s="6">
        <v>4.72</v>
      </c>
    </row>
    <row r="80" spans="1:17" customFormat="1">
      <c r="A80" s="82">
        <v>45361.75</v>
      </c>
      <c r="B80" s="6">
        <v>4.62</v>
      </c>
      <c r="C80" s="6">
        <v>32.200000000000003</v>
      </c>
      <c r="D80" s="6">
        <v>21.87</v>
      </c>
      <c r="E80" s="6">
        <v>25.95</v>
      </c>
      <c r="F80" s="6">
        <v>12.88</v>
      </c>
      <c r="G80" s="6">
        <v>54.69</v>
      </c>
      <c r="H80" s="6">
        <v>26.22</v>
      </c>
      <c r="I80" s="6">
        <v>4.78</v>
      </c>
      <c r="J80" s="6">
        <v>0.83</v>
      </c>
      <c r="K80" s="6">
        <v>59.5</v>
      </c>
      <c r="L80" s="6">
        <v>31.72</v>
      </c>
      <c r="M80" s="6">
        <v>28.6</v>
      </c>
      <c r="N80" s="6">
        <v>0</v>
      </c>
      <c r="O80" s="6">
        <v>0</v>
      </c>
      <c r="P80" s="6">
        <v>0.51</v>
      </c>
      <c r="Q80" s="6">
        <v>4.72</v>
      </c>
    </row>
    <row r="81" spans="1:17" customFormat="1">
      <c r="A81" s="82">
        <v>45361.760416666664</v>
      </c>
      <c r="B81" s="6">
        <v>4.21</v>
      </c>
      <c r="C81" s="6">
        <v>32.01</v>
      </c>
      <c r="D81" s="6">
        <v>21.45</v>
      </c>
      <c r="E81" s="6">
        <v>13.44</v>
      </c>
      <c r="F81" s="6">
        <v>11.51</v>
      </c>
      <c r="G81" s="6">
        <v>79.599999999999994</v>
      </c>
      <c r="H81" s="6">
        <v>52.82</v>
      </c>
      <c r="I81" s="6">
        <v>4.8899999999999997</v>
      </c>
      <c r="J81" s="6">
        <v>0.86</v>
      </c>
      <c r="K81" s="6">
        <v>54.15</v>
      </c>
      <c r="L81" s="6">
        <v>31.27</v>
      </c>
      <c r="M81" s="6">
        <v>29.39</v>
      </c>
      <c r="N81" s="6">
        <v>0</v>
      </c>
      <c r="O81" s="6">
        <v>0</v>
      </c>
      <c r="P81" s="6">
        <v>0.52</v>
      </c>
      <c r="Q81" s="6">
        <v>4.71</v>
      </c>
    </row>
    <row r="82" spans="1:17" customFormat="1">
      <c r="A82" s="82">
        <v>45361.770833333336</v>
      </c>
      <c r="B82" s="6">
        <v>4.18</v>
      </c>
      <c r="C82" s="6">
        <v>32.369999999999997</v>
      </c>
      <c r="D82" s="6">
        <v>21.62</v>
      </c>
      <c r="E82" s="6">
        <v>13.91</v>
      </c>
      <c r="F82" s="6">
        <v>11.51</v>
      </c>
      <c r="G82" s="6">
        <v>79.599999999999994</v>
      </c>
      <c r="H82" s="6">
        <v>52.82</v>
      </c>
      <c r="I82" s="6">
        <v>5.03</v>
      </c>
      <c r="J82" s="6">
        <v>0.57999999999999996</v>
      </c>
      <c r="K82" s="6">
        <v>57.14</v>
      </c>
      <c r="L82" s="6">
        <v>30.92</v>
      </c>
      <c r="M82" s="6">
        <v>30.38</v>
      </c>
      <c r="N82" s="6">
        <v>0</v>
      </c>
      <c r="O82" s="6">
        <v>0</v>
      </c>
      <c r="P82" s="6">
        <v>0.56000000000000005</v>
      </c>
      <c r="Q82" s="6">
        <v>4.7300000000000004</v>
      </c>
    </row>
    <row r="83" spans="1:17" customFormat="1">
      <c r="A83" s="82">
        <v>45361.78125</v>
      </c>
      <c r="B83" s="6">
        <v>3.64</v>
      </c>
      <c r="C83" s="6">
        <v>32.46</v>
      </c>
      <c r="D83" s="6">
        <v>21.23</v>
      </c>
      <c r="E83" s="6">
        <v>12.04</v>
      </c>
      <c r="F83" s="6">
        <v>9.5299999999999994</v>
      </c>
      <c r="G83" s="6">
        <v>79.599999999999994</v>
      </c>
      <c r="H83" s="6">
        <v>52.82</v>
      </c>
      <c r="I83" s="6">
        <v>5</v>
      </c>
      <c r="J83" s="6">
        <v>0.12</v>
      </c>
      <c r="K83" s="6">
        <v>158.63</v>
      </c>
      <c r="L83" s="6">
        <v>30.34</v>
      </c>
      <c r="M83" s="6">
        <v>33.270000000000003</v>
      </c>
      <c r="N83" s="6">
        <v>0</v>
      </c>
      <c r="O83" s="6">
        <v>0</v>
      </c>
      <c r="P83" s="6">
        <v>0.57999999999999996</v>
      </c>
      <c r="Q83" s="6">
        <v>4.7300000000000004</v>
      </c>
    </row>
    <row r="84" spans="1:17" customFormat="1">
      <c r="A84" s="82">
        <v>45361.791666666664</v>
      </c>
      <c r="B84" s="6">
        <v>3.63</v>
      </c>
      <c r="C84" s="6">
        <v>32.44</v>
      </c>
      <c r="D84" s="6">
        <v>21.22</v>
      </c>
      <c r="E84" s="6">
        <v>13.74</v>
      </c>
      <c r="F84" s="6">
        <v>9.7200000000000006</v>
      </c>
      <c r="G84" s="6">
        <v>81.02</v>
      </c>
      <c r="H84" s="6">
        <v>52.61</v>
      </c>
      <c r="I84" s="6">
        <v>5.23</v>
      </c>
      <c r="J84" s="6">
        <v>0.9</v>
      </c>
      <c r="K84" s="6">
        <v>53.47</v>
      </c>
      <c r="L84" s="6">
        <v>30.33</v>
      </c>
      <c r="M84" s="6">
        <v>31.25</v>
      </c>
      <c r="N84" s="6">
        <v>0</v>
      </c>
      <c r="O84" s="6">
        <v>0</v>
      </c>
      <c r="P84" s="6">
        <v>0.6</v>
      </c>
      <c r="Q84" s="6">
        <v>4.7300000000000004</v>
      </c>
    </row>
    <row r="85" spans="1:17" customFormat="1">
      <c r="A85" s="82">
        <v>45361.802083333336</v>
      </c>
      <c r="B85" s="6">
        <v>3.71</v>
      </c>
      <c r="C85" s="6">
        <v>33.159999999999997</v>
      </c>
      <c r="D85" s="6">
        <v>21.65</v>
      </c>
      <c r="E85" s="6">
        <v>13.59</v>
      </c>
      <c r="F85" s="6">
        <v>11.14</v>
      </c>
      <c r="G85" s="6">
        <v>100.95</v>
      </c>
      <c r="H85" s="6">
        <v>50.05</v>
      </c>
      <c r="I85" s="6">
        <v>5.31</v>
      </c>
      <c r="J85" s="6">
        <v>0.81</v>
      </c>
      <c r="K85" s="6">
        <v>59.66</v>
      </c>
      <c r="L85" s="6">
        <v>30.24</v>
      </c>
      <c r="M85" s="6">
        <v>31.17</v>
      </c>
      <c r="N85" s="6">
        <v>0</v>
      </c>
      <c r="O85" s="6">
        <v>0</v>
      </c>
      <c r="P85" s="6">
        <v>0.63</v>
      </c>
      <c r="Q85" s="6">
        <v>4.72</v>
      </c>
    </row>
    <row r="86" spans="1:17" customFormat="1">
      <c r="A86" s="82">
        <v>45361.8125</v>
      </c>
      <c r="B86" s="6">
        <v>3.78</v>
      </c>
      <c r="C86" s="6">
        <v>34.06</v>
      </c>
      <c r="D86" s="6">
        <v>22.18</v>
      </c>
      <c r="E86" s="6">
        <v>12.54</v>
      </c>
      <c r="F86" s="6">
        <v>10.17</v>
      </c>
      <c r="G86" s="6">
        <v>100.95</v>
      </c>
      <c r="H86" s="6">
        <v>50.05</v>
      </c>
      <c r="I86" s="6">
        <v>5.53</v>
      </c>
      <c r="J86" s="6">
        <v>0.87</v>
      </c>
      <c r="K86" s="6">
        <v>59.57</v>
      </c>
      <c r="L86" s="6">
        <v>29.93</v>
      </c>
      <c r="M86" s="6">
        <v>32.29</v>
      </c>
      <c r="N86" s="6">
        <v>0</v>
      </c>
      <c r="O86" s="6">
        <v>0</v>
      </c>
      <c r="P86" s="6">
        <v>0.65</v>
      </c>
      <c r="Q86" s="6">
        <v>4.74</v>
      </c>
    </row>
    <row r="87" spans="1:17" customFormat="1">
      <c r="A87" s="82">
        <v>45361.822916666664</v>
      </c>
      <c r="B87" s="6">
        <v>3.82</v>
      </c>
      <c r="C87" s="6">
        <v>34.200000000000003</v>
      </c>
      <c r="D87" s="6">
        <v>22.28</v>
      </c>
      <c r="E87" s="6">
        <v>11.65</v>
      </c>
      <c r="F87" s="6">
        <v>8.69</v>
      </c>
      <c r="G87" s="6">
        <v>100.95</v>
      </c>
      <c r="H87" s="6">
        <v>50.05</v>
      </c>
      <c r="I87" s="6">
        <v>5.86</v>
      </c>
      <c r="J87" s="6">
        <v>0.41</v>
      </c>
      <c r="K87" s="6">
        <v>99.14</v>
      </c>
      <c r="L87" s="6">
        <v>29.46</v>
      </c>
      <c r="M87" s="6">
        <v>34.72</v>
      </c>
      <c r="N87" s="6">
        <v>0</v>
      </c>
      <c r="O87" s="6">
        <v>0</v>
      </c>
      <c r="P87" s="6">
        <v>0.69</v>
      </c>
      <c r="Q87" s="6">
        <v>4.76</v>
      </c>
    </row>
    <row r="88" spans="1:17" customFormat="1">
      <c r="A88" s="82">
        <v>45361.833333333336</v>
      </c>
      <c r="B88" s="6">
        <v>3.73</v>
      </c>
      <c r="C88" s="6">
        <v>32.43</v>
      </c>
      <c r="D88" s="6">
        <v>21.28</v>
      </c>
      <c r="E88" s="6">
        <v>17.98</v>
      </c>
      <c r="F88" s="6">
        <v>12.87</v>
      </c>
      <c r="G88" s="6">
        <v>102.18</v>
      </c>
      <c r="H88" s="6">
        <v>50.66</v>
      </c>
      <c r="I88" s="6">
        <v>6.05</v>
      </c>
      <c r="J88" s="6">
        <v>0.18</v>
      </c>
      <c r="K88" s="6">
        <v>100.36</v>
      </c>
      <c r="L88" s="6">
        <v>28.97</v>
      </c>
      <c r="M88" s="6">
        <v>36.54</v>
      </c>
      <c r="N88" s="6">
        <v>0</v>
      </c>
      <c r="O88" s="6">
        <v>0</v>
      </c>
      <c r="P88" s="6">
        <v>0.75</v>
      </c>
      <c r="Q88" s="6">
        <v>4.76</v>
      </c>
    </row>
    <row r="89" spans="1:17" customFormat="1">
      <c r="A89" s="82">
        <v>45361.84375</v>
      </c>
      <c r="B89" s="6">
        <v>4.01</v>
      </c>
      <c r="C89" s="6">
        <v>30.75</v>
      </c>
      <c r="D89" s="6">
        <v>20.63</v>
      </c>
      <c r="E89" s="6">
        <v>12.93</v>
      </c>
      <c r="F89" s="6">
        <v>7.19</v>
      </c>
      <c r="G89" s="6">
        <v>119.51</v>
      </c>
      <c r="H89" s="6">
        <v>58.12</v>
      </c>
      <c r="I89" s="6">
        <v>6.21</v>
      </c>
      <c r="J89" s="6">
        <v>0.17</v>
      </c>
      <c r="K89" s="6">
        <v>196.03</v>
      </c>
      <c r="L89" s="6">
        <v>28.31</v>
      </c>
      <c r="M89" s="6">
        <v>39.29</v>
      </c>
      <c r="N89" s="6">
        <v>0</v>
      </c>
      <c r="O89" s="6">
        <v>0</v>
      </c>
      <c r="P89" s="6">
        <v>0.75</v>
      </c>
      <c r="Q89" s="6">
        <v>4.74</v>
      </c>
    </row>
    <row r="90" spans="1:17" customFormat="1">
      <c r="A90" s="82">
        <v>45361.854166666664</v>
      </c>
      <c r="B90" s="6">
        <v>4.1900000000000004</v>
      </c>
      <c r="C90" s="6">
        <v>28.83</v>
      </c>
      <c r="D90" s="6">
        <v>19.77</v>
      </c>
      <c r="E90" s="6">
        <v>8.74</v>
      </c>
      <c r="F90" s="6">
        <v>6.82</v>
      </c>
      <c r="G90" s="6">
        <v>119.51</v>
      </c>
      <c r="H90" s="6">
        <v>58.12</v>
      </c>
      <c r="I90" s="6">
        <v>6.35</v>
      </c>
      <c r="J90" s="6">
        <v>0.31</v>
      </c>
      <c r="K90" s="6">
        <v>80.48</v>
      </c>
      <c r="L90" s="6">
        <v>27.8</v>
      </c>
      <c r="M90" s="6">
        <v>39.83</v>
      </c>
      <c r="N90" s="6">
        <v>0</v>
      </c>
      <c r="O90" s="6">
        <v>0</v>
      </c>
      <c r="P90" s="6">
        <v>0.74</v>
      </c>
      <c r="Q90" s="6">
        <v>4.72</v>
      </c>
    </row>
    <row r="91" spans="1:17" customFormat="1">
      <c r="A91" s="82">
        <v>45361.864583333336</v>
      </c>
      <c r="B91" s="6">
        <v>4.2300000000000004</v>
      </c>
      <c r="C91" s="6">
        <v>27.22</v>
      </c>
      <c r="D91" s="6">
        <v>18.97</v>
      </c>
      <c r="E91" s="6">
        <v>8.61</v>
      </c>
      <c r="F91" s="6">
        <v>8.2200000000000006</v>
      </c>
      <c r="G91" s="6">
        <v>119.51</v>
      </c>
      <c r="H91" s="6">
        <v>58.12</v>
      </c>
      <c r="I91" s="6">
        <v>6.36</v>
      </c>
      <c r="J91" s="6">
        <v>0.41</v>
      </c>
      <c r="K91" s="6">
        <v>81.94</v>
      </c>
      <c r="L91" s="6">
        <v>28.44</v>
      </c>
      <c r="M91" s="6">
        <v>37.17</v>
      </c>
      <c r="N91" s="6">
        <v>0</v>
      </c>
      <c r="O91" s="6">
        <v>0</v>
      </c>
      <c r="P91" s="6">
        <v>0.76</v>
      </c>
      <c r="Q91" s="6">
        <v>4.74</v>
      </c>
    </row>
    <row r="92" spans="1:17" customFormat="1">
      <c r="A92" s="82">
        <v>45361.875</v>
      </c>
      <c r="B92" s="6">
        <v>4.2</v>
      </c>
      <c r="C92" s="6">
        <v>26</v>
      </c>
      <c r="D92" s="6">
        <v>18.3</v>
      </c>
      <c r="E92" s="6">
        <v>10.050000000000001</v>
      </c>
      <c r="F92" s="6">
        <v>9.08</v>
      </c>
      <c r="G92" s="6">
        <v>119.8</v>
      </c>
      <c r="H92" s="6">
        <v>57.31</v>
      </c>
      <c r="I92" s="6">
        <v>6.34</v>
      </c>
      <c r="J92" s="6">
        <v>0.24</v>
      </c>
      <c r="K92" s="6">
        <v>112.25</v>
      </c>
      <c r="L92" s="6">
        <v>28.36</v>
      </c>
      <c r="M92" s="6">
        <v>38.01</v>
      </c>
      <c r="N92" s="6">
        <v>0</v>
      </c>
      <c r="O92" s="6">
        <v>0</v>
      </c>
      <c r="P92" s="6">
        <v>0.76</v>
      </c>
      <c r="Q92" s="6">
        <v>4.75</v>
      </c>
    </row>
    <row r="93" spans="1:17" customFormat="1">
      <c r="A93" s="82">
        <v>45361.885416666664</v>
      </c>
      <c r="B93" s="6">
        <v>4.37</v>
      </c>
      <c r="C93" s="6">
        <v>25.53</v>
      </c>
      <c r="D93" s="6">
        <v>18.2</v>
      </c>
      <c r="E93" s="6">
        <v>10.15</v>
      </c>
      <c r="F93" s="6">
        <v>8.4499999999999993</v>
      </c>
      <c r="G93" s="6">
        <v>123.87</v>
      </c>
      <c r="H93" s="6">
        <v>49.11</v>
      </c>
      <c r="I93" s="6">
        <v>6.3</v>
      </c>
      <c r="J93" s="6">
        <v>0.47</v>
      </c>
      <c r="K93" s="6">
        <v>79.36</v>
      </c>
      <c r="L93" s="6">
        <v>28.17</v>
      </c>
      <c r="M93" s="6">
        <v>38.08</v>
      </c>
      <c r="N93" s="6">
        <v>0</v>
      </c>
      <c r="O93" s="6">
        <v>0</v>
      </c>
      <c r="P93" s="6">
        <v>0.77</v>
      </c>
      <c r="Q93" s="6">
        <v>4.74</v>
      </c>
    </row>
    <row r="94" spans="1:17" customFormat="1">
      <c r="A94" s="82">
        <v>45361.895833333336</v>
      </c>
      <c r="B94" s="6">
        <v>4.58</v>
      </c>
      <c r="C94" s="6">
        <v>24.98</v>
      </c>
      <c r="D94" s="6">
        <v>18.079999999999998</v>
      </c>
      <c r="E94" s="6">
        <v>6.21</v>
      </c>
      <c r="F94" s="6">
        <v>6.24</v>
      </c>
      <c r="G94" s="6">
        <v>123.87</v>
      </c>
      <c r="H94" s="6">
        <v>49.11</v>
      </c>
      <c r="I94" s="6">
        <v>6.43</v>
      </c>
      <c r="J94" s="6">
        <v>0.15</v>
      </c>
      <c r="K94" s="6">
        <v>130.13</v>
      </c>
      <c r="L94" s="6">
        <v>27.6</v>
      </c>
      <c r="M94" s="6">
        <v>41.05</v>
      </c>
      <c r="N94" s="6">
        <v>0</v>
      </c>
      <c r="O94" s="6">
        <v>0</v>
      </c>
      <c r="P94" s="6">
        <v>0.76</v>
      </c>
      <c r="Q94" s="6">
        <v>4.7300000000000004</v>
      </c>
    </row>
    <row r="95" spans="1:17" customFormat="1">
      <c r="A95" s="82">
        <v>45361.90625</v>
      </c>
      <c r="B95" s="6">
        <v>4.82</v>
      </c>
      <c r="C95" s="6">
        <v>24.37</v>
      </c>
      <c r="D95" s="6">
        <v>17.95</v>
      </c>
      <c r="E95" s="6">
        <v>6.95</v>
      </c>
      <c r="F95" s="6">
        <v>6.03</v>
      </c>
      <c r="G95" s="6">
        <v>123.87</v>
      </c>
      <c r="H95" s="6">
        <v>49.11</v>
      </c>
      <c r="I95" s="6">
        <v>6.52</v>
      </c>
      <c r="J95" s="6">
        <v>0.21</v>
      </c>
      <c r="K95" s="6">
        <v>111.87</v>
      </c>
      <c r="L95" s="6">
        <v>27.6</v>
      </c>
      <c r="M95" s="6">
        <v>39.770000000000003</v>
      </c>
      <c r="N95" s="6">
        <v>0</v>
      </c>
      <c r="O95" s="6">
        <v>0</v>
      </c>
      <c r="P95" s="6">
        <v>0.74</v>
      </c>
      <c r="Q95" s="6">
        <v>4.72</v>
      </c>
    </row>
    <row r="96" spans="1:17" customFormat="1">
      <c r="A96" s="82">
        <v>45361.916666666664</v>
      </c>
      <c r="B96" s="6">
        <v>4.4800000000000004</v>
      </c>
      <c r="C96" s="6">
        <v>24.68</v>
      </c>
      <c r="D96" s="6">
        <v>17.84</v>
      </c>
      <c r="E96" s="6">
        <v>7.06</v>
      </c>
      <c r="F96" s="6">
        <v>6.67</v>
      </c>
      <c r="G96" s="6">
        <v>123.2</v>
      </c>
      <c r="H96" s="6">
        <v>48.65</v>
      </c>
      <c r="I96" s="6">
        <v>6.52</v>
      </c>
      <c r="J96" s="6">
        <v>0.2</v>
      </c>
      <c r="K96" s="6">
        <v>210.81</v>
      </c>
      <c r="L96" s="6">
        <v>27.19</v>
      </c>
      <c r="M96" s="6">
        <v>44.41</v>
      </c>
      <c r="N96" s="6">
        <v>0</v>
      </c>
      <c r="O96" s="6">
        <v>0</v>
      </c>
      <c r="P96" s="6">
        <v>0.68</v>
      </c>
      <c r="Q96" s="6">
        <v>4.72</v>
      </c>
    </row>
    <row r="97" spans="1:22" customFormat="1">
      <c r="A97" s="82">
        <v>45361.927083333336</v>
      </c>
      <c r="B97" s="6">
        <v>4.05</v>
      </c>
      <c r="C97" s="6">
        <v>25.18</v>
      </c>
      <c r="D97" s="6">
        <v>17.760000000000002</v>
      </c>
      <c r="E97" s="6">
        <v>7.3</v>
      </c>
      <c r="F97" s="6">
        <v>7</v>
      </c>
      <c r="G97" s="6">
        <v>115.16</v>
      </c>
      <c r="H97" s="6">
        <v>44.02</v>
      </c>
      <c r="I97" s="6">
        <v>6.53</v>
      </c>
      <c r="J97" s="6">
        <v>0.13</v>
      </c>
      <c r="K97" s="6">
        <v>145.18</v>
      </c>
      <c r="L97" s="6">
        <v>26.71</v>
      </c>
      <c r="M97" s="6">
        <v>44.59</v>
      </c>
      <c r="N97" s="6">
        <v>0</v>
      </c>
      <c r="O97" s="6">
        <v>0</v>
      </c>
      <c r="P97" s="6">
        <v>0.67</v>
      </c>
      <c r="Q97" s="6">
        <v>4.7300000000000004</v>
      </c>
    </row>
    <row r="98" spans="1:22" customFormat="1">
      <c r="A98" s="82">
        <v>45361.9375</v>
      </c>
      <c r="B98" s="6">
        <v>3.75</v>
      </c>
      <c r="C98" s="6">
        <v>25.47</v>
      </c>
      <c r="D98" s="6">
        <v>17.670000000000002</v>
      </c>
      <c r="E98" s="6">
        <v>8.52</v>
      </c>
      <c r="F98" s="6">
        <v>6.85</v>
      </c>
      <c r="G98" s="6">
        <v>115.16</v>
      </c>
      <c r="H98" s="6">
        <v>44.02</v>
      </c>
      <c r="I98" s="6">
        <v>6.43</v>
      </c>
      <c r="J98" s="6">
        <v>0.21</v>
      </c>
      <c r="K98" s="6">
        <v>205.81</v>
      </c>
      <c r="L98" s="6">
        <v>26.34</v>
      </c>
      <c r="M98" s="6">
        <v>50.36</v>
      </c>
      <c r="N98" s="6">
        <v>0</v>
      </c>
      <c r="O98" s="6">
        <v>0</v>
      </c>
      <c r="P98" s="6">
        <v>0.66</v>
      </c>
      <c r="Q98" s="6">
        <v>4.74</v>
      </c>
    </row>
    <row r="99" spans="1:22" customFormat="1">
      <c r="A99" s="82">
        <v>45361.947916666664</v>
      </c>
      <c r="B99" s="6">
        <v>3.45</v>
      </c>
      <c r="C99" s="6">
        <v>25.42</v>
      </c>
      <c r="D99" s="6">
        <v>17.399999999999999</v>
      </c>
      <c r="E99" s="6">
        <v>8.11</v>
      </c>
      <c r="F99" s="6">
        <v>6.72</v>
      </c>
      <c r="G99" s="6">
        <v>115.16</v>
      </c>
      <c r="H99" s="6">
        <v>44.02</v>
      </c>
      <c r="I99" s="6">
        <v>6.25</v>
      </c>
      <c r="J99" s="6">
        <v>0.12</v>
      </c>
      <c r="K99" s="6">
        <v>217.8</v>
      </c>
      <c r="L99" s="6">
        <v>25.67</v>
      </c>
      <c r="M99" s="6">
        <v>51.89</v>
      </c>
      <c r="N99" s="6">
        <v>0</v>
      </c>
      <c r="O99" s="6">
        <v>0</v>
      </c>
      <c r="P99" s="6">
        <v>0.65</v>
      </c>
      <c r="Q99" s="6">
        <v>4.7300000000000004</v>
      </c>
    </row>
    <row r="100" spans="1:22" customFormat="1">
      <c r="A100" s="82">
        <v>45361.958333333336</v>
      </c>
      <c r="B100" s="6">
        <v>3.39</v>
      </c>
      <c r="C100" s="6">
        <v>25.05</v>
      </c>
      <c r="D100" s="6">
        <v>17.16</v>
      </c>
      <c r="E100" s="6">
        <v>7.97</v>
      </c>
      <c r="F100" s="6">
        <v>6.89</v>
      </c>
      <c r="G100" s="6">
        <v>114.34</v>
      </c>
      <c r="H100" s="6">
        <v>43.7</v>
      </c>
      <c r="I100" s="6">
        <v>6.15</v>
      </c>
      <c r="J100" s="6">
        <v>0.18</v>
      </c>
      <c r="K100" s="6">
        <v>195.31</v>
      </c>
      <c r="L100" s="6">
        <v>25.38</v>
      </c>
      <c r="M100" s="6">
        <v>51.05</v>
      </c>
      <c r="N100" s="6">
        <v>0</v>
      </c>
      <c r="O100" s="6">
        <v>0</v>
      </c>
      <c r="P100" s="6">
        <v>0.64</v>
      </c>
      <c r="Q100" s="6">
        <v>4.74</v>
      </c>
    </row>
    <row r="101" spans="1:22" customFormat="1">
      <c r="A101" s="82">
        <v>45361.96875</v>
      </c>
      <c r="B101" s="6">
        <v>3.25</v>
      </c>
      <c r="C101" s="6">
        <v>24.78</v>
      </c>
      <c r="D101" s="6">
        <v>16.899999999999999</v>
      </c>
      <c r="E101" s="6">
        <v>7.82</v>
      </c>
      <c r="F101" s="6">
        <v>7.13</v>
      </c>
      <c r="G101" s="6">
        <v>102.88</v>
      </c>
      <c r="H101" s="6">
        <v>39.770000000000003</v>
      </c>
      <c r="I101" s="6">
        <v>6.08</v>
      </c>
      <c r="J101" s="6">
        <v>0.22</v>
      </c>
      <c r="K101" s="6">
        <v>196.18</v>
      </c>
      <c r="L101" s="6">
        <v>25.49</v>
      </c>
      <c r="M101" s="6">
        <v>50.65</v>
      </c>
      <c r="N101" s="6">
        <v>0</v>
      </c>
      <c r="O101" s="6">
        <v>0</v>
      </c>
      <c r="P101" s="6">
        <v>0.63</v>
      </c>
      <c r="Q101" s="6">
        <v>4.72</v>
      </c>
    </row>
    <row r="102" spans="1:22" customFormat="1">
      <c r="A102" s="82">
        <v>45361.979166666664</v>
      </c>
      <c r="B102" s="6">
        <v>3.29</v>
      </c>
      <c r="C102" s="6">
        <v>24.27</v>
      </c>
      <c r="D102" s="6">
        <v>16.670000000000002</v>
      </c>
      <c r="E102" s="6">
        <v>7.97</v>
      </c>
      <c r="F102" s="6">
        <v>7.24</v>
      </c>
      <c r="G102" s="6">
        <v>102.88</v>
      </c>
      <c r="H102" s="6">
        <v>39.770000000000003</v>
      </c>
      <c r="I102" s="6">
        <v>6.01</v>
      </c>
      <c r="J102" s="6">
        <v>0.21</v>
      </c>
      <c r="K102" s="6">
        <v>200.64</v>
      </c>
      <c r="L102" s="6">
        <v>25.29</v>
      </c>
      <c r="M102" s="6">
        <v>50.82</v>
      </c>
      <c r="N102" s="6">
        <v>0</v>
      </c>
      <c r="O102" s="6">
        <v>0</v>
      </c>
      <c r="P102" s="6">
        <v>0.61</v>
      </c>
      <c r="Q102" s="6">
        <v>4.72</v>
      </c>
    </row>
    <row r="103" spans="1:22" customFormat="1">
      <c r="A103" s="82">
        <v>45361.989583333336</v>
      </c>
      <c r="B103" s="6">
        <v>3.41</v>
      </c>
      <c r="C103" s="6">
        <v>23.44</v>
      </c>
      <c r="D103" s="6">
        <v>16.329999999999998</v>
      </c>
      <c r="E103" s="6">
        <v>7.79</v>
      </c>
      <c r="F103" s="6">
        <v>7.27</v>
      </c>
      <c r="G103" s="6">
        <v>102.88</v>
      </c>
      <c r="H103" s="6">
        <v>39.770000000000003</v>
      </c>
      <c r="I103" s="6">
        <v>5.93</v>
      </c>
      <c r="J103" s="6">
        <v>0.23</v>
      </c>
      <c r="K103" s="6">
        <v>179.28</v>
      </c>
      <c r="L103" s="6">
        <v>25.33</v>
      </c>
      <c r="M103" s="6">
        <v>49.36</v>
      </c>
      <c r="N103" s="6">
        <v>0</v>
      </c>
      <c r="O103" s="6">
        <v>0</v>
      </c>
      <c r="P103" s="6">
        <v>0.6</v>
      </c>
      <c r="Q103" s="6">
        <v>4.7300000000000004</v>
      </c>
    </row>
    <row r="104" spans="1:22" customFormat="1">
      <c r="A104" s="82">
        <v>45362</v>
      </c>
      <c r="B104" s="6">
        <v>3.42</v>
      </c>
      <c r="C104" s="6">
        <v>22.98</v>
      </c>
      <c r="D104" s="6">
        <v>16.100000000000001</v>
      </c>
      <c r="E104" s="6">
        <v>7.72</v>
      </c>
      <c r="F104" s="6">
        <v>7.35</v>
      </c>
      <c r="G104" s="6">
        <v>101.46</v>
      </c>
      <c r="H104" s="6">
        <v>39.01</v>
      </c>
      <c r="I104" s="6">
        <v>5.78</v>
      </c>
      <c r="J104" s="6">
        <v>0.22</v>
      </c>
      <c r="K104" s="6">
        <v>196.58</v>
      </c>
      <c r="L104" s="6">
        <v>25.45</v>
      </c>
      <c r="M104" s="6">
        <v>50.4</v>
      </c>
      <c r="N104" s="6">
        <v>0</v>
      </c>
      <c r="O104" s="6">
        <v>0</v>
      </c>
      <c r="P104" s="6">
        <v>0.59</v>
      </c>
      <c r="Q104" s="6">
        <v>4.7300000000000004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6" t="s">
        <v>48</v>
      </c>
      <c r="B106" s="187">
        <f>MIN(B9:B104)</f>
        <v>1.98</v>
      </c>
      <c r="C106" s="187">
        <f>MIN(C9:C104)</f>
        <v>20.87</v>
      </c>
      <c r="D106" s="187">
        <f t="shared" ref="D106:Q106" si="0">MIN(D9:D104)</f>
        <v>14.2</v>
      </c>
      <c r="E106" s="187">
        <f t="shared" si="0"/>
        <v>4.1500000000000004</v>
      </c>
      <c r="F106" s="187">
        <f t="shared" si="0"/>
        <v>4.5999999999999996</v>
      </c>
      <c r="G106" s="187">
        <f t="shared" si="0"/>
        <v>49.02</v>
      </c>
      <c r="H106" s="187">
        <f t="shared" si="0"/>
        <v>15.64</v>
      </c>
      <c r="I106" s="187">
        <f t="shared" si="0"/>
        <v>4.26</v>
      </c>
      <c r="J106" s="187">
        <f t="shared" si="0"/>
        <v>0.09</v>
      </c>
      <c r="K106" s="187">
        <f t="shared" si="0"/>
        <v>8.9499999999999993</v>
      </c>
      <c r="L106" s="187">
        <f t="shared" si="0"/>
        <v>20.260000000000002</v>
      </c>
      <c r="M106" s="187">
        <f t="shared" si="0"/>
        <v>17.71</v>
      </c>
      <c r="N106" s="187">
        <f t="shared" si="0"/>
        <v>0</v>
      </c>
      <c r="O106" s="187">
        <f t="shared" si="0"/>
        <v>0</v>
      </c>
      <c r="P106" s="187">
        <f t="shared" si="0"/>
        <v>0.31</v>
      </c>
      <c r="Q106" s="187">
        <f t="shared" si="0"/>
        <v>4.63</v>
      </c>
      <c r="R106" s="192"/>
      <c r="S106" s="192"/>
      <c r="T106" s="192"/>
      <c r="U106" s="192"/>
    </row>
    <row r="107" spans="1:22">
      <c r="A107" s="186" t="s">
        <v>49</v>
      </c>
      <c r="B107" s="188">
        <f>MAX(B9:B104)</f>
        <v>13.1</v>
      </c>
      <c r="C107" s="188">
        <f t="shared" ref="C107:Q107" si="1">MAX(C9:C104)</f>
        <v>34.200000000000003</v>
      </c>
      <c r="D107" s="188">
        <f t="shared" si="1"/>
        <v>26.23</v>
      </c>
      <c r="E107" s="188">
        <f t="shared" si="1"/>
        <v>28.08</v>
      </c>
      <c r="F107" s="188">
        <f t="shared" si="1"/>
        <v>19.89</v>
      </c>
      <c r="G107" s="188">
        <f t="shared" si="1"/>
        <v>123.87</v>
      </c>
      <c r="H107" s="188">
        <f t="shared" si="1"/>
        <v>107.93</v>
      </c>
      <c r="I107" s="188">
        <f t="shared" si="1"/>
        <v>6.75</v>
      </c>
      <c r="J107" s="188">
        <f t="shared" si="1"/>
        <v>1.27</v>
      </c>
      <c r="K107" s="188">
        <f t="shared" si="1"/>
        <v>354.14</v>
      </c>
      <c r="L107" s="188">
        <f t="shared" si="1"/>
        <v>36.33</v>
      </c>
      <c r="M107" s="188">
        <f t="shared" si="1"/>
        <v>64.459999999999994</v>
      </c>
      <c r="N107" s="188">
        <f t="shared" si="1"/>
        <v>593.70000000000005</v>
      </c>
      <c r="O107" s="188">
        <f t="shared" si="1"/>
        <v>0</v>
      </c>
      <c r="P107" s="188">
        <f t="shared" si="1"/>
        <v>0.89</v>
      </c>
      <c r="Q107" s="188">
        <f t="shared" si="1"/>
        <v>4.79</v>
      </c>
      <c r="R107" s="193"/>
      <c r="S107" s="193"/>
      <c r="T107" s="193"/>
      <c r="U107" s="193"/>
    </row>
    <row r="108" spans="1:22">
      <c r="A108" s="186" t="s">
        <v>50</v>
      </c>
      <c r="B108" s="187">
        <f>AVERAGE(B9:B104)</f>
        <v>5.2981249999999998</v>
      </c>
      <c r="C108" s="187">
        <f t="shared" ref="C108:Q108" si="2">AVERAGE(C9:C104)</f>
        <v>26.332708333333326</v>
      </c>
      <c r="D108" s="187">
        <f t="shared" si="2"/>
        <v>19.358229166666671</v>
      </c>
      <c r="E108" s="187">
        <f t="shared" si="2"/>
        <v>12.109687499999994</v>
      </c>
      <c r="F108" s="187">
        <f t="shared" si="2"/>
        <v>8.5492708333333365</v>
      </c>
      <c r="G108" s="187">
        <f t="shared" si="2"/>
        <v>84.490520833333335</v>
      </c>
      <c r="H108" s="187">
        <f t="shared" si="2"/>
        <v>38.396666666666668</v>
      </c>
      <c r="I108" s="187">
        <f t="shared" si="2"/>
        <v>5.7572916666666636</v>
      </c>
      <c r="J108" s="187">
        <f t="shared" si="2"/>
        <v>0.54833333333333323</v>
      </c>
      <c r="K108" s="187">
        <f t="shared" si="2"/>
        <v>126.1248958333333</v>
      </c>
      <c r="L108" s="187">
        <f t="shared" si="2"/>
        <v>27.695833333333329</v>
      </c>
      <c r="M108" s="187">
        <f t="shared" si="2"/>
        <v>40.317395833333343</v>
      </c>
      <c r="N108" s="187">
        <f t="shared" si="2"/>
        <v>154.02812500000005</v>
      </c>
      <c r="O108" s="187">
        <f t="shared" si="2"/>
        <v>0</v>
      </c>
      <c r="P108" s="187">
        <f t="shared" si="2"/>
        <v>0.68156250000000018</v>
      </c>
      <c r="Q108" s="187">
        <f t="shared" si="2"/>
        <v>4.7337500000000041</v>
      </c>
      <c r="R108" s="192"/>
      <c r="S108" s="192"/>
      <c r="T108" s="192"/>
      <c r="U108" s="192"/>
    </row>
    <row r="109" spans="1:22">
      <c r="A109" s="186" t="s">
        <v>51</v>
      </c>
      <c r="B109" s="187">
        <f>STDEV(B9:B104)</f>
        <v>3.0707144077045321</v>
      </c>
      <c r="C109" s="187">
        <f t="shared" ref="C109:Q109" si="3">STDEV(C9:C104)</f>
        <v>3.2239023359789591</v>
      </c>
      <c r="D109" s="187">
        <f t="shared" si="3"/>
        <v>3.280438351578741</v>
      </c>
      <c r="E109" s="187">
        <f t="shared" si="3"/>
        <v>4.4248143471313073</v>
      </c>
      <c r="F109" s="187">
        <f t="shared" si="3"/>
        <v>4.0174386301385816</v>
      </c>
      <c r="G109" s="187">
        <f t="shared" si="3"/>
        <v>19.381627619979781</v>
      </c>
      <c r="H109" s="187">
        <f t="shared" si="3"/>
        <v>17.931186397280968</v>
      </c>
      <c r="I109" s="187">
        <f t="shared" si="3"/>
        <v>0.69287878360646016</v>
      </c>
      <c r="J109" s="187">
        <f t="shared" si="3"/>
        <v>0.32609222675629296</v>
      </c>
      <c r="K109" s="187">
        <f t="shared" si="3"/>
        <v>98.079804831466333</v>
      </c>
      <c r="L109" s="187">
        <f t="shared" si="3"/>
        <v>5.3624057183058742</v>
      </c>
      <c r="M109" s="187">
        <f t="shared" si="3"/>
        <v>14.373043134159257</v>
      </c>
      <c r="N109" s="187">
        <f t="shared" si="3"/>
        <v>216.63326794286525</v>
      </c>
      <c r="O109" s="187">
        <f t="shared" si="3"/>
        <v>0</v>
      </c>
      <c r="P109" s="187">
        <f t="shared" si="3"/>
        <v>0.13510485693867921</v>
      </c>
      <c r="Q109" s="187">
        <f t="shared" si="3"/>
        <v>3.1763931879114839E-2</v>
      </c>
      <c r="R109" s="192"/>
      <c r="S109" s="192"/>
      <c r="T109" s="192"/>
      <c r="U109" s="192"/>
    </row>
    <row r="110" spans="1:22">
      <c r="A110" s="186" t="s">
        <v>52</v>
      </c>
      <c r="B110" s="188">
        <f t="shared" ref="B110:Q110" si="4">COUNT(B9:B104)</f>
        <v>96</v>
      </c>
      <c r="C110" s="188">
        <f t="shared" si="4"/>
        <v>96</v>
      </c>
      <c r="D110" s="188">
        <f t="shared" si="4"/>
        <v>96</v>
      </c>
      <c r="E110" s="188">
        <f t="shared" si="4"/>
        <v>96</v>
      </c>
      <c r="F110" s="188">
        <f t="shared" si="4"/>
        <v>96</v>
      </c>
      <c r="G110" s="188">
        <f t="shared" si="4"/>
        <v>96</v>
      </c>
      <c r="H110" s="188">
        <f t="shared" si="4"/>
        <v>96</v>
      </c>
      <c r="I110" s="188">
        <f t="shared" si="4"/>
        <v>96</v>
      </c>
      <c r="J110" s="188">
        <f t="shared" si="4"/>
        <v>96</v>
      </c>
      <c r="K110" s="188">
        <f t="shared" si="4"/>
        <v>96</v>
      </c>
      <c r="L110" s="188">
        <f t="shared" si="4"/>
        <v>96</v>
      </c>
      <c r="M110" s="188">
        <f t="shared" si="4"/>
        <v>96</v>
      </c>
      <c r="N110" s="188">
        <f t="shared" si="4"/>
        <v>96</v>
      </c>
      <c r="O110" s="188">
        <f t="shared" si="4"/>
        <v>96</v>
      </c>
      <c r="P110" s="188">
        <f t="shared" si="4"/>
        <v>96</v>
      </c>
      <c r="Q110" s="188">
        <f t="shared" si="4"/>
        <v>96</v>
      </c>
      <c r="R110" s="193"/>
      <c r="S110" s="193"/>
      <c r="T110" s="193"/>
      <c r="U110" s="193"/>
      <c r="V110" s="188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91"/>
      <c r="O113" s="191"/>
      <c r="P113" s="191"/>
      <c r="Q113" s="191"/>
      <c r="R113" s="191"/>
      <c r="S113" s="191"/>
      <c r="T113" s="191"/>
      <c r="U113" s="191"/>
    </row>
    <row r="115" spans="1:21">
      <c r="A115" s="153" t="s">
        <v>55</v>
      </c>
      <c r="B115" s="197" t="s">
        <v>56</v>
      </c>
      <c r="C115" s="197"/>
      <c r="D115" s="197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9" t="s">
        <v>57</v>
      </c>
      <c r="B117" s="198"/>
      <c r="C117" s="198"/>
      <c r="D117" s="198"/>
      <c r="E117" s="198"/>
      <c r="F117" s="198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5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45362.010416666664</v>
      </c>
      <c r="C2" s="196" t="s">
        <v>3</v>
      </c>
      <c r="D2" s="196"/>
      <c r="E2" s="196"/>
      <c r="F2" s="196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2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6" t="s">
        <v>11</v>
      </c>
      <c r="D3" s="196"/>
      <c r="E3" s="196"/>
      <c r="F3" s="196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2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6" t="s">
        <v>18</v>
      </c>
      <c r="D4" s="196"/>
      <c r="E4" s="196"/>
      <c r="F4" s="196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3" t="s">
        <v>43</v>
      </c>
      <c r="M8" s="114" t="s">
        <v>44</v>
      </c>
      <c r="N8" s="114" t="s">
        <v>45</v>
      </c>
      <c r="O8" s="183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2">
        <v>45362.010416666664</v>
      </c>
      <c r="B9" s="6">
        <v>3.73</v>
      </c>
      <c r="C9" s="6">
        <v>22.98</v>
      </c>
      <c r="D9" s="6">
        <v>16.350000000000001</v>
      </c>
      <c r="E9" s="6">
        <v>7.12</v>
      </c>
      <c r="F9" s="6">
        <v>7.25</v>
      </c>
      <c r="G9" s="6">
        <v>84.73</v>
      </c>
      <c r="H9" s="6">
        <v>31.27</v>
      </c>
      <c r="I9" s="6">
        <v>5.69</v>
      </c>
      <c r="J9" s="6">
        <v>0.1</v>
      </c>
      <c r="K9" s="6">
        <v>187.14</v>
      </c>
      <c r="L9" s="6">
        <v>25.05</v>
      </c>
      <c r="M9" s="6">
        <v>51.06</v>
      </c>
      <c r="N9" s="6">
        <v>0</v>
      </c>
      <c r="O9" s="6">
        <v>0</v>
      </c>
      <c r="P9" s="6">
        <v>0.57999999999999996</v>
      </c>
      <c r="Q9" s="6">
        <v>4.71</v>
      </c>
    </row>
    <row r="10" spans="1:21" customFormat="1">
      <c r="A10" s="82">
        <v>45362.020833333336</v>
      </c>
      <c r="B10" s="6">
        <v>3.76</v>
      </c>
      <c r="C10" s="6">
        <v>22.63</v>
      </c>
      <c r="D10" s="6">
        <v>16.190000000000001</v>
      </c>
      <c r="E10" s="6">
        <v>7.44</v>
      </c>
      <c r="F10" s="6">
        <v>7.39</v>
      </c>
      <c r="G10" s="6">
        <v>84.73</v>
      </c>
      <c r="H10" s="6">
        <v>31.27</v>
      </c>
      <c r="I10" s="6">
        <v>5.63</v>
      </c>
      <c r="J10" s="6">
        <v>0.13</v>
      </c>
      <c r="K10" s="6">
        <v>193.93</v>
      </c>
      <c r="L10" s="6">
        <v>25.15</v>
      </c>
      <c r="M10" s="6">
        <v>49.8</v>
      </c>
      <c r="N10" s="6">
        <v>0</v>
      </c>
      <c r="O10" s="6">
        <v>0</v>
      </c>
      <c r="P10" s="6">
        <v>0.56000000000000005</v>
      </c>
      <c r="Q10" s="6">
        <v>4.71</v>
      </c>
    </row>
    <row r="11" spans="1:21" customFormat="1">
      <c r="A11" s="82">
        <v>45362.03125</v>
      </c>
      <c r="B11" s="6">
        <v>3.84</v>
      </c>
      <c r="C11" s="6">
        <v>22.07</v>
      </c>
      <c r="D11" s="6">
        <v>15.96</v>
      </c>
      <c r="E11" s="6">
        <v>7.65</v>
      </c>
      <c r="F11" s="6">
        <v>7.44</v>
      </c>
      <c r="G11" s="6">
        <v>84.73</v>
      </c>
      <c r="H11" s="6">
        <v>31.27</v>
      </c>
      <c r="I11" s="6">
        <v>5.54</v>
      </c>
      <c r="J11" s="6">
        <v>0.17</v>
      </c>
      <c r="K11" s="6">
        <v>236.79</v>
      </c>
      <c r="L11" s="6">
        <v>24.71</v>
      </c>
      <c r="M11" s="6">
        <v>54.48</v>
      </c>
      <c r="N11" s="6">
        <v>0</v>
      </c>
      <c r="O11" s="6">
        <v>0</v>
      </c>
      <c r="P11" s="6">
        <v>0.55000000000000004</v>
      </c>
      <c r="Q11" s="6">
        <v>4.71</v>
      </c>
    </row>
    <row r="12" spans="1:21" customFormat="1">
      <c r="A12" s="82">
        <v>45362.041666666664</v>
      </c>
      <c r="B12" s="6">
        <v>3.9</v>
      </c>
      <c r="C12" s="6">
        <v>21.84</v>
      </c>
      <c r="D12" s="6">
        <v>15.89</v>
      </c>
      <c r="E12" s="6">
        <v>7.73</v>
      </c>
      <c r="F12" s="6">
        <v>7.27</v>
      </c>
      <c r="G12" s="6">
        <v>83.24</v>
      </c>
      <c r="H12" s="6">
        <v>31.09</v>
      </c>
      <c r="I12" s="6">
        <v>5.44</v>
      </c>
      <c r="J12" s="6">
        <v>0.16</v>
      </c>
      <c r="K12" s="6">
        <v>246.99</v>
      </c>
      <c r="L12" s="6">
        <v>24.3</v>
      </c>
      <c r="M12" s="6">
        <v>55.64</v>
      </c>
      <c r="N12" s="6">
        <v>0</v>
      </c>
      <c r="O12" s="6">
        <v>0</v>
      </c>
      <c r="P12" s="6">
        <v>0.53</v>
      </c>
      <c r="Q12" s="6">
        <v>4.72</v>
      </c>
    </row>
    <row r="13" spans="1:21" customFormat="1">
      <c r="A13" s="82">
        <v>45362.052083333336</v>
      </c>
      <c r="B13" s="6">
        <v>4.04</v>
      </c>
      <c r="C13" s="6">
        <v>21.48</v>
      </c>
      <c r="D13" s="6">
        <v>15.81</v>
      </c>
      <c r="E13" s="6">
        <v>7.83</v>
      </c>
      <c r="F13" s="6">
        <v>7.01</v>
      </c>
      <c r="G13" s="6">
        <v>65.48</v>
      </c>
      <c r="H13" s="6">
        <v>29.32</v>
      </c>
      <c r="I13" s="6">
        <v>5.3</v>
      </c>
      <c r="J13" s="6">
        <v>0.17</v>
      </c>
      <c r="K13" s="6">
        <v>262.27</v>
      </c>
      <c r="L13" s="6">
        <v>23.99</v>
      </c>
      <c r="M13" s="6">
        <v>56.91</v>
      </c>
      <c r="N13" s="6">
        <v>0</v>
      </c>
      <c r="O13" s="6">
        <v>0</v>
      </c>
      <c r="P13" s="6">
        <v>0.53</v>
      </c>
      <c r="Q13" s="6">
        <v>4.6900000000000004</v>
      </c>
    </row>
    <row r="14" spans="1:21" customFormat="1">
      <c r="A14" s="82">
        <v>45362.0625</v>
      </c>
      <c r="B14" s="6">
        <v>4.03</v>
      </c>
      <c r="C14" s="6">
        <v>21.57</v>
      </c>
      <c r="D14" s="6">
        <v>15.85</v>
      </c>
      <c r="E14" s="6">
        <v>7.66</v>
      </c>
      <c r="F14" s="6">
        <v>6.87</v>
      </c>
      <c r="G14" s="6">
        <v>65.48</v>
      </c>
      <c r="H14" s="6">
        <v>29.32</v>
      </c>
      <c r="I14" s="6">
        <v>5.18</v>
      </c>
      <c r="J14" s="6">
        <v>0.14000000000000001</v>
      </c>
      <c r="K14" s="6">
        <v>238.16</v>
      </c>
      <c r="L14" s="6">
        <v>24.02</v>
      </c>
      <c r="M14" s="6">
        <v>56.65</v>
      </c>
      <c r="N14" s="6">
        <v>0</v>
      </c>
      <c r="O14" s="6">
        <v>0</v>
      </c>
      <c r="P14" s="6">
        <v>0.52</v>
      </c>
      <c r="Q14" s="6">
        <v>4.6900000000000004</v>
      </c>
    </row>
    <row r="15" spans="1:21" customFormat="1">
      <c r="A15" s="82">
        <v>45362.072916666664</v>
      </c>
      <c r="B15" s="6">
        <v>4.07</v>
      </c>
      <c r="C15" s="6">
        <v>21.28</v>
      </c>
      <c r="D15" s="6">
        <v>15.73</v>
      </c>
      <c r="E15" s="6">
        <v>7.76</v>
      </c>
      <c r="F15" s="6">
        <v>6.91</v>
      </c>
      <c r="G15" s="6">
        <v>65.48</v>
      </c>
      <c r="H15" s="6">
        <v>29.32</v>
      </c>
      <c r="I15" s="6">
        <v>5.0999999999999996</v>
      </c>
      <c r="J15" s="6">
        <v>0.2</v>
      </c>
      <c r="K15" s="6">
        <v>175.14</v>
      </c>
      <c r="L15" s="6">
        <v>24.34</v>
      </c>
      <c r="M15" s="6">
        <v>56.37</v>
      </c>
      <c r="N15" s="6">
        <v>0</v>
      </c>
      <c r="O15" s="6">
        <v>0</v>
      </c>
      <c r="P15" s="6">
        <v>0.51</v>
      </c>
      <c r="Q15" s="6">
        <v>4.67</v>
      </c>
    </row>
    <row r="16" spans="1:21" customFormat="1">
      <c r="A16" s="82">
        <v>45362.083333333336</v>
      </c>
      <c r="B16" s="6">
        <v>3.99</v>
      </c>
      <c r="C16" s="6">
        <v>21.23</v>
      </c>
      <c r="D16" s="6">
        <v>15.64</v>
      </c>
      <c r="E16" s="6">
        <v>7.8</v>
      </c>
      <c r="F16" s="6">
        <v>6.76</v>
      </c>
      <c r="G16" s="6">
        <v>65.02</v>
      </c>
      <c r="H16" s="6">
        <v>29.45</v>
      </c>
      <c r="I16" s="6">
        <v>5.1100000000000003</v>
      </c>
      <c r="J16" s="6">
        <v>0.15</v>
      </c>
      <c r="K16" s="6">
        <v>166.24</v>
      </c>
      <c r="L16" s="6">
        <v>24.32</v>
      </c>
      <c r="M16" s="6">
        <v>59</v>
      </c>
      <c r="N16" s="6">
        <v>0</v>
      </c>
      <c r="O16" s="6">
        <v>0</v>
      </c>
      <c r="P16" s="6">
        <v>0.5</v>
      </c>
      <c r="Q16" s="6">
        <v>4.68</v>
      </c>
    </row>
    <row r="17" spans="1:17" customFormat="1">
      <c r="A17" s="82">
        <v>45362.09375</v>
      </c>
      <c r="B17" s="6">
        <v>4.03</v>
      </c>
      <c r="C17" s="6">
        <v>21.07</v>
      </c>
      <c r="D17" s="6">
        <v>15.59</v>
      </c>
      <c r="E17" s="6">
        <v>7.89</v>
      </c>
      <c r="F17" s="6">
        <v>6.84</v>
      </c>
      <c r="G17" s="6">
        <v>58.63</v>
      </c>
      <c r="H17" s="6">
        <v>31.02</v>
      </c>
      <c r="I17" s="6">
        <v>5.04</v>
      </c>
      <c r="J17" s="6">
        <v>0.16</v>
      </c>
      <c r="K17" s="6">
        <v>185.89</v>
      </c>
      <c r="L17" s="6">
        <v>24.02</v>
      </c>
      <c r="M17" s="6">
        <v>60.4</v>
      </c>
      <c r="N17" s="6">
        <v>0</v>
      </c>
      <c r="O17" s="6">
        <v>0</v>
      </c>
      <c r="P17" s="6">
        <v>0.49</v>
      </c>
      <c r="Q17" s="6">
        <v>4.67</v>
      </c>
    </row>
    <row r="18" spans="1:17" customFormat="1">
      <c r="A18" s="82">
        <v>45362.104166666664</v>
      </c>
      <c r="B18" s="6">
        <v>4.18</v>
      </c>
      <c r="C18" s="6">
        <v>20.96</v>
      </c>
      <c r="D18" s="6">
        <v>15.65</v>
      </c>
      <c r="E18" s="6">
        <v>7.97</v>
      </c>
      <c r="F18" s="6">
        <v>6.35</v>
      </c>
      <c r="G18" s="6">
        <v>58.63</v>
      </c>
      <c r="H18" s="6">
        <v>31.02</v>
      </c>
      <c r="I18" s="6">
        <v>4.93</v>
      </c>
      <c r="J18" s="6">
        <v>0.14000000000000001</v>
      </c>
      <c r="K18" s="6">
        <v>176.94</v>
      </c>
      <c r="L18" s="6">
        <v>23.75</v>
      </c>
      <c r="M18" s="6">
        <v>65.17</v>
      </c>
      <c r="N18" s="6">
        <v>0</v>
      </c>
      <c r="O18" s="6">
        <v>0</v>
      </c>
      <c r="P18" s="6">
        <v>0.52</v>
      </c>
      <c r="Q18" s="6">
        <v>4.67</v>
      </c>
    </row>
    <row r="19" spans="1:17" customFormat="1">
      <c r="A19" s="82">
        <v>45362.114583333336</v>
      </c>
      <c r="B19" s="6">
        <v>4.41</v>
      </c>
      <c r="C19" s="6">
        <v>19.95</v>
      </c>
      <c r="D19" s="6">
        <v>15.31</v>
      </c>
      <c r="E19" s="6">
        <v>7.47</v>
      </c>
      <c r="F19" s="6">
        <v>5.61</v>
      </c>
      <c r="G19" s="6">
        <v>58.63</v>
      </c>
      <c r="H19" s="6">
        <v>31.02</v>
      </c>
      <c r="I19" s="6">
        <v>4.8899999999999997</v>
      </c>
      <c r="J19" s="6">
        <v>0.12</v>
      </c>
      <c r="K19" s="6">
        <v>103.58</v>
      </c>
      <c r="L19" s="6">
        <v>23.59</v>
      </c>
      <c r="M19" s="6">
        <v>62.97</v>
      </c>
      <c r="N19" s="6">
        <v>0</v>
      </c>
      <c r="O19" s="6">
        <v>0</v>
      </c>
      <c r="P19" s="6">
        <v>0.54</v>
      </c>
      <c r="Q19" s="6">
        <v>4.6500000000000004</v>
      </c>
    </row>
    <row r="20" spans="1:17" customFormat="1">
      <c r="A20" s="82">
        <v>45362.125</v>
      </c>
      <c r="B20" s="6">
        <v>4.82</v>
      </c>
      <c r="C20" s="6">
        <v>18.97</v>
      </c>
      <c r="D20" s="6">
        <v>15.13</v>
      </c>
      <c r="E20" s="6">
        <v>6.59</v>
      </c>
      <c r="F20" s="6">
        <v>5.35</v>
      </c>
      <c r="G20" s="6">
        <v>58.24</v>
      </c>
      <c r="H20" s="6">
        <v>30.44</v>
      </c>
      <c r="I20" s="6">
        <v>4.87</v>
      </c>
      <c r="J20" s="6">
        <v>0.26</v>
      </c>
      <c r="K20" s="6">
        <v>58.34</v>
      </c>
      <c r="L20" s="6">
        <v>23.71</v>
      </c>
      <c r="M20" s="6">
        <v>60.32</v>
      </c>
      <c r="N20" s="6">
        <v>0</v>
      </c>
      <c r="O20" s="6">
        <v>0</v>
      </c>
      <c r="P20" s="6">
        <v>0.54</v>
      </c>
      <c r="Q20" s="6">
        <v>4.66</v>
      </c>
    </row>
    <row r="21" spans="1:17" customFormat="1">
      <c r="A21" s="82">
        <v>45362.135416666664</v>
      </c>
      <c r="B21" s="6">
        <v>5.36</v>
      </c>
      <c r="C21" s="6">
        <v>18.87</v>
      </c>
      <c r="D21" s="6">
        <v>15.51</v>
      </c>
      <c r="E21" s="6">
        <v>6.33</v>
      </c>
      <c r="F21" s="6">
        <v>5.17</v>
      </c>
      <c r="G21" s="6">
        <v>52.78</v>
      </c>
      <c r="H21" s="6">
        <v>23.28</v>
      </c>
      <c r="I21" s="6">
        <v>4.8499999999999996</v>
      </c>
      <c r="J21" s="6">
        <v>0.32</v>
      </c>
      <c r="K21" s="6">
        <v>8.32</v>
      </c>
      <c r="L21" s="6">
        <v>23.74</v>
      </c>
      <c r="M21" s="6">
        <v>59.68</v>
      </c>
      <c r="N21" s="6">
        <v>0</v>
      </c>
      <c r="O21" s="6">
        <v>0</v>
      </c>
      <c r="P21" s="6">
        <v>0.53</v>
      </c>
      <c r="Q21" s="6">
        <v>4.67</v>
      </c>
    </row>
    <row r="22" spans="1:17" customFormat="1">
      <c r="A22" s="82">
        <v>45362.145833333336</v>
      </c>
      <c r="B22" s="6">
        <v>5.85</v>
      </c>
      <c r="C22" s="6">
        <v>18.89</v>
      </c>
      <c r="D22" s="6">
        <v>15.92</v>
      </c>
      <c r="E22" s="6">
        <v>5.95</v>
      </c>
      <c r="F22" s="6">
        <v>5.07</v>
      </c>
      <c r="G22" s="6">
        <v>52.78</v>
      </c>
      <c r="H22" s="6">
        <v>23.28</v>
      </c>
      <c r="I22" s="6">
        <v>4.8600000000000003</v>
      </c>
      <c r="J22" s="6">
        <v>0.26</v>
      </c>
      <c r="K22" s="6">
        <v>17.079999999999998</v>
      </c>
      <c r="L22" s="6">
        <v>23.51</v>
      </c>
      <c r="M22" s="6">
        <v>60.07</v>
      </c>
      <c r="N22" s="6">
        <v>0</v>
      </c>
      <c r="O22" s="6">
        <v>0</v>
      </c>
      <c r="P22" s="6">
        <v>0.52</v>
      </c>
      <c r="Q22" s="6">
        <v>4.6900000000000004</v>
      </c>
    </row>
    <row r="23" spans="1:17" customFormat="1">
      <c r="A23" s="82">
        <v>45362.15625</v>
      </c>
      <c r="B23" s="6">
        <v>5.91</v>
      </c>
      <c r="C23" s="6">
        <v>18.690000000000001</v>
      </c>
      <c r="D23" s="6">
        <v>15.86</v>
      </c>
      <c r="E23" s="6">
        <v>5.54</v>
      </c>
      <c r="F23" s="6">
        <v>5</v>
      </c>
      <c r="G23" s="6">
        <v>52.78</v>
      </c>
      <c r="H23" s="6">
        <v>23.28</v>
      </c>
      <c r="I23" s="6">
        <v>4.92</v>
      </c>
      <c r="J23" s="6">
        <v>0.42</v>
      </c>
      <c r="K23" s="6">
        <v>9.4499999999999993</v>
      </c>
      <c r="L23" s="6">
        <v>23.55</v>
      </c>
      <c r="M23" s="6">
        <v>58.51</v>
      </c>
      <c r="N23" s="6">
        <v>0</v>
      </c>
      <c r="O23" s="6">
        <v>0</v>
      </c>
      <c r="P23" s="6">
        <v>0.52</v>
      </c>
      <c r="Q23" s="6">
        <v>4.7</v>
      </c>
    </row>
    <row r="24" spans="1:17" customFormat="1">
      <c r="A24" s="82">
        <v>45362.166666666664</v>
      </c>
      <c r="B24" s="6">
        <v>6.08</v>
      </c>
      <c r="C24" s="6">
        <v>18.62</v>
      </c>
      <c r="D24" s="6">
        <v>15.95</v>
      </c>
      <c r="E24" s="6">
        <v>6.54</v>
      </c>
      <c r="F24" s="6">
        <v>5.0599999999999996</v>
      </c>
      <c r="G24" s="6">
        <v>53.48</v>
      </c>
      <c r="H24" s="6">
        <v>24.04</v>
      </c>
      <c r="I24" s="6">
        <v>4.96</v>
      </c>
      <c r="J24" s="6">
        <v>0.42</v>
      </c>
      <c r="K24" s="6">
        <v>42.65</v>
      </c>
      <c r="L24" s="6">
        <v>23.53</v>
      </c>
      <c r="M24" s="6">
        <v>59.17</v>
      </c>
      <c r="N24" s="6">
        <v>0</v>
      </c>
      <c r="O24" s="6">
        <v>0</v>
      </c>
      <c r="P24" s="6">
        <v>0.52</v>
      </c>
      <c r="Q24" s="6">
        <v>4.7</v>
      </c>
    </row>
    <row r="25" spans="1:17" customFormat="1">
      <c r="A25" s="82">
        <v>45362.177083333336</v>
      </c>
      <c r="B25" s="6">
        <v>6.76</v>
      </c>
      <c r="C25" s="6">
        <v>18.73</v>
      </c>
      <c r="D25" s="6">
        <v>16.559999999999999</v>
      </c>
      <c r="E25" s="6">
        <v>7.34</v>
      </c>
      <c r="F25" s="6">
        <v>4.76</v>
      </c>
      <c r="G25" s="6">
        <v>63.28</v>
      </c>
      <c r="H25" s="6">
        <v>33.409999999999997</v>
      </c>
      <c r="I25" s="6">
        <v>5</v>
      </c>
      <c r="J25" s="6">
        <v>0.5</v>
      </c>
      <c r="K25" s="6">
        <v>40.76</v>
      </c>
      <c r="L25" s="6">
        <v>23.4</v>
      </c>
      <c r="M25" s="6">
        <v>60.7</v>
      </c>
      <c r="N25" s="6">
        <v>0</v>
      </c>
      <c r="O25" s="6">
        <v>0</v>
      </c>
      <c r="P25" s="6">
        <v>0.54</v>
      </c>
      <c r="Q25" s="6">
        <v>4.72</v>
      </c>
    </row>
    <row r="26" spans="1:17" customFormat="1">
      <c r="A26" s="82">
        <v>45362.1875</v>
      </c>
      <c r="B26" s="6">
        <v>7.63</v>
      </c>
      <c r="C26" s="6">
        <v>19.86</v>
      </c>
      <c r="D26" s="6">
        <v>17.84</v>
      </c>
      <c r="E26" s="6">
        <v>9.9</v>
      </c>
      <c r="F26" s="6">
        <v>4.78</v>
      </c>
      <c r="G26" s="6">
        <v>63.28</v>
      </c>
      <c r="H26" s="6">
        <v>33.409999999999997</v>
      </c>
      <c r="I26" s="6">
        <v>5.16</v>
      </c>
      <c r="J26" s="6">
        <v>0.79</v>
      </c>
      <c r="K26" s="6">
        <v>37.79</v>
      </c>
      <c r="L26" s="6">
        <v>23.08</v>
      </c>
      <c r="M26" s="6">
        <v>62.97</v>
      </c>
      <c r="N26" s="6">
        <v>0</v>
      </c>
      <c r="O26" s="6">
        <v>0</v>
      </c>
      <c r="P26" s="6">
        <v>0.56000000000000005</v>
      </c>
      <c r="Q26" s="6">
        <v>4.71</v>
      </c>
    </row>
    <row r="27" spans="1:17" customFormat="1">
      <c r="A27" s="82">
        <v>45362.197916666664</v>
      </c>
      <c r="B27" s="6">
        <v>8.77</v>
      </c>
      <c r="C27" s="6">
        <v>21.69</v>
      </c>
      <c r="D27" s="6">
        <v>19.72</v>
      </c>
      <c r="E27" s="6">
        <v>11.52</v>
      </c>
      <c r="F27" s="6">
        <v>4.6399999999999997</v>
      </c>
      <c r="G27" s="6">
        <v>63.28</v>
      </c>
      <c r="H27" s="6">
        <v>33.409999999999997</v>
      </c>
      <c r="I27" s="6">
        <v>5.4</v>
      </c>
      <c r="J27" s="6">
        <v>0.86</v>
      </c>
      <c r="K27" s="6">
        <v>47.72</v>
      </c>
      <c r="L27" s="6">
        <v>22.79</v>
      </c>
      <c r="M27" s="6">
        <v>64.33</v>
      </c>
      <c r="N27" s="6">
        <v>0</v>
      </c>
      <c r="O27" s="6">
        <v>0</v>
      </c>
      <c r="P27" s="6">
        <v>0.64</v>
      </c>
      <c r="Q27" s="6">
        <v>4.71</v>
      </c>
    </row>
    <row r="28" spans="1:17" customFormat="1">
      <c r="A28" s="82">
        <v>45362.208333333336</v>
      </c>
      <c r="B28" s="6">
        <v>9</v>
      </c>
      <c r="C28" s="6">
        <v>22.99</v>
      </c>
      <c r="D28" s="6">
        <v>20.58</v>
      </c>
      <c r="E28" s="6">
        <v>10.39</v>
      </c>
      <c r="F28" s="6">
        <v>4.72</v>
      </c>
      <c r="G28" s="6">
        <v>70.48</v>
      </c>
      <c r="H28" s="6">
        <v>34.72</v>
      </c>
      <c r="I28" s="6">
        <v>5.95</v>
      </c>
      <c r="J28" s="6">
        <v>1.1299999999999999</v>
      </c>
      <c r="K28" s="6">
        <v>56.8</v>
      </c>
      <c r="L28" s="6">
        <v>22.49</v>
      </c>
      <c r="M28" s="6">
        <v>65.44</v>
      </c>
      <c r="N28" s="6">
        <v>0</v>
      </c>
      <c r="O28" s="6">
        <v>0</v>
      </c>
      <c r="P28" s="6">
        <v>0.68</v>
      </c>
      <c r="Q28" s="6">
        <v>4.74</v>
      </c>
    </row>
    <row r="29" spans="1:17" customFormat="1">
      <c r="A29" s="82">
        <v>45362.21875</v>
      </c>
      <c r="B29" s="6">
        <v>8.77</v>
      </c>
      <c r="C29" s="6">
        <v>23.83</v>
      </c>
      <c r="D29" s="6">
        <v>20.83</v>
      </c>
      <c r="E29" s="6">
        <v>10.199999999999999</v>
      </c>
      <c r="F29" s="6">
        <v>4.9000000000000004</v>
      </c>
      <c r="G29" s="6">
        <v>171.29</v>
      </c>
      <c r="H29" s="6">
        <v>50.73</v>
      </c>
      <c r="I29" s="6">
        <v>6.58</v>
      </c>
      <c r="J29" s="6">
        <v>0.92</v>
      </c>
      <c r="K29" s="6">
        <v>63</v>
      </c>
      <c r="L29" s="6">
        <v>22.3</v>
      </c>
      <c r="M29" s="6">
        <v>66.91</v>
      </c>
      <c r="N29" s="6">
        <v>0</v>
      </c>
      <c r="O29" s="6">
        <v>0</v>
      </c>
      <c r="P29" s="6">
        <v>0.68</v>
      </c>
      <c r="Q29" s="6">
        <v>4.75</v>
      </c>
    </row>
    <row r="30" spans="1:17" customFormat="1">
      <c r="A30" s="82">
        <v>45362.229166666664</v>
      </c>
      <c r="B30" s="6">
        <v>8.4</v>
      </c>
      <c r="C30" s="6">
        <v>24.42</v>
      </c>
      <c r="D30" s="6">
        <v>20.85</v>
      </c>
      <c r="E30" s="6">
        <v>9.7799999999999994</v>
      </c>
      <c r="F30" s="6">
        <v>4.8099999999999996</v>
      </c>
      <c r="G30" s="6">
        <v>171.29</v>
      </c>
      <c r="H30" s="6">
        <v>50.73</v>
      </c>
      <c r="I30" s="6">
        <v>6.89</v>
      </c>
      <c r="J30" s="6">
        <v>1.08</v>
      </c>
      <c r="K30" s="6">
        <v>61.02</v>
      </c>
      <c r="L30" s="6">
        <v>22.2</v>
      </c>
      <c r="M30" s="6">
        <v>67.31</v>
      </c>
      <c r="N30" s="6">
        <v>0</v>
      </c>
      <c r="O30" s="6">
        <v>0</v>
      </c>
      <c r="P30" s="6">
        <v>0.68</v>
      </c>
      <c r="Q30" s="6">
        <v>4.75</v>
      </c>
    </row>
    <row r="31" spans="1:17" customFormat="1">
      <c r="A31" s="82">
        <v>45362.239583333336</v>
      </c>
      <c r="B31" s="6">
        <v>8.2200000000000006</v>
      </c>
      <c r="C31" s="6">
        <v>25.23</v>
      </c>
      <c r="D31" s="6">
        <v>21.13</v>
      </c>
      <c r="E31" s="6">
        <v>9.35</v>
      </c>
      <c r="F31" s="6">
        <v>4.7699999999999996</v>
      </c>
      <c r="G31" s="6">
        <v>171.29</v>
      </c>
      <c r="H31" s="6">
        <v>50.73</v>
      </c>
      <c r="I31" s="6">
        <v>6.98</v>
      </c>
      <c r="J31" s="6">
        <v>0.95</v>
      </c>
      <c r="K31" s="6">
        <v>58.23</v>
      </c>
      <c r="L31" s="6">
        <v>22.11</v>
      </c>
      <c r="M31" s="6">
        <v>67.569999999999993</v>
      </c>
      <c r="N31" s="6">
        <v>0</v>
      </c>
      <c r="O31" s="6">
        <v>0</v>
      </c>
      <c r="P31" s="6">
        <v>0.68</v>
      </c>
      <c r="Q31" s="6">
        <v>4.75</v>
      </c>
    </row>
    <row r="32" spans="1:17" customFormat="1">
      <c r="A32" s="82">
        <v>45362.25</v>
      </c>
      <c r="B32" s="6">
        <v>8.39</v>
      </c>
      <c r="C32" s="6">
        <v>25.96</v>
      </c>
      <c r="D32" s="6">
        <v>21.64</v>
      </c>
      <c r="E32" s="6">
        <v>9.07</v>
      </c>
      <c r="F32" s="6">
        <v>4.63</v>
      </c>
      <c r="G32" s="6">
        <v>165.79</v>
      </c>
      <c r="H32" s="6">
        <v>50.33</v>
      </c>
      <c r="I32" s="6">
        <v>7.13</v>
      </c>
      <c r="J32" s="6">
        <v>0.35</v>
      </c>
      <c r="K32" s="6">
        <v>73.099999999999994</v>
      </c>
      <c r="L32" s="6">
        <v>22.16</v>
      </c>
      <c r="M32" s="6">
        <v>67.03</v>
      </c>
      <c r="N32" s="6">
        <v>0</v>
      </c>
      <c r="O32" s="6">
        <v>0</v>
      </c>
      <c r="P32" s="6">
        <v>0.69</v>
      </c>
      <c r="Q32" s="6">
        <v>4.75</v>
      </c>
    </row>
    <row r="33" spans="1:17" customFormat="1">
      <c r="A33" s="82">
        <v>45362.260416666664</v>
      </c>
      <c r="B33" s="6">
        <v>8.7100000000000009</v>
      </c>
      <c r="C33" s="6">
        <v>27.12</v>
      </c>
      <c r="D33" s="6">
        <v>22.51</v>
      </c>
      <c r="E33" s="6">
        <v>9.61</v>
      </c>
      <c r="F33" s="6">
        <v>4.49</v>
      </c>
      <c r="G33" s="6">
        <v>88.81</v>
      </c>
      <c r="H33" s="6">
        <v>45.39</v>
      </c>
      <c r="I33" s="6">
        <v>7.49</v>
      </c>
      <c r="J33" s="6">
        <v>0.44</v>
      </c>
      <c r="K33" s="6">
        <v>64.75</v>
      </c>
      <c r="L33" s="6">
        <v>22.2</v>
      </c>
      <c r="M33" s="6">
        <v>66.540000000000006</v>
      </c>
      <c r="N33" s="6">
        <v>0</v>
      </c>
      <c r="O33" s="6">
        <v>0</v>
      </c>
      <c r="P33" s="6">
        <v>0.69</v>
      </c>
      <c r="Q33" s="6">
        <v>4.7699999999999996</v>
      </c>
    </row>
    <row r="34" spans="1:17" customFormat="1">
      <c r="A34" s="82">
        <v>45362.270833333336</v>
      </c>
      <c r="B34" s="6">
        <v>9.34</v>
      </c>
      <c r="C34" s="6">
        <v>28.04</v>
      </c>
      <c r="D34" s="6">
        <v>23.49</v>
      </c>
      <c r="E34" s="6">
        <v>9.4600000000000009</v>
      </c>
      <c r="F34" s="6">
        <v>4.57</v>
      </c>
      <c r="G34" s="6">
        <v>88.81</v>
      </c>
      <c r="H34" s="6">
        <v>45.39</v>
      </c>
      <c r="I34" s="6">
        <v>7.7</v>
      </c>
      <c r="J34" s="6">
        <v>0.65</v>
      </c>
      <c r="K34" s="6">
        <v>72.709999999999994</v>
      </c>
      <c r="L34" s="6">
        <v>22.26</v>
      </c>
      <c r="M34" s="6">
        <v>65.87</v>
      </c>
      <c r="N34" s="6">
        <v>2.8</v>
      </c>
      <c r="O34" s="6">
        <v>0</v>
      </c>
      <c r="P34" s="6">
        <v>0.69</v>
      </c>
      <c r="Q34" s="6">
        <v>4.75</v>
      </c>
    </row>
    <row r="35" spans="1:17" customFormat="1">
      <c r="A35" s="82">
        <v>45362.28125</v>
      </c>
      <c r="B35" s="6">
        <v>10.050000000000001</v>
      </c>
      <c r="C35" s="6">
        <v>28.79</v>
      </c>
      <c r="D35" s="6">
        <v>24.45</v>
      </c>
      <c r="E35" s="6">
        <v>9.39</v>
      </c>
      <c r="F35" s="6">
        <v>4.5999999999999996</v>
      </c>
      <c r="G35" s="6">
        <v>88.81</v>
      </c>
      <c r="H35" s="6">
        <v>45.39</v>
      </c>
      <c r="I35" s="6">
        <v>7.85</v>
      </c>
      <c r="J35" s="6">
        <v>0.68</v>
      </c>
      <c r="K35" s="6">
        <v>67.489999999999995</v>
      </c>
      <c r="L35" s="6">
        <v>22.47</v>
      </c>
      <c r="M35" s="6">
        <v>65.25</v>
      </c>
      <c r="N35" s="6">
        <v>13</v>
      </c>
      <c r="O35" s="6">
        <v>0</v>
      </c>
      <c r="P35" s="6">
        <v>0.71</v>
      </c>
      <c r="Q35" s="6">
        <v>4.76</v>
      </c>
    </row>
    <row r="36" spans="1:17" customFormat="1">
      <c r="A36" s="82">
        <v>45362.291666666664</v>
      </c>
      <c r="B36" s="6">
        <v>10.35</v>
      </c>
      <c r="C36" s="6">
        <v>29.59</v>
      </c>
      <c r="D36" s="6">
        <v>25.11</v>
      </c>
      <c r="E36" s="6">
        <v>9.6</v>
      </c>
      <c r="F36" s="6">
        <v>4.63</v>
      </c>
      <c r="G36" s="6">
        <v>88.89</v>
      </c>
      <c r="H36" s="6">
        <v>45.1</v>
      </c>
      <c r="I36" s="6">
        <v>7.91</v>
      </c>
      <c r="J36" s="6">
        <v>0.57999999999999996</v>
      </c>
      <c r="K36" s="6">
        <v>50.45</v>
      </c>
      <c r="L36" s="6">
        <v>22.94</v>
      </c>
      <c r="M36" s="6">
        <v>63.21</v>
      </c>
      <c r="N36" s="6">
        <v>24.3</v>
      </c>
      <c r="O36" s="6">
        <v>0</v>
      </c>
      <c r="P36" s="6">
        <v>0.71</v>
      </c>
      <c r="Q36" s="6">
        <v>4.75</v>
      </c>
    </row>
    <row r="37" spans="1:17" customFormat="1">
      <c r="A37" s="82">
        <v>45362.302083333336</v>
      </c>
      <c r="B37" s="6">
        <v>10.37</v>
      </c>
      <c r="C37" s="6">
        <v>29.91</v>
      </c>
      <c r="D37" s="6">
        <v>25.29</v>
      </c>
      <c r="E37" s="6">
        <v>10.08</v>
      </c>
      <c r="F37" s="6">
        <v>4.72</v>
      </c>
      <c r="G37" s="6">
        <v>90.01</v>
      </c>
      <c r="H37" s="6">
        <v>41.45</v>
      </c>
      <c r="I37" s="6">
        <v>8.0399999999999991</v>
      </c>
      <c r="J37" s="6">
        <v>0.51</v>
      </c>
      <c r="K37" s="6">
        <v>39.42</v>
      </c>
      <c r="L37" s="6">
        <v>23.36</v>
      </c>
      <c r="M37" s="6">
        <v>62.17</v>
      </c>
      <c r="N37" s="6">
        <v>36.4</v>
      </c>
      <c r="O37" s="6">
        <v>0</v>
      </c>
      <c r="P37" s="6">
        <v>0.73</v>
      </c>
      <c r="Q37" s="6">
        <v>4.75</v>
      </c>
    </row>
    <row r="38" spans="1:17" customFormat="1">
      <c r="A38" s="82">
        <v>45362.3125</v>
      </c>
      <c r="B38" s="6">
        <v>10.34</v>
      </c>
      <c r="C38" s="6">
        <v>30.49</v>
      </c>
      <c r="D38" s="6">
        <v>25.57</v>
      </c>
      <c r="E38" s="6">
        <v>10.41</v>
      </c>
      <c r="F38" s="6">
        <v>4.75</v>
      </c>
      <c r="G38" s="6">
        <v>90.01</v>
      </c>
      <c r="H38" s="6">
        <v>41.45</v>
      </c>
      <c r="I38" s="6">
        <v>8.15</v>
      </c>
      <c r="J38" s="6">
        <v>0.62</v>
      </c>
      <c r="K38" s="6">
        <v>53.06</v>
      </c>
      <c r="L38" s="6">
        <v>23.9</v>
      </c>
      <c r="M38" s="6">
        <v>60.12</v>
      </c>
      <c r="N38" s="6">
        <v>48.8</v>
      </c>
      <c r="O38" s="6">
        <v>0</v>
      </c>
      <c r="P38" s="6">
        <v>0.73</v>
      </c>
      <c r="Q38" s="6">
        <v>4.7300000000000004</v>
      </c>
    </row>
    <row r="39" spans="1:17" customFormat="1">
      <c r="A39" s="82">
        <v>45362.322916666664</v>
      </c>
      <c r="B39" s="6">
        <v>10.42</v>
      </c>
      <c r="C39" s="6">
        <v>30.85</v>
      </c>
      <c r="D39" s="6">
        <v>25.83</v>
      </c>
      <c r="E39" s="6">
        <v>9.61</v>
      </c>
      <c r="F39" s="6">
        <v>4.8499999999999996</v>
      </c>
      <c r="G39" s="6">
        <v>90.01</v>
      </c>
      <c r="H39" s="6">
        <v>41.45</v>
      </c>
      <c r="I39" s="6">
        <v>8.09</v>
      </c>
      <c r="J39" s="6">
        <v>0.72</v>
      </c>
      <c r="K39" s="6">
        <v>37.409999999999997</v>
      </c>
      <c r="L39" s="6">
        <v>24.52</v>
      </c>
      <c r="M39" s="6">
        <v>58</v>
      </c>
      <c r="N39" s="6">
        <v>83.2</v>
      </c>
      <c r="O39" s="6">
        <v>0</v>
      </c>
      <c r="P39" s="6">
        <v>0.74</v>
      </c>
      <c r="Q39" s="6">
        <v>4.74</v>
      </c>
    </row>
    <row r="40" spans="1:17" customFormat="1">
      <c r="A40" s="82">
        <v>45362.333333333336</v>
      </c>
      <c r="B40" s="6">
        <v>10.1</v>
      </c>
      <c r="C40" s="6">
        <v>31.68</v>
      </c>
      <c r="D40" s="6">
        <v>26</v>
      </c>
      <c r="E40" s="6">
        <v>10.49</v>
      </c>
      <c r="F40" s="6">
        <v>4.88</v>
      </c>
      <c r="G40" s="6">
        <v>92.15</v>
      </c>
      <c r="H40" s="6">
        <v>41.58</v>
      </c>
      <c r="I40" s="6">
        <v>8.1999999999999993</v>
      </c>
      <c r="J40" s="6">
        <v>0.97</v>
      </c>
      <c r="K40" s="6">
        <v>69.08</v>
      </c>
      <c r="L40" s="6">
        <v>25.32</v>
      </c>
      <c r="M40" s="6">
        <v>54.79</v>
      </c>
      <c r="N40" s="6">
        <v>111.4</v>
      </c>
      <c r="O40" s="6">
        <v>0</v>
      </c>
      <c r="P40" s="6">
        <v>0.76</v>
      </c>
      <c r="Q40" s="6">
        <v>4.7300000000000004</v>
      </c>
    </row>
    <row r="41" spans="1:17" customFormat="1">
      <c r="A41" s="82">
        <v>45362.34375</v>
      </c>
      <c r="B41" s="6">
        <v>9.41</v>
      </c>
      <c r="C41" s="6">
        <v>31.92</v>
      </c>
      <c r="D41" s="6">
        <v>25.58</v>
      </c>
      <c r="E41" s="6">
        <v>10.16</v>
      </c>
      <c r="F41" s="6">
        <v>5.04</v>
      </c>
      <c r="G41" s="6">
        <v>122.25</v>
      </c>
      <c r="H41" s="6">
        <v>43.15</v>
      </c>
      <c r="I41" s="6">
        <v>8.2899999999999991</v>
      </c>
      <c r="J41" s="6">
        <v>0.79</v>
      </c>
      <c r="K41" s="6">
        <v>71.790000000000006</v>
      </c>
      <c r="L41" s="6">
        <v>26.01</v>
      </c>
      <c r="M41" s="6">
        <v>53.08</v>
      </c>
      <c r="N41" s="6">
        <v>132.19999999999999</v>
      </c>
      <c r="O41" s="6">
        <v>0</v>
      </c>
      <c r="P41" s="6">
        <v>0.76</v>
      </c>
      <c r="Q41" s="6">
        <v>4.76</v>
      </c>
    </row>
    <row r="42" spans="1:17" customFormat="1">
      <c r="A42" s="82">
        <v>45362.354166666664</v>
      </c>
      <c r="B42" s="6">
        <v>8.4</v>
      </c>
      <c r="C42" s="6">
        <v>32.11</v>
      </c>
      <c r="D42" s="6">
        <v>24.87</v>
      </c>
      <c r="E42" s="6">
        <v>10.35</v>
      </c>
      <c r="F42" s="6">
        <v>5.13</v>
      </c>
      <c r="G42" s="6">
        <v>122.25</v>
      </c>
      <c r="H42" s="6">
        <v>43.15</v>
      </c>
      <c r="I42" s="6">
        <v>8.34</v>
      </c>
      <c r="J42" s="6">
        <v>0.52</v>
      </c>
      <c r="K42" s="6">
        <v>85.12</v>
      </c>
      <c r="L42" s="6">
        <v>26.87</v>
      </c>
      <c r="M42" s="6">
        <v>50.82</v>
      </c>
      <c r="N42" s="6">
        <v>216.1</v>
      </c>
      <c r="O42" s="6">
        <v>0</v>
      </c>
      <c r="P42" s="6">
        <v>0.76</v>
      </c>
      <c r="Q42" s="6">
        <v>4.74</v>
      </c>
    </row>
    <row r="43" spans="1:17" customFormat="1">
      <c r="A43" s="82">
        <v>45362.364583333336</v>
      </c>
      <c r="B43" s="6">
        <v>7.37</v>
      </c>
      <c r="C43" s="6">
        <v>32.04</v>
      </c>
      <c r="D43" s="6">
        <v>24</v>
      </c>
      <c r="E43" s="6">
        <v>10.119999999999999</v>
      </c>
      <c r="F43" s="6">
        <v>5.4</v>
      </c>
      <c r="G43" s="6">
        <v>122.25</v>
      </c>
      <c r="H43" s="6">
        <v>43.15</v>
      </c>
      <c r="I43" s="6">
        <v>8.35</v>
      </c>
      <c r="J43" s="6">
        <v>0.69</v>
      </c>
      <c r="K43" s="6">
        <v>79.739999999999995</v>
      </c>
      <c r="L43" s="6">
        <v>27.85</v>
      </c>
      <c r="M43" s="6">
        <v>48.56</v>
      </c>
      <c r="N43" s="6">
        <v>262.3</v>
      </c>
      <c r="O43" s="6">
        <v>0</v>
      </c>
      <c r="P43" s="6">
        <v>0.75</v>
      </c>
      <c r="Q43" s="6">
        <v>4.76</v>
      </c>
    </row>
    <row r="44" spans="1:17" customFormat="1">
      <c r="A44" s="82">
        <v>45362.375</v>
      </c>
      <c r="B44" s="6">
        <v>6.37</v>
      </c>
      <c r="C44" s="6">
        <v>31.81</v>
      </c>
      <c r="D44" s="6">
        <v>23.08</v>
      </c>
      <c r="E44" s="6">
        <v>11.04</v>
      </c>
      <c r="F44" s="6">
        <v>5.64</v>
      </c>
      <c r="G44" s="6">
        <v>121.21</v>
      </c>
      <c r="H44" s="6">
        <v>42.88</v>
      </c>
      <c r="I44" s="6">
        <v>8.19</v>
      </c>
      <c r="J44" s="6">
        <v>0.46</v>
      </c>
      <c r="K44" s="6">
        <v>84.49</v>
      </c>
      <c r="L44" s="6">
        <v>28.74</v>
      </c>
      <c r="M44" s="6">
        <v>46.5</v>
      </c>
      <c r="N44" s="6">
        <v>294.5</v>
      </c>
      <c r="O44" s="6">
        <v>0</v>
      </c>
      <c r="P44" s="6">
        <v>0.74</v>
      </c>
      <c r="Q44" s="6">
        <v>4.74</v>
      </c>
    </row>
    <row r="45" spans="1:17" customFormat="1">
      <c r="A45" s="82">
        <v>45362.385416666664</v>
      </c>
      <c r="B45" s="6">
        <v>5.76</v>
      </c>
      <c r="C45" s="6">
        <v>31.05</v>
      </c>
      <c r="D45" s="6">
        <v>22.2</v>
      </c>
      <c r="E45" s="6">
        <v>9.16</v>
      </c>
      <c r="F45" s="6">
        <v>5.55</v>
      </c>
      <c r="G45" s="6">
        <v>106.69</v>
      </c>
      <c r="H45" s="6">
        <v>39.51</v>
      </c>
      <c r="I45" s="6">
        <v>8.0399999999999991</v>
      </c>
      <c r="J45" s="6">
        <v>0.28999999999999998</v>
      </c>
      <c r="K45" s="6">
        <v>116.45</v>
      </c>
      <c r="L45" s="6">
        <v>29.66</v>
      </c>
      <c r="M45" s="6">
        <v>43.06</v>
      </c>
      <c r="N45" s="6">
        <v>329</v>
      </c>
      <c r="O45" s="6">
        <v>0</v>
      </c>
      <c r="P45" s="6">
        <v>0.79</v>
      </c>
      <c r="Q45" s="6">
        <v>4.71</v>
      </c>
    </row>
    <row r="46" spans="1:17" customFormat="1">
      <c r="A46" s="82">
        <v>45362.395833333336</v>
      </c>
      <c r="B46" s="6">
        <v>5.59</v>
      </c>
      <c r="C46" s="6">
        <v>28.83</v>
      </c>
      <c r="D46" s="6">
        <v>20.9</v>
      </c>
      <c r="E46" s="6">
        <v>7.66</v>
      </c>
      <c r="F46" s="6">
        <v>5.68</v>
      </c>
      <c r="G46" s="6">
        <v>106.69</v>
      </c>
      <c r="H46" s="6">
        <v>39.51</v>
      </c>
      <c r="I46" s="6">
        <v>7.85</v>
      </c>
      <c r="J46" s="6">
        <v>0.33</v>
      </c>
      <c r="K46" s="6">
        <v>89.22</v>
      </c>
      <c r="L46" s="6">
        <v>30.28</v>
      </c>
      <c r="M46" s="6">
        <v>40.04</v>
      </c>
      <c r="N46" s="6">
        <v>352.5</v>
      </c>
      <c r="O46" s="6">
        <v>0</v>
      </c>
      <c r="P46" s="6">
        <v>0.79</v>
      </c>
      <c r="Q46" s="6">
        <v>4.7</v>
      </c>
    </row>
    <row r="47" spans="1:17" customFormat="1">
      <c r="A47" s="82">
        <v>45362.40625</v>
      </c>
      <c r="B47" s="6">
        <v>5.45</v>
      </c>
      <c r="C47" s="6">
        <v>27.38</v>
      </c>
      <c r="D47" s="6">
        <v>20.02</v>
      </c>
      <c r="E47" s="6">
        <v>9.25</v>
      </c>
      <c r="F47" s="6">
        <v>6.25</v>
      </c>
      <c r="G47" s="6">
        <v>106.69</v>
      </c>
      <c r="H47" s="6">
        <v>39.51</v>
      </c>
      <c r="I47" s="6">
        <v>7.87</v>
      </c>
      <c r="J47" s="6">
        <v>0.43</v>
      </c>
      <c r="K47" s="6">
        <v>45.51</v>
      </c>
      <c r="L47" s="6">
        <v>30.61</v>
      </c>
      <c r="M47" s="6">
        <v>38.96</v>
      </c>
      <c r="N47" s="6">
        <v>365</v>
      </c>
      <c r="O47" s="6">
        <v>0</v>
      </c>
      <c r="P47" s="6">
        <v>0.79</v>
      </c>
      <c r="Q47" s="6">
        <v>4.68</v>
      </c>
    </row>
    <row r="48" spans="1:17" customFormat="1">
      <c r="A48" s="82">
        <v>45362.416666666664</v>
      </c>
      <c r="B48" s="6">
        <v>5.13</v>
      </c>
      <c r="C48" s="6">
        <v>26.29</v>
      </c>
      <c r="D48" s="6">
        <v>19.2</v>
      </c>
      <c r="E48" s="6">
        <v>8.5</v>
      </c>
      <c r="F48" s="6">
        <v>6.07</v>
      </c>
      <c r="G48" s="6">
        <v>103.74</v>
      </c>
      <c r="H48" s="6">
        <v>39.35</v>
      </c>
      <c r="I48" s="6">
        <v>7.81</v>
      </c>
      <c r="J48" s="6">
        <v>0.15</v>
      </c>
      <c r="K48" s="6">
        <v>250.2</v>
      </c>
      <c r="L48" s="6">
        <v>31.46</v>
      </c>
      <c r="M48" s="6">
        <v>37.51</v>
      </c>
      <c r="N48" s="6">
        <v>310.3</v>
      </c>
      <c r="O48" s="6">
        <v>0</v>
      </c>
      <c r="P48" s="6">
        <v>0.79</v>
      </c>
      <c r="Q48" s="6">
        <v>4.68</v>
      </c>
    </row>
    <row r="49" spans="1:17" customFormat="1">
      <c r="A49" s="82">
        <v>45362.427083333336</v>
      </c>
      <c r="B49" s="6">
        <v>4.74</v>
      </c>
      <c r="C49" s="6">
        <v>25.62</v>
      </c>
      <c r="D49" s="6">
        <v>18.54</v>
      </c>
      <c r="E49" s="6">
        <v>8.68</v>
      </c>
      <c r="F49" s="6">
        <v>6.33</v>
      </c>
      <c r="G49" s="6">
        <v>62.47</v>
      </c>
      <c r="H49" s="6">
        <v>37.46</v>
      </c>
      <c r="I49" s="6">
        <v>7.7</v>
      </c>
      <c r="J49" s="6">
        <v>0.27</v>
      </c>
      <c r="K49" s="6">
        <v>11.83</v>
      </c>
      <c r="L49" s="6">
        <v>32.08</v>
      </c>
      <c r="M49" s="6">
        <v>36.76</v>
      </c>
      <c r="N49" s="6">
        <v>300.39999999999998</v>
      </c>
      <c r="O49" s="6">
        <v>0</v>
      </c>
      <c r="P49" s="6">
        <v>0.79</v>
      </c>
      <c r="Q49" s="6">
        <v>4.68</v>
      </c>
    </row>
    <row r="50" spans="1:17" customFormat="1">
      <c r="A50" s="82">
        <v>45362.4375</v>
      </c>
      <c r="B50" s="6">
        <v>4.4800000000000004</v>
      </c>
      <c r="C50" s="6">
        <v>25.27</v>
      </c>
      <c r="D50" s="6">
        <v>18.14</v>
      </c>
      <c r="E50" s="6">
        <v>9.75</v>
      </c>
      <c r="F50" s="6">
        <v>6.24</v>
      </c>
      <c r="G50" s="6">
        <v>62.47</v>
      </c>
      <c r="H50" s="6">
        <v>37.46</v>
      </c>
      <c r="I50" s="6">
        <v>7.65</v>
      </c>
      <c r="J50" s="6">
        <v>0.41</v>
      </c>
      <c r="K50" s="6">
        <v>285.29000000000002</v>
      </c>
      <c r="L50" s="6">
        <v>32.49</v>
      </c>
      <c r="M50" s="6">
        <v>37.42</v>
      </c>
      <c r="N50" s="6">
        <v>440.7</v>
      </c>
      <c r="O50" s="6">
        <v>0</v>
      </c>
      <c r="P50" s="6">
        <v>0.78</v>
      </c>
      <c r="Q50" s="6">
        <v>4.67</v>
      </c>
    </row>
    <row r="51" spans="1:17" customFormat="1">
      <c r="A51" s="82">
        <v>45362.447916666664</v>
      </c>
      <c r="B51" s="6">
        <v>4.22</v>
      </c>
      <c r="C51" s="6">
        <v>25.24</v>
      </c>
      <c r="D51" s="6">
        <v>17.920000000000002</v>
      </c>
      <c r="E51" s="6">
        <v>8.9600000000000009</v>
      </c>
      <c r="F51" s="6">
        <v>6.19</v>
      </c>
      <c r="G51" s="6">
        <v>62.47</v>
      </c>
      <c r="H51" s="6">
        <v>37.46</v>
      </c>
      <c r="I51" s="6">
        <v>7.6</v>
      </c>
      <c r="J51" s="6">
        <v>0.75</v>
      </c>
      <c r="K51" s="6">
        <v>273.23</v>
      </c>
      <c r="L51" s="6">
        <v>32.729999999999997</v>
      </c>
      <c r="M51" s="6">
        <v>37.380000000000003</v>
      </c>
      <c r="N51" s="6">
        <v>475.5</v>
      </c>
      <c r="O51" s="6">
        <v>0</v>
      </c>
      <c r="P51" s="6">
        <v>0.78</v>
      </c>
      <c r="Q51" s="6">
        <v>4.67</v>
      </c>
    </row>
    <row r="52" spans="1:17" customFormat="1">
      <c r="A52" s="82">
        <v>45362.458333333336</v>
      </c>
      <c r="B52" s="6">
        <v>3.82</v>
      </c>
      <c r="C52" s="6">
        <v>25.31</v>
      </c>
      <c r="D52" s="6">
        <v>17.64</v>
      </c>
      <c r="E52" s="6">
        <v>10.84</v>
      </c>
      <c r="F52" s="6">
        <v>8.24</v>
      </c>
      <c r="G52" s="6">
        <v>62.9</v>
      </c>
      <c r="H52" s="6">
        <v>37.409999999999997</v>
      </c>
      <c r="I52" s="6">
        <v>7.57</v>
      </c>
      <c r="J52" s="6">
        <v>0.67</v>
      </c>
      <c r="K52" s="6">
        <v>280.18</v>
      </c>
      <c r="L52" s="6">
        <v>32.93</v>
      </c>
      <c r="M52" s="6">
        <v>37.76</v>
      </c>
      <c r="N52" s="6">
        <v>491.1</v>
      </c>
      <c r="O52" s="6">
        <v>0</v>
      </c>
      <c r="P52" s="6">
        <v>0.77</v>
      </c>
      <c r="Q52" s="6">
        <v>4.6500000000000004</v>
      </c>
    </row>
    <row r="53" spans="1:17" customFormat="1">
      <c r="A53" s="82">
        <v>45362.46875</v>
      </c>
      <c r="B53" s="6">
        <v>3.24</v>
      </c>
      <c r="C53" s="6">
        <v>25.33</v>
      </c>
      <c r="D53" s="6">
        <v>17.18</v>
      </c>
      <c r="E53" s="6">
        <v>10.43</v>
      </c>
      <c r="F53" s="6">
        <v>8.3000000000000007</v>
      </c>
      <c r="G53" s="6">
        <v>68.87</v>
      </c>
      <c r="H53" s="6">
        <v>36.79</v>
      </c>
      <c r="I53" s="6">
        <v>7.53</v>
      </c>
      <c r="J53" s="6">
        <v>0.71</v>
      </c>
      <c r="K53" s="6">
        <v>288.89999999999998</v>
      </c>
      <c r="L53" s="6">
        <v>33.4</v>
      </c>
      <c r="M53" s="6">
        <v>36.74</v>
      </c>
      <c r="N53" s="6">
        <v>469.9</v>
      </c>
      <c r="O53" s="6">
        <v>0</v>
      </c>
      <c r="P53" s="6">
        <v>0.68</v>
      </c>
      <c r="Q53" s="6">
        <v>4.7</v>
      </c>
    </row>
    <row r="54" spans="1:17" customFormat="1">
      <c r="A54" s="82">
        <v>45362.479166666664</v>
      </c>
      <c r="B54" s="6">
        <v>2.69</v>
      </c>
      <c r="C54" s="6">
        <v>25.98</v>
      </c>
      <c r="D54" s="6">
        <v>17.079999999999998</v>
      </c>
      <c r="E54" s="6">
        <v>12.44</v>
      </c>
      <c r="F54" s="6">
        <v>9.19</v>
      </c>
      <c r="G54" s="6">
        <v>68.87</v>
      </c>
      <c r="H54" s="6">
        <v>36.79</v>
      </c>
      <c r="I54" s="6">
        <v>7.47</v>
      </c>
      <c r="J54" s="6">
        <v>0.63</v>
      </c>
      <c r="K54" s="6">
        <v>308.04000000000002</v>
      </c>
      <c r="L54" s="6">
        <v>34.04</v>
      </c>
      <c r="M54" s="6">
        <v>35.869999999999997</v>
      </c>
      <c r="N54" s="6">
        <v>513.4</v>
      </c>
      <c r="O54" s="6">
        <v>0</v>
      </c>
      <c r="P54" s="6">
        <v>0.64</v>
      </c>
      <c r="Q54" s="6">
        <v>4.7300000000000004</v>
      </c>
    </row>
    <row r="55" spans="1:17" customFormat="1">
      <c r="A55" s="82">
        <v>45362.489583333336</v>
      </c>
      <c r="B55" s="6">
        <v>2.61</v>
      </c>
      <c r="C55" s="6">
        <v>26</v>
      </c>
      <c r="D55" s="6">
        <v>17.03</v>
      </c>
      <c r="E55" s="6">
        <v>13.53</v>
      </c>
      <c r="F55" s="6">
        <v>11.59</v>
      </c>
      <c r="G55" s="6">
        <v>68.87</v>
      </c>
      <c r="H55" s="6">
        <v>36.79</v>
      </c>
      <c r="I55" s="6">
        <v>7.39</v>
      </c>
      <c r="J55" s="6">
        <v>0.66</v>
      </c>
      <c r="K55" s="6">
        <v>277.31</v>
      </c>
      <c r="L55" s="6">
        <v>33.9</v>
      </c>
      <c r="M55" s="6">
        <v>36.270000000000003</v>
      </c>
      <c r="N55" s="6">
        <v>518.6</v>
      </c>
      <c r="O55" s="6">
        <v>0</v>
      </c>
      <c r="P55" s="6">
        <v>0.65</v>
      </c>
      <c r="Q55" s="6">
        <v>4.7</v>
      </c>
    </row>
    <row r="56" spans="1:17" customFormat="1">
      <c r="A56" s="82">
        <v>45362.5</v>
      </c>
      <c r="B56" s="6">
        <v>2.56</v>
      </c>
      <c r="C56" s="6">
        <v>26.07</v>
      </c>
      <c r="D56" s="6">
        <v>17.03</v>
      </c>
      <c r="E56" s="6">
        <v>15.62</v>
      </c>
      <c r="F56" s="6">
        <v>13.69</v>
      </c>
      <c r="G56" s="6">
        <v>70.42</v>
      </c>
      <c r="H56" s="6">
        <v>36.909999999999997</v>
      </c>
      <c r="I56" s="6">
        <v>7.45</v>
      </c>
      <c r="J56" s="6">
        <v>0.9</v>
      </c>
      <c r="K56" s="6">
        <v>316.91000000000003</v>
      </c>
      <c r="L56" s="6">
        <v>33.659999999999997</v>
      </c>
      <c r="M56" s="6">
        <v>37.270000000000003</v>
      </c>
      <c r="N56" s="6">
        <v>511.9</v>
      </c>
      <c r="O56" s="6">
        <v>0</v>
      </c>
      <c r="P56" s="6">
        <v>0.68</v>
      </c>
      <c r="Q56" s="6">
        <v>4.71</v>
      </c>
    </row>
    <row r="57" spans="1:17" customFormat="1">
      <c r="A57" s="82">
        <v>45362.510416666664</v>
      </c>
      <c r="B57" s="6">
        <v>2.74</v>
      </c>
      <c r="C57" s="6">
        <v>26.33</v>
      </c>
      <c r="D57" s="6">
        <v>17.309999999999999</v>
      </c>
      <c r="E57" s="6">
        <v>17.93</v>
      </c>
      <c r="F57" s="6">
        <v>11.9</v>
      </c>
      <c r="G57" s="6">
        <v>92.14</v>
      </c>
      <c r="H57" s="6">
        <v>38.340000000000003</v>
      </c>
      <c r="I57" s="6">
        <v>7.45</v>
      </c>
      <c r="J57" s="6">
        <v>0.76</v>
      </c>
      <c r="K57" s="6">
        <v>289.56</v>
      </c>
      <c r="L57" s="6">
        <v>34.36</v>
      </c>
      <c r="M57" s="6">
        <v>36.43</v>
      </c>
      <c r="N57" s="6">
        <v>516.29999999999995</v>
      </c>
      <c r="O57" s="6">
        <v>0</v>
      </c>
      <c r="P57" s="6">
        <v>0.7</v>
      </c>
      <c r="Q57" s="6">
        <v>4.71</v>
      </c>
    </row>
    <row r="58" spans="1:17" customFormat="1">
      <c r="A58" s="82">
        <v>45362.520833333336</v>
      </c>
      <c r="B58" s="6">
        <v>2.81</v>
      </c>
      <c r="C58" s="6">
        <v>26.02</v>
      </c>
      <c r="D58" s="6">
        <v>17.2</v>
      </c>
      <c r="E58" s="6">
        <v>16.55</v>
      </c>
      <c r="F58" s="6">
        <v>13.38</v>
      </c>
      <c r="G58" s="6">
        <v>92.14</v>
      </c>
      <c r="H58" s="6">
        <v>38.340000000000003</v>
      </c>
      <c r="I58" s="6">
        <v>7.85</v>
      </c>
      <c r="J58" s="6">
        <v>0.49</v>
      </c>
      <c r="K58" s="6">
        <v>242.05</v>
      </c>
      <c r="L58" s="6">
        <v>35.79</v>
      </c>
      <c r="M58" s="6">
        <v>33.909999999999997</v>
      </c>
      <c r="N58" s="6">
        <v>523.29999999999995</v>
      </c>
      <c r="O58" s="6">
        <v>0</v>
      </c>
      <c r="P58" s="6">
        <v>0.7</v>
      </c>
      <c r="Q58" s="6">
        <v>4.7</v>
      </c>
    </row>
    <row r="59" spans="1:17" customFormat="1">
      <c r="A59" s="82">
        <v>45362.53125</v>
      </c>
      <c r="B59" s="6">
        <v>2.86</v>
      </c>
      <c r="C59" s="6">
        <v>25.58</v>
      </c>
      <c r="D59" s="6">
        <v>17.010000000000002</v>
      </c>
      <c r="E59" s="6">
        <v>16.36</v>
      </c>
      <c r="F59" s="6">
        <v>14.45</v>
      </c>
      <c r="G59" s="6">
        <v>92.14</v>
      </c>
      <c r="H59" s="6">
        <v>38.340000000000003</v>
      </c>
      <c r="I59" s="6">
        <v>8.11</v>
      </c>
      <c r="J59" s="6">
        <v>0.49</v>
      </c>
      <c r="K59" s="6">
        <v>293.14</v>
      </c>
      <c r="L59" s="6">
        <v>35.03</v>
      </c>
      <c r="M59" s="6">
        <v>35.15</v>
      </c>
      <c r="N59" s="6">
        <v>504</v>
      </c>
      <c r="O59" s="6">
        <v>0</v>
      </c>
      <c r="P59" s="6">
        <v>0.71</v>
      </c>
      <c r="Q59" s="6">
        <v>4.68</v>
      </c>
    </row>
    <row r="60" spans="1:17" customFormat="1">
      <c r="A60" s="82">
        <v>45362.541666666664</v>
      </c>
      <c r="B60" s="6">
        <v>2.9</v>
      </c>
      <c r="C60" s="6">
        <v>24.67</v>
      </c>
      <c r="D60" s="6">
        <v>16.559999999999999</v>
      </c>
      <c r="E60" s="6">
        <v>16.04</v>
      </c>
      <c r="F60" s="6">
        <v>14.92</v>
      </c>
      <c r="G60" s="6">
        <v>91.31</v>
      </c>
      <c r="H60" s="6">
        <v>38.159999999999997</v>
      </c>
      <c r="I60" s="6">
        <v>8.18</v>
      </c>
      <c r="J60" s="6">
        <v>0.57999999999999996</v>
      </c>
      <c r="K60" s="6">
        <v>299.39999999999998</v>
      </c>
      <c r="L60" s="6">
        <v>35.6</v>
      </c>
      <c r="M60" s="6">
        <v>33.619999999999997</v>
      </c>
      <c r="N60" s="6">
        <v>490.5</v>
      </c>
      <c r="O60" s="6">
        <v>0</v>
      </c>
      <c r="P60" s="6">
        <v>0.68</v>
      </c>
      <c r="Q60" s="6">
        <v>4.68</v>
      </c>
    </row>
    <row r="61" spans="1:17" customFormat="1">
      <c r="A61" s="82">
        <v>45362.552083333336</v>
      </c>
      <c r="B61" s="6">
        <v>2.86</v>
      </c>
      <c r="C61" s="6">
        <v>24.02</v>
      </c>
      <c r="D61" s="6">
        <v>16.190000000000001</v>
      </c>
      <c r="E61" s="6">
        <v>16.87</v>
      </c>
      <c r="F61" s="6">
        <v>15.21</v>
      </c>
      <c r="G61" s="6">
        <v>79.62</v>
      </c>
      <c r="H61" s="6">
        <v>35.96</v>
      </c>
      <c r="I61" s="6">
        <v>8.19</v>
      </c>
      <c r="J61" s="6">
        <v>0.66</v>
      </c>
      <c r="K61" s="6">
        <v>269.29000000000002</v>
      </c>
      <c r="L61" s="6">
        <v>35.93</v>
      </c>
      <c r="M61" s="6">
        <v>33.29</v>
      </c>
      <c r="N61" s="6">
        <v>483.8</v>
      </c>
      <c r="O61" s="6">
        <v>0</v>
      </c>
      <c r="P61" s="6">
        <v>0.68</v>
      </c>
      <c r="Q61" s="6">
        <v>4.6500000000000004</v>
      </c>
    </row>
    <row r="62" spans="1:17" customFormat="1">
      <c r="A62" s="82">
        <v>45362.5625</v>
      </c>
      <c r="B62" s="6">
        <v>2.9</v>
      </c>
      <c r="C62" s="6">
        <v>23.72</v>
      </c>
      <c r="D62" s="6">
        <v>16.07</v>
      </c>
      <c r="E62" s="6">
        <v>15.9</v>
      </c>
      <c r="F62" s="6">
        <v>14.6</v>
      </c>
      <c r="G62" s="6">
        <v>79.62</v>
      </c>
      <c r="H62" s="6">
        <v>35.96</v>
      </c>
      <c r="I62" s="6">
        <v>8.0500000000000007</v>
      </c>
      <c r="J62" s="6">
        <v>0.49</v>
      </c>
      <c r="K62" s="6">
        <v>278.02</v>
      </c>
      <c r="L62" s="6">
        <v>36.07</v>
      </c>
      <c r="M62" s="6">
        <v>32.96</v>
      </c>
      <c r="N62" s="6">
        <v>470.4</v>
      </c>
      <c r="O62" s="6">
        <v>0</v>
      </c>
      <c r="P62" s="6">
        <v>0.67</v>
      </c>
      <c r="Q62" s="6">
        <v>4.66</v>
      </c>
    </row>
    <row r="63" spans="1:17" customFormat="1">
      <c r="A63" s="82">
        <v>45362.572916666664</v>
      </c>
      <c r="B63" s="6">
        <v>2.95</v>
      </c>
      <c r="C63" s="6">
        <v>23.23</v>
      </c>
      <c r="D63" s="6">
        <v>15.85</v>
      </c>
      <c r="E63" s="6">
        <v>14.86</v>
      </c>
      <c r="F63" s="6">
        <v>14.71</v>
      </c>
      <c r="G63" s="6">
        <v>79.62</v>
      </c>
      <c r="H63" s="6">
        <v>35.96</v>
      </c>
      <c r="I63" s="6">
        <v>8.02</v>
      </c>
      <c r="J63" s="6">
        <v>0.61</v>
      </c>
      <c r="K63" s="6">
        <v>254.77</v>
      </c>
      <c r="L63" s="6">
        <v>36.75</v>
      </c>
      <c r="M63" s="6">
        <v>31.45</v>
      </c>
      <c r="N63" s="6">
        <v>475.2</v>
      </c>
      <c r="O63" s="6">
        <v>0</v>
      </c>
      <c r="P63" s="6">
        <v>0.64</v>
      </c>
      <c r="Q63" s="6">
        <v>4.66</v>
      </c>
    </row>
    <row r="64" spans="1:17" customFormat="1">
      <c r="A64" s="82">
        <v>45362.583333333336</v>
      </c>
      <c r="B64" s="6">
        <v>2.96</v>
      </c>
      <c r="C64" s="6">
        <v>22.88</v>
      </c>
      <c r="D64" s="6">
        <v>15.68</v>
      </c>
      <c r="E64" s="6">
        <v>14.43</v>
      </c>
      <c r="F64" s="6">
        <v>14.15</v>
      </c>
      <c r="G64" s="6">
        <v>79.38</v>
      </c>
      <c r="H64" s="6">
        <v>35.68</v>
      </c>
      <c r="I64" s="6">
        <v>7.93</v>
      </c>
      <c r="J64" s="6">
        <v>0.81</v>
      </c>
      <c r="K64" s="6">
        <v>280.97000000000003</v>
      </c>
      <c r="L64" s="6">
        <v>35.700000000000003</v>
      </c>
      <c r="M64" s="6">
        <v>33</v>
      </c>
      <c r="N64" s="6">
        <v>401.6</v>
      </c>
      <c r="O64" s="6">
        <v>0</v>
      </c>
      <c r="P64" s="6">
        <v>0.63</v>
      </c>
      <c r="Q64" s="6">
        <v>4.6399999999999997</v>
      </c>
    </row>
    <row r="65" spans="1:17" customFormat="1">
      <c r="A65" s="82">
        <v>45362.59375</v>
      </c>
      <c r="B65" s="6">
        <v>3.01</v>
      </c>
      <c r="C65" s="6">
        <v>22.42</v>
      </c>
      <c r="D65" s="6">
        <v>15.48</v>
      </c>
      <c r="E65" s="6">
        <v>14.4</v>
      </c>
      <c r="F65" s="6">
        <v>14</v>
      </c>
      <c r="G65" s="6">
        <v>75.97</v>
      </c>
      <c r="H65" s="6">
        <v>32.229999999999997</v>
      </c>
      <c r="I65" s="6">
        <v>7.8</v>
      </c>
      <c r="J65" s="6">
        <v>0.53</v>
      </c>
      <c r="K65" s="6">
        <v>254.63</v>
      </c>
      <c r="L65" s="6">
        <v>35.979999999999997</v>
      </c>
      <c r="M65" s="6">
        <v>32.29</v>
      </c>
      <c r="N65" s="6">
        <v>239</v>
      </c>
      <c r="O65" s="6">
        <v>0</v>
      </c>
      <c r="P65" s="6">
        <v>0.73</v>
      </c>
      <c r="Q65" s="6">
        <v>4.67</v>
      </c>
    </row>
    <row r="66" spans="1:17" customFormat="1">
      <c r="A66" s="82">
        <v>45362.604166666664</v>
      </c>
      <c r="B66" s="6">
        <v>3.06</v>
      </c>
      <c r="C66" s="6">
        <v>21.92</v>
      </c>
      <c r="D66" s="6">
        <v>15.26</v>
      </c>
      <c r="E66" s="6">
        <v>14.52</v>
      </c>
      <c r="F66" s="6">
        <v>14.02</v>
      </c>
      <c r="G66" s="6">
        <v>75.97</v>
      </c>
      <c r="H66" s="6">
        <v>32.229999999999997</v>
      </c>
      <c r="I66" s="6">
        <v>7.61</v>
      </c>
      <c r="J66" s="6">
        <v>0.38</v>
      </c>
      <c r="K66" s="6">
        <v>278.45</v>
      </c>
      <c r="L66" s="6">
        <v>35.78</v>
      </c>
      <c r="M66" s="6">
        <v>31.96</v>
      </c>
      <c r="N66" s="6">
        <v>354.4</v>
      </c>
      <c r="O66" s="6">
        <v>0</v>
      </c>
      <c r="P66" s="6">
        <v>0.74</v>
      </c>
      <c r="Q66" s="6">
        <v>4.66</v>
      </c>
    </row>
    <row r="67" spans="1:17" customFormat="1">
      <c r="A67" s="82">
        <v>45362.614583333336</v>
      </c>
      <c r="B67" s="6">
        <v>3.1</v>
      </c>
      <c r="C67" s="6">
        <v>21.7</v>
      </c>
      <c r="D67" s="6">
        <v>15.18</v>
      </c>
      <c r="E67" s="6">
        <v>14.36</v>
      </c>
      <c r="F67" s="6">
        <v>12.99</v>
      </c>
      <c r="G67" s="6">
        <v>75.97</v>
      </c>
      <c r="H67" s="6">
        <v>32.229999999999997</v>
      </c>
      <c r="I67" s="6">
        <v>7.39</v>
      </c>
      <c r="J67" s="6">
        <v>0.82</v>
      </c>
      <c r="K67" s="6">
        <v>287.83</v>
      </c>
      <c r="L67" s="6">
        <v>36.03</v>
      </c>
      <c r="M67" s="6">
        <v>31.14</v>
      </c>
      <c r="N67" s="6">
        <v>328.8</v>
      </c>
      <c r="O67" s="6">
        <v>0</v>
      </c>
      <c r="P67" s="6">
        <v>0.73</v>
      </c>
      <c r="Q67" s="6">
        <v>4.67</v>
      </c>
    </row>
    <row r="68" spans="1:17" customFormat="1">
      <c r="A68" s="82">
        <v>45362.625</v>
      </c>
      <c r="B68" s="6">
        <v>3.22</v>
      </c>
      <c r="C68" s="6">
        <v>21.91</v>
      </c>
      <c r="D68" s="6">
        <v>15.38</v>
      </c>
      <c r="E68" s="6">
        <v>14.52</v>
      </c>
      <c r="F68" s="6">
        <v>13.67</v>
      </c>
      <c r="G68" s="6">
        <v>74.89</v>
      </c>
      <c r="H68" s="6">
        <v>32.06</v>
      </c>
      <c r="I68" s="6">
        <v>7.02</v>
      </c>
      <c r="J68" s="6">
        <v>1.06</v>
      </c>
      <c r="K68" s="6">
        <v>301.82</v>
      </c>
      <c r="L68" s="6">
        <v>35.880000000000003</v>
      </c>
      <c r="M68" s="6">
        <v>31.18</v>
      </c>
      <c r="N68" s="6">
        <v>243.9</v>
      </c>
      <c r="O68" s="6">
        <v>0</v>
      </c>
      <c r="P68" s="6">
        <v>0.7</v>
      </c>
      <c r="Q68" s="6">
        <v>4.6500000000000004</v>
      </c>
    </row>
    <row r="69" spans="1:17" customFormat="1">
      <c r="A69" s="82">
        <v>45362.635416666664</v>
      </c>
      <c r="B69" s="6">
        <v>3.28</v>
      </c>
      <c r="C69" s="6">
        <v>21.76</v>
      </c>
      <c r="D69" s="6">
        <v>15.36</v>
      </c>
      <c r="E69" s="6">
        <v>15.38</v>
      </c>
      <c r="F69" s="6">
        <v>15.45</v>
      </c>
      <c r="G69" s="6">
        <v>59.81</v>
      </c>
      <c r="H69" s="6">
        <v>30.01</v>
      </c>
      <c r="I69" s="6">
        <v>6.9</v>
      </c>
      <c r="J69" s="6">
        <v>0.66</v>
      </c>
      <c r="K69" s="6">
        <v>292.23</v>
      </c>
      <c r="L69" s="6">
        <v>35.32</v>
      </c>
      <c r="M69" s="6">
        <v>32.08</v>
      </c>
      <c r="N69" s="6">
        <v>165.2</v>
      </c>
      <c r="O69" s="6">
        <v>0</v>
      </c>
      <c r="P69" s="6">
        <v>0.69</v>
      </c>
      <c r="Q69" s="6">
        <v>4.67</v>
      </c>
    </row>
    <row r="70" spans="1:17" customFormat="1">
      <c r="A70" s="82">
        <v>45362.645833333336</v>
      </c>
      <c r="B70" s="6">
        <v>3.14</v>
      </c>
      <c r="C70" s="6">
        <v>21.88</v>
      </c>
      <c r="D70" s="6">
        <v>15.31</v>
      </c>
      <c r="E70" s="6">
        <v>14.34</v>
      </c>
      <c r="F70" s="6">
        <v>14.43</v>
      </c>
      <c r="G70" s="6">
        <v>59.81</v>
      </c>
      <c r="H70" s="6">
        <v>30.01</v>
      </c>
      <c r="I70" s="6">
        <v>6.62</v>
      </c>
      <c r="J70" s="6">
        <v>0.51</v>
      </c>
      <c r="K70" s="6">
        <v>280.67</v>
      </c>
      <c r="L70" s="6">
        <v>35.69</v>
      </c>
      <c r="M70" s="6">
        <v>31.32</v>
      </c>
      <c r="N70" s="6">
        <v>152.69999999999999</v>
      </c>
      <c r="O70" s="6">
        <v>0</v>
      </c>
      <c r="P70" s="6">
        <v>0.67</v>
      </c>
      <c r="Q70" s="6">
        <v>4.66</v>
      </c>
    </row>
    <row r="71" spans="1:17" customFormat="1">
      <c r="A71" s="82">
        <v>45362.65625</v>
      </c>
      <c r="B71" s="6">
        <v>3.15</v>
      </c>
      <c r="C71" s="6">
        <v>21.95</v>
      </c>
      <c r="D71" s="6">
        <v>15.34</v>
      </c>
      <c r="E71" s="6">
        <v>14.94</v>
      </c>
      <c r="F71" s="6">
        <v>16.760000000000002</v>
      </c>
      <c r="G71" s="6">
        <v>59.81</v>
      </c>
      <c r="H71" s="6">
        <v>30.01</v>
      </c>
      <c r="I71" s="6">
        <v>6.34</v>
      </c>
      <c r="J71" s="6">
        <v>0.96</v>
      </c>
      <c r="K71" s="6">
        <v>284.52999999999997</v>
      </c>
      <c r="L71" s="6">
        <v>35.28</v>
      </c>
      <c r="M71" s="6">
        <v>29.62</v>
      </c>
      <c r="N71" s="6">
        <v>284.3</v>
      </c>
      <c r="O71" s="6">
        <v>0</v>
      </c>
      <c r="P71" s="6">
        <v>0.69</v>
      </c>
      <c r="Q71" s="6">
        <v>4.66</v>
      </c>
    </row>
    <row r="72" spans="1:17" customFormat="1">
      <c r="A72" s="82">
        <v>45362.666666666664</v>
      </c>
      <c r="B72" s="6">
        <v>3.22</v>
      </c>
      <c r="C72" s="6">
        <v>20.85</v>
      </c>
      <c r="D72" s="6">
        <v>14.83</v>
      </c>
      <c r="E72" s="6">
        <v>16.100000000000001</v>
      </c>
      <c r="F72" s="6">
        <v>17.190000000000001</v>
      </c>
      <c r="G72" s="6">
        <v>58.99</v>
      </c>
      <c r="H72" s="6">
        <v>29.87</v>
      </c>
      <c r="I72" s="6">
        <v>6.2</v>
      </c>
      <c r="J72" s="6">
        <v>0.74</v>
      </c>
      <c r="K72" s="6">
        <v>276.35000000000002</v>
      </c>
      <c r="L72" s="6">
        <v>35.479999999999997</v>
      </c>
      <c r="M72" s="6">
        <v>29.72</v>
      </c>
      <c r="N72" s="6">
        <v>223.5</v>
      </c>
      <c r="O72" s="6">
        <v>0</v>
      </c>
      <c r="P72" s="6">
        <v>0.73</v>
      </c>
      <c r="Q72" s="6">
        <v>4.6500000000000004</v>
      </c>
    </row>
    <row r="73" spans="1:17" customFormat="1">
      <c r="A73" s="82">
        <v>45362.677083333336</v>
      </c>
      <c r="B73" s="6">
        <v>3.37</v>
      </c>
      <c r="C73" s="6">
        <v>20.420000000000002</v>
      </c>
      <c r="D73" s="6">
        <v>14.72</v>
      </c>
      <c r="E73" s="6">
        <v>14.29</v>
      </c>
      <c r="F73" s="6">
        <v>12.14</v>
      </c>
      <c r="G73" s="6">
        <v>47.44</v>
      </c>
      <c r="H73" s="6">
        <v>28.27</v>
      </c>
      <c r="I73" s="6">
        <v>6.13</v>
      </c>
      <c r="J73" s="6">
        <v>0.74</v>
      </c>
      <c r="K73" s="6">
        <v>280.61</v>
      </c>
      <c r="L73" s="6">
        <v>34.799999999999997</v>
      </c>
      <c r="M73" s="6">
        <v>29.43</v>
      </c>
      <c r="N73" s="6">
        <v>190.3</v>
      </c>
      <c r="O73" s="6">
        <v>0</v>
      </c>
      <c r="P73" s="6">
        <v>0.75</v>
      </c>
      <c r="Q73" s="6">
        <v>4.63</v>
      </c>
    </row>
    <row r="74" spans="1:17" customFormat="1">
      <c r="A74" s="82">
        <v>45362.6875</v>
      </c>
      <c r="B74" s="6">
        <v>3.48</v>
      </c>
      <c r="C74" s="6">
        <v>20.36</v>
      </c>
      <c r="D74" s="6">
        <v>14.78</v>
      </c>
      <c r="E74" s="6">
        <v>14.06</v>
      </c>
      <c r="F74" s="6">
        <v>11.78</v>
      </c>
      <c r="G74" s="6">
        <v>47.44</v>
      </c>
      <c r="H74" s="6">
        <v>28.27</v>
      </c>
      <c r="I74" s="6">
        <v>5.94</v>
      </c>
      <c r="J74" s="6">
        <v>0.75</v>
      </c>
      <c r="K74" s="6">
        <v>288.76</v>
      </c>
      <c r="L74" s="6">
        <v>34.869999999999997</v>
      </c>
      <c r="M74" s="6">
        <v>29.6</v>
      </c>
      <c r="N74" s="6">
        <v>158.80000000000001</v>
      </c>
      <c r="O74" s="6">
        <v>0</v>
      </c>
      <c r="P74" s="6">
        <v>0.76</v>
      </c>
      <c r="Q74" s="6">
        <v>4.62</v>
      </c>
    </row>
    <row r="75" spans="1:17" customFormat="1">
      <c r="A75" s="82">
        <v>45362.697916666664</v>
      </c>
      <c r="B75" s="6">
        <v>3.46</v>
      </c>
      <c r="C75" s="6">
        <v>20.02</v>
      </c>
      <c r="D75" s="6">
        <v>14.59</v>
      </c>
      <c r="E75" s="6">
        <v>13.9</v>
      </c>
      <c r="F75" s="6">
        <v>11.9</v>
      </c>
      <c r="G75" s="6">
        <v>47.44</v>
      </c>
      <c r="H75" s="6">
        <v>28.27</v>
      </c>
      <c r="I75" s="6">
        <v>6.01</v>
      </c>
      <c r="J75" s="6">
        <v>0.53</v>
      </c>
      <c r="K75" s="6">
        <v>273.69</v>
      </c>
      <c r="L75" s="6">
        <v>34.61</v>
      </c>
      <c r="M75" s="6">
        <v>31.48</v>
      </c>
      <c r="N75" s="6">
        <v>121.1</v>
      </c>
      <c r="O75" s="6">
        <v>0</v>
      </c>
      <c r="P75" s="6">
        <v>0.75</v>
      </c>
      <c r="Q75" s="6">
        <v>4.62</v>
      </c>
    </row>
    <row r="76" spans="1:17" customFormat="1">
      <c r="A76" s="82">
        <v>45362.708333333336</v>
      </c>
      <c r="B76" s="6">
        <v>3.42</v>
      </c>
      <c r="C76" s="6">
        <v>19.420000000000002</v>
      </c>
      <c r="D76" s="6">
        <v>14.24</v>
      </c>
      <c r="E76" s="6">
        <v>14.19</v>
      </c>
      <c r="F76" s="6">
        <v>15.61</v>
      </c>
      <c r="G76" s="6">
        <v>47.71</v>
      </c>
      <c r="H76" s="6">
        <v>28.13</v>
      </c>
      <c r="I76" s="6">
        <v>6.01</v>
      </c>
      <c r="J76" s="6">
        <v>0.21</v>
      </c>
      <c r="K76" s="6">
        <v>217.44</v>
      </c>
      <c r="L76" s="6">
        <v>34.65</v>
      </c>
      <c r="M76" s="6">
        <v>32.89</v>
      </c>
      <c r="N76" s="6">
        <v>90.1</v>
      </c>
      <c r="O76" s="6">
        <v>0</v>
      </c>
      <c r="P76" s="6">
        <v>0.74</v>
      </c>
      <c r="Q76" s="6">
        <v>4.63</v>
      </c>
    </row>
    <row r="77" spans="1:17" customFormat="1">
      <c r="A77" s="82">
        <v>45362.71875</v>
      </c>
      <c r="B77" s="6">
        <v>3.37</v>
      </c>
      <c r="C77" s="6">
        <v>19.27</v>
      </c>
      <c r="D77" s="6">
        <v>14.12</v>
      </c>
      <c r="E77" s="6">
        <v>13.23</v>
      </c>
      <c r="F77" s="6">
        <v>12.42</v>
      </c>
      <c r="G77" s="6">
        <v>51.5</v>
      </c>
      <c r="H77" s="6">
        <v>26.36</v>
      </c>
      <c r="I77" s="6">
        <v>5.94</v>
      </c>
      <c r="J77" s="6">
        <v>0.18</v>
      </c>
      <c r="K77" s="6">
        <v>217.67</v>
      </c>
      <c r="L77" s="6">
        <v>34.24</v>
      </c>
      <c r="M77" s="6">
        <v>34.49</v>
      </c>
      <c r="N77" s="6">
        <v>41.9</v>
      </c>
      <c r="O77" s="6">
        <v>0</v>
      </c>
      <c r="P77" s="6">
        <v>0.75</v>
      </c>
      <c r="Q77" s="6">
        <v>4.62</v>
      </c>
    </row>
    <row r="78" spans="1:17" customFormat="1">
      <c r="A78" s="82">
        <v>45362.729166666664</v>
      </c>
      <c r="B78" s="6">
        <v>3.56</v>
      </c>
      <c r="C78" s="6">
        <v>19.829999999999998</v>
      </c>
      <c r="D78" s="6">
        <v>14.56</v>
      </c>
      <c r="E78" s="6">
        <v>11.57</v>
      </c>
      <c r="F78" s="6">
        <v>10.59</v>
      </c>
      <c r="G78" s="6">
        <v>51.5</v>
      </c>
      <c r="H78" s="6">
        <v>26.36</v>
      </c>
      <c r="I78" s="6">
        <v>5.8</v>
      </c>
      <c r="J78" s="6">
        <v>0.2</v>
      </c>
      <c r="K78" s="6">
        <v>178.96</v>
      </c>
      <c r="L78" s="6">
        <v>33.53</v>
      </c>
      <c r="M78" s="6">
        <v>36.130000000000003</v>
      </c>
      <c r="N78" s="6">
        <v>15.1</v>
      </c>
      <c r="O78" s="6">
        <v>0</v>
      </c>
      <c r="P78" s="6">
        <v>0.76</v>
      </c>
      <c r="Q78" s="6">
        <v>4.63</v>
      </c>
    </row>
    <row r="79" spans="1:17" customFormat="1">
      <c r="A79" s="82">
        <v>45362.739583333336</v>
      </c>
      <c r="B79" s="6">
        <v>3.53</v>
      </c>
      <c r="C79" s="6">
        <v>19.87</v>
      </c>
      <c r="D79" s="6">
        <v>14.56</v>
      </c>
      <c r="E79" s="6">
        <v>12.52</v>
      </c>
      <c r="F79" s="6">
        <v>11.29</v>
      </c>
      <c r="G79" s="6">
        <v>51.5</v>
      </c>
      <c r="H79" s="6">
        <v>26.36</v>
      </c>
      <c r="I79" s="6">
        <v>5.85</v>
      </c>
      <c r="J79" s="6">
        <v>0.3</v>
      </c>
      <c r="K79" s="6">
        <v>240.39</v>
      </c>
      <c r="L79" s="6">
        <v>32.97</v>
      </c>
      <c r="M79" s="6">
        <v>37.81</v>
      </c>
      <c r="N79" s="6">
        <v>3.1</v>
      </c>
      <c r="O79" s="6">
        <v>0</v>
      </c>
      <c r="P79" s="6">
        <v>0.7</v>
      </c>
      <c r="Q79" s="6">
        <v>4.6399999999999997</v>
      </c>
    </row>
    <row r="80" spans="1:17" customFormat="1">
      <c r="A80" s="82">
        <v>45362.75</v>
      </c>
      <c r="B80" s="6">
        <v>3.19</v>
      </c>
      <c r="C80" s="6">
        <v>20.13</v>
      </c>
      <c r="D80" s="6">
        <v>14.43</v>
      </c>
      <c r="E80" s="6">
        <v>12.17</v>
      </c>
      <c r="F80" s="6">
        <v>11.85</v>
      </c>
      <c r="G80" s="6">
        <v>51.63</v>
      </c>
      <c r="H80" s="6">
        <v>26.22</v>
      </c>
      <c r="I80" s="6">
        <v>5.88</v>
      </c>
      <c r="J80" s="6">
        <v>0.15</v>
      </c>
      <c r="K80" s="6">
        <v>230.83</v>
      </c>
      <c r="L80" s="6">
        <v>32.729999999999997</v>
      </c>
      <c r="M80" s="6">
        <v>38.229999999999997</v>
      </c>
      <c r="N80" s="6">
        <v>0</v>
      </c>
      <c r="O80" s="6">
        <v>0</v>
      </c>
      <c r="P80" s="6">
        <v>0.6</v>
      </c>
      <c r="Q80" s="6">
        <v>4.66</v>
      </c>
    </row>
    <row r="81" spans="1:17" customFormat="1">
      <c r="A81" s="82">
        <v>45362.760416666664</v>
      </c>
      <c r="B81" s="6">
        <v>2.95</v>
      </c>
      <c r="C81" s="6">
        <v>20.27</v>
      </c>
      <c r="D81" s="6">
        <v>14.31</v>
      </c>
      <c r="E81" s="6">
        <v>8.1999999999999993</v>
      </c>
      <c r="F81" s="6">
        <v>11.98</v>
      </c>
      <c r="G81" s="6">
        <v>53.42</v>
      </c>
      <c r="H81" s="6">
        <v>24.56</v>
      </c>
      <c r="I81" s="6">
        <v>5.65</v>
      </c>
      <c r="J81" s="6">
        <v>0.2</v>
      </c>
      <c r="K81" s="6">
        <v>187.81</v>
      </c>
      <c r="L81" s="6">
        <v>32.14</v>
      </c>
      <c r="M81" s="6">
        <v>39.130000000000003</v>
      </c>
      <c r="N81" s="6">
        <v>0</v>
      </c>
      <c r="O81" s="6">
        <v>0</v>
      </c>
      <c r="P81" s="6">
        <v>0.57999999999999996</v>
      </c>
      <c r="Q81" s="6">
        <v>4.67</v>
      </c>
    </row>
    <row r="82" spans="1:17" customFormat="1">
      <c r="A82" s="82">
        <v>45362.770833333336</v>
      </c>
      <c r="B82" s="6">
        <v>2.95</v>
      </c>
      <c r="C82" s="6">
        <v>20.89</v>
      </c>
      <c r="D82" s="6">
        <v>14.63</v>
      </c>
      <c r="E82" s="6">
        <v>10.130000000000001</v>
      </c>
      <c r="F82" s="6">
        <v>11.33</v>
      </c>
      <c r="G82" s="6">
        <v>53.42</v>
      </c>
      <c r="H82" s="6">
        <v>24.56</v>
      </c>
      <c r="I82" s="6">
        <v>5.37</v>
      </c>
      <c r="J82" s="6">
        <v>0.16</v>
      </c>
      <c r="K82" s="6">
        <v>193.05</v>
      </c>
      <c r="L82" s="6">
        <v>31.48</v>
      </c>
      <c r="M82" s="6">
        <v>41.8</v>
      </c>
      <c r="N82" s="6">
        <v>0</v>
      </c>
      <c r="O82" s="6">
        <v>0</v>
      </c>
      <c r="P82" s="6">
        <v>0.59</v>
      </c>
      <c r="Q82" s="6">
        <v>4.67</v>
      </c>
    </row>
    <row r="83" spans="1:17" customFormat="1">
      <c r="A83" s="82">
        <v>45362.78125</v>
      </c>
      <c r="B83" s="6">
        <v>2.97</v>
      </c>
      <c r="C83" s="6">
        <v>21.27</v>
      </c>
      <c r="D83" s="6">
        <v>14.84</v>
      </c>
      <c r="E83" s="6">
        <v>10</v>
      </c>
      <c r="F83" s="6">
        <v>9.9600000000000009</v>
      </c>
      <c r="G83" s="6">
        <v>53.42</v>
      </c>
      <c r="H83" s="6">
        <v>24.56</v>
      </c>
      <c r="I83" s="6">
        <v>5.28</v>
      </c>
      <c r="J83" s="6">
        <v>0.26</v>
      </c>
      <c r="K83" s="6">
        <v>172.98</v>
      </c>
      <c r="L83" s="6">
        <v>30.73</v>
      </c>
      <c r="M83" s="6">
        <v>47.01</v>
      </c>
      <c r="N83" s="6">
        <v>0</v>
      </c>
      <c r="O83" s="6">
        <v>0</v>
      </c>
      <c r="P83" s="6">
        <v>0.59</v>
      </c>
      <c r="Q83" s="6">
        <v>4.6500000000000004</v>
      </c>
    </row>
    <row r="84" spans="1:17" customFormat="1">
      <c r="A84" s="82">
        <v>45362.791666666664</v>
      </c>
      <c r="B84" s="6">
        <v>3.09</v>
      </c>
      <c r="C84" s="6">
        <v>21.62</v>
      </c>
      <c r="D84" s="6">
        <v>15.12</v>
      </c>
      <c r="E84" s="6">
        <v>10.24</v>
      </c>
      <c r="F84" s="6">
        <v>10.27</v>
      </c>
      <c r="G84" s="6">
        <v>53.63</v>
      </c>
      <c r="H84" s="6">
        <v>24.9</v>
      </c>
      <c r="I84" s="6">
        <v>5.39</v>
      </c>
      <c r="J84" s="6">
        <v>0.24</v>
      </c>
      <c r="K84" s="6">
        <v>175.55</v>
      </c>
      <c r="L84" s="6">
        <v>30.26</v>
      </c>
      <c r="M84" s="6">
        <v>47.95</v>
      </c>
      <c r="N84" s="6">
        <v>0</v>
      </c>
      <c r="O84" s="6">
        <v>0</v>
      </c>
      <c r="P84" s="6">
        <v>0.6</v>
      </c>
      <c r="Q84" s="6">
        <v>4.66</v>
      </c>
    </row>
    <row r="85" spans="1:17" customFormat="1">
      <c r="A85" s="82">
        <v>45362.802083333336</v>
      </c>
      <c r="B85" s="6">
        <v>3.28</v>
      </c>
      <c r="C85" s="6">
        <v>21.95</v>
      </c>
      <c r="D85" s="6">
        <v>15.44</v>
      </c>
      <c r="E85" s="6">
        <v>9.9700000000000006</v>
      </c>
      <c r="F85" s="6">
        <v>9.44</v>
      </c>
      <c r="G85" s="6">
        <v>56.6</v>
      </c>
      <c r="H85" s="6">
        <v>28.31</v>
      </c>
      <c r="I85" s="6">
        <v>5.39</v>
      </c>
      <c r="J85" s="6">
        <v>0.23</v>
      </c>
      <c r="K85" s="6">
        <v>169.71</v>
      </c>
      <c r="L85" s="6">
        <v>29.87</v>
      </c>
      <c r="M85" s="6">
        <v>50.38</v>
      </c>
      <c r="N85" s="6">
        <v>0</v>
      </c>
      <c r="O85" s="6">
        <v>0</v>
      </c>
      <c r="P85" s="6">
        <v>0.62</v>
      </c>
      <c r="Q85" s="6">
        <v>4.6399999999999997</v>
      </c>
    </row>
    <row r="86" spans="1:17" customFormat="1">
      <c r="A86" s="82">
        <v>45362.8125</v>
      </c>
      <c r="B86" s="6">
        <v>3.58</v>
      </c>
      <c r="C86" s="6">
        <v>22.21</v>
      </c>
      <c r="D86" s="6">
        <v>15.82</v>
      </c>
      <c r="E86" s="6">
        <v>9.74</v>
      </c>
      <c r="F86" s="6">
        <v>7.22</v>
      </c>
      <c r="G86" s="6">
        <v>56.6</v>
      </c>
      <c r="H86" s="6">
        <v>28.31</v>
      </c>
      <c r="I86" s="6">
        <v>5.45</v>
      </c>
      <c r="J86" s="6">
        <v>0.19</v>
      </c>
      <c r="K86" s="6">
        <v>179.19</v>
      </c>
      <c r="L86" s="6">
        <v>29.48</v>
      </c>
      <c r="M86" s="6">
        <v>53.96</v>
      </c>
      <c r="N86" s="6">
        <v>0</v>
      </c>
      <c r="O86" s="6">
        <v>0</v>
      </c>
      <c r="P86" s="6">
        <v>0.64</v>
      </c>
      <c r="Q86" s="6">
        <v>4.67</v>
      </c>
    </row>
    <row r="87" spans="1:17" customFormat="1">
      <c r="A87" s="82">
        <v>45362.822916666664</v>
      </c>
      <c r="B87" s="6">
        <v>3.82</v>
      </c>
      <c r="C87" s="6">
        <v>22.53</v>
      </c>
      <c r="D87" s="6">
        <v>16.190000000000001</v>
      </c>
      <c r="E87" s="6">
        <v>9.2899999999999991</v>
      </c>
      <c r="F87" s="6">
        <v>6.76</v>
      </c>
      <c r="G87" s="6">
        <v>56.6</v>
      </c>
      <c r="H87" s="6">
        <v>28.31</v>
      </c>
      <c r="I87" s="6">
        <v>5.61</v>
      </c>
      <c r="J87" s="6">
        <v>0.18</v>
      </c>
      <c r="K87" s="6">
        <v>177.02</v>
      </c>
      <c r="L87" s="6">
        <v>29</v>
      </c>
      <c r="M87" s="6">
        <v>54.69</v>
      </c>
      <c r="N87" s="6">
        <v>0</v>
      </c>
      <c r="O87" s="6">
        <v>0</v>
      </c>
      <c r="P87" s="6">
        <v>0.65</v>
      </c>
      <c r="Q87" s="6">
        <v>4.66</v>
      </c>
    </row>
    <row r="88" spans="1:17" customFormat="1">
      <c r="A88" s="82">
        <v>45362.833333333336</v>
      </c>
      <c r="B88" s="6">
        <v>3.96</v>
      </c>
      <c r="C88" s="6">
        <v>22.77</v>
      </c>
      <c r="D88" s="6">
        <v>16.420000000000002</v>
      </c>
      <c r="E88" s="6">
        <v>9.8699999999999992</v>
      </c>
      <c r="F88" s="6">
        <v>6.59</v>
      </c>
      <c r="G88" s="6">
        <v>57.1</v>
      </c>
      <c r="H88" s="6">
        <v>28.27</v>
      </c>
      <c r="I88" s="6">
        <v>5.75</v>
      </c>
      <c r="J88" s="6">
        <v>0.2</v>
      </c>
      <c r="K88" s="6">
        <v>166.62</v>
      </c>
      <c r="L88" s="6">
        <v>28.74</v>
      </c>
      <c r="M88" s="6">
        <v>56.09</v>
      </c>
      <c r="N88" s="6">
        <v>0</v>
      </c>
      <c r="O88" s="6">
        <v>0</v>
      </c>
      <c r="P88" s="6">
        <v>0.67</v>
      </c>
      <c r="Q88" s="6">
        <v>4.66</v>
      </c>
    </row>
    <row r="89" spans="1:17" customFormat="1">
      <c r="A89" s="82">
        <v>45362.84375</v>
      </c>
      <c r="B89" s="6">
        <v>4.0999999999999996</v>
      </c>
      <c r="C89" s="6">
        <v>23.08</v>
      </c>
      <c r="D89" s="6">
        <v>16.7</v>
      </c>
      <c r="E89" s="6">
        <v>9.51</v>
      </c>
      <c r="F89" s="6">
        <v>6.83</v>
      </c>
      <c r="G89" s="6">
        <v>64.03</v>
      </c>
      <c r="H89" s="6">
        <v>27.9</v>
      </c>
      <c r="I89" s="6">
        <v>5.79</v>
      </c>
      <c r="J89" s="6">
        <v>0.24</v>
      </c>
      <c r="K89" s="6">
        <v>163.52000000000001</v>
      </c>
      <c r="L89" s="6">
        <v>28.76</v>
      </c>
      <c r="M89" s="6">
        <v>55.67</v>
      </c>
      <c r="N89" s="6">
        <v>0</v>
      </c>
      <c r="O89" s="6">
        <v>0</v>
      </c>
      <c r="P89" s="6">
        <v>0.69</v>
      </c>
      <c r="Q89" s="6">
        <v>4.68</v>
      </c>
    </row>
    <row r="90" spans="1:17" customFormat="1">
      <c r="A90" s="82">
        <v>45362.854166666664</v>
      </c>
      <c r="B90" s="6">
        <v>4.21</v>
      </c>
      <c r="C90" s="6">
        <v>23.59</v>
      </c>
      <c r="D90" s="6">
        <v>17.05</v>
      </c>
      <c r="E90" s="6">
        <v>9.6</v>
      </c>
      <c r="F90" s="6">
        <v>6.02</v>
      </c>
      <c r="G90" s="6">
        <v>64.03</v>
      </c>
      <c r="H90" s="6">
        <v>27.9</v>
      </c>
      <c r="I90" s="6">
        <v>5.8</v>
      </c>
      <c r="J90" s="6">
        <v>0.26</v>
      </c>
      <c r="K90" s="6">
        <v>165.81</v>
      </c>
      <c r="L90" s="6">
        <v>28.84</v>
      </c>
      <c r="M90" s="6">
        <v>53.9</v>
      </c>
      <c r="N90" s="6">
        <v>0</v>
      </c>
      <c r="O90" s="6">
        <v>0</v>
      </c>
      <c r="P90" s="6">
        <v>0.7</v>
      </c>
      <c r="Q90" s="6">
        <v>4.66</v>
      </c>
    </row>
    <row r="91" spans="1:17" customFormat="1">
      <c r="A91" s="82">
        <v>45362.864583333336</v>
      </c>
      <c r="B91" s="6">
        <v>4.38</v>
      </c>
      <c r="C91" s="6">
        <v>24.13</v>
      </c>
      <c r="D91" s="6">
        <v>17.47</v>
      </c>
      <c r="E91" s="6">
        <v>10.25</v>
      </c>
      <c r="F91" s="6">
        <v>5.56</v>
      </c>
      <c r="G91" s="6">
        <v>64.03</v>
      </c>
      <c r="H91" s="6">
        <v>27.9</v>
      </c>
      <c r="I91" s="6">
        <v>5.92</v>
      </c>
      <c r="J91" s="6">
        <v>0.28000000000000003</v>
      </c>
      <c r="K91" s="6">
        <v>163.75</v>
      </c>
      <c r="L91" s="6">
        <v>28.67</v>
      </c>
      <c r="M91" s="6">
        <v>53.62</v>
      </c>
      <c r="N91" s="6">
        <v>0</v>
      </c>
      <c r="O91" s="6">
        <v>0</v>
      </c>
      <c r="P91" s="6">
        <v>0.72</v>
      </c>
      <c r="Q91" s="6">
        <v>4.6399999999999997</v>
      </c>
    </row>
    <row r="92" spans="1:17" customFormat="1">
      <c r="A92" s="82">
        <v>45362.875</v>
      </c>
      <c r="B92" s="6">
        <v>4.67</v>
      </c>
      <c r="C92" s="6">
        <v>25.03</v>
      </c>
      <c r="D92" s="6">
        <v>18.170000000000002</v>
      </c>
      <c r="E92" s="6">
        <v>9.59</v>
      </c>
      <c r="F92" s="6">
        <v>5.27</v>
      </c>
      <c r="G92" s="6">
        <v>64.849999999999994</v>
      </c>
      <c r="H92" s="6">
        <v>28.11</v>
      </c>
      <c r="I92" s="6">
        <v>6.03</v>
      </c>
      <c r="J92" s="6">
        <v>0.18</v>
      </c>
      <c r="K92" s="6">
        <v>176.16</v>
      </c>
      <c r="L92" s="6">
        <v>28.18</v>
      </c>
      <c r="M92" s="6">
        <v>58.6</v>
      </c>
      <c r="N92" s="6">
        <v>0</v>
      </c>
      <c r="O92" s="6">
        <v>0</v>
      </c>
      <c r="P92" s="6">
        <v>0.75</v>
      </c>
      <c r="Q92" s="6">
        <v>4.67</v>
      </c>
    </row>
    <row r="93" spans="1:17" customFormat="1">
      <c r="A93" s="82">
        <v>45362.885416666664</v>
      </c>
      <c r="B93" s="6">
        <v>6.11</v>
      </c>
      <c r="C93" s="6">
        <v>26.16</v>
      </c>
      <c r="D93" s="6">
        <v>19.920000000000002</v>
      </c>
      <c r="E93" s="6">
        <v>9.56</v>
      </c>
      <c r="F93" s="6">
        <v>4.6900000000000004</v>
      </c>
      <c r="G93" s="6">
        <v>76.33</v>
      </c>
      <c r="H93" s="6">
        <v>30.66</v>
      </c>
      <c r="I93" s="6">
        <v>6.26</v>
      </c>
      <c r="J93" s="6">
        <v>0.16</v>
      </c>
      <c r="K93" s="6">
        <v>221.94</v>
      </c>
      <c r="L93" s="6">
        <v>27.99</v>
      </c>
      <c r="M93" s="6">
        <v>57.52</v>
      </c>
      <c r="N93" s="6">
        <v>0</v>
      </c>
      <c r="O93" s="6">
        <v>0</v>
      </c>
      <c r="P93" s="6">
        <v>0.78</v>
      </c>
      <c r="Q93" s="6">
        <v>4.67</v>
      </c>
    </row>
    <row r="94" spans="1:17" customFormat="1">
      <c r="A94" s="82">
        <v>45362.895833333336</v>
      </c>
      <c r="B94" s="6">
        <v>8.85</v>
      </c>
      <c r="C94" s="6">
        <v>29.31</v>
      </c>
      <c r="D94" s="6">
        <v>23.76</v>
      </c>
      <c r="E94" s="6">
        <v>10.24</v>
      </c>
      <c r="F94" s="6">
        <v>4.51</v>
      </c>
      <c r="G94" s="6">
        <v>76.33</v>
      </c>
      <c r="H94" s="6">
        <v>30.66</v>
      </c>
      <c r="I94" s="6">
        <v>6.42</v>
      </c>
      <c r="J94" s="6">
        <v>0.28999999999999998</v>
      </c>
      <c r="K94" s="6">
        <v>195.89</v>
      </c>
      <c r="L94" s="6">
        <v>27.83</v>
      </c>
      <c r="M94" s="6">
        <v>61.26</v>
      </c>
      <c r="N94" s="6">
        <v>0</v>
      </c>
      <c r="O94" s="6">
        <v>0</v>
      </c>
      <c r="P94" s="6">
        <v>0.83</v>
      </c>
      <c r="Q94" s="6">
        <v>4.66</v>
      </c>
    </row>
    <row r="95" spans="1:17" customFormat="1">
      <c r="A95" s="82">
        <v>45362.90625</v>
      </c>
      <c r="B95" s="6">
        <v>9.64</v>
      </c>
      <c r="C95" s="6">
        <v>30.13</v>
      </c>
      <c r="D95" s="6">
        <v>24.82</v>
      </c>
      <c r="E95" s="6">
        <v>9.0299999999999994</v>
      </c>
      <c r="F95" s="6">
        <v>4.43</v>
      </c>
      <c r="G95" s="6">
        <v>76.33</v>
      </c>
      <c r="H95" s="6">
        <v>30.66</v>
      </c>
      <c r="I95" s="6">
        <v>6.68</v>
      </c>
      <c r="J95" s="6">
        <v>0.22</v>
      </c>
      <c r="K95" s="6">
        <v>193.26</v>
      </c>
      <c r="L95" s="6">
        <v>27.16</v>
      </c>
      <c r="M95" s="6">
        <v>61.62</v>
      </c>
      <c r="N95" s="6">
        <v>0</v>
      </c>
      <c r="O95" s="6">
        <v>0</v>
      </c>
      <c r="P95" s="6">
        <v>0.85</v>
      </c>
      <c r="Q95" s="6">
        <v>4.67</v>
      </c>
    </row>
    <row r="96" spans="1:17" customFormat="1">
      <c r="A96" s="82">
        <v>45362.916666666664</v>
      </c>
      <c r="B96" s="6">
        <v>9.5500000000000007</v>
      </c>
      <c r="C96" s="6">
        <v>30.41</v>
      </c>
      <c r="D96" s="6">
        <v>24.9</v>
      </c>
      <c r="E96" s="6">
        <v>9.94</v>
      </c>
      <c r="F96" s="6">
        <v>4.51</v>
      </c>
      <c r="G96" s="6">
        <v>78.180000000000007</v>
      </c>
      <c r="H96" s="6">
        <v>30.69</v>
      </c>
      <c r="I96" s="6">
        <v>6.97</v>
      </c>
      <c r="J96" s="6">
        <v>0.15</v>
      </c>
      <c r="K96" s="6">
        <v>174.91</v>
      </c>
      <c r="L96" s="6">
        <v>26.97</v>
      </c>
      <c r="M96" s="6">
        <v>63.1</v>
      </c>
      <c r="N96" s="6">
        <v>0</v>
      </c>
      <c r="O96" s="6">
        <v>0</v>
      </c>
      <c r="P96" s="6">
        <v>0.85</v>
      </c>
      <c r="Q96" s="6">
        <v>4.6900000000000004</v>
      </c>
    </row>
    <row r="97" spans="1:22" customFormat="1">
      <c r="A97" s="82">
        <v>45362.927083333336</v>
      </c>
      <c r="B97" s="6">
        <v>9.3800000000000008</v>
      </c>
      <c r="C97" s="6">
        <v>30.05</v>
      </c>
      <c r="D97" s="6">
        <v>24.58</v>
      </c>
      <c r="E97" s="6">
        <v>9.82</v>
      </c>
      <c r="F97" s="6">
        <v>4.6100000000000003</v>
      </c>
      <c r="G97" s="6">
        <v>104.16</v>
      </c>
      <c r="H97" s="6">
        <v>31.05</v>
      </c>
      <c r="I97" s="6">
        <v>7.03</v>
      </c>
      <c r="J97" s="6">
        <v>0.24</v>
      </c>
      <c r="K97" s="6">
        <v>174.35</v>
      </c>
      <c r="L97" s="6">
        <v>26.86</v>
      </c>
      <c r="M97" s="6">
        <v>63.26</v>
      </c>
      <c r="N97" s="6">
        <v>0</v>
      </c>
      <c r="O97" s="6">
        <v>0</v>
      </c>
      <c r="P97" s="6">
        <v>0.85</v>
      </c>
      <c r="Q97" s="6">
        <v>4.71</v>
      </c>
    </row>
    <row r="98" spans="1:22" customFormat="1">
      <c r="A98" s="82">
        <v>45362.9375</v>
      </c>
      <c r="B98" s="6">
        <v>9.32</v>
      </c>
      <c r="C98" s="6">
        <v>29.9</v>
      </c>
      <c r="D98" s="6">
        <v>24.45</v>
      </c>
      <c r="E98" s="6">
        <v>9.3000000000000007</v>
      </c>
      <c r="F98" s="6">
        <v>4.63</v>
      </c>
      <c r="G98" s="6">
        <v>104.16</v>
      </c>
      <c r="H98" s="6">
        <v>31.05</v>
      </c>
      <c r="I98" s="6">
        <v>7.04</v>
      </c>
      <c r="J98" s="6">
        <v>0.25</v>
      </c>
      <c r="K98" s="6">
        <v>176.5</v>
      </c>
      <c r="L98" s="6">
        <v>26.49</v>
      </c>
      <c r="M98" s="6">
        <v>66.83</v>
      </c>
      <c r="N98" s="6">
        <v>0</v>
      </c>
      <c r="O98" s="6">
        <v>0</v>
      </c>
      <c r="P98" s="6">
        <v>0.91</v>
      </c>
      <c r="Q98" s="6">
        <v>4.6900000000000004</v>
      </c>
    </row>
    <row r="99" spans="1:22" customFormat="1">
      <c r="A99" s="82">
        <v>45362.947916666664</v>
      </c>
      <c r="B99" s="6">
        <v>9.56</v>
      </c>
      <c r="C99" s="6">
        <v>27.65</v>
      </c>
      <c r="D99" s="6">
        <v>23.46</v>
      </c>
      <c r="E99" s="6">
        <v>8.6199999999999992</v>
      </c>
      <c r="F99" s="6">
        <v>5.05</v>
      </c>
      <c r="G99" s="6">
        <v>104.16</v>
      </c>
      <c r="H99" s="6">
        <v>31.05</v>
      </c>
      <c r="I99" s="6">
        <v>7.08</v>
      </c>
      <c r="J99" s="6">
        <v>0.24</v>
      </c>
      <c r="K99" s="6">
        <v>175.18</v>
      </c>
      <c r="L99" s="6">
        <v>26.23</v>
      </c>
      <c r="M99" s="6">
        <v>67.44</v>
      </c>
      <c r="N99" s="6">
        <v>0</v>
      </c>
      <c r="O99" s="6">
        <v>0</v>
      </c>
      <c r="P99" s="6">
        <v>0.93</v>
      </c>
      <c r="Q99" s="6">
        <v>4.6900000000000004</v>
      </c>
    </row>
    <row r="100" spans="1:22" customFormat="1">
      <c r="A100" s="82">
        <v>45362.958333333336</v>
      </c>
      <c r="B100" s="6">
        <v>9.9499999999999993</v>
      </c>
      <c r="C100" s="6">
        <v>25.68</v>
      </c>
      <c r="D100" s="6">
        <v>22.75</v>
      </c>
      <c r="E100" s="6">
        <v>8.18</v>
      </c>
      <c r="F100" s="6">
        <v>5.12</v>
      </c>
      <c r="G100" s="6">
        <v>102.67</v>
      </c>
      <c r="H100" s="6">
        <v>31.18</v>
      </c>
      <c r="I100" s="6">
        <v>7.13</v>
      </c>
      <c r="J100" s="6">
        <v>0.18</v>
      </c>
      <c r="K100" s="6">
        <v>169.28</v>
      </c>
      <c r="L100" s="6">
        <v>26.11</v>
      </c>
      <c r="M100" s="6">
        <v>66.09</v>
      </c>
      <c r="N100" s="6">
        <v>0</v>
      </c>
      <c r="O100" s="6">
        <v>0</v>
      </c>
      <c r="P100" s="6">
        <v>0.93</v>
      </c>
      <c r="Q100" s="6">
        <v>4.6900000000000004</v>
      </c>
    </row>
    <row r="101" spans="1:22" customFormat="1">
      <c r="A101" s="82">
        <v>45362.96875</v>
      </c>
      <c r="B101" s="6">
        <v>10.35</v>
      </c>
      <c r="C101" s="6">
        <v>24.38</v>
      </c>
      <c r="D101" s="6">
        <v>22.39</v>
      </c>
      <c r="E101" s="6">
        <v>7.32</v>
      </c>
      <c r="F101" s="6">
        <v>5.19</v>
      </c>
      <c r="G101" s="6">
        <v>81.75</v>
      </c>
      <c r="H101" s="6">
        <v>32.53</v>
      </c>
      <c r="I101" s="6">
        <v>7.23</v>
      </c>
      <c r="J101" s="6">
        <v>0.27</v>
      </c>
      <c r="K101" s="6">
        <v>175.89</v>
      </c>
      <c r="L101" s="6">
        <v>26.11</v>
      </c>
      <c r="M101" s="6">
        <v>66.430000000000007</v>
      </c>
      <c r="N101" s="6">
        <v>0</v>
      </c>
      <c r="O101" s="6">
        <v>0</v>
      </c>
      <c r="P101" s="6">
        <v>0.93</v>
      </c>
      <c r="Q101" s="6">
        <v>4.6900000000000004</v>
      </c>
    </row>
    <row r="102" spans="1:22" customFormat="1">
      <c r="A102" s="82">
        <v>45362.979166666664</v>
      </c>
      <c r="B102" s="6">
        <v>10.71</v>
      </c>
      <c r="C102" s="6">
        <v>23.44</v>
      </c>
      <c r="D102" s="6">
        <v>22.18</v>
      </c>
      <c r="E102" s="6">
        <v>6.84</v>
      </c>
      <c r="F102" s="6">
        <v>5.15</v>
      </c>
      <c r="G102" s="6">
        <v>81.75</v>
      </c>
      <c r="H102" s="6">
        <v>32.53</v>
      </c>
      <c r="I102" s="6">
        <v>7.29</v>
      </c>
      <c r="J102" s="6">
        <v>0.22</v>
      </c>
      <c r="K102" s="6">
        <v>176.81</v>
      </c>
      <c r="L102" s="6">
        <v>25.78</v>
      </c>
      <c r="M102" s="6">
        <v>69.319999999999993</v>
      </c>
      <c r="N102" s="6">
        <v>0</v>
      </c>
      <c r="O102" s="6">
        <v>0</v>
      </c>
      <c r="P102" s="6">
        <v>0.93</v>
      </c>
      <c r="Q102" s="6">
        <v>4.7</v>
      </c>
    </row>
    <row r="103" spans="1:22" customFormat="1">
      <c r="A103" s="82">
        <v>45362.989583333336</v>
      </c>
      <c r="B103" s="6">
        <v>10.97</v>
      </c>
      <c r="C103" s="6">
        <v>22.72</v>
      </c>
      <c r="D103" s="6">
        <v>22.02</v>
      </c>
      <c r="E103" s="6">
        <v>7.16</v>
      </c>
      <c r="F103" s="6">
        <v>5.01</v>
      </c>
      <c r="G103" s="6">
        <v>81.75</v>
      </c>
      <c r="H103" s="6">
        <v>32.53</v>
      </c>
      <c r="I103" s="6">
        <v>7.35</v>
      </c>
      <c r="J103" s="6">
        <v>0.28999999999999998</v>
      </c>
      <c r="K103" s="6">
        <v>192.71</v>
      </c>
      <c r="L103" s="6">
        <v>25.12</v>
      </c>
      <c r="M103" s="6">
        <v>69.83</v>
      </c>
      <c r="N103" s="6">
        <v>0</v>
      </c>
      <c r="O103" s="6">
        <v>0</v>
      </c>
      <c r="P103" s="6">
        <v>0.93</v>
      </c>
      <c r="Q103" s="6">
        <v>4.7</v>
      </c>
    </row>
    <row r="104" spans="1:22" customFormat="1">
      <c r="A104" s="82">
        <v>45363</v>
      </c>
      <c r="B104" s="6">
        <v>12.19</v>
      </c>
      <c r="C104" s="6">
        <v>23.2</v>
      </c>
      <c r="D104" s="6">
        <v>23.25</v>
      </c>
      <c r="E104" s="6">
        <v>6.99</v>
      </c>
      <c r="F104" s="6">
        <v>4.92</v>
      </c>
      <c r="G104" s="6">
        <v>81.709999999999994</v>
      </c>
      <c r="H104" s="6">
        <v>32.729999999999997</v>
      </c>
      <c r="I104" s="6">
        <v>7.47</v>
      </c>
      <c r="J104" s="6">
        <v>7.0000000000000007E-2</v>
      </c>
      <c r="K104" s="6">
        <v>79.64</v>
      </c>
      <c r="L104" s="6">
        <v>24.92</v>
      </c>
      <c r="M104" s="6">
        <v>69.22</v>
      </c>
      <c r="N104" s="6">
        <v>0</v>
      </c>
      <c r="O104" s="6">
        <v>0</v>
      </c>
      <c r="P104" s="6">
        <v>0.94</v>
      </c>
      <c r="Q104" s="6">
        <v>4.71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6" t="s">
        <v>48</v>
      </c>
      <c r="B106" s="187">
        <f>MIN(B9:B104)</f>
        <v>2.56</v>
      </c>
      <c r="C106" s="187">
        <f>MIN(C9:C104)</f>
        <v>18.62</v>
      </c>
      <c r="D106" s="187">
        <f t="shared" ref="D106:Q106" si="0">MIN(D9:D104)</f>
        <v>14.12</v>
      </c>
      <c r="E106" s="187">
        <f t="shared" si="0"/>
        <v>5.54</v>
      </c>
      <c r="F106" s="187">
        <f t="shared" si="0"/>
        <v>4.43</v>
      </c>
      <c r="G106" s="187">
        <f t="shared" si="0"/>
        <v>47.44</v>
      </c>
      <c r="H106" s="187">
        <f t="shared" si="0"/>
        <v>23.28</v>
      </c>
      <c r="I106" s="187">
        <f t="shared" si="0"/>
        <v>4.8499999999999996</v>
      </c>
      <c r="J106" s="187">
        <f t="shared" si="0"/>
        <v>7.0000000000000007E-2</v>
      </c>
      <c r="K106" s="187">
        <f t="shared" si="0"/>
        <v>8.32</v>
      </c>
      <c r="L106" s="187">
        <f t="shared" si="0"/>
        <v>22.11</v>
      </c>
      <c r="M106" s="187">
        <f t="shared" si="0"/>
        <v>29.43</v>
      </c>
      <c r="N106" s="187">
        <f t="shared" si="0"/>
        <v>0</v>
      </c>
      <c r="O106" s="187">
        <f t="shared" si="0"/>
        <v>0</v>
      </c>
      <c r="P106" s="187">
        <f t="shared" si="0"/>
        <v>0.49</v>
      </c>
      <c r="Q106" s="187">
        <f t="shared" si="0"/>
        <v>4.62</v>
      </c>
      <c r="R106" s="192"/>
      <c r="S106" s="192"/>
      <c r="T106" s="192"/>
      <c r="U106" s="192"/>
    </row>
    <row r="107" spans="1:22">
      <c r="A107" s="186" t="s">
        <v>49</v>
      </c>
      <c r="B107" s="188">
        <f>MAX(B9:B104)</f>
        <v>12.19</v>
      </c>
      <c r="C107" s="188">
        <f t="shared" ref="C107:Q107" si="1">MAX(C9:C104)</f>
        <v>32.11</v>
      </c>
      <c r="D107" s="188">
        <f t="shared" si="1"/>
        <v>26</v>
      </c>
      <c r="E107" s="188">
        <f t="shared" si="1"/>
        <v>17.93</v>
      </c>
      <c r="F107" s="188">
        <f t="shared" si="1"/>
        <v>17.190000000000001</v>
      </c>
      <c r="G107" s="188">
        <f t="shared" si="1"/>
        <v>171.29</v>
      </c>
      <c r="H107" s="188">
        <f t="shared" si="1"/>
        <v>50.73</v>
      </c>
      <c r="I107" s="188">
        <f t="shared" si="1"/>
        <v>8.35</v>
      </c>
      <c r="J107" s="188">
        <f t="shared" si="1"/>
        <v>1.1299999999999999</v>
      </c>
      <c r="K107" s="188">
        <f t="shared" si="1"/>
        <v>316.91000000000003</v>
      </c>
      <c r="L107" s="188">
        <f t="shared" si="1"/>
        <v>36.75</v>
      </c>
      <c r="M107" s="188">
        <f t="shared" si="1"/>
        <v>69.83</v>
      </c>
      <c r="N107" s="188">
        <f t="shared" si="1"/>
        <v>523.29999999999995</v>
      </c>
      <c r="O107" s="188">
        <f t="shared" si="1"/>
        <v>0</v>
      </c>
      <c r="P107" s="188">
        <f t="shared" si="1"/>
        <v>0.94</v>
      </c>
      <c r="Q107" s="188">
        <f t="shared" si="1"/>
        <v>4.7699999999999996</v>
      </c>
      <c r="R107" s="193"/>
      <c r="S107" s="193"/>
      <c r="T107" s="193"/>
      <c r="U107" s="193"/>
    </row>
    <row r="108" spans="1:22">
      <c r="A108" s="186" t="s">
        <v>50</v>
      </c>
      <c r="B108" s="187">
        <f>AVERAGE(B9:B104)</f>
        <v>5.5785416666666672</v>
      </c>
      <c r="C108" s="187">
        <f t="shared" ref="C108:Q108" si="2">AVERAGE(C9:C104)</f>
        <v>24.156874999999999</v>
      </c>
      <c r="D108" s="187">
        <f t="shared" si="2"/>
        <v>18.445833333333333</v>
      </c>
      <c r="E108" s="187">
        <f t="shared" si="2"/>
        <v>10.528958333333335</v>
      </c>
      <c r="F108" s="187">
        <f t="shared" si="2"/>
        <v>8.0816666666666652</v>
      </c>
      <c r="G108" s="187">
        <f t="shared" si="2"/>
        <v>78.247812500000023</v>
      </c>
      <c r="H108" s="187">
        <f t="shared" si="2"/>
        <v>33.710208333333348</v>
      </c>
      <c r="I108" s="187">
        <f t="shared" si="2"/>
        <v>6.6513541666666631</v>
      </c>
      <c r="J108" s="187">
        <f t="shared" si="2"/>
        <v>0.44312499999999982</v>
      </c>
      <c r="K108" s="187">
        <f t="shared" si="2"/>
        <v>173.49479166666666</v>
      </c>
      <c r="L108" s="187">
        <f t="shared" si="2"/>
        <v>28.815416666666664</v>
      </c>
      <c r="M108" s="187">
        <f t="shared" si="2"/>
        <v>49.815729166666664</v>
      </c>
      <c r="N108" s="187">
        <f t="shared" si="2"/>
        <v>133.13124999999999</v>
      </c>
      <c r="O108" s="187">
        <f t="shared" si="2"/>
        <v>0</v>
      </c>
      <c r="P108" s="187">
        <f t="shared" si="2"/>
        <v>0.69447916666666687</v>
      </c>
      <c r="Q108" s="187">
        <f t="shared" si="2"/>
        <v>4.6880208333333346</v>
      </c>
      <c r="R108" s="192"/>
      <c r="S108" s="192"/>
      <c r="T108" s="192"/>
      <c r="U108" s="192"/>
    </row>
    <row r="109" spans="1:22">
      <c r="A109" s="186" t="s">
        <v>51</v>
      </c>
      <c r="B109" s="187">
        <f>STDEV(B9:B104)</f>
        <v>2.773702818356969</v>
      </c>
      <c r="C109" s="187">
        <f t="shared" ref="C109:Q109" si="3">STDEV(C9:C104)</f>
        <v>3.7438719930040723</v>
      </c>
      <c r="D109" s="187">
        <f t="shared" si="3"/>
        <v>3.677022155199047</v>
      </c>
      <c r="E109" s="187">
        <f t="shared" si="3"/>
        <v>2.9334547547636607</v>
      </c>
      <c r="F109" s="187">
        <f t="shared" si="3"/>
        <v>3.8004284153698911</v>
      </c>
      <c r="G109" s="187">
        <f t="shared" si="3"/>
        <v>26.943288206434516</v>
      </c>
      <c r="H109" s="187">
        <f t="shared" si="3"/>
        <v>6.6598237655149273</v>
      </c>
      <c r="I109" s="187">
        <f t="shared" si="3"/>
        <v>1.1238482944931463</v>
      </c>
      <c r="J109" s="187">
        <f t="shared" si="3"/>
        <v>0.27365099747863669</v>
      </c>
      <c r="K109" s="187">
        <f t="shared" si="3"/>
        <v>91.336431319993721</v>
      </c>
      <c r="L109" s="187">
        <f t="shared" si="3"/>
        <v>4.7954754808798068</v>
      </c>
      <c r="M109" s="187">
        <f t="shared" si="3"/>
        <v>13.269759982344668</v>
      </c>
      <c r="N109" s="187">
        <f t="shared" si="3"/>
        <v>185.42971277974564</v>
      </c>
      <c r="O109" s="187">
        <f t="shared" si="3"/>
        <v>0</v>
      </c>
      <c r="P109" s="187">
        <f t="shared" si="3"/>
        <v>0.11107010390944813</v>
      </c>
      <c r="Q109" s="187">
        <f t="shared" si="3"/>
        <v>3.6981354951314147E-2</v>
      </c>
      <c r="R109" s="192"/>
      <c r="S109" s="192"/>
      <c r="T109" s="192"/>
      <c r="U109" s="192"/>
    </row>
    <row r="110" spans="1:22">
      <c r="A110" s="186" t="s">
        <v>52</v>
      </c>
      <c r="B110" s="188">
        <f t="shared" ref="B110:Q110" si="4">COUNT(B9:B104)</f>
        <v>96</v>
      </c>
      <c r="C110" s="188">
        <f t="shared" si="4"/>
        <v>96</v>
      </c>
      <c r="D110" s="188">
        <f t="shared" si="4"/>
        <v>96</v>
      </c>
      <c r="E110" s="188">
        <f t="shared" si="4"/>
        <v>96</v>
      </c>
      <c r="F110" s="188">
        <f t="shared" si="4"/>
        <v>96</v>
      </c>
      <c r="G110" s="188">
        <f t="shared" si="4"/>
        <v>96</v>
      </c>
      <c r="H110" s="188">
        <f t="shared" si="4"/>
        <v>96</v>
      </c>
      <c r="I110" s="188">
        <f t="shared" si="4"/>
        <v>96</v>
      </c>
      <c r="J110" s="188">
        <f t="shared" si="4"/>
        <v>96</v>
      </c>
      <c r="K110" s="188">
        <f t="shared" si="4"/>
        <v>96</v>
      </c>
      <c r="L110" s="188">
        <f t="shared" si="4"/>
        <v>96</v>
      </c>
      <c r="M110" s="188">
        <f t="shared" si="4"/>
        <v>96</v>
      </c>
      <c r="N110" s="188">
        <f t="shared" si="4"/>
        <v>96</v>
      </c>
      <c r="O110" s="188">
        <f t="shared" si="4"/>
        <v>96</v>
      </c>
      <c r="P110" s="188">
        <f t="shared" si="4"/>
        <v>96</v>
      </c>
      <c r="Q110" s="188">
        <f t="shared" si="4"/>
        <v>96</v>
      </c>
      <c r="R110" s="193"/>
      <c r="S110" s="193"/>
      <c r="T110" s="193"/>
      <c r="U110" s="193"/>
      <c r="V110" s="188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91"/>
      <c r="O113" s="191"/>
      <c r="P113" s="191"/>
      <c r="Q113" s="191"/>
      <c r="R113" s="191"/>
      <c r="S113" s="191"/>
      <c r="T113" s="191"/>
      <c r="U113" s="191"/>
    </row>
    <row r="115" spans="1:21">
      <c r="A115" s="153" t="s">
        <v>55</v>
      </c>
      <c r="B115" s="197" t="s">
        <v>56</v>
      </c>
      <c r="C115" s="197"/>
      <c r="D115" s="197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9" t="s">
        <v>57</v>
      </c>
      <c r="B117" s="198"/>
      <c r="C117" s="198"/>
      <c r="D117" s="198"/>
      <c r="E117" s="198"/>
      <c r="F117" s="198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6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45363.010416666664</v>
      </c>
      <c r="C2" s="196" t="s">
        <v>3</v>
      </c>
      <c r="D2" s="196"/>
      <c r="E2" s="196"/>
      <c r="F2" s="196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2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6" t="s">
        <v>11</v>
      </c>
      <c r="D3" s="196"/>
      <c r="E3" s="196"/>
      <c r="F3" s="196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2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6" t="s">
        <v>18</v>
      </c>
      <c r="D4" s="196"/>
      <c r="E4" s="196"/>
      <c r="F4" s="196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3" t="s">
        <v>43</v>
      </c>
      <c r="M8" s="114" t="s">
        <v>44</v>
      </c>
      <c r="N8" s="114" t="s">
        <v>45</v>
      </c>
      <c r="O8" s="183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2">
        <v>45363.010416666664</v>
      </c>
      <c r="B9" s="6">
        <v>12.65</v>
      </c>
      <c r="C9" s="6">
        <v>21.77</v>
      </c>
      <c r="D9" s="6">
        <v>22.87</v>
      </c>
      <c r="E9" s="6">
        <v>6.74</v>
      </c>
      <c r="F9" s="6">
        <v>4.8899999999999997</v>
      </c>
      <c r="G9" s="6">
        <v>81.19</v>
      </c>
      <c r="H9" s="6">
        <v>35.200000000000003</v>
      </c>
      <c r="I9" s="6">
        <v>7.54</v>
      </c>
      <c r="J9" s="6">
        <v>0</v>
      </c>
      <c r="K9" s="6">
        <v>286.45999999999998</v>
      </c>
      <c r="L9" s="6">
        <v>25.76</v>
      </c>
      <c r="M9" s="6">
        <v>63.56</v>
      </c>
      <c r="N9" s="6">
        <v>0</v>
      </c>
      <c r="O9" s="6">
        <v>0</v>
      </c>
      <c r="P9" s="6">
        <v>0.93</v>
      </c>
      <c r="Q9" s="6">
        <v>4.7</v>
      </c>
    </row>
    <row r="10" spans="1:21" customFormat="1">
      <c r="A10" s="82">
        <v>45363.020833333336</v>
      </c>
      <c r="B10" s="6">
        <v>14.08</v>
      </c>
      <c r="C10" s="6">
        <v>23.86</v>
      </c>
      <c r="D10" s="6">
        <v>25.11</v>
      </c>
      <c r="E10" s="6">
        <v>7</v>
      </c>
      <c r="F10" s="6">
        <v>4.6900000000000004</v>
      </c>
      <c r="G10" s="6">
        <v>81.19</v>
      </c>
      <c r="H10" s="6">
        <v>35.200000000000003</v>
      </c>
      <c r="I10" s="6">
        <v>7.59</v>
      </c>
      <c r="J10" s="6">
        <v>0.13</v>
      </c>
      <c r="K10" s="6">
        <v>212.8</v>
      </c>
      <c r="L10" s="6">
        <v>25.86</v>
      </c>
      <c r="M10" s="6">
        <v>63.94</v>
      </c>
      <c r="N10" s="6">
        <v>0</v>
      </c>
      <c r="O10" s="6">
        <v>0</v>
      </c>
      <c r="P10" s="6">
        <v>0.89</v>
      </c>
      <c r="Q10" s="6">
        <v>4.71</v>
      </c>
    </row>
    <row r="11" spans="1:21" customFormat="1">
      <c r="A11" s="82">
        <v>45363.03125</v>
      </c>
      <c r="B11" s="6">
        <v>16.82</v>
      </c>
      <c r="C11" s="6">
        <v>26.59</v>
      </c>
      <c r="D11" s="6">
        <v>28.73</v>
      </c>
      <c r="E11" s="6">
        <v>7.13</v>
      </c>
      <c r="F11" s="6">
        <v>4.5199999999999996</v>
      </c>
      <c r="G11" s="6">
        <v>81.19</v>
      </c>
      <c r="H11" s="6">
        <v>35.200000000000003</v>
      </c>
      <c r="I11" s="6">
        <v>7.67</v>
      </c>
      <c r="J11" s="6">
        <v>7.0000000000000007E-2</v>
      </c>
      <c r="K11" s="6">
        <v>95.94</v>
      </c>
      <c r="L11" s="6">
        <v>26.17</v>
      </c>
      <c r="M11" s="6">
        <v>61.44</v>
      </c>
      <c r="N11" s="6">
        <v>0</v>
      </c>
      <c r="O11" s="6">
        <v>0</v>
      </c>
      <c r="P11" s="6">
        <v>0.92</v>
      </c>
      <c r="Q11" s="6">
        <v>4.71</v>
      </c>
    </row>
    <row r="12" spans="1:21" customFormat="1">
      <c r="A12" s="82">
        <v>45363.041666666664</v>
      </c>
      <c r="B12" s="6">
        <v>19.190000000000001</v>
      </c>
      <c r="C12" s="6">
        <v>28.36</v>
      </c>
      <c r="D12" s="6">
        <v>31.56</v>
      </c>
      <c r="E12" s="6">
        <v>7.87</v>
      </c>
      <c r="F12" s="6">
        <v>4.41</v>
      </c>
      <c r="G12" s="6">
        <v>82.26</v>
      </c>
      <c r="H12" s="6">
        <v>35.520000000000003</v>
      </c>
      <c r="I12" s="6">
        <v>7.86</v>
      </c>
      <c r="J12" s="6">
        <v>0.22</v>
      </c>
      <c r="K12" s="6">
        <v>188.47</v>
      </c>
      <c r="L12" s="6">
        <v>26.07</v>
      </c>
      <c r="M12" s="6">
        <v>65.239999999999995</v>
      </c>
      <c r="N12" s="6">
        <v>0</v>
      </c>
      <c r="O12" s="6">
        <v>0</v>
      </c>
      <c r="P12" s="6">
        <v>0.94</v>
      </c>
      <c r="Q12" s="6">
        <v>4.72</v>
      </c>
    </row>
    <row r="13" spans="1:21" customFormat="1">
      <c r="A13" s="82">
        <v>45363.052083333336</v>
      </c>
      <c r="B13" s="6">
        <v>20.25</v>
      </c>
      <c r="C13" s="6">
        <v>29.58</v>
      </c>
      <c r="D13" s="6">
        <v>33.04</v>
      </c>
      <c r="E13" s="6">
        <v>7.58</v>
      </c>
      <c r="F13" s="6">
        <v>4.3899999999999997</v>
      </c>
      <c r="G13" s="6">
        <v>97.24</v>
      </c>
      <c r="H13" s="6">
        <v>39.39</v>
      </c>
      <c r="I13" s="6">
        <v>8.07</v>
      </c>
      <c r="J13" s="6">
        <v>0.21</v>
      </c>
      <c r="K13" s="6">
        <v>191.25</v>
      </c>
      <c r="L13" s="6">
        <v>25.45</v>
      </c>
      <c r="M13" s="6">
        <v>68.37</v>
      </c>
      <c r="N13" s="6">
        <v>0</v>
      </c>
      <c r="O13" s="6">
        <v>0</v>
      </c>
      <c r="P13" s="6">
        <v>0.96</v>
      </c>
      <c r="Q13" s="6">
        <v>4.74</v>
      </c>
    </row>
    <row r="14" spans="1:21" customFormat="1">
      <c r="A14" s="82">
        <v>45363.0625</v>
      </c>
      <c r="B14" s="6">
        <v>20.13</v>
      </c>
      <c r="C14" s="6">
        <v>30.33</v>
      </c>
      <c r="D14" s="6">
        <v>33.340000000000003</v>
      </c>
      <c r="E14" s="6">
        <v>7.76</v>
      </c>
      <c r="F14" s="6">
        <v>4.38</v>
      </c>
      <c r="G14" s="6">
        <v>97.24</v>
      </c>
      <c r="H14" s="6">
        <v>39.39</v>
      </c>
      <c r="I14" s="6">
        <v>8.39</v>
      </c>
      <c r="J14" s="6">
        <v>0.24</v>
      </c>
      <c r="K14" s="6">
        <v>165.68</v>
      </c>
      <c r="L14" s="6">
        <v>25.4</v>
      </c>
      <c r="M14" s="6">
        <v>66.5</v>
      </c>
      <c r="N14" s="6">
        <v>0</v>
      </c>
      <c r="O14" s="6">
        <v>0</v>
      </c>
      <c r="P14" s="6">
        <v>0.97</v>
      </c>
      <c r="Q14" s="6">
        <v>4.7699999999999996</v>
      </c>
    </row>
    <row r="15" spans="1:21" customFormat="1">
      <c r="A15" s="82">
        <v>45363.072916666664</v>
      </c>
      <c r="B15" s="6">
        <v>19.57</v>
      </c>
      <c r="C15" s="6">
        <v>31.02</v>
      </c>
      <c r="D15" s="6">
        <v>33.25</v>
      </c>
      <c r="E15" s="6">
        <v>7.69</v>
      </c>
      <c r="F15" s="6">
        <v>4.34</v>
      </c>
      <c r="G15" s="6">
        <v>97.24</v>
      </c>
      <c r="H15" s="6">
        <v>39.39</v>
      </c>
      <c r="I15" s="6">
        <v>8.5399999999999991</v>
      </c>
      <c r="J15" s="6">
        <v>0.22</v>
      </c>
      <c r="K15" s="6">
        <v>181.34</v>
      </c>
      <c r="L15" s="6">
        <v>25.08</v>
      </c>
      <c r="M15" s="6">
        <v>70.2</v>
      </c>
      <c r="N15" s="6">
        <v>0</v>
      </c>
      <c r="O15" s="6">
        <v>0</v>
      </c>
      <c r="P15" s="6">
        <v>0.98</v>
      </c>
      <c r="Q15" s="6">
        <v>4.76</v>
      </c>
    </row>
    <row r="16" spans="1:21" customFormat="1">
      <c r="A16" s="82">
        <v>45363.083333333336</v>
      </c>
      <c r="B16" s="6">
        <v>18.91</v>
      </c>
      <c r="C16" s="6">
        <v>31.27</v>
      </c>
      <c r="D16" s="6">
        <v>32.85</v>
      </c>
      <c r="E16" s="6">
        <v>7.57</v>
      </c>
      <c r="F16" s="6">
        <v>4.2699999999999996</v>
      </c>
      <c r="G16" s="6">
        <v>96.94</v>
      </c>
      <c r="H16" s="6">
        <v>39.39</v>
      </c>
      <c r="I16" s="6">
        <v>8.75</v>
      </c>
      <c r="J16" s="6">
        <v>0.15</v>
      </c>
      <c r="K16" s="6">
        <v>154.41999999999999</v>
      </c>
      <c r="L16" s="6">
        <v>24.78</v>
      </c>
      <c r="M16" s="6">
        <v>69.48</v>
      </c>
      <c r="N16" s="6">
        <v>0</v>
      </c>
      <c r="O16" s="6">
        <v>0</v>
      </c>
      <c r="P16" s="6">
        <v>0.99</v>
      </c>
      <c r="Q16" s="6">
        <v>4.75</v>
      </c>
    </row>
    <row r="17" spans="1:17" customFormat="1">
      <c r="A17" s="82">
        <v>45363.09375</v>
      </c>
      <c r="B17" s="6">
        <v>18.22</v>
      </c>
      <c r="C17" s="6">
        <v>31.61</v>
      </c>
      <c r="D17" s="6">
        <v>32.479999999999997</v>
      </c>
      <c r="E17" s="6">
        <v>10.07</v>
      </c>
      <c r="F17" s="6">
        <v>4.24</v>
      </c>
      <c r="G17" s="6">
        <v>92.74</v>
      </c>
      <c r="H17" s="6">
        <v>39.340000000000003</v>
      </c>
      <c r="I17" s="6">
        <v>9.06</v>
      </c>
      <c r="J17" s="6">
        <v>0.15</v>
      </c>
      <c r="K17" s="6">
        <v>148.16999999999999</v>
      </c>
      <c r="L17" s="6">
        <v>24.99</v>
      </c>
      <c r="M17" s="6">
        <v>67.11</v>
      </c>
      <c r="N17" s="6">
        <v>0</v>
      </c>
      <c r="O17" s="6">
        <v>0</v>
      </c>
      <c r="P17" s="6">
        <v>1</v>
      </c>
      <c r="Q17" s="6">
        <v>4.74</v>
      </c>
    </row>
    <row r="18" spans="1:17" customFormat="1">
      <c r="A18" s="82">
        <v>45363.104166666664</v>
      </c>
      <c r="B18" s="6">
        <v>18.89</v>
      </c>
      <c r="C18" s="6">
        <v>32.119999999999997</v>
      </c>
      <c r="D18" s="6">
        <v>33.28</v>
      </c>
      <c r="E18" s="6">
        <v>12.05</v>
      </c>
      <c r="F18" s="6">
        <v>4.34</v>
      </c>
      <c r="G18" s="6">
        <v>92.74</v>
      </c>
      <c r="H18" s="6">
        <v>39.340000000000003</v>
      </c>
      <c r="I18" s="6">
        <v>9.31</v>
      </c>
      <c r="J18" s="6">
        <v>7.0000000000000007E-2</v>
      </c>
      <c r="K18" s="6">
        <v>193.16</v>
      </c>
      <c r="L18" s="6">
        <v>25.21</v>
      </c>
      <c r="M18" s="6">
        <v>65.61</v>
      </c>
      <c r="N18" s="6">
        <v>0</v>
      </c>
      <c r="O18" s="6">
        <v>0</v>
      </c>
      <c r="P18" s="6">
        <v>1</v>
      </c>
      <c r="Q18" s="6">
        <v>4.75</v>
      </c>
    </row>
    <row r="19" spans="1:17" customFormat="1">
      <c r="A19" s="82">
        <v>45363.114583333336</v>
      </c>
      <c r="B19" s="6">
        <v>20.18</v>
      </c>
      <c r="C19" s="6">
        <v>33.21</v>
      </c>
      <c r="D19" s="6">
        <v>34.89</v>
      </c>
      <c r="E19" s="6">
        <v>12.36</v>
      </c>
      <c r="F19" s="6">
        <v>4.29</v>
      </c>
      <c r="G19" s="6">
        <v>92.74</v>
      </c>
      <c r="H19" s="6">
        <v>39.340000000000003</v>
      </c>
      <c r="I19" s="6">
        <v>9.36</v>
      </c>
      <c r="J19" s="6">
        <v>0.04</v>
      </c>
      <c r="K19" s="6">
        <v>269.69</v>
      </c>
      <c r="L19" s="6">
        <v>25.42</v>
      </c>
      <c r="M19" s="6">
        <v>63.16</v>
      </c>
      <c r="N19" s="6">
        <v>0</v>
      </c>
      <c r="O19" s="6">
        <v>0</v>
      </c>
      <c r="P19" s="6">
        <v>1.01</v>
      </c>
      <c r="Q19" s="6">
        <v>4.78</v>
      </c>
    </row>
    <row r="20" spans="1:17" customFormat="1">
      <c r="A20" s="82">
        <v>45363.125</v>
      </c>
      <c r="B20" s="6">
        <v>21.9</v>
      </c>
      <c r="C20" s="6">
        <v>34.090000000000003</v>
      </c>
      <c r="D20" s="6">
        <v>36.72</v>
      </c>
      <c r="E20" s="6">
        <v>12.71</v>
      </c>
      <c r="F20" s="6">
        <v>4.42</v>
      </c>
      <c r="G20" s="6">
        <v>93.22</v>
      </c>
      <c r="H20" s="6">
        <v>39.51</v>
      </c>
      <c r="I20" s="6">
        <v>9.56</v>
      </c>
      <c r="J20" s="6">
        <v>0.2</v>
      </c>
      <c r="K20" s="6">
        <v>172.83</v>
      </c>
      <c r="L20" s="6">
        <v>25.36</v>
      </c>
      <c r="M20" s="6">
        <v>66.34</v>
      </c>
      <c r="N20" s="6">
        <v>0</v>
      </c>
      <c r="O20" s="6">
        <v>0</v>
      </c>
      <c r="P20" s="6">
        <v>1</v>
      </c>
      <c r="Q20" s="6">
        <v>4.7699999999999996</v>
      </c>
    </row>
    <row r="21" spans="1:17" customFormat="1">
      <c r="A21" s="82">
        <v>45363.135416666664</v>
      </c>
      <c r="B21" s="6">
        <v>22.16</v>
      </c>
      <c r="C21" s="6">
        <v>34.25</v>
      </c>
      <c r="D21" s="6">
        <v>37.020000000000003</v>
      </c>
      <c r="E21" s="6">
        <v>12.49</v>
      </c>
      <c r="F21" s="6">
        <v>4.33</v>
      </c>
      <c r="G21" s="6">
        <v>99.91</v>
      </c>
      <c r="H21" s="6">
        <v>41.6</v>
      </c>
      <c r="I21" s="6">
        <v>9.64</v>
      </c>
      <c r="J21" s="6">
        <v>0.24</v>
      </c>
      <c r="K21" s="6">
        <v>179.77</v>
      </c>
      <c r="L21" s="6">
        <v>24.7</v>
      </c>
      <c r="M21" s="6">
        <v>70.790000000000006</v>
      </c>
      <c r="N21" s="6">
        <v>0</v>
      </c>
      <c r="O21" s="6">
        <v>0</v>
      </c>
      <c r="P21" s="6">
        <v>1</v>
      </c>
      <c r="Q21" s="6">
        <v>4.7699999999999996</v>
      </c>
    </row>
    <row r="22" spans="1:17" customFormat="1">
      <c r="A22" s="82">
        <v>45363.145833333336</v>
      </c>
      <c r="B22" s="6">
        <v>21.52</v>
      </c>
      <c r="C22" s="6">
        <v>34.04</v>
      </c>
      <c r="D22" s="6">
        <v>36.4</v>
      </c>
      <c r="E22" s="6">
        <v>12.46</v>
      </c>
      <c r="F22" s="6">
        <v>4.3</v>
      </c>
      <c r="G22" s="6">
        <v>99.91</v>
      </c>
      <c r="H22" s="6">
        <v>41.6</v>
      </c>
      <c r="I22" s="6">
        <v>9.73</v>
      </c>
      <c r="J22" s="6">
        <v>0.2</v>
      </c>
      <c r="K22" s="6">
        <v>158.81</v>
      </c>
      <c r="L22" s="6">
        <v>24.57</v>
      </c>
      <c r="M22" s="6">
        <v>71.209999999999994</v>
      </c>
      <c r="N22" s="6">
        <v>0</v>
      </c>
      <c r="O22" s="6">
        <v>0</v>
      </c>
      <c r="P22" s="6">
        <v>1</v>
      </c>
      <c r="Q22" s="6">
        <v>4.78</v>
      </c>
    </row>
    <row r="23" spans="1:17" customFormat="1">
      <c r="A23" s="82">
        <v>45363.15625</v>
      </c>
      <c r="B23" s="6">
        <v>21.51</v>
      </c>
      <c r="C23" s="6">
        <v>33.840000000000003</v>
      </c>
      <c r="D23" s="6">
        <v>36.28</v>
      </c>
      <c r="E23" s="6">
        <v>12.42</v>
      </c>
      <c r="F23" s="6">
        <v>4.28</v>
      </c>
      <c r="G23" s="6">
        <v>99.91</v>
      </c>
      <c r="H23" s="6">
        <v>41.6</v>
      </c>
      <c r="I23" s="6">
        <v>9.76</v>
      </c>
      <c r="J23" s="6">
        <v>0.1</v>
      </c>
      <c r="K23" s="6">
        <v>112.87</v>
      </c>
      <c r="L23" s="6">
        <v>24.91</v>
      </c>
      <c r="M23" s="6">
        <v>63.3</v>
      </c>
      <c r="N23" s="6">
        <v>0</v>
      </c>
      <c r="O23" s="6">
        <v>0</v>
      </c>
      <c r="P23" s="6">
        <v>0.99</v>
      </c>
      <c r="Q23" s="6">
        <v>4.78</v>
      </c>
    </row>
    <row r="24" spans="1:17" customFormat="1">
      <c r="A24" s="82">
        <v>45363.166666666664</v>
      </c>
      <c r="B24" s="6">
        <v>21.97</v>
      </c>
      <c r="C24" s="6">
        <v>34.33</v>
      </c>
      <c r="D24" s="6">
        <v>36.9</v>
      </c>
      <c r="E24" s="6">
        <v>12.74</v>
      </c>
      <c r="F24" s="6">
        <v>4.2699999999999996</v>
      </c>
      <c r="G24" s="6">
        <v>99.77</v>
      </c>
      <c r="H24" s="6">
        <v>41.54</v>
      </c>
      <c r="I24" s="6">
        <v>9.82</v>
      </c>
      <c r="J24" s="6">
        <v>0.16</v>
      </c>
      <c r="K24" s="6">
        <v>194.69</v>
      </c>
      <c r="L24" s="6">
        <v>24.94</v>
      </c>
      <c r="M24" s="6">
        <v>63.82</v>
      </c>
      <c r="N24" s="6">
        <v>0</v>
      </c>
      <c r="O24" s="6">
        <v>0</v>
      </c>
      <c r="P24" s="6">
        <v>0.99</v>
      </c>
      <c r="Q24" s="6">
        <v>4.7699999999999996</v>
      </c>
    </row>
    <row r="25" spans="1:17" customFormat="1">
      <c r="A25" s="82">
        <v>45363.177083333336</v>
      </c>
      <c r="B25" s="6">
        <v>21.82</v>
      </c>
      <c r="C25" s="6">
        <v>34.39</v>
      </c>
      <c r="D25" s="6">
        <v>36.82</v>
      </c>
      <c r="E25" s="6">
        <v>12.59</v>
      </c>
      <c r="F25" s="6">
        <v>4.38</v>
      </c>
      <c r="G25" s="6">
        <v>97.74</v>
      </c>
      <c r="H25" s="6">
        <v>40.76</v>
      </c>
      <c r="I25" s="6">
        <v>9.8800000000000008</v>
      </c>
      <c r="J25" s="6">
        <v>0.13</v>
      </c>
      <c r="K25" s="6">
        <v>189.25</v>
      </c>
      <c r="L25" s="6">
        <v>24.44</v>
      </c>
      <c r="M25" s="6">
        <v>67.5</v>
      </c>
      <c r="N25" s="6">
        <v>0</v>
      </c>
      <c r="O25" s="6">
        <v>0</v>
      </c>
      <c r="P25" s="6">
        <v>0.98</v>
      </c>
      <c r="Q25" s="6">
        <v>4.78</v>
      </c>
    </row>
    <row r="26" spans="1:17" customFormat="1">
      <c r="A26" s="82">
        <v>45363.1875</v>
      </c>
      <c r="B26" s="6">
        <v>21.38</v>
      </c>
      <c r="C26" s="6">
        <v>34.35</v>
      </c>
      <c r="D26" s="6">
        <v>36.450000000000003</v>
      </c>
      <c r="E26" s="6">
        <v>12.18</v>
      </c>
      <c r="F26" s="6">
        <v>4.3600000000000003</v>
      </c>
      <c r="G26" s="6">
        <v>97.74</v>
      </c>
      <c r="H26" s="6">
        <v>40.76</v>
      </c>
      <c r="I26" s="6">
        <v>9.77</v>
      </c>
      <c r="J26" s="6">
        <v>0.14000000000000001</v>
      </c>
      <c r="K26" s="6">
        <v>123.77</v>
      </c>
      <c r="L26" s="6">
        <v>24.64</v>
      </c>
      <c r="M26" s="6">
        <v>62.33</v>
      </c>
      <c r="N26" s="6">
        <v>0</v>
      </c>
      <c r="O26" s="6">
        <v>0</v>
      </c>
      <c r="P26" s="6">
        <v>0.96</v>
      </c>
      <c r="Q26" s="6">
        <v>4.7699999999999996</v>
      </c>
    </row>
    <row r="27" spans="1:17" customFormat="1">
      <c r="A27" s="82">
        <v>45363.197916666664</v>
      </c>
      <c r="B27" s="6">
        <v>21.07</v>
      </c>
      <c r="C27" s="6">
        <v>34.26</v>
      </c>
      <c r="D27" s="6">
        <v>36.15</v>
      </c>
      <c r="E27" s="6">
        <v>12.06</v>
      </c>
      <c r="F27" s="6">
        <v>4.4400000000000004</v>
      </c>
      <c r="G27" s="6">
        <v>97.74</v>
      </c>
      <c r="H27" s="6">
        <v>40.76</v>
      </c>
      <c r="I27" s="6">
        <v>9.83</v>
      </c>
      <c r="J27" s="6">
        <v>0.22</v>
      </c>
      <c r="K27" s="6">
        <v>178.5</v>
      </c>
      <c r="L27" s="6">
        <v>24.8</v>
      </c>
      <c r="M27" s="6">
        <v>62.57</v>
      </c>
      <c r="N27" s="6">
        <v>0</v>
      </c>
      <c r="O27" s="6">
        <v>0</v>
      </c>
      <c r="P27" s="6">
        <v>0.96</v>
      </c>
      <c r="Q27" s="6">
        <v>4.7699999999999996</v>
      </c>
    </row>
    <row r="28" spans="1:17" customFormat="1">
      <c r="A28" s="82">
        <v>45363.208333333336</v>
      </c>
      <c r="B28" s="6">
        <v>20.58</v>
      </c>
      <c r="C28" s="6">
        <v>34.119999999999997</v>
      </c>
      <c r="D28" s="6">
        <v>35.69</v>
      </c>
      <c r="E28" s="6">
        <v>12.69</v>
      </c>
      <c r="F28" s="6">
        <v>4.43</v>
      </c>
      <c r="G28" s="6">
        <v>97.34</v>
      </c>
      <c r="H28" s="6">
        <v>40.93</v>
      </c>
      <c r="I28" s="6">
        <v>9.6999999999999993</v>
      </c>
      <c r="J28" s="6">
        <v>0.24</v>
      </c>
      <c r="K28" s="6">
        <v>207.84</v>
      </c>
      <c r="L28" s="6">
        <v>23.68</v>
      </c>
      <c r="M28" s="6">
        <v>66.709999999999994</v>
      </c>
      <c r="N28" s="6">
        <v>0</v>
      </c>
      <c r="O28" s="6">
        <v>0</v>
      </c>
      <c r="P28" s="6">
        <v>0.97</v>
      </c>
      <c r="Q28" s="6">
        <v>4.76</v>
      </c>
    </row>
    <row r="29" spans="1:17" customFormat="1">
      <c r="A29" s="82">
        <v>45363.21875</v>
      </c>
      <c r="B29" s="6">
        <v>20.49</v>
      </c>
      <c r="C29" s="6">
        <v>32.909999999999997</v>
      </c>
      <c r="D29" s="6">
        <v>34.979999999999997</v>
      </c>
      <c r="E29" s="6">
        <v>11.68</v>
      </c>
      <c r="F29" s="6">
        <v>4.5599999999999996</v>
      </c>
      <c r="G29" s="6">
        <v>91.75</v>
      </c>
      <c r="H29" s="6">
        <v>43.04</v>
      </c>
      <c r="I29" s="6">
        <v>9.68</v>
      </c>
      <c r="J29" s="6">
        <v>0.13</v>
      </c>
      <c r="K29" s="6">
        <v>171.97</v>
      </c>
      <c r="L29" s="6">
        <v>23.16</v>
      </c>
      <c r="M29" s="6">
        <v>70.48</v>
      </c>
      <c r="N29" s="6">
        <v>0</v>
      </c>
      <c r="O29" s="6">
        <v>0</v>
      </c>
      <c r="P29" s="6">
        <v>1</v>
      </c>
      <c r="Q29" s="6">
        <v>4.76</v>
      </c>
    </row>
    <row r="30" spans="1:17" customFormat="1">
      <c r="A30" s="82">
        <v>45363.229166666664</v>
      </c>
      <c r="B30" s="6">
        <v>20.6</v>
      </c>
      <c r="C30" s="6">
        <v>29.64</v>
      </c>
      <c r="D30" s="6">
        <v>33.36</v>
      </c>
      <c r="E30" s="6">
        <v>10.75</v>
      </c>
      <c r="F30" s="6">
        <v>4.99</v>
      </c>
      <c r="G30" s="6">
        <v>91.75</v>
      </c>
      <c r="H30" s="6">
        <v>43.04</v>
      </c>
      <c r="I30" s="6">
        <v>9.59</v>
      </c>
      <c r="J30" s="6">
        <v>0.2</v>
      </c>
      <c r="K30" s="6">
        <v>150.94</v>
      </c>
      <c r="L30" s="6">
        <v>23.35</v>
      </c>
      <c r="M30" s="6">
        <v>66.55</v>
      </c>
      <c r="N30" s="6">
        <v>0</v>
      </c>
      <c r="O30" s="6">
        <v>0</v>
      </c>
      <c r="P30" s="6">
        <v>0.99</v>
      </c>
      <c r="Q30" s="6">
        <v>4.7699999999999996</v>
      </c>
    </row>
    <row r="31" spans="1:17" customFormat="1">
      <c r="A31" s="82">
        <v>45363.239583333336</v>
      </c>
      <c r="B31" s="6">
        <v>20.71</v>
      </c>
      <c r="C31" s="6">
        <v>27.1</v>
      </c>
      <c r="D31" s="6">
        <v>32.119999999999997</v>
      </c>
      <c r="E31" s="6">
        <v>10.07</v>
      </c>
      <c r="F31" s="6">
        <v>5.17</v>
      </c>
      <c r="G31" s="6">
        <v>91.75</v>
      </c>
      <c r="H31" s="6">
        <v>43.04</v>
      </c>
      <c r="I31" s="6">
        <v>9.61</v>
      </c>
      <c r="J31" s="6">
        <v>0.17</v>
      </c>
      <c r="K31" s="6">
        <v>194.09</v>
      </c>
      <c r="L31" s="6">
        <v>22.99</v>
      </c>
      <c r="M31" s="6">
        <v>71.739999999999995</v>
      </c>
      <c r="N31" s="6">
        <v>0</v>
      </c>
      <c r="O31" s="6">
        <v>0</v>
      </c>
      <c r="P31" s="6">
        <v>0.99</v>
      </c>
      <c r="Q31" s="6">
        <v>4.74</v>
      </c>
    </row>
    <row r="32" spans="1:17" customFormat="1">
      <c r="A32" s="82">
        <v>45363.25</v>
      </c>
      <c r="B32" s="6">
        <v>20.55</v>
      </c>
      <c r="C32" s="6">
        <v>25.06</v>
      </c>
      <c r="D32" s="6">
        <v>30.93</v>
      </c>
      <c r="E32" s="6">
        <v>9</v>
      </c>
      <c r="F32" s="6">
        <v>5.08</v>
      </c>
      <c r="G32" s="6">
        <v>90.91</v>
      </c>
      <c r="H32" s="6">
        <v>42.82</v>
      </c>
      <c r="I32" s="6">
        <v>9.6199999999999992</v>
      </c>
      <c r="J32" s="6">
        <v>0.16</v>
      </c>
      <c r="K32" s="6">
        <v>167.85</v>
      </c>
      <c r="L32" s="6">
        <v>22.83</v>
      </c>
      <c r="M32" s="6">
        <v>71.37</v>
      </c>
      <c r="N32" s="6">
        <v>0</v>
      </c>
      <c r="O32" s="6">
        <v>0</v>
      </c>
      <c r="P32" s="6">
        <v>0.97</v>
      </c>
      <c r="Q32" s="6">
        <v>4.7699999999999996</v>
      </c>
    </row>
    <row r="33" spans="1:17" customFormat="1">
      <c r="A33" s="82">
        <v>45363.260416666664</v>
      </c>
      <c r="B33" s="6">
        <v>20.329999999999998</v>
      </c>
      <c r="C33" s="6">
        <v>23.87</v>
      </c>
      <c r="D33" s="6">
        <v>30.13</v>
      </c>
      <c r="E33" s="6">
        <v>8.9499999999999993</v>
      </c>
      <c r="F33" s="6">
        <v>4.92</v>
      </c>
      <c r="G33" s="6">
        <v>79.19</v>
      </c>
      <c r="H33" s="6">
        <v>40.090000000000003</v>
      </c>
      <c r="I33" s="6">
        <v>9.58</v>
      </c>
      <c r="J33" s="6">
        <v>0.22</v>
      </c>
      <c r="K33" s="6">
        <v>177.47</v>
      </c>
      <c r="L33" s="6">
        <v>22.86</v>
      </c>
      <c r="M33" s="6">
        <v>70.73</v>
      </c>
      <c r="N33" s="6">
        <v>0</v>
      </c>
      <c r="O33" s="6">
        <v>0</v>
      </c>
      <c r="P33" s="6">
        <v>0.97</v>
      </c>
      <c r="Q33" s="6">
        <v>4.75</v>
      </c>
    </row>
    <row r="34" spans="1:17" customFormat="1">
      <c r="A34" s="82">
        <v>45363.270833333336</v>
      </c>
      <c r="B34" s="6">
        <v>20.079999999999998</v>
      </c>
      <c r="C34" s="6">
        <v>22.89</v>
      </c>
      <c r="D34" s="6">
        <v>29.41</v>
      </c>
      <c r="E34" s="6">
        <v>9.51</v>
      </c>
      <c r="F34" s="6">
        <v>4.93</v>
      </c>
      <c r="G34" s="6">
        <v>79.19</v>
      </c>
      <c r="H34" s="6">
        <v>40.090000000000003</v>
      </c>
      <c r="I34" s="6">
        <v>9.56</v>
      </c>
      <c r="J34" s="6">
        <v>0.18</v>
      </c>
      <c r="K34" s="6">
        <v>183.4</v>
      </c>
      <c r="L34" s="6">
        <v>22.61</v>
      </c>
      <c r="M34" s="6">
        <v>73.849999999999994</v>
      </c>
      <c r="N34" s="6">
        <v>3.8</v>
      </c>
      <c r="O34" s="6">
        <v>0</v>
      </c>
      <c r="P34" s="6">
        <v>0.95</v>
      </c>
      <c r="Q34" s="6">
        <v>4.76</v>
      </c>
    </row>
    <row r="35" spans="1:17" customFormat="1">
      <c r="A35" s="82">
        <v>45363.28125</v>
      </c>
      <c r="B35" s="6">
        <v>19.54</v>
      </c>
      <c r="C35" s="6">
        <v>22.01</v>
      </c>
      <c r="D35" s="6">
        <v>28.52</v>
      </c>
      <c r="E35" s="6">
        <v>8.94</v>
      </c>
      <c r="F35" s="6">
        <v>4.78</v>
      </c>
      <c r="G35" s="6">
        <v>79.19</v>
      </c>
      <c r="H35" s="6">
        <v>40.090000000000003</v>
      </c>
      <c r="I35" s="6">
        <v>9.61</v>
      </c>
      <c r="J35" s="6">
        <v>0.13</v>
      </c>
      <c r="K35" s="6">
        <v>186.13</v>
      </c>
      <c r="L35" s="6">
        <v>22.81</v>
      </c>
      <c r="M35" s="6">
        <v>72.97</v>
      </c>
      <c r="N35" s="6">
        <v>13.1</v>
      </c>
      <c r="O35" s="6">
        <v>0</v>
      </c>
      <c r="P35" s="6">
        <v>0.95</v>
      </c>
      <c r="Q35" s="6">
        <v>4.76</v>
      </c>
    </row>
    <row r="36" spans="1:17" customFormat="1">
      <c r="A36" s="82">
        <v>45363.291666666664</v>
      </c>
      <c r="B36" s="6">
        <v>18.77</v>
      </c>
      <c r="C36" s="6">
        <v>21.7</v>
      </c>
      <c r="D36" s="6">
        <v>27.73</v>
      </c>
      <c r="E36" s="6">
        <v>9.32</v>
      </c>
      <c r="F36" s="6">
        <v>4.68</v>
      </c>
      <c r="G36" s="6">
        <v>79.83</v>
      </c>
      <c r="H36" s="6">
        <v>40.43</v>
      </c>
      <c r="I36" s="6">
        <v>9.7100000000000009</v>
      </c>
      <c r="J36" s="6">
        <v>0.19</v>
      </c>
      <c r="K36" s="6">
        <v>172.83</v>
      </c>
      <c r="L36" s="6">
        <v>23.42</v>
      </c>
      <c r="M36" s="6">
        <v>73.150000000000006</v>
      </c>
      <c r="N36" s="6">
        <v>23.4</v>
      </c>
      <c r="O36" s="6">
        <v>0</v>
      </c>
      <c r="P36" s="6">
        <v>0.93</v>
      </c>
      <c r="Q36" s="6">
        <v>4.76</v>
      </c>
    </row>
    <row r="37" spans="1:17" customFormat="1">
      <c r="A37" s="82">
        <v>45363.302083333336</v>
      </c>
      <c r="B37" s="6">
        <v>17.5</v>
      </c>
      <c r="C37" s="6">
        <v>22.46</v>
      </c>
      <c r="D37" s="6">
        <v>27.12</v>
      </c>
      <c r="E37" s="6">
        <v>9.3699999999999992</v>
      </c>
      <c r="F37" s="6">
        <v>4.74</v>
      </c>
      <c r="G37" s="6">
        <v>88.69</v>
      </c>
      <c r="H37" s="6">
        <v>44.58</v>
      </c>
      <c r="I37" s="6">
        <v>9.7799999999999994</v>
      </c>
      <c r="J37" s="6">
        <v>0.27</v>
      </c>
      <c r="K37" s="6">
        <v>173.73</v>
      </c>
      <c r="L37" s="6">
        <v>24.48</v>
      </c>
      <c r="M37" s="6">
        <v>69.8</v>
      </c>
      <c r="N37" s="6">
        <v>33.700000000000003</v>
      </c>
      <c r="O37" s="6">
        <v>0</v>
      </c>
      <c r="P37" s="6">
        <v>0.92</v>
      </c>
      <c r="Q37" s="6">
        <v>4.76</v>
      </c>
    </row>
    <row r="38" spans="1:17" customFormat="1">
      <c r="A38" s="82">
        <v>45363.3125</v>
      </c>
      <c r="B38" s="6">
        <v>16.2</v>
      </c>
      <c r="C38" s="6">
        <v>23.52</v>
      </c>
      <c r="D38" s="6">
        <v>26.63</v>
      </c>
      <c r="E38" s="6">
        <v>9.89</v>
      </c>
      <c r="F38" s="6">
        <v>4.66</v>
      </c>
      <c r="G38" s="6">
        <v>88.69</v>
      </c>
      <c r="H38" s="6">
        <v>44.58</v>
      </c>
      <c r="I38" s="6">
        <v>9.8699999999999992</v>
      </c>
      <c r="J38" s="6">
        <v>0.17</v>
      </c>
      <c r="K38" s="6">
        <v>170.82</v>
      </c>
      <c r="L38" s="6">
        <v>25.45</v>
      </c>
      <c r="M38" s="6">
        <v>65.25</v>
      </c>
      <c r="N38" s="6">
        <v>44.5</v>
      </c>
      <c r="O38" s="6">
        <v>0</v>
      </c>
      <c r="P38" s="6">
        <v>0.93</v>
      </c>
      <c r="Q38" s="6">
        <v>4.76</v>
      </c>
    </row>
    <row r="39" spans="1:17" customFormat="1">
      <c r="A39" s="82">
        <v>45363.322916666664</v>
      </c>
      <c r="B39" s="6">
        <v>14.96</v>
      </c>
      <c r="C39" s="6">
        <v>24.85</v>
      </c>
      <c r="D39" s="6">
        <v>26.33</v>
      </c>
      <c r="E39" s="6">
        <v>9.98</v>
      </c>
      <c r="F39" s="6">
        <v>4.62</v>
      </c>
      <c r="G39" s="6">
        <v>88.69</v>
      </c>
      <c r="H39" s="6">
        <v>44.58</v>
      </c>
      <c r="I39" s="6">
        <v>10.130000000000001</v>
      </c>
      <c r="J39" s="6">
        <v>0.15</v>
      </c>
      <c r="K39" s="6">
        <v>46.21</v>
      </c>
      <c r="L39" s="6">
        <v>26.88</v>
      </c>
      <c r="M39" s="6">
        <v>55.84</v>
      </c>
      <c r="N39" s="6">
        <v>72.099999999999994</v>
      </c>
      <c r="O39" s="6">
        <v>0</v>
      </c>
      <c r="P39" s="6">
        <v>0.93</v>
      </c>
      <c r="Q39" s="6">
        <v>4.78</v>
      </c>
    </row>
    <row r="40" spans="1:17" customFormat="1">
      <c r="A40" s="82">
        <v>45363.333333333336</v>
      </c>
      <c r="B40" s="6">
        <v>14.3</v>
      </c>
      <c r="C40" s="6">
        <v>26.74</v>
      </c>
      <c r="D40" s="6">
        <v>26.79</v>
      </c>
      <c r="E40" s="6">
        <v>10.050000000000001</v>
      </c>
      <c r="F40" s="6">
        <v>4.6900000000000004</v>
      </c>
      <c r="G40" s="6">
        <v>87.71</v>
      </c>
      <c r="H40" s="6">
        <v>44.43</v>
      </c>
      <c r="I40" s="6">
        <v>10.32</v>
      </c>
      <c r="J40" s="6">
        <v>0.68</v>
      </c>
      <c r="K40" s="6">
        <v>59.25</v>
      </c>
      <c r="L40" s="6">
        <v>28.09</v>
      </c>
      <c r="M40" s="6">
        <v>50.73</v>
      </c>
      <c r="N40" s="6">
        <v>119.5</v>
      </c>
      <c r="O40" s="6">
        <v>0</v>
      </c>
      <c r="P40" s="6">
        <v>0.94</v>
      </c>
      <c r="Q40" s="6">
        <v>4.82</v>
      </c>
    </row>
    <row r="41" spans="1:17" customFormat="1">
      <c r="A41" s="82">
        <v>45363.34375</v>
      </c>
      <c r="B41" s="6">
        <v>13.43</v>
      </c>
      <c r="C41" s="6">
        <v>28.37</v>
      </c>
      <c r="D41" s="6">
        <v>26.94</v>
      </c>
      <c r="E41" s="6">
        <v>10.48</v>
      </c>
      <c r="F41" s="6">
        <v>5.14</v>
      </c>
      <c r="G41" s="6">
        <v>74.010000000000005</v>
      </c>
      <c r="H41" s="6">
        <v>42.58</v>
      </c>
      <c r="I41" s="6">
        <v>10.46</v>
      </c>
      <c r="J41" s="6">
        <v>1.32</v>
      </c>
      <c r="K41" s="6">
        <v>65.47</v>
      </c>
      <c r="L41" s="6">
        <v>28.61</v>
      </c>
      <c r="M41" s="6">
        <v>48.27</v>
      </c>
      <c r="N41" s="6">
        <v>128.30000000000001</v>
      </c>
      <c r="O41" s="6">
        <v>0</v>
      </c>
      <c r="P41" s="6">
        <v>0.94</v>
      </c>
      <c r="Q41" s="6">
        <v>4.8099999999999996</v>
      </c>
    </row>
    <row r="42" spans="1:17" customFormat="1">
      <c r="A42" s="82">
        <v>45363.354166666664</v>
      </c>
      <c r="B42" s="6">
        <v>12.47</v>
      </c>
      <c r="C42" s="6">
        <v>29.95</v>
      </c>
      <c r="D42" s="6">
        <v>27</v>
      </c>
      <c r="E42" s="6">
        <v>13.12</v>
      </c>
      <c r="F42" s="6">
        <v>5.12</v>
      </c>
      <c r="G42" s="6">
        <v>74.010000000000005</v>
      </c>
      <c r="H42" s="6">
        <v>42.58</v>
      </c>
      <c r="I42" s="6">
        <v>10.56</v>
      </c>
      <c r="J42" s="6">
        <v>1.01</v>
      </c>
      <c r="K42" s="6">
        <v>70.38</v>
      </c>
      <c r="L42" s="6">
        <v>29.02</v>
      </c>
      <c r="M42" s="6">
        <v>44.25</v>
      </c>
      <c r="N42" s="6">
        <v>210.8</v>
      </c>
      <c r="O42" s="6">
        <v>0</v>
      </c>
      <c r="P42" s="6">
        <v>0.98</v>
      </c>
      <c r="Q42" s="6">
        <v>4.8099999999999996</v>
      </c>
    </row>
    <row r="43" spans="1:17" customFormat="1">
      <c r="A43" s="82">
        <v>45363.364583333336</v>
      </c>
      <c r="B43" s="6">
        <v>11.78</v>
      </c>
      <c r="C43" s="6">
        <v>31.35</v>
      </c>
      <c r="D43" s="6">
        <v>27.18</v>
      </c>
      <c r="E43" s="6">
        <v>13.43</v>
      </c>
      <c r="F43" s="6">
        <v>5.24</v>
      </c>
      <c r="G43" s="6">
        <v>74.010000000000005</v>
      </c>
      <c r="H43" s="6">
        <v>42.58</v>
      </c>
      <c r="I43" s="6">
        <v>10.6</v>
      </c>
      <c r="J43" s="6">
        <v>0.72</v>
      </c>
      <c r="K43" s="6">
        <v>63.27</v>
      </c>
      <c r="L43" s="6">
        <v>29.86</v>
      </c>
      <c r="M43" s="6">
        <v>40.22</v>
      </c>
      <c r="N43" s="6">
        <v>260.7</v>
      </c>
      <c r="O43" s="6">
        <v>0</v>
      </c>
      <c r="P43" s="6">
        <v>1</v>
      </c>
      <c r="Q43" s="6">
        <v>4.83</v>
      </c>
    </row>
    <row r="44" spans="1:17" customFormat="1">
      <c r="A44" s="82">
        <v>45363.375</v>
      </c>
      <c r="B44" s="6">
        <v>10.99</v>
      </c>
      <c r="C44" s="6">
        <v>32.28</v>
      </c>
      <c r="D44" s="6">
        <v>27.03</v>
      </c>
      <c r="E44" s="6">
        <v>13.36</v>
      </c>
      <c r="F44" s="6">
        <v>5.51</v>
      </c>
      <c r="G44" s="6">
        <v>76.290000000000006</v>
      </c>
      <c r="H44" s="6">
        <v>42.68</v>
      </c>
      <c r="I44" s="6">
        <v>10.88</v>
      </c>
      <c r="J44" s="6">
        <v>1.27</v>
      </c>
      <c r="K44" s="6">
        <v>52.09</v>
      </c>
      <c r="L44" s="6">
        <v>30.23</v>
      </c>
      <c r="M44" s="6">
        <v>36.450000000000003</v>
      </c>
      <c r="N44" s="6">
        <v>304.89999999999998</v>
      </c>
      <c r="O44" s="6">
        <v>0</v>
      </c>
      <c r="P44" s="6">
        <v>1</v>
      </c>
      <c r="Q44" s="6">
        <v>4.82</v>
      </c>
    </row>
    <row r="45" spans="1:17" customFormat="1">
      <c r="A45" s="82">
        <v>45363.385416666664</v>
      </c>
      <c r="B45" s="6">
        <v>9.94</v>
      </c>
      <c r="C45" s="6">
        <v>32.56</v>
      </c>
      <c r="D45" s="6">
        <v>26.33</v>
      </c>
      <c r="E45" s="6">
        <v>13.41</v>
      </c>
      <c r="F45" s="6">
        <v>6.36</v>
      </c>
      <c r="G45" s="6">
        <v>108.12</v>
      </c>
      <c r="H45" s="6">
        <v>43.97</v>
      </c>
      <c r="I45" s="6">
        <v>10.86</v>
      </c>
      <c r="J45" s="6">
        <v>0.64</v>
      </c>
      <c r="K45" s="6">
        <v>315.49</v>
      </c>
      <c r="L45" s="6">
        <v>30.53</v>
      </c>
      <c r="M45" s="6">
        <v>40.64</v>
      </c>
      <c r="N45" s="6">
        <v>327.7</v>
      </c>
      <c r="O45" s="6">
        <v>0</v>
      </c>
      <c r="P45" s="6">
        <v>0.99</v>
      </c>
      <c r="Q45" s="6">
        <v>4.83</v>
      </c>
    </row>
    <row r="46" spans="1:17" customFormat="1">
      <c r="A46" s="82">
        <v>45363.395833333336</v>
      </c>
      <c r="B46" s="6">
        <v>8.6</v>
      </c>
      <c r="C46" s="6">
        <v>32.74</v>
      </c>
      <c r="D46" s="6">
        <v>25.35</v>
      </c>
      <c r="E46" s="6">
        <v>13.06</v>
      </c>
      <c r="F46" s="6">
        <v>6.29</v>
      </c>
      <c r="G46" s="6">
        <v>108.12</v>
      </c>
      <c r="H46" s="6">
        <v>43.97</v>
      </c>
      <c r="I46" s="6">
        <v>10.67</v>
      </c>
      <c r="J46" s="6">
        <v>0.61</v>
      </c>
      <c r="K46" s="6">
        <v>285.92</v>
      </c>
      <c r="L46" s="6">
        <v>31.24</v>
      </c>
      <c r="M46" s="6">
        <v>43.22</v>
      </c>
      <c r="N46" s="6">
        <v>372.3</v>
      </c>
      <c r="O46" s="6">
        <v>0</v>
      </c>
      <c r="P46" s="6">
        <v>0.98</v>
      </c>
      <c r="Q46" s="6">
        <v>4.84</v>
      </c>
    </row>
    <row r="47" spans="1:17" customFormat="1">
      <c r="A47" s="82">
        <v>45363.40625</v>
      </c>
      <c r="B47" s="6">
        <v>7.01</v>
      </c>
      <c r="C47" s="6">
        <v>31.92</v>
      </c>
      <c r="D47" s="6">
        <v>23.65</v>
      </c>
      <c r="E47" s="6">
        <v>12.35</v>
      </c>
      <c r="F47" s="6">
        <v>6.36</v>
      </c>
      <c r="G47" s="6">
        <v>108.12</v>
      </c>
      <c r="H47" s="6">
        <v>43.97</v>
      </c>
      <c r="I47" s="6">
        <v>10.49</v>
      </c>
      <c r="J47" s="6">
        <v>0.79</v>
      </c>
      <c r="K47" s="6">
        <v>261.02</v>
      </c>
      <c r="L47" s="6">
        <v>31.62</v>
      </c>
      <c r="M47" s="6">
        <v>44.15</v>
      </c>
      <c r="N47" s="6">
        <v>388.8</v>
      </c>
      <c r="O47" s="6">
        <v>0</v>
      </c>
      <c r="P47" s="6">
        <v>0.95</v>
      </c>
      <c r="Q47" s="6">
        <v>4.82</v>
      </c>
    </row>
    <row r="48" spans="1:17" customFormat="1">
      <c r="A48" s="82">
        <v>45363.416666666664</v>
      </c>
      <c r="B48" s="6">
        <v>5.53</v>
      </c>
      <c r="C48" s="6">
        <v>30.94</v>
      </c>
      <c r="D48" s="6">
        <v>21.95</v>
      </c>
      <c r="E48" s="6">
        <v>12.71</v>
      </c>
      <c r="F48" s="6">
        <v>6.8</v>
      </c>
      <c r="G48" s="6">
        <v>107.3</v>
      </c>
      <c r="H48" s="6">
        <v>43.88</v>
      </c>
      <c r="I48" s="6">
        <v>10.37</v>
      </c>
      <c r="J48" s="6">
        <v>0.73</v>
      </c>
      <c r="K48" s="6">
        <v>268.39</v>
      </c>
      <c r="L48" s="6">
        <v>32.11</v>
      </c>
      <c r="M48" s="6">
        <v>43.27</v>
      </c>
      <c r="N48" s="6">
        <v>314.10000000000002</v>
      </c>
      <c r="O48" s="6">
        <v>0</v>
      </c>
      <c r="P48" s="6">
        <v>0.91</v>
      </c>
      <c r="Q48" s="6">
        <v>4.78</v>
      </c>
    </row>
    <row r="49" spans="1:17" customFormat="1">
      <c r="A49" s="82">
        <v>45363.427083333336</v>
      </c>
      <c r="B49" s="6">
        <v>4.38</v>
      </c>
      <c r="C49" s="6">
        <v>30.08</v>
      </c>
      <c r="D49" s="6">
        <v>20.58</v>
      </c>
      <c r="E49" s="6">
        <v>10.08</v>
      </c>
      <c r="F49" s="6">
        <v>7.28</v>
      </c>
      <c r="G49" s="6">
        <v>95.75</v>
      </c>
      <c r="H49" s="6">
        <v>42.99</v>
      </c>
      <c r="I49" s="6">
        <v>9.93</v>
      </c>
      <c r="J49" s="6">
        <v>0.63</v>
      </c>
      <c r="K49" s="6">
        <v>264.93</v>
      </c>
      <c r="L49" s="6">
        <v>32.57</v>
      </c>
      <c r="M49" s="6">
        <v>41.75</v>
      </c>
      <c r="N49" s="6">
        <v>299.2</v>
      </c>
      <c r="O49" s="6">
        <v>0</v>
      </c>
      <c r="P49" s="6">
        <v>0.9</v>
      </c>
      <c r="Q49" s="6">
        <v>4.76</v>
      </c>
    </row>
    <row r="50" spans="1:17" customFormat="1">
      <c r="A50" s="82">
        <v>45363.4375</v>
      </c>
      <c r="B50" s="6">
        <v>3.65</v>
      </c>
      <c r="C50" s="6">
        <v>29.09</v>
      </c>
      <c r="D50" s="6">
        <v>19.48</v>
      </c>
      <c r="E50" s="6">
        <v>11.36</v>
      </c>
      <c r="F50" s="6">
        <v>7.9</v>
      </c>
      <c r="G50" s="6">
        <v>95.75</v>
      </c>
      <c r="H50" s="6">
        <v>42.99</v>
      </c>
      <c r="I50" s="6">
        <v>9.6</v>
      </c>
      <c r="J50" s="6">
        <v>0.69</v>
      </c>
      <c r="K50" s="6">
        <v>271.16000000000003</v>
      </c>
      <c r="L50" s="6">
        <v>33.15</v>
      </c>
      <c r="M50" s="6">
        <v>40.119999999999997</v>
      </c>
      <c r="N50" s="6">
        <v>447.3</v>
      </c>
      <c r="O50" s="6">
        <v>0</v>
      </c>
      <c r="P50" s="6">
        <v>0.89</v>
      </c>
      <c r="Q50" s="6">
        <v>4.75</v>
      </c>
    </row>
    <row r="51" spans="1:17" customFormat="1">
      <c r="A51" s="82">
        <v>45363.447916666664</v>
      </c>
      <c r="B51" s="6">
        <v>3.24</v>
      </c>
      <c r="C51" s="6">
        <v>28.2</v>
      </c>
      <c r="D51" s="6">
        <v>18.68</v>
      </c>
      <c r="E51" s="6">
        <v>12.27</v>
      </c>
      <c r="F51" s="6">
        <v>8.9</v>
      </c>
      <c r="G51" s="6">
        <v>95.75</v>
      </c>
      <c r="H51" s="6">
        <v>42.99</v>
      </c>
      <c r="I51" s="6">
        <v>9.51</v>
      </c>
      <c r="J51" s="6">
        <v>0.73</v>
      </c>
      <c r="K51" s="6">
        <v>286.64999999999998</v>
      </c>
      <c r="L51" s="6">
        <v>33.29</v>
      </c>
      <c r="M51" s="6">
        <v>39.409999999999997</v>
      </c>
      <c r="N51" s="6">
        <v>487.9</v>
      </c>
      <c r="O51" s="6">
        <v>0</v>
      </c>
      <c r="P51" s="6">
        <v>0.89</v>
      </c>
      <c r="Q51" s="6">
        <v>4.74</v>
      </c>
    </row>
    <row r="52" spans="1:17" customFormat="1">
      <c r="A52" s="82">
        <v>45363.458333333336</v>
      </c>
      <c r="B52" s="6">
        <v>2.82</v>
      </c>
      <c r="C52" s="6">
        <v>27.62</v>
      </c>
      <c r="D52" s="6">
        <v>18.04</v>
      </c>
      <c r="E52" s="6">
        <v>12.28</v>
      </c>
      <c r="F52" s="6">
        <v>10.86</v>
      </c>
      <c r="G52" s="6">
        <v>94.68</v>
      </c>
      <c r="H52" s="6">
        <v>42.58</v>
      </c>
      <c r="I52" s="6">
        <v>9.39</v>
      </c>
      <c r="J52" s="6">
        <v>0.78</v>
      </c>
      <c r="K52" s="6">
        <v>282.89</v>
      </c>
      <c r="L52" s="6">
        <v>33.53</v>
      </c>
      <c r="M52" s="6">
        <v>38.65</v>
      </c>
      <c r="N52" s="6">
        <v>512.79999999999995</v>
      </c>
      <c r="O52" s="6">
        <v>0</v>
      </c>
      <c r="P52" s="6">
        <v>0.89</v>
      </c>
      <c r="Q52" s="6">
        <v>4.71</v>
      </c>
    </row>
    <row r="53" spans="1:17" customFormat="1">
      <c r="A53" s="82">
        <v>45363.46875</v>
      </c>
      <c r="B53" s="6">
        <v>2.7</v>
      </c>
      <c r="C53" s="6">
        <v>26.96</v>
      </c>
      <c r="D53" s="6">
        <v>17.600000000000001</v>
      </c>
      <c r="E53" s="6">
        <v>14.37</v>
      </c>
      <c r="F53" s="6">
        <v>13.49</v>
      </c>
      <c r="G53" s="6">
        <v>79.56</v>
      </c>
      <c r="H53" s="6">
        <v>37.69</v>
      </c>
      <c r="I53" s="6">
        <v>9.39</v>
      </c>
      <c r="J53" s="6">
        <v>0.99</v>
      </c>
      <c r="K53" s="6">
        <v>335.45</v>
      </c>
      <c r="L53" s="6">
        <v>33.4</v>
      </c>
      <c r="M53" s="6">
        <v>37.44</v>
      </c>
      <c r="N53" s="6">
        <v>487.1</v>
      </c>
      <c r="O53" s="6">
        <v>0</v>
      </c>
      <c r="P53" s="6">
        <v>0.9</v>
      </c>
      <c r="Q53" s="6">
        <v>4.7</v>
      </c>
    </row>
    <row r="54" spans="1:17" customFormat="1">
      <c r="A54" s="82">
        <v>45363.479166666664</v>
      </c>
      <c r="B54" s="6">
        <v>2.76</v>
      </c>
      <c r="C54" s="6">
        <v>26.78</v>
      </c>
      <c r="D54" s="6">
        <v>17.559999999999999</v>
      </c>
      <c r="E54" s="6">
        <v>13.39</v>
      </c>
      <c r="F54" s="6">
        <v>10.8</v>
      </c>
      <c r="G54" s="6">
        <v>79.56</v>
      </c>
      <c r="H54" s="6">
        <v>37.69</v>
      </c>
      <c r="I54" s="6">
        <v>9.4499999999999993</v>
      </c>
      <c r="J54" s="6">
        <v>0.83</v>
      </c>
      <c r="K54" s="6">
        <v>286.10000000000002</v>
      </c>
      <c r="L54" s="6">
        <v>33.979999999999997</v>
      </c>
      <c r="M54" s="6">
        <v>36.840000000000003</v>
      </c>
      <c r="N54" s="6">
        <v>542.6</v>
      </c>
      <c r="O54" s="6">
        <v>0</v>
      </c>
      <c r="P54" s="6">
        <v>0.91</v>
      </c>
      <c r="Q54" s="6">
        <v>4.72</v>
      </c>
    </row>
    <row r="55" spans="1:17" customFormat="1">
      <c r="A55" s="82">
        <v>45363.489583333336</v>
      </c>
      <c r="B55" s="6">
        <v>2.81</v>
      </c>
      <c r="C55" s="6">
        <v>26.55</v>
      </c>
      <c r="D55" s="6">
        <v>17.47</v>
      </c>
      <c r="E55" s="6">
        <v>13.29</v>
      </c>
      <c r="F55" s="6">
        <v>11.1</v>
      </c>
      <c r="G55" s="6">
        <v>79.56</v>
      </c>
      <c r="H55" s="6">
        <v>37.69</v>
      </c>
      <c r="I55" s="6">
        <v>9.59</v>
      </c>
      <c r="J55" s="6">
        <v>0.91</v>
      </c>
      <c r="K55" s="6">
        <v>287.52999999999997</v>
      </c>
      <c r="L55" s="6">
        <v>34.369999999999997</v>
      </c>
      <c r="M55" s="6">
        <v>34.869999999999997</v>
      </c>
      <c r="N55" s="6">
        <v>561.6</v>
      </c>
      <c r="O55" s="6">
        <v>0</v>
      </c>
      <c r="P55" s="6">
        <v>0.95</v>
      </c>
      <c r="Q55" s="6">
        <v>4.72</v>
      </c>
    </row>
    <row r="56" spans="1:17" customFormat="1">
      <c r="A56" s="82">
        <v>45363.5</v>
      </c>
      <c r="B56" s="6">
        <v>2.89</v>
      </c>
      <c r="C56" s="6">
        <v>26.49</v>
      </c>
      <c r="D56" s="6">
        <v>17.510000000000002</v>
      </c>
      <c r="E56" s="6">
        <v>12.41</v>
      </c>
      <c r="F56" s="6">
        <v>9.7899999999999991</v>
      </c>
      <c r="G56" s="6">
        <v>78.91</v>
      </c>
      <c r="H56" s="6">
        <v>37.65</v>
      </c>
      <c r="I56" s="6">
        <v>9.6199999999999992</v>
      </c>
      <c r="J56" s="6">
        <v>0.75</v>
      </c>
      <c r="K56" s="6">
        <v>274.35000000000002</v>
      </c>
      <c r="L56" s="6">
        <v>34.46</v>
      </c>
      <c r="M56" s="6">
        <v>33.6</v>
      </c>
      <c r="N56" s="6">
        <v>559.9</v>
      </c>
      <c r="O56" s="6">
        <v>0</v>
      </c>
      <c r="P56" s="6">
        <v>1</v>
      </c>
      <c r="Q56" s="6">
        <v>4.7</v>
      </c>
    </row>
    <row r="57" spans="1:17" customFormat="1">
      <c r="A57" s="82">
        <v>45363.510416666664</v>
      </c>
      <c r="B57" s="6">
        <v>2.88</v>
      </c>
      <c r="C57" s="6">
        <v>26.16</v>
      </c>
      <c r="D57" s="6">
        <v>17.329999999999998</v>
      </c>
      <c r="E57" s="6">
        <v>12.2</v>
      </c>
      <c r="F57" s="6">
        <v>9.52</v>
      </c>
      <c r="G57" s="6">
        <v>69.819999999999993</v>
      </c>
      <c r="H57" s="6">
        <v>37.08</v>
      </c>
      <c r="I57" s="6">
        <v>9.66</v>
      </c>
      <c r="J57" s="6">
        <v>0.66</v>
      </c>
      <c r="K57" s="6">
        <v>280.27999999999997</v>
      </c>
      <c r="L57" s="6">
        <v>35.159999999999997</v>
      </c>
      <c r="M57" s="6">
        <v>32.28</v>
      </c>
      <c r="N57" s="6">
        <v>556.70000000000005</v>
      </c>
      <c r="O57" s="6">
        <v>0</v>
      </c>
      <c r="P57" s="6">
        <v>1.02</v>
      </c>
      <c r="Q57" s="6">
        <v>4.67</v>
      </c>
    </row>
    <row r="58" spans="1:17" customFormat="1">
      <c r="A58" s="82">
        <v>45363.520833333336</v>
      </c>
      <c r="B58" s="6">
        <v>2.5499999999999998</v>
      </c>
      <c r="C58" s="6">
        <v>25.83</v>
      </c>
      <c r="D58" s="6">
        <v>16.89</v>
      </c>
      <c r="E58" s="6">
        <v>11.78</v>
      </c>
      <c r="F58" s="6">
        <v>9.43</v>
      </c>
      <c r="G58" s="6">
        <v>69.819999999999993</v>
      </c>
      <c r="H58" s="6">
        <v>37.08</v>
      </c>
      <c r="I58" s="6">
        <v>9.6199999999999992</v>
      </c>
      <c r="J58" s="6">
        <v>1</v>
      </c>
      <c r="K58" s="6">
        <v>310.18</v>
      </c>
      <c r="L58" s="6">
        <v>35.11</v>
      </c>
      <c r="M58" s="6">
        <v>32.21</v>
      </c>
      <c r="N58" s="6">
        <v>552.1</v>
      </c>
      <c r="O58" s="6">
        <v>0</v>
      </c>
      <c r="P58" s="6">
        <v>1.02</v>
      </c>
      <c r="Q58" s="6">
        <v>4.6399999999999997</v>
      </c>
    </row>
    <row r="59" spans="1:17" customFormat="1">
      <c r="A59" s="82">
        <v>45363.53125</v>
      </c>
      <c r="B59" s="6">
        <v>2.38</v>
      </c>
      <c r="C59" s="6">
        <v>26.07</v>
      </c>
      <c r="D59" s="6">
        <v>16.88</v>
      </c>
      <c r="E59" s="6">
        <v>12.32</v>
      </c>
      <c r="F59" s="6">
        <v>10.95</v>
      </c>
      <c r="G59" s="6">
        <v>69.819999999999993</v>
      </c>
      <c r="H59" s="6">
        <v>37.08</v>
      </c>
      <c r="I59" s="6">
        <v>9.6</v>
      </c>
      <c r="J59" s="6">
        <v>0.95</v>
      </c>
      <c r="K59" s="6">
        <v>340.68</v>
      </c>
      <c r="L59" s="6">
        <v>35.270000000000003</v>
      </c>
      <c r="M59" s="6">
        <v>29.28</v>
      </c>
      <c r="N59" s="6">
        <v>535.70000000000005</v>
      </c>
      <c r="O59" s="6">
        <v>0</v>
      </c>
      <c r="P59" s="6">
        <v>1.03</v>
      </c>
      <c r="Q59" s="6">
        <v>4.63</v>
      </c>
    </row>
    <row r="60" spans="1:17" customFormat="1">
      <c r="A60" s="82">
        <v>45363.541666666664</v>
      </c>
      <c r="B60" s="6">
        <v>2.56</v>
      </c>
      <c r="C60" s="6">
        <v>26.77</v>
      </c>
      <c r="D60" s="6">
        <v>17.39</v>
      </c>
      <c r="E60" s="6">
        <v>12.15</v>
      </c>
      <c r="F60" s="6">
        <v>10.76</v>
      </c>
      <c r="G60" s="6">
        <v>70.2</v>
      </c>
      <c r="H60" s="6">
        <v>36.880000000000003</v>
      </c>
      <c r="I60" s="6">
        <v>9.59</v>
      </c>
      <c r="J60" s="6">
        <v>0.92</v>
      </c>
      <c r="K60" s="6">
        <v>329.95</v>
      </c>
      <c r="L60" s="6">
        <v>35.33</v>
      </c>
      <c r="M60" s="6">
        <v>27.53</v>
      </c>
      <c r="N60" s="6">
        <v>546.6</v>
      </c>
      <c r="O60" s="6">
        <v>0</v>
      </c>
      <c r="P60" s="6">
        <v>1.03</v>
      </c>
      <c r="Q60" s="6">
        <v>4.6399999999999997</v>
      </c>
    </row>
    <row r="61" spans="1:17" customFormat="1">
      <c r="A61" s="82">
        <v>45363.552083333336</v>
      </c>
      <c r="B61" s="6">
        <v>2.7</v>
      </c>
      <c r="C61" s="6">
        <v>28.04</v>
      </c>
      <c r="D61" s="6">
        <v>18.16</v>
      </c>
      <c r="E61" s="6">
        <v>11.02</v>
      </c>
      <c r="F61" s="6">
        <v>8.31</v>
      </c>
      <c r="G61" s="6">
        <v>75.56</v>
      </c>
      <c r="H61" s="6">
        <v>34.409999999999997</v>
      </c>
      <c r="I61" s="6">
        <v>9.52</v>
      </c>
      <c r="J61" s="6">
        <v>0.97</v>
      </c>
      <c r="K61" s="6">
        <v>317.06</v>
      </c>
      <c r="L61" s="6">
        <v>35.64</v>
      </c>
      <c r="M61" s="6">
        <v>28.09</v>
      </c>
      <c r="N61" s="6">
        <v>494.2</v>
      </c>
      <c r="O61" s="6">
        <v>0</v>
      </c>
      <c r="P61" s="6">
        <v>1.04</v>
      </c>
      <c r="Q61" s="6">
        <v>4.66</v>
      </c>
    </row>
    <row r="62" spans="1:17" customFormat="1">
      <c r="A62" s="82">
        <v>45363.5625</v>
      </c>
      <c r="B62" s="6">
        <v>2.75</v>
      </c>
      <c r="C62" s="6">
        <v>28.74</v>
      </c>
      <c r="D62" s="6">
        <v>18.57</v>
      </c>
      <c r="E62" s="6">
        <v>10.9</v>
      </c>
      <c r="F62" s="6">
        <v>9.01</v>
      </c>
      <c r="G62" s="6">
        <v>75.56</v>
      </c>
      <c r="H62" s="6">
        <v>34.409999999999997</v>
      </c>
      <c r="I62" s="6">
        <v>9.42</v>
      </c>
      <c r="J62" s="6">
        <v>0.77</v>
      </c>
      <c r="K62" s="6">
        <v>338.32</v>
      </c>
      <c r="L62" s="6">
        <v>36.15</v>
      </c>
      <c r="M62" s="6">
        <v>25.68</v>
      </c>
      <c r="N62" s="6">
        <v>496.3</v>
      </c>
      <c r="O62" s="6">
        <v>0</v>
      </c>
      <c r="P62" s="6">
        <v>1.03</v>
      </c>
      <c r="Q62" s="6">
        <v>4.6399999999999997</v>
      </c>
    </row>
    <row r="63" spans="1:17" customFormat="1">
      <c r="A63" s="82">
        <v>45363.572916666664</v>
      </c>
      <c r="B63" s="6">
        <v>2.62</v>
      </c>
      <c r="C63" s="6">
        <v>29.27</v>
      </c>
      <c r="D63" s="6">
        <v>18.75</v>
      </c>
      <c r="E63" s="6">
        <v>10.78</v>
      </c>
      <c r="F63" s="6">
        <v>8.5</v>
      </c>
      <c r="G63" s="6">
        <v>75.56</v>
      </c>
      <c r="H63" s="6">
        <v>34.409999999999997</v>
      </c>
      <c r="I63" s="6">
        <v>9.36</v>
      </c>
      <c r="J63" s="6">
        <v>0.84</v>
      </c>
      <c r="K63" s="6">
        <v>332.75</v>
      </c>
      <c r="L63" s="6">
        <v>36.229999999999997</v>
      </c>
      <c r="M63" s="6">
        <v>25.03</v>
      </c>
      <c r="N63" s="6">
        <v>492.1</v>
      </c>
      <c r="O63" s="6">
        <v>0</v>
      </c>
      <c r="P63" s="6">
        <v>0.92</v>
      </c>
      <c r="Q63" s="6">
        <v>4.6399999999999997</v>
      </c>
    </row>
    <row r="64" spans="1:17" customFormat="1">
      <c r="A64" s="82">
        <v>45363.583333333336</v>
      </c>
      <c r="B64" s="6">
        <v>2.46</v>
      </c>
      <c r="C64" s="6">
        <v>29.16</v>
      </c>
      <c r="D64" s="6">
        <v>18.559999999999999</v>
      </c>
      <c r="E64" s="6">
        <v>11.29</v>
      </c>
      <c r="F64" s="6">
        <v>10.79</v>
      </c>
      <c r="G64" s="6">
        <v>75.73</v>
      </c>
      <c r="H64" s="6">
        <v>34.270000000000003</v>
      </c>
      <c r="I64" s="6">
        <v>9.3000000000000007</v>
      </c>
      <c r="J64" s="6">
        <v>1.01</v>
      </c>
      <c r="K64" s="6">
        <v>343.86</v>
      </c>
      <c r="L64" s="6">
        <v>36.08</v>
      </c>
      <c r="M64" s="6">
        <v>25.49</v>
      </c>
      <c r="N64" s="6">
        <v>493.3</v>
      </c>
      <c r="O64" s="6">
        <v>0</v>
      </c>
      <c r="P64" s="6">
        <v>0.82</v>
      </c>
      <c r="Q64" s="6">
        <v>4.6500000000000004</v>
      </c>
    </row>
    <row r="65" spans="1:17" customFormat="1">
      <c r="A65" s="82">
        <v>45363.59375</v>
      </c>
      <c r="B65" s="6">
        <v>2.33</v>
      </c>
      <c r="C65" s="6">
        <v>28.74</v>
      </c>
      <c r="D65" s="6">
        <v>18.239999999999998</v>
      </c>
      <c r="E65" s="6">
        <v>11.71</v>
      </c>
      <c r="F65" s="6">
        <v>11.55</v>
      </c>
      <c r="G65" s="6">
        <v>78.09</v>
      </c>
      <c r="H65" s="6">
        <v>32.450000000000003</v>
      </c>
      <c r="I65" s="6">
        <v>8.7200000000000006</v>
      </c>
      <c r="J65" s="6">
        <v>1.2</v>
      </c>
      <c r="K65" s="6">
        <v>318.66000000000003</v>
      </c>
      <c r="L65" s="6">
        <v>36.06</v>
      </c>
      <c r="M65" s="6">
        <v>25.15</v>
      </c>
      <c r="N65" s="6">
        <v>468</v>
      </c>
      <c r="O65" s="6">
        <v>0</v>
      </c>
      <c r="P65" s="6">
        <v>0.64</v>
      </c>
      <c r="Q65" s="6">
        <v>4.6900000000000004</v>
      </c>
    </row>
    <row r="66" spans="1:17" customFormat="1">
      <c r="A66" s="82">
        <v>45363.604166666664</v>
      </c>
      <c r="B66" s="6">
        <v>2.46</v>
      </c>
      <c r="C66" s="6">
        <v>27.84</v>
      </c>
      <c r="D66" s="6">
        <v>17.87</v>
      </c>
      <c r="E66" s="6">
        <v>12.54</v>
      </c>
      <c r="F66" s="6">
        <v>13.2</v>
      </c>
      <c r="G66" s="6">
        <v>78.09</v>
      </c>
      <c r="H66" s="6">
        <v>32.450000000000003</v>
      </c>
      <c r="I66" s="6">
        <v>8.06</v>
      </c>
      <c r="J66" s="6">
        <v>0.61</v>
      </c>
      <c r="K66" s="6">
        <v>20.67</v>
      </c>
      <c r="L66" s="6">
        <v>36.08</v>
      </c>
      <c r="M66" s="6">
        <v>25.02</v>
      </c>
      <c r="N66" s="6">
        <v>363.6</v>
      </c>
      <c r="O66" s="6">
        <v>0</v>
      </c>
      <c r="P66" s="6">
        <v>0.63</v>
      </c>
      <c r="Q66" s="6">
        <v>4.7</v>
      </c>
    </row>
    <row r="67" spans="1:17" customFormat="1">
      <c r="A67" s="82">
        <v>45363.614583333336</v>
      </c>
      <c r="B67" s="6">
        <v>2.59</v>
      </c>
      <c r="C67" s="6">
        <v>27.7</v>
      </c>
      <c r="D67" s="6">
        <v>17.899999999999999</v>
      </c>
      <c r="E67" s="6">
        <v>12.73</v>
      </c>
      <c r="F67" s="6">
        <v>11.18</v>
      </c>
      <c r="G67" s="6">
        <v>78.09</v>
      </c>
      <c r="H67" s="6">
        <v>32.450000000000003</v>
      </c>
      <c r="I67" s="6">
        <v>7.73</v>
      </c>
      <c r="J67" s="6">
        <v>0.5</v>
      </c>
      <c r="K67" s="6">
        <v>344.17</v>
      </c>
      <c r="L67" s="6">
        <v>36.64</v>
      </c>
      <c r="M67" s="6">
        <v>24.09</v>
      </c>
      <c r="N67" s="6">
        <v>380.3</v>
      </c>
      <c r="O67" s="6">
        <v>0</v>
      </c>
      <c r="P67" s="6">
        <v>0.63</v>
      </c>
      <c r="Q67" s="6">
        <v>4.7</v>
      </c>
    </row>
    <row r="68" spans="1:17" customFormat="1">
      <c r="A68" s="82">
        <v>45363.625</v>
      </c>
      <c r="B68" s="6">
        <v>2.63</v>
      </c>
      <c r="C68" s="6">
        <v>26.69</v>
      </c>
      <c r="D68" s="6">
        <v>17.399999999999999</v>
      </c>
      <c r="E68" s="6">
        <v>11.85</v>
      </c>
      <c r="F68" s="6">
        <v>12.52</v>
      </c>
      <c r="G68" s="6">
        <v>77.3</v>
      </c>
      <c r="H68" s="6">
        <v>32.1</v>
      </c>
      <c r="I68" s="6">
        <v>7.27</v>
      </c>
      <c r="J68" s="6">
        <v>0.83</v>
      </c>
      <c r="K68" s="6">
        <v>288.83999999999997</v>
      </c>
      <c r="L68" s="6">
        <v>36.81</v>
      </c>
      <c r="M68" s="6">
        <v>22.61</v>
      </c>
      <c r="N68" s="6">
        <v>243.6</v>
      </c>
      <c r="O68" s="6">
        <v>0</v>
      </c>
      <c r="P68" s="6">
        <v>0.61</v>
      </c>
      <c r="Q68" s="6">
        <v>4.71</v>
      </c>
    </row>
    <row r="69" spans="1:17" customFormat="1">
      <c r="A69" s="82">
        <v>45363.635416666664</v>
      </c>
      <c r="B69" s="6">
        <v>2.5</v>
      </c>
      <c r="C69" s="6">
        <v>25.72</v>
      </c>
      <c r="D69" s="6">
        <v>16.79</v>
      </c>
      <c r="E69" s="6">
        <v>13.12</v>
      </c>
      <c r="F69" s="6">
        <v>13.33</v>
      </c>
      <c r="G69" s="6">
        <v>66.23</v>
      </c>
      <c r="H69" s="6">
        <v>27.88</v>
      </c>
      <c r="I69" s="6">
        <v>6.99</v>
      </c>
      <c r="J69" s="6">
        <v>0.44</v>
      </c>
      <c r="K69" s="6">
        <v>314.75</v>
      </c>
      <c r="L69" s="6">
        <v>36.32</v>
      </c>
      <c r="M69" s="6">
        <v>23.27</v>
      </c>
      <c r="N69" s="6">
        <v>164.8</v>
      </c>
      <c r="O69" s="6">
        <v>0</v>
      </c>
      <c r="P69" s="6">
        <v>0.57999999999999996</v>
      </c>
      <c r="Q69" s="6">
        <v>4.71</v>
      </c>
    </row>
    <row r="70" spans="1:17" customFormat="1">
      <c r="A70" s="82">
        <v>45363.645833333336</v>
      </c>
      <c r="B70" s="6">
        <v>2.65</v>
      </c>
      <c r="C70" s="6">
        <v>24.87</v>
      </c>
      <c r="D70" s="6">
        <v>16.47</v>
      </c>
      <c r="E70" s="6">
        <v>12.42</v>
      </c>
      <c r="F70" s="6">
        <v>12.65</v>
      </c>
      <c r="G70" s="6">
        <v>66.23</v>
      </c>
      <c r="H70" s="6">
        <v>27.88</v>
      </c>
      <c r="I70" s="6">
        <v>6.57</v>
      </c>
      <c r="J70" s="6">
        <v>0.5</v>
      </c>
      <c r="K70" s="6">
        <v>278.33</v>
      </c>
      <c r="L70" s="6">
        <v>36.86</v>
      </c>
      <c r="M70" s="6">
        <v>22.92</v>
      </c>
      <c r="N70" s="6">
        <v>212.7</v>
      </c>
      <c r="O70" s="6">
        <v>0</v>
      </c>
      <c r="P70" s="6">
        <v>0.55000000000000004</v>
      </c>
      <c r="Q70" s="6">
        <v>4.6900000000000004</v>
      </c>
    </row>
    <row r="71" spans="1:17" customFormat="1">
      <c r="A71" s="82">
        <v>45363.65625</v>
      </c>
      <c r="B71" s="6">
        <v>2.63</v>
      </c>
      <c r="C71" s="6">
        <v>23.85</v>
      </c>
      <c r="D71" s="6">
        <v>15.92</v>
      </c>
      <c r="E71" s="6">
        <v>11.93</v>
      </c>
      <c r="F71" s="6">
        <v>13.02</v>
      </c>
      <c r="G71" s="6">
        <v>66.23</v>
      </c>
      <c r="H71" s="6">
        <v>27.88</v>
      </c>
      <c r="I71" s="6">
        <v>6.28</v>
      </c>
      <c r="J71" s="6">
        <v>0.39</v>
      </c>
      <c r="K71" s="6">
        <v>261.58999999999997</v>
      </c>
      <c r="L71" s="6">
        <v>36.74</v>
      </c>
      <c r="M71" s="6">
        <v>22.5</v>
      </c>
      <c r="N71" s="6">
        <v>332</v>
      </c>
      <c r="O71" s="6">
        <v>0</v>
      </c>
      <c r="P71" s="6">
        <v>0.53</v>
      </c>
      <c r="Q71" s="6">
        <v>4.67</v>
      </c>
    </row>
    <row r="72" spans="1:17" customFormat="1">
      <c r="A72" s="82">
        <v>45363.666666666664</v>
      </c>
      <c r="B72" s="6">
        <v>2.7</v>
      </c>
      <c r="C72" s="6">
        <v>22.93</v>
      </c>
      <c r="D72" s="6">
        <v>15.49</v>
      </c>
      <c r="E72" s="6">
        <v>12.1</v>
      </c>
      <c r="F72" s="6">
        <v>16.25</v>
      </c>
      <c r="G72" s="6">
        <v>65.569999999999993</v>
      </c>
      <c r="H72" s="6">
        <v>27.25</v>
      </c>
      <c r="I72" s="6">
        <v>6.05</v>
      </c>
      <c r="J72" s="6">
        <v>0.19</v>
      </c>
      <c r="K72" s="6">
        <v>254.51</v>
      </c>
      <c r="L72" s="6">
        <v>36.89</v>
      </c>
      <c r="M72" s="6">
        <v>22.51</v>
      </c>
      <c r="N72" s="6">
        <v>211.9</v>
      </c>
      <c r="O72" s="6">
        <v>0</v>
      </c>
      <c r="P72" s="6">
        <v>0.5</v>
      </c>
      <c r="Q72" s="6">
        <v>4.7</v>
      </c>
    </row>
    <row r="73" spans="1:17" customFormat="1">
      <c r="A73" s="82">
        <v>45363.677083333336</v>
      </c>
      <c r="B73" s="6">
        <v>2.89</v>
      </c>
      <c r="C73" s="6">
        <v>22.21</v>
      </c>
      <c r="D73" s="6">
        <v>15.27</v>
      </c>
      <c r="E73" s="6">
        <v>12.84</v>
      </c>
      <c r="F73" s="6">
        <v>12.47</v>
      </c>
      <c r="G73" s="6">
        <v>56.32</v>
      </c>
      <c r="H73" s="6">
        <v>20.87</v>
      </c>
      <c r="I73" s="6">
        <v>5.74</v>
      </c>
      <c r="J73" s="6">
        <v>0.69</v>
      </c>
      <c r="K73" s="6">
        <v>304.51</v>
      </c>
      <c r="L73" s="6">
        <v>36.270000000000003</v>
      </c>
      <c r="M73" s="6">
        <v>21.97</v>
      </c>
      <c r="N73" s="6">
        <v>249.2</v>
      </c>
      <c r="O73" s="6">
        <v>0</v>
      </c>
      <c r="P73" s="6">
        <v>0.49</v>
      </c>
      <c r="Q73" s="6">
        <v>4.67</v>
      </c>
    </row>
    <row r="74" spans="1:17" customFormat="1">
      <c r="A74" s="82">
        <v>45363.6875</v>
      </c>
      <c r="B74" s="6">
        <v>2.92</v>
      </c>
      <c r="C74" s="6">
        <v>21.71</v>
      </c>
      <c r="D74" s="6">
        <v>15.04</v>
      </c>
      <c r="E74" s="6">
        <v>13.44</v>
      </c>
      <c r="F74" s="6">
        <v>15.15</v>
      </c>
      <c r="G74" s="6">
        <v>56.32</v>
      </c>
      <c r="H74" s="6">
        <v>20.87</v>
      </c>
      <c r="I74" s="6">
        <v>5.46</v>
      </c>
      <c r="J74" s="6">
        <v>0.23</v>
      </c>
      <c r="K74" s="6">
        <v>216.51</v>
      </c>
      <c r="L74" s="6">
        <v>36.979999999999997</v>
      </c>
      <c r="M74" s="6">
        <v>22.24</v>
      </c>
      <c r="N74" s="6">
        <v>215.1</v>
      </c>
      <c r="O74" s="6">
        <v>0</v>
      </c>
      <c r="P74" s="6">
        <v>0.48</v>
      </c>
      <c r="Q74" s="6">
        <v>4.7</v>
      </c>
    </row>
    <row r="75" spans="1:17" customFormat="1">
      <c r="A75" s="82">
        <v>45363.697916666664</v>
      </c>
      <c r="B75" s="6">
        <v>2.93</v>
      </c>
      <c r="C75" s="6">
        <v>21.27</v>
      </c>
      <c r="D75" s="6">
        <v>14.81</v>
      </c>
      <c r="E75" s="6">
        <v>13.41</v>
      </c>
      <c r="F75" s="6">
        <v>14.91</v>
      </c>
      <c r="G75" s="6">
        <v>56.32</v>
      </c>
      <c r="H75" s="6">
        <v>20.87</v>
      </c>
      <c r="I75" s="6">
        <v>5.38</v>
      </c>
      <c r="J75" s="6">
        <v>0.14000000000000001</v>
      </c>
      <c r="K75" s="6">
        <v>233.24</v>
      </c>
      <c r="L75" s="6">
        <v>36.79</v>
      </c>
      <c r="M75" s="6">
        <v>22.94</v>
      </c>
      <c r="N75" s="6">
        <v>173</v>
      </c>
      <c r="O75" s="6">
        <v>0</v>
      </c>
      <c r="P75" s="6">
        <v>0.47</v>
      </c>
      <c r="Q75" s="6">
        <v>4.6900000000000004</v>
      </c>
    </row>
    <row r="76" spans="1:17" customFormat="1">
      <c r="A76" s="82">
        <v>45363.708333333336</v>
      </c>
      <c r="B76" s="6">
        <v>2.99</v>
      </c>
      <c r="C76" s="6">
        <v>20.65</v>
      </c>
      <c r="D76" s="6">
        <v>14.53</v>
      </c>
      <c r="E76" s="6">
        <v>14.69</v>
      </c>
      <c r="F76" s="6">
        <v>17.18</v>
      </c>
      <c r="G76" s="6">
        <v>55.53</v>
      </c>
      <c r="H76" s="6">
        <v>21.09</v>
      </c>
      <c r="I76" s="6">
        <v>5.08</v>
      </c>
      <c r="J76" s="6">
        <v>0.23</v>
      </c>
      <c r="K76" s="6">
        <v>208.54</v>
      </c>
      <c r="L76" s="6">
        <v>36.369999999999997</v>
      </c>
      <c r="M76" s="6">
        <v>24.45</v>
      </c>
      <c r="N76" s="6">
        <v>125.1</v>
      </c>
      <c r="O76" s="6">
        <v>0</v>
      </c>
      <c r="P76" s="6">
        <v>0.47</v>
      </c>
      <c r="Q76" s="6">
        <v>4.67</v>
      </c>
    </row>
    <row r="77" spans="1:17" customFormat="1">
      <c r="A77" s="82">
        <v>45363.71875</v>
      </c>
      <c r="B77" s="6">
        <v>2.96</v>
      </c>
      <c r="C77" s="6">
        <v>19.86</v>
      </c>
      <c r="D77" s="6">
        <v>14.1</v>
      </c>
      <c r="E77" s="6">
        <v>14.86</v>
      </c>
      <c r="F77" s="6">
        <v>20.65</v>
      </c>
      <c r="G77" s="6">
        <v>44.53</v>
      </c>
      <c r="H77" s="6">
        <v>23.31</v>
      </c>
      <c r="I77" s="6">
        <v>5.05</v>
      </c>
      <c r="J77" s="6">
        <v>0.25</v>
      </c>
      <c r="K77" s="6">
        <v>193.95</v>
      </c>
      <c r="L77" s="6">
        <v>35.880000000000003</v>
      </c>
      <c r="M77" s="6">
        <v>25.83</v>
      </c>
      <c r="N77" s="6">
        <v>54.8</v>
      </c>
      <c r="O77" s="6">
        <v>0</v>
      </c>
      <c r="P77" s="6">
        <v>0.47</v>
      </c>
      <c r="Q77" s="6">
        <v>4.66</v>
      </c>
    </row>
    <row r="78" spans="1:17" customFormat="1">
      <c r="A78" s="82">
        <v>45363.729166666664</v>
      </c>
      <c r="B78" s="6">
        <v>2.88</v>
      </c>
      <c r="C78" s="6">
        <v>19.36</v>
      </c>
      <c r="D78" s="6">
        <v>13.78</v>
      </c>
      <c r="E78" s="6">
        <v>15.46</v>
      </c>
      <c r="F78" s="6">
        <v>19.78</v>
      </c>
      <c r="G78" s="6">
        <v>44.53</v>
      </c>
      <c r="H78" s="6">
        <v>23.31</v>
      </c>
      <c r="I78" s="6">
        <v>5.16</v>
      </c>
      <c r="J78" s="6">
        <v>0.31</v>
      </c>
      <c r="K78" s="6">
        <v>183.13</v>
      </c>
      <c r="L78" s="6">
        <v>34.76</v>
      </c>
      <c r="M78" s="6">
        <v>27.75</v>
      </c>
      <c r="N78" s="6">
        <v>25.7</v>
      </c>
      <c r="O78" s="6">
        <v>0</v>
      </c>
      <c r="P78" s="6">
        <v>0.47</v>
      </c>
      <c r="Q78" s="6">
        <v>4.66</v>
      </c>
    </row>
    <row r="79" spans="1:17" customFormat="1">
      <c r="A79" s="82">
        <v>45363.739583333336</v>
      </c>
      <c r="B79" s="6">
        <v>2.89</v>
      </c>
      <c r="C79" s="6">
        <v>19.21</v>
      </c>
      <c r="D79" s="6">
        <v>13.71</v>
      </c>
      <c r="E79" s="6">
        <v>15.2</v>
      </c>
      <c r="F79" s="6">
        <v>19.25</v>
      </c>
      <c r="G79" s="6">
        <v>44.53</v>
      </c>
      <c r="H79" s="6">
        <v>23.31</v>
      </c>
      <c r="I79" s="6">
        <v>5.14</v>
      </c>
      <c r="J79" s="6">
        <v>0.22</v>
      </c>
      <c r="K79" s="6">
        <v>192.33</v>
      </c>
      <c r="L79" s="6">
        <v>33.75</v>
      </c>
      <c r="M79" s="6">
        <v>29.98</v>
      </c>
      <c r="N79" s="6">
        <v>10.6</v>
      </c>
      <c r="O79" s="6">
        <v>0</v>
      </c>
      <c r="P79" s="6">
        <v>0.48</v>
      </c>
      <c r="Q79" s="6">
        <v>4.66</v>
      </c>
    </row>
    <row r="80" spans="1:17" customFormat="1">
      <c r="A80" s="82">
        <v>45363.75</v>
      </c>
      <c r="B80" s="6">
        <v>2.83</v>
      </c>
      <c r="C80" s="6">
        <v>19.28</v>
      </c>
      <c r="D80" s="6">
        <v>13.7</v>
      </c>
      <c r="E80" s="6">
        <v>14.01</v>
      </c>
      <c r="F80" s="6">
        <v>16.920000000000002</v>
      </c>
      <c r="G80" s="6">
        <v>44.91</v>
      </c>
      <c r="H80" s="6">
        <v>23.19</v>
      </c>
      <c r="I80" s="6">
        <v>5.14</v>
      </c>
      <c r="J80" s="6">
        <v>0.16</v>
      </c>
      <c r="K80" s="6">
        <v>222.92</v>
      </c>
      <c r="L80" s="6">
        <v>33</v>
      </c>
      <c r="M80" s="6">
        <v>31.51</v>
      </c>
      <c r="N80" s="6">
        <v>0.4</v>
      </c>
      <c r="O80" s="6">
        <v>0</v>
      </c>
      <c r="P80" s="6">
        <v>0.47</v>
      </c>
      <c r="Q80" s="6">
        <v>4.67</v>
      </c>
    </row>
    <row r="81" spans="1:17" customFormat="1">
      <c r="A81" s="82">
        <v>45363.760416666664</v>
      </c>
      <c r="B81" s="6">
        <v>2.88</v>
      </c>
      <c r="C81" s="6">
        <v>19.260000000000002</v>
      </c>
      <c r="D81" s="6">
        <v>13.72</v>
      </c>
      <c r="E81" s="6">
        <v>9.9</v>
      </c>
      <c r="F81" s="6">
        <v>20.81</v>
      </c>
      <c r="G81" s="6">
        <v>50.25</v>
      </c>
      <c r="H81" s="6">
        <v>21.75</v>
      </c>
      <c r="I81" s="6">
        <v>5.0999999999999996</v>
      </c>
      <c r="J81" s="6">
        <v>0.2</v>
      </c>
      <c r="K81" s="6">
        <v>188.76</v>
      </c>
      <c r="L81" s="6">
        <v>32.39</v>
      </c>
      <c r="M81" s="6">
        <v>32.619999999999997</v>
      </c>
      <c r="N81" s="6">
        <v>0</v>
      </c>
      <c r="O81" s="6">
        <v>0</v>
      </c>
      <c r="P81" s="6">
        <v>0.49</v>
      </c>
      <c r="Q81" s="6">
        <v>4.6500000000000004</v>
      </c>
    </row>
    <row r="82" spans="1:17" customFormat="1">
      <c r="A82" s="82">
        <v>45363.770833333336</v>
      </c>
      <c r="B82" s="6">
        <v>6.5</v>
      </c>
      <c r="C82" s="6">
        <v>22.89</v>
      </c>
      <c r="D82" s="6">
        <v>18.52</v>
      </c>
      <c r="E82" s="6">
        <v>17.82</v>
      </c>
      <c r="F82" s="6">
        <v>20.91</v>
      </c>
      <c r="G82" s="6">
        <v>50.25</v>
      </c>
      <c r="H82" s="6">
        <v>21.75</v>
      </c>
      <c r="I82" s="6">
        <v>5.15</v>
      </c>
      <c r="J82" s="6">
        <v>0.09</v>
      </c>
      <c r="K82" s="6">
        <v>306.73</v>
      </c>
      <c r="L82" s="6">
        <v>31.93</v>
      </c>
      <c r="M82" s="6">
        <v>32.83</v>
      </c>
      <c r="N82" s="6">
        <v>0</v>
      </c>
      <c r="O82" s="6">
        <v>0</v>
      </c>
      <c r="P82" s="6">
        <v>0.65</v>
      </c>
      <c r="Q82" s="6">
        <v>4.67</v>
      </c>
    </row>
    <row r="83" spans="1:17" customFormat="1">
      <c r="A83" s="82">
        <v>45363.78125</v>
      </c>
      <c r="B83" s="6">
        <v>11.05</v>
      </c>
      <c r="C83" s="6">
        <v>27.69</v>
      </c>
      <c r="D83" s="6">
        <v>24.68</v>
      </c>
      <c r="E83" s="6">
        <v>13.65</v>
      </c>
      <c r="F83" s="6">
        <v>8.1999999999999993</v>
      </c>
      <c r="G83" s="6">
        <v>50.25</v>
      </c>
      <c r="H83" s="6">
        <v>21.75</v>
      </c>
      <c r="I83" s="6">
        <v>5.15</v>
      </c>
      <c r="J83" s="6">
        <v>0.12</v>
      </c>
      <c r="K83" s="6">
        <v>140.5</v>
      </c>
      <c r="L83" s="6">
        <v>31.86</v>
      </c>
      <c r="M83" s="6">
        <v>33.14</v>
      </c>
      <c r="N83" s="6">
        <v>0</v>
      </c>
      <c r="O83" s="6">
        <v>0</v>
      </c>
      <c r="P83" s="6">
        <v>0.71</v>
      </c>
      <c r="Q83" s="6">
        <v>4.66</v>
      </c>
    </row>
    <row r="84" spans="1:17" customFormat="1">
      <c r="A84" s="82">
        <v>45363.791666666664</v>
      </c>
      <c r="B84" s="6">
        <v>6.86</v>
      </c>
      <c r="C84" s="6">
        <v>26.2</v>
      </c>
      <c r="D84" s="6">
        <v>20.54</v>
      </c>
      <c r="E84" s="6">
        <v>10.81</v>
      </c>
      <c r="F84" s="6">
        <v>6.37</v>
      </c>
      <c r="G84" s="6">
        <v>51.7</v>
      </c>
      <c r="H84" s="6">
        <v>22.44</v>
      </c>
      <c r="I84" s="6">
        <v>5.89</v>
      </c>
      <c r="J84" s="6">
        <v>0.24</v>
      </c>
      <c r="K84" s="6">
        <v>182.35</v>
      </c>
      <c r="L84" s="6">
        <v>30.62</v>
      </c>
      <c r="M84" s="6">
        <v>40.49</v>
      </c>
      <c r="N84" s="6">
        <v>0</v>
      </c>
      <c r="O84" s="6">
        <v>0</v>
      </c>
      <c r="P84" s="6">
        <v>0.69</v>
      </c>
      <c r="Q84" s="6">
        <v>4.66</v>
      </c>
    </row>
    <row r="85" spans="1:17" customFormat="1">
      <c r="A85" s="82">
        <v>45363.802083333336</v>
      </c>
      <c r="B85" s="6">
        <v>5.63</v>
      </c>
      <c r="C85" s="6">
        <v>24.3</v>
      </c>
      <c r="D85" s="6">
        <v>18.559999999999999</v>
      </c>
      <c r="E85" s="6">
        <v>8.74</v>
      </c>
      <c r="F85" s="6">
        <v>6</v>
      </c>
      <c r="G85" s="6">
        <v>72.010000000000005</v>
      </c>
      <c r="H85" s="6">
        <v>29.46</v>
      </c>
      <c r="I85" s="6">
        <v>6.32</v>
      </c>
      <c r="J85" s="6">
        <v>0.31</v>
      </c>
      <c r="K85" s="6">
        <v>182.68</v>
      </c>
      <c r="L85" s="6">
        <v>29.75</v>
      </c>
      <c r="M85" s="6">
        <v>44.62</v>
      </c>
      <c r="N85" s="6">
        <v>0</v>
      </c>
      <c r="O85" s="6">
        <v>0</v>
      </c>
      <c r="P85" s="6">
        <v>0.67</v>
      </c>
      <c r="Q85" s="6">
        <v>4.6399999999999997</v>
      </c>
    </row>
    <row r="86" spans="1:17" customFormat="1">
      <c r="A86" s="82">
        <v>45363.8125</v>
      </c>
      <c r="B86" s="6">
        <v>5.62</v>
      </c>
      <c r="C86" s="6">
        <v>22.51</v>
      </c>
      <c r="D86" s="6">
        <v>17.62</v>
      </c>
      <c r="E86" s="6">
        <v>5.84</v>
      </c>
      <c r="F86" s="6">
        <v>5.42</v>
      </c>
      <c r="G86" s="6">
        <v>72.010000000000005</v>
      </c>
      <c r="H86" s="6">
        <v>29.46</v>
      </c>
      <c r="I86" s="6">
        <v>6.2</v>
      </c>
      <c r="J86" s="6">
        <v>0.28000000000000003</v>
      </c>
      <c r="K86" s="6">
        <v>183.31</v>
      </c>
      <c r="L86" s="6">
        <v>28.81</v>
      </c>
      <c r="M86" s="6">
        <v>45.95</v>
      </c>
      <c r="N86" s="6">
        <v>0</v>
      </c>
      <c r="O86" s="6">
        <v>0</v>
      </c>
      <c r="P86" s="6">
        <v>0.66</v>
      </c>
      <c r="Q86" s="6">
        <v>4.6500000000000004</v>
      </c>
    </row>
    <row r="87" spans="1:17" customFormat="1">
      <c r="A87" s="82">
        <v>45363.822916666664</v>
      </c>
      <c r="B87" s="6">
        <v>5.79</v>
      </c>
      <c r="C87" s="6">
        <v>21.91</v>
      </c>
      <c r="D87" s="6">
        <v>17.440000000000001</v>
      </c>
      <c r="E87" s="6">
        <v>5.99</v>
      </c>
      <c r="F87" s="6">
        <v>5.33</v>
      </c>
      <c r="G87" s="6">
        <v>72.010000000000005</v>
      </c>
      <c r="H87" s="6">
        <v>29.46</v>
      </c>
      <c r="I87" s="6">
        <v>6.08</v>
      </c>
      <c r="J87" s="6">
        <v>0.19</v>
      </c>
      <c r="K87" s="6">
        <v>144.81</v>
      </c>
      <c r="L87" s="6">
        <v>28.58</v>
      </c>
      <c r="M87" s="6">
        <v>44.47</v>
      </c>
      <c r="N87" s="6">
        <v>0</v>
      </c>
      <c r="O87" s="6">
        <v>0</v>
      </c>
      <c r="P87" s="6">
        <v>0.67</v>
      </c>
      <c r="Q87" s="6">
        <v>4.67</v>
      </c>
    </row>
    <row r="88" spans="1:17" customFormat="1">
      <c r="A88" s="82">
        <v>45363.833333333336</v>
      </c>
      <c r="B88" s="6">
        <v>7.61</v>
      </c>
      <c r="C88" s="6">
        <v>22.72</v>
      </c>
      <c r="D88" s="6">
        <v>19.32</v>
      </c>
      <c r="E88" s="6">
        <v>6.25</v>
      </c>
      <c r="F88" s="6">
        <v>5.18</v>
      </c>
      <c r="G88" s="6">
        <v>72.5</v>
      </c>
      <c r="H88" s="6">
        <v>29.44</v>
      </c>
      <c r="I88" s="6">
        <v>6.09</v>
      </c>
      <c r="J88" s="6">
        <v>0.26</v>
      </c>
      <c r="K88" s="6">
        <v>110.92</v>
      </c>
      <c r="L88" s="6">
        <v>29.21</v>
      </c>
      <c r="M88" s="6">
        <v>37.520000000000003</v>
      </c>
      <c r="N88" s="6">
        <v>0</v>
      </c>
      <c r="O88" s="6">
        <v>0</v>
      </c>
      <c r="P88" s="6">
        <v>0.73</v>
      </c>
      <c r="Q88" s="6">
        <v>4.67</v>
      </c>
    </row>
    <row r="89" spans="1:17" customFormat="1">
      <c r="A89" s="82">
        <v>45363.84375</v>
      </c>
      <c r="B89" s="6">
        <v>8.5</v>
      </c>
      <c r="C89" s="6">
        <v>23.15</v>
      </c>
      <c r="D89" s="6">
        <v>20.260000000000002</v>
      </c>
      <c r="E89" s="6">
        <v>5.98</v>
      </c>
      <c r="F89" s="6">
        <v>5.09</v>
      </c>
      <c r="G89" s="6">
        <v>79.39</v>
      </c>
      <c r="H89" s="6">
        <v>29.17</v>
      </c>
      <c r="I89" s="6">
        <v>6.23</v>
      </c>
      <c r="J89" s="6">
        <v>0.26</v>
      </c>
      <c r="K89" s="6">
        <v>167.77</v>
      </c>
      <c r="L89" s="6">
        <v>28.63</v>
      </c>
      <c r="M89" s="6">
        <v>43.18</v>
      </c>
      <c r="N89" s="6">
        <v>0</v>
      </c>
      <c r="O89" s="6">
        <v>0</v>
      </c>
      <c r="P89" s="6">
        <v>0.71</v>
      </c>
      <c r="Q89" s="6">
        <v>4.67</v>
      </c>
    </row>
    <row r="90" spans="1:17" customFormat="1">
      <c r="A90" s="82">
        <v>45363.854166666664</v>
      </c>
      <c r="B90" s="6">
        <v>9.26</v>
      </c>
      <c r="C90" s="6">
        <v>24.4</v>
      </c>
      <c r="D90" s="6">
        <v>21.52</v>
      </c>
      <c r="E90" s="6">
        <v>5.69</v>
      </c>
      <c r="F90" s="6">
        <v>4.5999999999999996</v>
      </c>
      <c r="G90" s="6">
        <v>79.39</v>
      </c>
      <c r="H90" s="6">
        <v>29.17</v>
      </c>
      <c r="I90" s="6">
        <v>6.78</v>
      </c>
      <c r="J90" s="6">
        <v>0.26</v>
      </c>
      <c r="K90" s="6">
        <v>208.26</v>
      </c>
      <c r="L90" s="6">
        <v>28.15</v>
      </c>
      <c r="M90" s="6">
        <v>47.37</v>
      </c>
      <c r="N90" s="6">
        <v>0</v>
      </c>
      <c r="O90" s="6">
        <v>0</v>
      </c>
      <c r="P90" s="6">
        <v>0.68</v>
      </c>
      <c r="Q90" s="6">
        <v>4.7</v>
      </c>
    </row>
    <row r="91" spans="1:17" customFormat="1">
      <c r="A91" s="82">
        <v>45363.864583333336</v>
      </c>
      <c r="B91" s="6">
        <v>9.6999999999999993</v>
      </c>
      <c r="C91" s="6">
        <v>26.02</v>
      </c>
      <c r="D91" s="6">
        <v>22.72</v>
      </c>
      <c r="E91" s="6">
        <v>6.4</v>
      </c>
      <c r="F91" s="6">
        <v>4.4000000000000004</v>
      </c>
      <c r="G91" s="6">
        <v>79.39</v>
      </c>
      <c r="H91" s="6">
        <v>29.17</v>
      </c>
      <c r="I91" s="6">
        <v>6.81</v>
      </c>
      <c r="J91" s="6">
        <v>0.26</v>
      </c>
      <c r="K91" s="6">
        <v>172.33</v>
      </c>
      <c r="L91" s="6">
        <v>27.45</v>
      </c>
      <c r="M91" s="6">
        <v>50.21</v>
      </c>
      <c r="N91" s="6">
        <v>0</v>
      </c>
      <c r="O91" s="6">
        <v>0</v>
      </c>
      <c r="P91" s="6">
        <v>0.73</v>
      </c>
      <c r="Q91" s="6">
        <v>4.7300000000000004</v>
      </c>
    </row>
    <row r="92" spans="1:17" customFormat="1">
      <c r="A92" s="82">
        <v>45363.875</v>
      </c>
      <c r="B92" s="6">
        <v>9.76</v>
      </c>
      <c r="C92" s="6">
        <v>27.04</v>
      </c>
      <c r="D92" s="6">
        <v>23.3</v>
      </c>
      <c r="E92" s="6">
        <v>6.9</v>
      </c>
      <c r="F92" s="6">
        <v>4.3499999999999996</v>
      </c>
      <c r="G92" s="6">
        <v>80.400000000000006</v>
      </c>
      <c r="H92" s="6">
        <v>29.68</v>
      </c>
      <c r="I92" s="6">
        <v>7.21</v>
      </c>
      <c r="J92" s="6">
        <v>0.27</v>
      </c>
      <c r="K92" s="6">
        <v>185.71</v>
      </c>
      <c r="L92" s="6">
        <v>27.25</v>
      </c>
      <c r="M92" s="6">
        <v>49.4</v>
      </c>
      <c r="N92" s="6">
        <v>0</v>
      </c>
      <c r="O92" s="6">
        <v>0</v>
      </c>
      <c r="P92" s="6">
        <v>0.76</v>
      </c>
      <c r="Q92" s="6">
        <v>4.75</v>
      </c>
    </row>
    <row r="93" spans="1:17" customFormat="1">
      <c r="A93" s="82">
        <v>45363.885416666664</v>
      </c>
      <c r="B93" s="6">
        <v>9.73</v>
      </c>
      <c r="C93" s="6">
        <v>27.86</v>
      </c>
      <c r="D93" s="6">
        <v>23.71</v>
      </c>
      <c r="E93" s="6">
        <v>6.1</v>
      </c>
      <c r="F93" s="6">
        <v>4.26</v>
      </c>
      <c r="G93" s="6">
        <v>94.55</v>
      </c>
      <c r="H93" s="6">
        <v>35.869999999999997</v>
      </c>
      <c r="I93" s="6">
        <v>7.5</v>
      </c>
      <c r="J93" s="6">
        <v>0.22</v>
      </c>
      <c r="K93" s="6">
        <v>208.36</v>
      </c>
      <c r="L93" s="6">
        <v>26.7</v>
      </c>
      <c r="M93" s="6">
        <v>52.59</v>
      </c>
      <c r="N93" s="6">
        <v>0</v>
      </c>
      <c r="O93" s="6">
        <v>0</v>
      </c>
      <c r="P93" s="6">
        <v>0.8</v>
      </c>
      <c r="Q93" s="6">
        <v>4.76</v>
      </c>
    </row>
    <row r="94" spans="1:17" customFormat="1">
      <c r="A94" s="82">
        <v>45363.895833333336</v>
      </c>
      <c r="B94" s="6">
        <v>9.68</v>
      </c>
      <c r="C94" s="6">
        <v>28.64</v>
      </c>
      <c r="D94" s="6">
        <v>24.08</v>
      </c>
      <c r="E94" s="6">
        <v>6.86</v>
      </c>
      <c r="F94" s="6">
        <v>4.41</v>
      </c>
      <c r="G94" s="6">
        <v>94.55</v>
      </c>
      <c r="H94" s="6">
        <v>35.869999999999997</v>
      </c>
      <c r="I94" s="6">
        <v>7.73</v>
      </c>
      <c r="J94" s="6">
        <v>0.18</v>
      </c>
      <c r="K94" s="6">
        <v>189.64</v>
      </c>
      <c r="L94" s="6">
        <v>26.32</v>
      </c>
      <c r="M94" s="6">
        <v>54.3</v>
      </c>
      <c r="N94" s="6">
        <v>0</v>
      </c>
      <c r="O94" s="6">
        <v>0</v>
      </c>
      <c r="P94" s="6">
        <v>0.82</v>
      </c>
      <c r="Q94" s="6">
        <v>4.7699999999999996</v>
      </c>
    </row>
    <row r="95" spans="1:17" customFormat="1">
      <c r="A95" s="82">
        <v>45363.90625</v>
      </c>
      <c r="B95" s="6">
        <v>9.5</v>
      </c>
      <c r="C95" s="6">
        <v>28.99</v>
      </c>
      <c r="D95" s="6">
        <v>24.12</v>
      </c>
      <c r="E95" s="6">
        <v>6.98</v>
      </c>
      <c r="F95" s="6">
        <v>4.5599999999999996</v>
      </c>
      <c r="G95" s="6">
        <v>94.55</v>
      </c>
      <c r="H95" s="6">
        <v>35.869999999999997</v>
      </c>
      <c r="I95" s="6">
        <v>8.08</v>
      </c>
      <c r="J95" s="6">
        <v>0.19</v>
      </c>
      <c r="K95" s="6">
        <v>219.94</v>
      </c>
      <c r="L95" s="6">
        <v>26.24</v>
      </c>
      <c r="M95" s="6">
        <v>55.97</v>
      </c>
      <c r="N95" s="6">
        <v>0</v>
      </c>
      <c r="O95" s="6">
        <v>0</v>
      </c>
      <c r="P95" s="6">
        <v>0.84</v>
      </c>
      <c r="Q95" s="6">
        <v>4.78</v>
      </c>
    </row>
    <row r="96" spans="1:17" customFormat="1">
      <c r="A96" s="82">
        <v>45363.916666666664</v>
      </c>
      <c r="B96" s="6">
        <v>9.2799999999999994</v>
      </c>
      <c r="C96" s="6">
        <v>28.95</v>
      </c>
      <c r="D96" s="6">
        <v>23.91</v>
      </c>
      <c r="E96" s="6">
        <v>6.5</v>
      </c>
      <c r="F96" s="6">
        <v>4.55</v>
      </c>
      <c r="G96" s="6">
        <v>94.3</v>
      </c>
      <c r="H96" s="6">
        <v>35.700000000000003</v>
      </c>
      <c r="I96" s="6">
        <v>8.34</v>
      </c>
      <c r="J96" s="6">
        <v>0.2</v>
      </c>
      <c r="K96" s="6">
        <v>165.59</v>
      </c>
      <c r="L96" s="6">
        <v>25.87</v>
      </c>
      <c r="M96" s="6">
        <v>57.58</v>
      </c>
      <c r="N96" s="6">
        <v>0</v>
      </c>
      <c r="O96" s="6">
        <v>0</v>
      </c>
      <c r="P96" s="6">
        <v>0.85</v>
      </c>
      <c r="Q96" s="6">
        <v>4.7699999999999996</v>
      </c>
    </row>
    <row r="97" spans="1:22" customFormat="1">
      <c r="A97" s="82">
        <v>45363.927083333336</v>
      </c>
      <c r="B97" s="6">
        <v>9.43</v>
      </c>
      <c r="C97" s="6">
        <v>29.22</v>
      </c>
      <c r="D97" s="6">
        <v>24.18</v>
      </c>
      <c r="E97" s="6">
        <v>7.2</v>
      </c>
      <c r="F97" s="6">
        <v>4.34</v>
      </c>
      <c r="G97" s="6">
        <v>90.78</v>
      </c>
      <c r="H97" s="6">
        <v>34.049999999999997</v>
      </c>
      <c r="I97" s="6">
        <v>8.51</v>
      </c>
      <c r="J97" s="6">
        <v>0.26</v>
      </c>
      <c r="K97" s="6">
        <v>164.42</v>
      </c>
      <c r="L97" s="6">
        <v>26.14</v>
      </c>
      <c r="M97" s="6">
        <v>53.15</v>
      </c>
      <c r="N97" s="6">
        <v>0</v>
      </c>
      <c r="O97" s="6">
        <v>0</v>
      </c>
      <c r="P97" s="6">
        <v>0.87</v>
      </c>
      <c r="Q97" s="6">
        <v>4.79</v>
      </c>
    </row>
    <row r="98" spans="1:22" customFormat="1">
      <c r="A98" s="82">
        <v>45363.9375</v>
      </c>
      <c r="B98" s="6">
        <v>10.34</v>
      </c>
      <c r="C98" s="6">
        <v>29.97</v>
      </c>
      <c r="D98" s="6">
        <v>25.3</v>
      </c>
      <c r="E98" s="6">
        <v>6.2</v>
      </c>
      <c r="F98" s="6">
        <v>4.3600000000000003</v>
      </c>
      <c r="G98" s="6">
        <v>90.78</v>
      </c>
      <c r="H98" s="6">
        <v>34.049999999999997</v>
      </c>
      <c r="I98" s="6">
        <v>8.81</v>
      </c>
      <c r="J98" s="6">
        <v>0.22</v>
      </c>
      <c r="K98" s="6">
        <v>197.57</v>
      </c>
      <c r="L98" s="6">
        <v>25.77</v>
      </c>
      <c r="M98" s="6">
        <v>58.67</v>
      </c>
      <c r="N98" s="6">
        <v>0</v>
      </c>
      <c r="O98" s="6">
        <v>0</v>
      </c>
      <c r="P98" s="6">
        <v>0.88</v>
      </c>
      <c r="Q98" s="6">
        <v>4.78</v>
      </c>
    </row>
    <row r="99" spans="1:22" customFormat="1">
      <c r="A99" s="82">
        <v>45363.947916666664</v>
      </c>
      <c r="B99" s="6">
        <v>11.04</v>
      </c>
      <c r="C99" s="6">
        <v>30.14</v>
      </c>
      <c r="D99" s="6">
        <v>25.95</v>
      </c>
      <c r="E99" s="6">
        <v>6.54</v>
      </c>
      <c r="F99" s="6">
        <v>4.3600000000000003</v>
      </c>
      <c r="G99" s="6">
        <v>90.78</v>
      </c>
      <c r="H99" s="6">
        <v>34.049999999999997</v>
      </c>
      <c r="I99" s="6">
        <v>8.9700000000000006</v>
      </c>
      <c r="J99" s="6">
        <v>0.18</v>
      </c>
      <c r="K99" s="6">
        <v>191.33</v>
      </c>
      <c r="L99" s="6">
        <v>25.28</v>
      </c>
      <c r="M99" s="6">
        <v>59.56</v>
      </c>
      <c r="N99" s="6">
        <v>0</v>
      </c>
      <c r="O99" s="6">
        <v>0</v>
      </c>
      <c r="P99" s="6">
        <v>0.89</v>
      </c>
      <c r="Q99" s="6">
        <v>4.8099999999999996</v>
      </c>
    </row>
    <row r="100" spans="1:22" customFormat="1">
      <c r="A100" s="82">
        <v>45363.958333333336</v>
      </c>
      <c r="B100" s="6">
        <v>11.02</v>
      </c>
      <c r="C100" s="6">
        <v>29.83</v>
      </c>
      <c r="D100" s="6">
        <v>25.78</v>
      </c>
      <c r="E100" s="6">
        <v>6.64</v>
      </c>
      <c r="F100" s="6">
        <v>4.34</v>
      </c>
      <c r="G100" s="6">
        <v>90.74</v>
      </c>
      <c r="H100" s="6">
        <v>33.99</v>
      </c>
      <c r="I100" s="6">
        <v>9.25</v>
      </c>
      <c r="J100" s="6">
        <v>0.22</v>
      </c>
      <c r="K100" s="6">
        <v>183.26</v>
      </c>
      <c r="L100" s="6">
        <v>25.14</v>
      </c>
      <c r="M100" s="6">
        <v>59.44</v>
      </c>
      <c r="N100" s="6">
        <v>0</v>
      </c>
      <c r="O100" s="6">
        <v>0</v>
      </c>
      <c r="P100" s="6">
        <v>0.9</v>
      </c>
      <c r="Q100" s="6">
        <v>4.8</v>
      </c>
    </row>
    <row r="101" spans="1:22" customFormat="1">
      <c r="A101" s="82">
        <v>45363.96875</v>
      </c>
      <c r="B101" s="6">
        <v>10.78</v>
      </c>
      <c r="C101" s="6">
        <v>29.52</v>
      </c>
      <c r="D101" s="6">
        <v>25.42</v>
      </c>
      <c r="E101" s="6">
        <v>6.64</v>
      </c>
      <c r="F101" s="6">
        <v>4.3899999999999997</v>
      </c>
      <c r="G101" s="6">
        <v>90.27</v>
      </c>
      <c r="H101" s="6">
        <v>33.35</v>
      </c>
      <c r="I101" s="6">
        <v>9.39</v>
      </c>
      <c r="J101" s="6">
        <v>0.18</v>
      </c>
      <c r="K101" s="6">
        <v>189.03</v>
      </c>
      <c r="L101" s="6">
        <v>24.9</v>
      </c>
      <c r="M101" s="6">
        <v>59.88</v>
      </c>
      <c r="N101" s="6">
        <v>0</v>
      </c>
      <c r="O101" s="6">
        <v>0</v>
      </c>
      <c r="P101" s="6">
        <v>0.92</v>
      </c>
      <c r="Q101" s="6">
        <v>4.78</v>
      </c>
    </row>
    <row r="102" spans="1:22" customFormat="1">
      <c r="A102" s="82">
        <v>45363.979166666664</v>
      </c>
      <c r="B102" s="6">
        <v>10.59</v>
      </c>
      <c r="C102" s="6">
        <v>29.46</v>
      </c>
      <c r="D102" s="6">
        <v>25.23</v>
      </c>
      <c r="E102" s="6">
        <v>6.67</v>
      </c>
      <c r="F102" s="6">
        <v>4.4800000000000004</v>
      </c>
      <c r="G102" s="6">
        <v>90.27</v>
      </c>
      <c r="H102" s="6">
        <v>33.35</v>
      </c>
      <c r="I102" s="6">
        <v>9.5500000000000007</v>
      </c>
      <c r="J102" s="6">
        <v>0.25</v>
      </c>
      <c r="K102" s="6">
        <v>197.24</v>
      </c>
      <c r="L102" s="6">
        <v>24.82</v>
      </c>
      <c r="M102" s="6">
        <v>60.05</v>
      </c>
      <c r="N102" s="6">
        <v>0</v>
      </c>
      <c r="O102" s="6">
        <v>0</v>
      </c>
      <c r="P102" s="6">
        <v>0.93</v>
      </c>
      <c r="Q102" s="6">
        <v>4.79</v>
      </c>
    </row>
    <row r="103" spans="1:22" customFormat="1">
      <c r="A103" s="82">
        <v>45363.989583333336</v>
      </c>
      <c r="B103" s="6">
        <v>10.49</v>
      </c>
      <c r="C103" s="6">
        <v>29.42</v>
      </c>
      <c r="D103" s="6">
        <v>25.14</v>
      </c>
      <c r="E103" s="6">
        <v>7.19</v>
      </c>
      <c r="F103" s="6">
        <v>4.49</v>
      </c>
      <c r="G103" s="6">
        <v>90.27</v>
      </c>
      <c r="H103" s="6">
        <v>33.35</v>
      </c>
      <c r="I103" s="6">
        <v>9.75</v>
      </c>
      <c r="J103" s="6">
        <v>0.19</v>
      </c>
      <c r="K103" s="6">
        <v>143.55000000000001</v>
      </c>
      <c r="L103" s="6">
        <v>24.68</v>
      </c>
      <c r="M103" s="6">
        <v>57.83</v>
      </c>
      <c r="N103" s="6">
        <v>0</v>
      </c>
      <c r="O103" s="6">
        <v>0</v>
      </c>
      <c r="P103" s="6">
        <v>0.93</v>
      </c>
      <c r="Q103" s="6">
        <v>4.78</v>
      </c>
    </row>
    <row r="104" spans="1:22" customFormat="1">
      <c r="A104" s="82">
        <v>45364</v>
      </c>
      <c r="B104" s="6">
        <v>10.75</v>
      </c>
      <c r="C104" s="6">
        <v>29.51</v>
      </c>
      <c r="D104" s="6">
        <v>25.39</v>
      </c>
      <c r="E104" s="6">
        <v>6.4</v>
      </c>
      <c r="F104" s="6">
        <v>4.4400000000000004</v>
      </c>
      <c r="G104" s="6">
        <v>91.25</v>
      </c>
      <c r="H104" s="6">
        <v>33.549999999999997</v>
      </c>
      <c r="I104" s="6">
        <v>9.81</v>
      </c>
      <c r="J104" s="6">
        <v>0.2</v>
      </c>
      <c r="K104" s="6">
        <v>168.63</v>
      </c>
      <c r="L104" s="6">
        <v>24.96</v>
      </c>
      <c r="M104" s="6">
        <v>56.33</v>
      </c>
      <c r="N104" s="6">
        <v>0</v>
      </c>
      <c r="O104" s="6">
        <v>0</v>
      </c>
      <c r="P104" s="6">
        <v>0.92</v>
      </c>
      <c r="Q104" s="6">
        <v>4.79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6" t="s">
        <v>48</v>
      </c>
      <c r="B106" s="187">
        <f>MIN(B9:B104)</f>
        <v>2.33</v>
      </c>
      <c r="C106" s="187">
        <f>MIN(C9:C104)</f>
        <v>19.21</v>
      </c>
      <c r="D106" s="187">
        <f t="shared" ref="D106:Q106" si="0">MIN(D9:D104)</f>
        <v>13.7</v>
      </c>
      <c r="E106" s="187">
        <f t="shared" si="0"/>
        <v>5.69</v>
      </c>
      <c r="F106" s="187">
        <f t="shared" si="0"/>
        <v>4.24</v>
      </c>
      <c r="G106" s="187">
        <f t="shared" si="0"/>
        <v>44.53</v>
      </c>
      <c r="H106" s="187">
        <f t="shared" si="0"/>
        <v>20.87</v>
      </c>
      <c r="I106" s="187">
        <f t="shared" si="0"/>
        <v>5.05</v>
      </c>
      <c r="J106" s="187">
        <f t="shared" si="0"/>
        <v>0</v>
      </c>
      <c r="K106" s="187">
        <f t="shared" si="0"/>
        <v>20.67</v>
      </c>
      <c r="L106" s="187">
        <f t="shared" si="0"/>
        <v>22.61</v>
      </c>
      <c r="M106" s="187">
        <f t="shared" si="0"/>
        <v>21.97</v>
      </c>
      <c r="N106" s="187">
        <f t="shared" si="0"/>
        <v>0</v>
      </c>
      <c r="O106" s="187">
        <f t="shared" si="0"/>
        <v>0</v>
      </c>
      <c r="P106" s="187">
        <f t="shared" si="0"/>
        <v>0.47</v>
      </c>
      <c r="Q106" s="187">
        <f t="shared" si="0"/>
        <v>4.63</v>
      </c>
      <c r="R106" s="192"/>
      <c r="S106" s="192"/>
      <c r="T106" s="192"/>
      <c r="U106" s="192"/>
    </row>
    <row r="107" spans="1:22">
      <c r="A107" s="186" t="s">
        <v>49</v>
      </c>
      <c r="B107" s="188">
        <f>MAX(B9:B104)</f>
        <v>22.16</v>
      </c>
      <c r="C107" s="188">
        <f t="shared" ref="C107:Q107" si="1">MAX(C9:C104)</f>
        <v>34.39</v>
      </c>
      <c r="D107" s="188">
        <f t="shared" si="1"/>
        <v>37.020000000000003</v>
      </c>
      <c r="E107" s="188">
        <f t="shared" si="1"/>
        <v>17.82</v>
      </c>
      <c r="F107" s="188">
        <f t="shared" si="1"/>
        <v>20.91</v>
      </c>
      <c r="G107" s="188">
        <f t="shared" si="1"/>
        <v>108.12</v>
      </c>
      <c r="H107" s="188">
        <f t="shared" si="1"/>
        <v>44.58</v>
      </c>
      <c r="I107" s="188">
        <f t="shared" si="1"/>
        <v>10.88</v>
      </c>
      <c r="J107" s="188">
        <f t="shared" si="1"/>
        <v>1.32</v>
      </c>
      <c r="K107" s="188">
        <f t="shared" si="1"/>
        <v>344.17</v>
      </c>
      <c r="L107" s="188">
        <f t="shared" si="1"/>
        <v>36.979999999999997</v>
      </c>
      <c r="M107" s="188">
        <f t="shared" si="1"/>
        <v>73.849999999999994</v>
      </c>
      <c r="N107" s="188">
        <f t="shared" si="1"/>
        <v>561.6</v>
      </c>
      <c r="O107" s="188">
        <f t="shared" si="1"/>
        <v>0</v>
      </c>
      <c r="P107" s="188">
        <f t="shared" si="1"/>
        <v>1.04</v>
      </c>
      <c r="Q107" s="188">
        <f t="shared" si="1"/>
        <v>4.84</v>
      </c>
      <c r="R107" s="193"/>
      <c r="S107" s="193"/>
      <c r="T107" s="193"/>
      <c r="U107" s="193"/>
    </row>
    <row r="108" spans="1:22">
      <c r="A108" s="186" t="s">
        <v>50</v>
      </c>
      <c r="B108" s="187">
        <f>AVERAGE(B9:B104)</f>
        <v>10.398958333333331</v>
      </c>
      <c r="C108" s="187">
        <f t="shared" ref="C108:Q108" si="2">AVERAGE(C9:C104)</f>
        <v>27.432812499999994</v>
      </c>
      <c r="D108" s="187">
        <f t="shared" si="2"/>
        <v>24.022812499999997</v>
      </c>
      <c r="E108" s="187">
        <f t="shared" si="2"/>
        <v>10.559166666666668</v>
      </c>
      <c r="F108" s="187">
        <f t="shared" si="2"/>
        <v>7.7046874999999986</v>
      </c>
      <c r="G108" s="187">
        <f t="shared" si="2"/>
        <v>81.420416666666668</v>
      </c>
      <c r="H108" s="187">
        <f t="shared" si="2"/>
        <v>35.453958333333325</v>
      </c>
      <c r="I108" s="187">
        <f t="shared" si="2"/>
        <v>8.4671874999999996</v>
      </c>
      <c r="J108" s="187">
        <f t="shared" si="2"/>
        <v>0.40020833333333328</v>
      </c>
      <c r="K108" s="187">
        <f t="shared" si="2"/>
        <v>207.85322916666669</v>
      </c>
      <c r="L108" s="187">
        <f t="shared" si="2"/>
        <v>29.434895833333329</v>
      </c>
      <c r="M108" s="187">
        <f t="shared" si="2"/>
        <v>47.731979166666655</v>
      </c>
      <c r="N108" s="187">
        <f t="shared" si="2"/>
        <v>144.93645833333335</v>
      </c>
      <c r="O108" s="187">
        <f t="shared" si="2"/>
        <v>0</v>
      </c>
      <c r="P108" s="187">
        <f t="shared" si="2"/>
        <v>0.84447916666666689</v>
      </c>
      <c r="Q108" s="187">
        <f t="shared" si="2"/>
        <v>4.7317708333333321</v>
      </c>
      <c r="R108" s="192"/>
      <c r="S108" s="192"/>
      <c r="T108" s="192"/>
      <c r="U108" s="192"/>
    </row>
    <row r="109" spans="1:22">
      <c r="A109" s="186" t="s">
        <v>51</v>
      </c>
      <c r="B109" s="187">
        <f>STDEV(B9:B104)</f>
        <v>7.0991109123336154</v>
      </c>
      <c r="C109" s="187">
        <f t="shared" ref="C109:Q109" si="3">STDEV(C9:C104)</f>
        <v>4.1185167752034095</v>
      </c>
      <c r="D109" s="187">
        <f t="shared" si="3"/>
        <v>6.9861325349618761</v>
      </c>
      <c r="E109" s="187">
        <f t="shared" si="3"/>
        <v>2.8230266201801122</v>
      </c>
      <c r="F109" s="187">
        <f t="shared" si="3"/>
        <v>4.5709780027162479</v>
      </c>
      <c r="G109" s="187">
        <f t="shared" si="3"/>
        <v>15.734767398589597</v>
      </c>
      <c r="H109" s="187">
        <f t="shared" si="3"/>
        <v>6.9229156436268484</v>
      </c>
      <c r="I109" s="187">
        <f t="shared" si="3"/>
        <v>1.7101041538763928</v>
      </c>
      <c r="J109" s="187">
        <f t="shared" si="3"/>
        <v>0.32133595853189861</v>
      </c>
      <c r="K109" s="187">
        <f t="shared" si="3"/>
        <v>75.142891816294565</v>
      </c>
      <c r="L109" s="187">
        <f t="shared" si="3"/>
        <v>4.7682471665872086</v>
      </c>
      <c r="M109" s="187">
        <f t="shared" si="3"/>
        <v>16.87794871670647</v>
      </c>
      <c r="N109" s="187">
        <f t="shared" si="3"/>
        <v>199.80230340582148</v>
      </c>
      <c r="O109" s="187">
        <f t="shared" si="3"/>
        <v>0</v>
      </c>
      <c r="P109" s="187">
        <f t="shared" si="3"/>
        <v>0.17662848188793079</v>
      </c>
      <c r="Q109" s="187">
        <f t="shared" si="3"/>
        <v>5.5174265390700986E-2</v>
      </c>
      <c r="R109" s="192"/>
      <c r="S109" s="192"/>
      <c r="T109" s="192"/>
      <c r="U109" s="192"/>
    </row>
    <row r="110" spans="1:22">
      <c r="A110" s="186" t="s">
        <v>52</v>
      </c>
      <c r="B110" s="188">
        <f t="shared" ref="B110:Q110" si="4">COUNT(B9:B104)</f>
        <v>96</v>
      </c>
      <c r="C110" s="188">
        <f t="shared" si="4"/>
        <v>96</v>
      </c>
      <c r="D110" s="188">
        <f t="shared" si="4"/>
        <v>96</v>
      </c>
      <c r="E110" s="188">
        <f t="shared" si="4"/>
        <v>96</v>
      </c>
      <c r="F110" s="188">
        <f t="shared" si="4"/>
        <v>96</v>
      </c>
      <c r="G110" s="188">
        <f t="shared" si="4"/>
        <v>96</v>
      </c>
      <c r="H110" s="188">
        <f t="shared" si="4"/>
        <v>96</v>
      </c>
      <c r="I110" s="188">
        <f t="shared" si="4"/>
        <v>96</v>
      </c>
      <c r="J110" s="188">
        <f t="shared" si="4"/>
        <v>96</v>
      </c>
      <c r="K110" s="188">
        <f t="shared" si="4"/>
        <v>96</v>
      </c>
      <c r="L110" s="188">
        <f t="shared" si="4"/>
        <v>96</v>
      </c>
      <c r="M110" s="188">
        <f t="shared" si="4"/>
        <v>96</v>
      </c>
      <c r="N110" s="188">
        <f t="shared" si="4"/>
        <v>96</v>
      </c>
      <c r="O110" s="188">
        <f t="shared" si="4"/>
        <v>96</v>
      </c>
      <c r="P110" s="188">
        <f t="shared" si="4"/>
        <v>96</v>
      </c>
      <c r="Q110" s="188">
        <f t="shared" si="4"/>
        <v>96</v>
      </c>
      <c r="R110" s="193"/>
      <c r="S110" s="193"/>
      <c r="T110" s="193"/>
      <c r="U110" s="193"/>
      <c r="V110" s="188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91"/>
      <c r="O113" s="191"/>
      <c r="P113" s="191"/>
      <c r="Q113" s="191"/>
      <c r="R113" s="191"/>
      <c r="S113" s="191"/>
      <c r="T113" s="191"/>
      <c r="U113" s="191"/>
    </row>
    <row r="115" spans="1:21">
      <c r="A115" s="153" t="s">
        <v>55</v>
      </c>
      <c r="B115" s="197" t="s">
        <v>56</v>
      </c>
      <c r="C115" s="197"/>
      <c r="D115" s="197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9" t="s">
        <v>57</v>
      </c>
      <c r="B117" s="198"/>
      <c r="C117" s="198"/>
      <c r="D117" s="198"/>
      <c r="E117" s="198"/>
      <c r="F117" s="198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3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45364.010416666664</v>
      </c>
      <c r="C2" s="196" t="s">
        <v>3</v>
      </c>
      <c r="D2" s="196"/>
      <c r="E2" s="196"/>
      <c r="F2" s="196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2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6" t="s">
        <v>11</v>
      </c>
      <c r="D3" s="196"/>
      <c r="E3" s="196"/>
      <c r="F3" s="196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2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6" t="s">
        <v>18</v>
      </c>
      <c r="D4" s="196"/>
      <c r="E4" s="196"/>
      <c r="F4" s="196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3" t="s">
        <v>43</v>
      </c>
      <c r="M8" s="114" t="s">
        <v>44</v>
      </c>
      <c r="N8" s="114" t="s">
        <v>45</v>
      </c>
      <c r="O8" s="183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2">
        <v>45364.010416666664</v>
      </c>
      <c r="B9" s="6">
        <v>12.43</v>
      </c>
      <c r="C9" s="6">
        <v>30.01</v>
      </c>
      <c r="D9" s="6">
        <v>26.99</v>
      </c>
      <c r="E9" s="6">
        <v>7.26</v>
      </c>
      <c r="F9" s="6">
        <v>4.46</v>
      </c>
      <c r="G9" s="6">
        <v>102.86</v>
      </c>
      <c r="H9" s="6">
        <v>35.94</v>
      </c>
      <c r="I9" s="6">
        <v>9.93</v>
      </c>
      <c r="J9" s="6">
        <v>0.56000000000000005</v>
      </c>
      <c r="K9" s="6">
        <v>72.16</v>
      </c>
      <c r="L9" s="6">
        <v>25.12</v>
      </c>
      <c r="M9" s="6">
        <v>51.68</v>
      </c>
      <c r="N9" s="6">
        <v>0</v>
      </c>
      <c r="O9" s="6">
        <v>0</v>
      </c>
      <c r="P9" s="6">
        <v>0.92</v>
      </c>
      <c r="Q9" s="6">
        <v>4.79</v>
      </c>
    </row>
    <row r="10" spans="1:21" customFormat="1">
      <c r="A10" s="82">
        <v>45364.020833333336</v>
      </c>
      <c r="B10" s="6">
        <v>15.63</v>
      </c>
      <c r="C10" s="6">
        <v>31.47</v>
      </c>
      <c r="D10" s="6">
        <v>30.33</v>
      </c>
      <c r="E10" s="6">
        <v>7.26</v>
      </c>
      <c r="F10" s="6">
        <v>4.5</v>
      </c>
      <c r="G10" s="6">
        <v>102.86</v>
      </c>
      <c r="H10" s="6">
        <v>35.94</v>
      </c>
      <c r="I10" s="6">
        <v>9.89</v>
      </c>
      <c r="J10" s="6">
        <v>0.19</v>
      </c>
      <c r="K10" s="6">
        <v>186.85</v>
      </c>
      <c r="L10" s="6">
        <v>25.6</v>
      </c>
      <c r="M10" s="6">
        <v>50.02</v>
      </c>
      <c r="N10" s="6">
        <v>0</v>
      </c>
      <c r="O10" s="6">
        <v>0</v>
      </c>
      <c r="P10" s="6">
        <v>0.93</v>
      </c>
      <c r="Q10" s="6">
        <v>4.79</v>
      </c>
    </row>
    <row r="11" spans="1:21" customFormat="1">
      <c r="A11" s="82">
        <v>45364.03125</v>
      </c>
      <c r="B11" s="6">
        <v>18.440000000000001</v>
      </c>
      <c r="C11" s="6">
        <v>32.61</v>
      </c>
      <c r="D11" s="6">
        <v>33.17</v>
      </c>
      <c r="E11" s="6">
        <v>7.61</v>
      </c>
      <c r="F11" s="6">
        <v>4.29</v>
      </c>
      <c r="G11" s="6">
        <v>102.86</v>
      </c>
      <c r="H11" s="6">
        <v>35.94</v>
      </c>
      <c r="I11" s="6">
        <v>10.039999999999999</v>
      </c>
      <c r="J11" s="6">
        <v>0.37</v>
      </c>
      <c r="K11" s="6">
        <v>69.98</v>
      </c>
      <c r="L11" s="6">
        <v>25.21</v>
      </c>
      <c r="M11" s="6">
        <v>52.04</v>
      </c>
      <c r="N11" s="6">
        <v>0</v>
      </c>
      <c r="O11" s="6">
        <v>0</v>
      </c>
      <c r="P11" s="6">
        <v>0.94</v>
      </c>
      <c r="Q11" s="6">
        <v>4.8099999999999996</v>
      </c>
    </row>
    <row r="12" spans="1:21" customFormat="1">
      <c r="A12" s="82">
        <v>45364.041666666664</v>
      </c>
      <c r="B12" s="6">
        <v>21.96</v>
      </c>
      <c r="C12" s="6">
        <v>33.9</v>
      </c>
      <c r="D12" s="6">
        <v>36.67</v>
      </c>
      <c r="E12" s="6">
        <v>7.1</v>
      </c>
      <c r="F12" s="6">
        <v>4.2699999999999996</v>
      </c>
      <c r="G12" s="6">
        <v>103.33</v>
      </c>
      <c r="H12" s="6">
        <v>36.53</v>
      </c>
      <c r="I12" s="6">
        <v>10.18</v>
      </c>
      <c r="J12" s="6">
        <v>0.12</v>
      </c>
      <c r="K12" s="6">
        <v>206.49</v>
      </c>
      <c r="L12" s="6">
        <v>24.98</v>
      </c>
      <c r="M12" s="6">
        <v>55.84</v>
      </c>
      <c r="N12" s="6">
        <v>0</v>
      </c>
      <c r="O12" s="6">
        <v>0</v>
      </c>
      <c r="P12" s="6">
        <v>0.98</v>
      </c>
      <c r="Q12" s="6">
        <v>4.82</v>
      </c>
    </row>
    <row r="13" spans="1:21" customFormat="1">
      <c r="A13" s="82">
        <v>45364.052083333336</v>
      </c>
      <c r="B13" s="6">
        <v>24.78</v>
      </c>
      <c r="C13" s="6">
        <v>32.42</v>
      </c>
      <c r="D13" s="6">
        <v>38.159999999999997</v>
      </c>
      <c r="E13" s="6">
        <v>6.5</v>
      </c>
      <c r="F13" s="6">
        <v>4.72</v>
      </c>
      <c r="G13" s="6">
        <v>109.96</v>
      </c>
      <c r="H13" s="6">
        <v>42.53</v>
      </c>
      <c r="I13" s="6">
        <v>10.47</v>
      </c>
      <c r="J13" s="6">
        <v>0.23</v>
      </c>
      <c r="K13" s="6">
        <v>198.88</v>
      </c>
      <c r="L13" s="6">
        <v>24.27</v>
      </c>
      <c r="M13" s="6">
        <v>58.53</v>
      </c>
      <c r="N13" s="6">
        <v>0</v>
      </c>
      <c r="O13" s="6">
        <v>0</v>
      </c>
      <c r="P13" s="6">
        <v>1.01</v>
      </c>
      <c r="Q13" s="6">
        <v>4.83</v>
      </c>
    </row>
    <row r="14" spans="1:21" customFormat="1">
      <c r="A14" s="82">
        <v>45364.0625</v>
      </c>
      <c r="B14" s="6">
        <v>27.03</v>
      </c>
      <c r="C14" s="6">
        <v>30.06</v>
      </c>
      <c r="D14" s="6">
        <v>38.729999999999997</v>
      </c>
      <c r="E14" s="6">
        <v>5.7</v>
      </c>
      <c r="F14" s="6">
        <v>4.93</v>
      </c>
      <c r="G14" s="6">
        <v>109.96</v>
      </c>
      <c r="H14" s="6">
        <v>42.53</v>
      </c>
      <c r="I14" s="6">
        <v>10.61</v>
      </c>
      <c r="J14" s="6">
        <v>0.21</v>
      </c>
      <c r="K14" s="6">
        <v>196.22</v>
      </c>
      <c r="L14" s="6">
        <v>23.51</v>
      </c>
      <c r="M14" s="6">
        <v>64.12</v>
      </c>
      <c r="N14" s="6">
        <v>0</v>
      </c>
      <c r="O14" s="6">
        <v>0</v>
      </c>
      <c r="P14" s="6">
        <v>1</v>
      </c>
      <c r="Q14" s="6">
        <v>4.83</v>
      </c>
    </row>
    <row r="15" spans="1:21" customFormat="1">
      <c r="A15" s="82">
        <v>45364.072916666664</v>
      </c>
      <c r="B15" s="6">
        <v>28.2</v>
      </c>
      <c r="C15" s="6">
        <v>28.67</v>
      </c>
      <c r="D15" s="6">
        <v>38.94</v>
      </c>
      <c r="E15" s="6">
        <v>4.91</v>
      </c>
      <c r="F15" s="6">
        <v>4.87</v>
      </c>
      <c r="G15" s="6">
        <v>109.96</v>
      </c>
      <c r="H15" s="6">
        <v>42.53</v>
      </c>
      <c r="I15" s="6">
        <v>10.7</v>
      </c>
      <c r="J15" s="6">
        <v>0.17</v>
      </c>
      <c r="K15" s="6">
        <v>199.45</v>
      </c>
      <c r="L15" s="6">
        <v>23.22</v>
      </c>
      <c r="M15" s="6">
        <v>62.9</v>
      </c>
      <c r="N15" s="6">
        <v>0</v>
      </c>
      <c r="O15" s="6">
        <v>0</v>
      </c>
      <c r="P15" s="6">
        <v>1</v>
      </c>
      <c r="Q15" s="6">
        <v>4.82</v>
      </c>
    </row>
    <row r="16" spans="1:21" customFormat="1">
      <c r="A16" s="82">
        <v>45364.083333333336</v>
      </c>
      <c r="B16" s="6">
        <v>28.82</v>
      </c>
      <c r="C16" s="6">
        <v>27.55</v>
      </c>
      <c r="D16" s="6">
        <v>38.85</v>
      </c>
      <c r="E16" s="6">
        <v>4.0599999999999996</v>
      </c>
      <c r="F16" s="6">
        <v>4.87</v>
      </c>
      <c r="G16" s="6">
        <v>110.04</v>
      </c>
      <c r="H16" s="6">
        <v>42.34</v>
      </c>
      <c r="I16" s="6">
        <v>10.77</v>
      </c>
      <c r="J16" s="6">
        <v>0.26</v>
      </c>
      <c r="K16" s="6">
        <v>175.79</v>
      </c>
      <c r="L16" s="6">
        <v>23.28</v>
      </c>
      <c r="M16" s="6">
        <v>64.28</v>
      </c>
      <c r="N16" s="6">
        <v>0</v>
      </c>
      <c r="O16" s="6">
        <v>0</v>
      </c>
      <c r="P16" s="6">
        <v>0.99</v>
      </c>
      <c r="Q16" s="6">
        <v>4.8</v>
      </c>
    </row>
    <row r="17" spans="1:17" customFormat="1">
      <c r="A17" s="82">
        <v>45364.09375</v>
      </c>
      <c r="B17" s="6">
        <v>29.12</v>
      </c>
      <c r="C17" s="6">
        <v>26.64</v>
      </c>
      <c r="D17" s="6">
        <v>38.619999999999997</v>
      </c>
      <c r="E17" s="6">
        <v>6.33</v>
      </c>
      <c r="F17" s="6">
        <v>4.8899999999999997</v>
      </c>
      <c r="G17" s="6">
        <v>111.15</v>
      </c>
      <c r="H17" s="6">
        <v>40.130000000000003</v>
      </c>
      <c r="I17" s="6">
        <v>10.82</v>
      </c>
      <c r="J17" s="6">
        <v>0.15</v>
      </c>
      <c r="K17" s="6">
        <v>194.4</v>
      </c>
      <c r="L17" s="6">
        <v>23.19</v>
      </c>
      <c r="M17" s="6">
        <v>63.53</v>
      </c>
      <c r="N17" s="6">
        <v>0</v>
      </c>
      <c r="O17" s="6">
        <v>0</v>
      </c>
      <c r="P17" s="6">
        <v>0.98</v>
      </c>
      <c r="Q17" s="6">
        <v>4.84</v>
      </c>
    </row>
    <row r="18" spans="1:17" customFormat="1">
      <c r="A18" s="82">
        <v>45364.104166666664</v>
      </c>
      <c r="B18" s="6">
        <v>29.17</v>
      </c>
      <c r="C18" s="6">
        <v>25.87</v>
      </c>
      <c r="D18" s="6">
        <v>38.26</v>
      </c>
      <c r="E18" s="6">
        <v>8.16</v>
      </c>
      <c r="F18" s="6">
        <v>4.87</v>
      </c>
      <c r="G18" s="6">
        <v>111.15</v>
      </c>
      <c r="H18" s="6">
        <v>40.130000000000003</v>
      </c>
      <c r="I18" s="6">
        <v>10.89</v>
      </c>
      <c r="J18" s="6">
        <v>0.12</v>
      </c>
      <c r="K18" s="6">
        <v>243.78</v>
      </c>
      <c r="L18" s="6">
        <v>23.1</v>
      </c>
      <c r="M18" s="6">
        <v>60.7</v>
      </c>
      <c r="N18" s="6">
        <v>0</v>
      </c>
      <c r="O18" s="6">
        <v>0</v>
      </c>
      <c r="P18" s="6">
        <v>0.97</v>
      </c>
      <c r="Q18" s="6">
        <v>4.8499999999999996</v>
      </c>
    </row>
    <row r="19" spans="1:17" customFormat="1">
      <c r="A19" s="82">
        <v>45364.114583333336</v>
      </c>
      <c r="B19" s="6">
        <v>28.74</v>
      </c>
      <c r="C19" s="6">
        <v>25.47</v>
      </c>
      <c r="D19" s="6">
        <v>37.700000000000003</v>
      </c>
      <c r="E19" s="6">
        <v>7.7</v>
      </c>
      <c r="F19" s="6">
        <v>4.8499999999999996</v>
      </c>
      <c r="G19" s="6">
        <v>111.15</v>
      </c>
      <c r="H19" s="6">
        <v>40.130000000000003</v>
      </c>
      <c r="I19" s="6">
        <v>10.92</v>
      </c>
      <c r="J19" s="6">
        <v>0.18</v>
      </c>
      <c r="K19" s="6">
        <v>217.55</v>
      </c>
      <c r="L19" s="6">
        <v>23.44</v>
      </c>
      <c r="M19" s="6">
        <v>56.86</v>
      </c>
      <c r="N19" s="6">
        <v>0</v>
      </c>
      <c r="O19" s="6">
        <v>0</v>
      </c>
      <c r="P19" s="6">
        <v>0.97</v>
      </c>
      <c r="Q19" s="6">
        <v>4.8600000000000003</v>
      </c>
    </row>
    <row r="20" spans="1:17" customFormat="1">
      <c r="A20" s="82">
        <v>45364.125</v>
      </c>
      <c r="B20" s="6">
        <v>27.51</v>
      </c>
      <c r="C20" s="6">
        <v>25.06</v>
      </c>
      <c r="D20" s="6">
        <v>36.51</v>
      </c>
      <c r="E20" s="6">
        <v>7.61</v>
      </c>
      <c r="F20" s="6">
        <v>4.8600000000000003</v>
      </c>
      <c r="G20" s="6">
        <v>110.56</v>
      </c>
      <c r="H20" s="6">
        <v>39.78</v>
      </c>
      <c r="I20" s="6">
        <v>10.97</v>
      </c>
      <c r="J20" s="6">
        <v>0.14000000000000001</v>
      </c>
      <c r="K20" s="6">
        <v>212.63</v>
      </c>
      <c r="L20" s="6">
        <v>23.53</v>
      </c>
      <c r="M20" s="6">
        <v>56.47</v>
      </c>
      <c r="N20" s="6">
        <v>0</v>
      </c>
      <c r="O20" s="6">
        <v>0</v>
      </c>
      <c r="P20" s="6">
        <v>0.92</v>
      </c>
      <c r="Q20" s="6">
        <v>4.9000000000000004</v>
      </c>
    </row>
    <row r="21" spans="1:17" customFormat="1">
      <c r="A21" s="82">
        <v>45364.135416666664</v>
      </c>
      <c r="B21" s="6">
        <v>25.1</v>
      </c>
      <c r="C21" s="6">
        <v>25.62</v>
      </c>
      <c r="D21" s="6">
        <v>34.869999999999997</v>
      </c>
      <c r="E21" s="6">
        <v>8.34</v>
      </c>
      <c r="F21" s="6">
        <v>4.71</v>
      </c>
      <c r="G21" s="6">
        <v>102.2</v>
      </c>
      <c r="H21" s="6">
        <v>35.56</v>
      </c>
      <c r="I21" s="6">
        <v>11.17</v>
      </c>
      <c r="J21" s="6">
        <v>0.16</v>
      </c>
      <c r="K21" s="6">
        <v>202.45</v>
      </c>
      <c r="L21" s="6">
        <v>23.82</v>
      </c>
      <c r="M21" s="6">
        <v>54.68</v>
      </c>
      <c r="N21" s="6">
        <v>0</v>
      </c>
      <c r="O21" s="6">
        <v>0</v>
      </c>
      <c r="P21" s="6">
        <v>0.89</v>
      </c>
      <c r="Q21" s="6">
        <v>4.92</v>
      </c>
    </row>
    <row r="22" spans="1:17" customFormat="1">
      <c r="A22" s="82">
        <v>45364.145833333336</v>
      </c>
      <c r="B22" s="6">
        <v>22.64</v>
      </c>
      <c r="C22" s="6">
        <v>26.02</v>
      </c>
      <c r="D22" s="6">
        <v>33.1</v>
      </c>
      <c r="E22" s="6">
        <v>7.99</v>
      </c>
      <c r="F22" s="6">
        <v>4.67</v>
      </c>
      <c r="G22" s="6">
        <v>102.2</v>
      </c>
      <c r="H22" s="6">
        <v>35.56</v>
      </c>
      <c r="I22" s="6">
        <v>11.18</v>
      </c>
      <c r="J22" s="6">
        <v>0.17</v>
      </c>
      <c r="K22" s="6">
        <v>196.16</v>
      </c>
      <c r="L22" s="6">
        <v>23.71</v>
      </c>
      <c r="M22" s="6">
        <v>57.7</v>
      </c>
      <c r="N22" s="6">
        <v>0</v>
      </c>
      <c r="O22" s="6">
        <v>0</v>
      </c>
      <c r="P22" s="6">
        <v>0.87</v>
      </c>
      <c r="Q22" s="6">
        <v>4.9400000000000004</v>
      </c>
    </row>
    <row r="23" spans="1:17" customFormat="1">
      <c r="A23" s="82">
        <v>45364.15625</v>
      </c>
      <c r="B23" s="6">
        <v>20.329999999999998</v>
      </c>
      <c r="C23" s="6">
        <v>26.1</v>
      </c>
      <c r="D23" s="6">
        <v>31.29</v>
      </c>
      <c r="E23" s="6">
        <v>7.69</v>
      </c>
      <c r="F23" s="6">
        <v>4.72</v>
      </c>
      <c r="G23" s="6">
        <v>102.2</v>
      </c>
      <c r="H23" s="6">
        <v>35.56</v>
      </c>
      <c r="I23" s="6">
        <v>11.02</v>
      </c>
      <c r="J23" s="6">
        <v>0.16</v>
      </c>
      <c r="K23" s="6">
        <v>194.49</v>
      </c>
      <c r="L23" s="6">
        <v>23.39</v>
      </c>
      <c r="M23" s="6">
        <v>59.21</v>
      </c>
      <c r="N23" s="6">
        <v>0</v>
      </c>
      <c r="O23" s="6">
        <v>0</v>
      </c>
      <c r="P23" s="6">
        <v>0.86</v>
      </c>
      <c r="Q23" s="6">
        <v>4.9400000000000004</v>
      </c>
    </row>
    <row r="24" spans="1:17" customFormat="1">
      <c r="A24" s="82">
        <v>45364.166666666664</v>
      </c>
      <c r="B24" s="6">
        <v>18.36</v>
      </c>
      <c r="C24" s="6">
        <v>26.13</v>
      </c>
      <c r="D24" s="6">
        <v>29.72</v>
      </c>
      <c r="E24" s="6">
        <v>7.69</v>
      </c>
      <c r="F24" s="6">
        <v>4.6900000000000004</v>
      </c>
      <c r="G24" s="6">
        <v>100.54</v>
      </c>
      <c r="H24" s="6">
        <v>35.36</v>
      </c>
      <c r="I24" s="6">
        <v>10.8</v>
      </c>
      <c r="J24" s="6">
        <v>0.16</v>
      </c>
      <c r="K24" s="6">
        <v>167.64</v>
      </c>
      <c r="L24" s="6">
        <v>23.28</v>
      </c>
      <c r="M24" s="6">
        <v>62.44</v>
      </c>
      <c r="N24" s="6">
        <v>0</v>
      </c>
      <c r="O24" s="6">
        <v>0</v>
      </c>
      <c r="P24" s="6">
        <v>0.83</v>
      </c>
      <c r="Q24" s="6">
        <v>4.9400000000000004</v>
      </c>
    </row>
    <row r="25" spans="1:17" customFormat="1">
      <c r="A25" s="82">
        <v>45364.177083333336</v>
      </c>
      <c r="B25" s="6">
        <v>16.78</v>
      </c>
      <c r="C25" s="6">
        <v>25.91</v>
      </c>
      <c r="D25" s="6">
        <v>28.34</v>
      </c>
      <c r="E25" s="6">
        <v>7.93</v>
      </c>
      <c r="F25" s="6">
        <v>4.58</v>
      </c>
      <c r="G25" s="6">
        <v>77.23</v>
      </c>
      <c r="H25" s="6">
        <v>32.89</v>
      </c>
      <c r="I25" s="6">
        <v>10.68</v>
      </c>
      <c r="J25" s="6">
        <v>0.18</v>
      </c>
      <c r="K25" s="6">
        <v>148.33000000000001</v>
      </c>
      <c r="L25" s="6">
        <v>23.35</v>
      </c>
      <c r="M25" s="6">
        <v>59.68</v>
      </c>
      <c r="N25" s="6">
        <v>0</v>
      </c>
      <c r="O25" s="6">
        <v>0</v>
      </c>
      <c r="P25" s="6">
        <v>0.83</v>
      </c>
      <c r="Q25" s="6">
        <v>4.92</v>
      </c>
    </row>
    <row r="26" spans="1:17" customFormat="1">
      <c r="A26" s="82">
        <v>45364.1875</v>
      </c>
      <c r="B26" s="6">
        <v>15.57</v>
      </c>
      <c r="C26" s="6">
        <v>25.89</v>
      </c>
      <c r="D26" s="6">
        <v>27.36</v>
      </c>
      <c r="E26" s="6">
        <v>8.52</v>
      </c>
      <c r="F26" s="6">
        <v>4.6900000000000004</v>
      </c>
      <c r="G26" s="6">
        <v>77.23</v>
      </c>
      <c r="H26" s="6">
        <v>32.89</v>
      </c>
      <c r="I26" s="6">
        <v>10.6</v>
      </c>
      <c r="J26" s="6">
        <v>0.24</v>
      </c>
      <c r="K26" s="6">
        <v>169.29</v>
      </c>
      <c r="L26" s="6">
        <v>23.38</v>
      </c>
      <c r="M26" s="6">
        <v>58.34</v>
      </c>
      <c r="N26" s="6">
        <v>0</v>
      </c>
      <c r="O26" s="6">
        <v>0</v>
      </c>
      <c r="P26" s="6">
        <v>0.81</v>
      </c>
      <c r="Q26" s="6">
        <v>4.91</v>
      </c>
    </row>
    <row r="27" spans="1:17" customFormat="1">
      <c r="A27" s="82">
        <v>45364.197916666664</v>
      </c>
      <c r="B27" s="6">
        <v>14.81</v>
      </c>
      <c r="C27" s="6">
        <v>26.23</v>
      </c>
      <c r="D27" s="6">
        <v>26.93</v>
      </c>
      <c r="E27" s="6">
        <v>8.43</v>
      </c>
      <c r="F27" s="6">
        <v>4.46</v>
      </c>
      <c r="G27" s="6">
        <v>77.23</v>
      </c>
      <c r="H27" s="6">
        <v>32.89</v>
      </c>
      <c r="I27" s="6">
        <v>10.39</v>
      </c>
      <c r="J27" s="6">
        <v>0.01</v>
      </c>
      <c r="K27" s="6">
        <v>100.72</v>
      </c>
      <c r="L27" s="6">
        <v>22.73</v>
      </c>
      <c r="M27" s="6">
        <v>65.12</v>
      </c>
      <c r="N27" s="6">
        <v>0</v>
      </c>
      <c r="O27" s="6">
        <v>0</v>
      </c>
      <c r="P27" s="6">
        <v>0.8</v>
      </c>
      <c r="Q27" s="6">
        <v>4.88</v>
      </c>
    </row>
    <row r="28" spans="1:17" customFormat="1">
      <c r="A28" s="82">
        <v>45364.208333333336</v>
      </c>
      <c r="B28" s="6">
        <v>15.62</v>
      </c>
      <c r="C28" s="6">
        <v>26.88</v>
      </c>
      <c r="D28" s="6">
        <v>27.92</v>
      </c>
      <c r="E28" s="6">
        <v>8.43</v>
      </c>
      <c r="F28" s="6">
        <v>4.32</v>
      </c>
      <c r="G28" s="6">
        <v>76.69</v>
      </c>
      <c r="H28" s="6">
        <v>32.630000000000003</v>
      </c>
      <c r="I28" s="6">
        <v>10.29</v>
      </c>
      <c r="J28" s="6">
        <v>0.2</v>
      </c>
      <c r="K28" s="6">
        <v>140.11000000000001</v>
      </c>
      <c r="L28" s="6">
        <v>23.1</v>
      </c>
      <c r="M28" s="6">
        <v>60.48</v>
      </c>
      <c r="N28" s="6">
        <v>0</v>
      </c>
      <c r="O28" s="6">
        <v>0</v>
      </c>
      <c r="P28" s="6">
        <v>0.79</v>
      </c>
      <c r="Q28" s="6">
        <v>4.8499999999999996</v>
      </c>
    </row>
    <row r="29" spans="1:17" customFormat="1">
      <c r="A29" s="82">
        <v>45364.21875</v>
      </c>
      <c r="B29" s="6">
        <v>18.38</v>
      </c>
      <c r="C29" s="6">
        <v>28.26</v>
      </c>
      <c r="D29" s="6">
        <v>30.86</v>
      </c>
      <c r="E29" s="6">
        <v>8.82</v>
      </c>
      <c r="F29" s="6">
        <v>4.33</v>
      </c>
      <c r="G29" s="6">
        <v>69.09</v>
      </c>
      <c r="H29" s="6">
        <v>29.5</v>
      </c>
      <c r="I29" s="6">
        <v>10.28</v>
      </c>
      <c r="J29" s="6">
        <v>0.2</v>
      </c>
      <c r="K29" s="6">
        <v>36.14</v>
      </c>
      <c r="L29" s="6">
        <v>23</v>
      </c>
      <c r="M29" s="6">
        <v>59.53</v>
      </c>
      <c r="N29" s="6">
        <v>0</v>
      </c>
      <c r="O29" s="6">
        <v>0</v>
      </c>
      <c r="P29" s="6">
        <v>0.8</v>
      </c>
      <c r="Q29" s="6">
        <v>4.8600000000000003</v>
      </c>
    </row>
    <row r="30" spans="1:17" customFormat="1">
      <c r="A30" s="82">
        <v>45364.229166666664</v>
      </c>
      <c r="B30" s="6">
        <v>21.86</v>
      </c>
      <c r="C30" s="6">
        <v>29.65</v>
      </c>
      <c r="D30" s="6">
        <v>34.369999999999997</v>
      </c>
      <c r="E30" s="6">
        <v>9.07</v>
      </c>
      <c r="F30" s="6">
        <v>4.43</v>
      </c>
      <c r="G30" s="6">
        <v>69.09</v>
      </c>
      <c r="H30" s="6">
        <v>29.5</v>
      </c>
      <c r="I30" s="6">
        <v>10.199999999999999</v>
      </c>
      <c r="J30" s="6">
        <v>0.28999999999999998</v>
      </c>
      <c r="K30" s="6">
        <v>47.8</v>
      </c>
      <c r="L30" s="6">
        <v>23.01</v>
      </c>
      <c r="M30" s="6">
        <v>59.5</v>
      </c>
      <c r="N30" s="6">
        <v>0</v>
      </c>
      <c r="O30" s="6">
        <v>0</v>
      </c>
      <c r="P30" s="6">
        <v>0.81</v>
      </c>
      <c r="Q30" s="6">
        <v>4.87</v>
      </c>
    </row>
    <row r="31" spans="1:17" customFormat="1">
      <c r="A31" s="82">
        <v>45364.239583333336</v>
      </c>
      <c r="B31" s="6">
        <v>24.43</v>
      </c>
      <c r="C31" s="6">
        <v>30.48</v>
      </c>
      <c r="D31" s="6">
        <v>36.86</v>
      </c>
      <c r="E31" s="6">
        <v>8.73</v>
      </c>
      <c r="F31" s="6">
        <v>4.41</v>
      </c>
      <c r="G31" s="6">
        <v>69.09</v>
      </c>
      <c r="H31" s="6">
        <v>29.5</v>
      </c>
      <c r="I31" s="6">
        <v>10.23</v>
      </c>
      <c r="J31" s="6">
        <v>0.25</v>
      </c>
      <c r="K31" s="6">
        <v>211.62</v>
      </c>
      <c r="L31" s="6">
        <v>22.61</v>
      </c>
      <c r="M31" s="6">
        <v>64.400000000000006</v>
      </c>
      <c r="N31" s="6">
        <v>0</v>
      </c>
      <c r="O31" s="6">
        <v>0</v>
      </c>
      <c r="P31" s="6">
        <v>0.82</v>
      </c>
      <c r="Q31" s="6">
        <v>4.88</v>
      </c>
    </row>
    <row r="32" spans="1:17" customFormat="1">
      <c r="A32" s="82">
        <v>45364.25</v>
      </c>
      <c r="B32" s="6">
        <v>25.63</v>
      </c>
      <c r="C32" s="6">
        <v>30.7</v>
      </c>
      <c r="D32" s="6">
        <v>37.94</v>
      </c>
      <c r="E32" s="6">
        <v>8.9</v>
      </c>
      <c r="F32" s="6">
        <v>4.42</v>
      </c>
      <c r="G32" s="6">
        <v>70.23</v>
      </c>
      <c r="H32" s="6">
        <v>29.89</v>
      </c>
      <c r="I32" s="6">
        <v>10.39</v>
      </c>
      <c r="J32" s="6">
        <v>0.3</v>
      </c>
      <c r="K32" s="6">
        <v>194.07</v>
      </c>
      <c r="L32" s="6">
        <v>22.01</v>
      </c>
      <c r="M32" s="6">
        <v>69.599999999999994</v>
      </c>
      <c r="N32" s="6">
        <v>0</v>
      </c>
      <c r="O32" s="6">
        <v>0</v>
      </c>
      <c r="P32" s="6">
        <v>0.82</v>
      </c>
      <c r="Q32" s="6">
        <v>4.87</v>
      </c>
    </row>
    <row r="33" spans="1:17" customFormat="1">
      <c r="A33" s="82">
        <v>45364.260416666664</v>
      </c>
      <c r="B33" s="6">
        <v>25.77</v>
      </c>
      <c r="C33" s="6">
        <v>30.69</v>
      </c>
      <c r="D33" s="6">
        <v>38.049999999999997</v>
      </c>
      <c r="E33" s="6">
        <v>8.91</v>
      </c>
      <c r="F33" s="6">
        <v>4.49</v>
      </c>
      <c r="G33" s="6">
        <v>86.21</v>
      </c>
      <c r="H33" s="6">
        <v>34.71</v>
      </c>
      <c r="I33" s="6">
        <v>10.57</v>
      </c>
      <c r="J33" s="6">
        <v>0.15</v>
      </c>
      <c r="K33" s="6">
        <v>218.13</v>
      </c>
      <c r="L33" s="6">
        <v>21.73</v>
      </c>
      <c r="M33" s="6">
        <v>68.540000000000006</v>
      </c>
      <c r="N33" s="6">
        <v>0</v>
      </c>
      <c r="O33" s="6">
        <v>0</v>
      </c>
      <c r="P33" s="6">
        <v>0.83</v>
      </c>
      <c r="Q33" s="6">
        <v>4.87</v>
      </c>
    </row>
    <row r="34" spans="1:17" customFormat="1">
      <c r="A34" s="82">
        <v>45364.270833333336</v>
      </c>
      <c r="B34" s="6">
        <v>24.97</v>
      </c>
      <c r="C34" s="6">
        <v>30.42</v>
      </c>
      <c r="D34" s="6">
        <v>37.270000000000003</v>
      </c>
      <c r="E34" s="6">
        <v>8.9</v>
      </c>
      <c r="F34" s="6">
        <v>4.3899999999999997</v>
      </c>
      <c r="G34" s="6">
        <v>86.21</v>
      </c>
      <c r="H34" s="6">
        <v>34.71</v>
      </c>
      <c r="I34" s="6">
        <v>10.65</v>
      </c>
      <c r="J34" s="6">
        <v>0.09</v>
      </c>
      <c r="K34" s="6">
        <v>188.24</v>
      </c>
      <c r="L34" s="6">
        <v>21.86</v>
      </c>
      <c r="M34" s="6">
        <v>66.86</v>
      </c>
      <c r="N34" s="6">
        <v>3.5</v>
      </c>
      <c r="O34" s="6">
        <v>0</v>
      </c>
      <c r="P34" s="6">
        <v>0.81</v>
      </c>
      <c r="Q34" s="6">
        <v>4.8600000000000003</v>
      </c>
    </row>
    <row r="35" spans="1:17" customFormat="1">
      <c r="A35" s="82">
        <v>45364.28125</v>
      </c>
      <c r="B35" s="6">
        <v>23.7</v>
      </c>
      <c r="C35" s="6">
        <v>30.23</v>
      </c>
      <c r="D35" s="6">
        <v>36.15</v>
      </c>
      <c r="E35" s="6">
        <v>9.5500000000000007</v>
      </c>
      <c r="F35" s="6">
        <v>4.4400000000000004</v>
      </c>
      <c r="G35" s="6">
        <v>86.21</v>
      </c>
      <c r="H35" s="6">
        <v>34.71</v>
      </c>
      <c r="I35" s="6">
        <v>10.65</v>
      </c>
      <c r="J35" s="6">
        <v>0.17</v>
      </c>
      <c r="K35" s="6">
        <v>158.78</v>
      </c>
      <c r="L35" s="6">
        <v>22.5</v>
      </c>
      <c r="M35" s="6">
        <v>65.91</v>
      </c>
      <c r="N35" s="6">
        <v>13.3</v>
      </c>
      <c r="O35" s="6">
        <v>0</v>
      </c>
      <c r="P35" s="6">
        <v>0.82</v>
      </c>
      <c r="Q35" s="6">
        <v>4.8499999999999996</v>
      </c>
    </row>
    <row r="36" spans="1:17" customFormat="1">
      <c r="A36" s="82">
        <v>45364.291666666664</v>
      </c>
      <c r="B36" s="6">
        <v>22.51</v>
      </c>
      <c r="C36" s="6">
        <v>29.83</v>
      </c>
      <c r="D36" s="6">
        <v>34.99</v>
      </c>
      <c r="E36" s="6">
        <v>8.6199999999999992</v>
      </c>
      <c r="F36" s="6">
        <v>4.45</v>
      </c>
      <c r="G36" s="6">
        <v>85.75</v>
      </c>
      <c r="H36" s="6">
        <v>34.57</v>
      </c>
      <c r="I36" s="6">
        <v>10.65</v>
      </c>
      <c r="J36" s="6">
        <v>0.15</v>
      </c>
      <c r="K36" s="6">
        <v>160.72999999999999</v>
      </c>
      <c r="L36" s="6">
        <v>22.94</v>
      </c>
      <c r="M36" s="6">
        <v>66.209999999999994</v>
      </c>
      <c r="N36" s="6">
        <v>24.2</v>
      </c>
      <c r="O36" s="6">
        <v>0</v>
      </c>
      <c r="P36" s="6">
        <v>0.81</v>
      </c>
      <c r="Q36" s="6">
        <v>4.8499999999999996</v>
      </c>
    </row>
    <row r="37" spans="1:17" customFormat="1">
      <c r="A37" s="82">
        <v>45364.302083333336</v>
      </c>
      <c r="B37" s="6">
        <v>21.09</v>
      </c>
      <c r="C37" s="6">
        <v>29.38</v>
      </c>
      <c r="D37" s="6">
        <v>33.61</v>
      </c>
      <c r="E37" s="6">
        <v>8.58</v>
      </c>
      <c r="F37" s="6">
        <v>4.49</v>
      </c>
      <c r="G37" s="6">
        <v>79.209999999999994</v>
      </c>
      <c r="H37" s="6">
        <v>32.909999999999997</v>
      </c>
      <c r="I37" s="6">
        <v>10.73</v>
      </c>
      <c r="J37" s="6">
        <v>0.22</v>
      </c>
      <c r="K37" s="6">
        <v>165.25</v>
      </c>
      <c r="L37" s="6">
        <v>23.7</v>
      </c>
      <c r="M37" s="6">
        <v>64.239999999999995</v>
      </c>
      <c r="N37" s="6">
        <v>34.9</v>
      </c>
      <c r="O37" s="6">
        <v>0</v>
      </c>
      <c r="P37" s="6">
        <v>0.81</v>
      </c>
      <c r="Q37" s="6">
        <v>4.84</v>
      </c>
    </row>
    <row r="38" spans="1:17" customFormat="1">
      <c r="A38" s="82">
        <v>45364.3125</v>
      </c>
      <c r="B38" s="6">
        <v>19.59</v>
      </c>
      <c r="C38" s="6">
        <v>29.04</v>
      </c>
      <c r="D38" s="6">
        <v>32.229999999999997</v>
      </c>
      <c r="E38" s="6">
        <v>9.17</v>
      </c>
      <c r="F38" s="6">
        <v>4.4800000000000004</v>
      </c>
      <c r="G38" s="6">
        <v>79.209999999999994</v>
      </c>
      <c r="H38" s="6">
        <v>32.909999999999997</v>
      </c>
      <c r="I38" s="6">
        <v>10.77</v>
      </c>
      <c r="J38" s="6">
        <v>0.18</v>
      </c>
      <c r="K38" s="6">
        <v>262.72000000000003</v>
      </c>
      <c r="L38" s="6">
        <v>24.59</v>
      </c>
      <c r="M38" s="6">
        <v>59.22</v>
      </c>
      <c r="N38" s="6">
        <v>47.2</v>
      </c>
      <c r="O38" s="6">
        <v>0</v>
      </c>
      <c r="P38" s="6">
        <v>0.82</v>
      </c>
      <c r="Q38" s="6">
        <v>4.82</v>
      </c>
    </row>
    <row r="39" spans="1:17" customFormat="1">
      <c r="A39" s="82">
        <v>45364.322916666664</v>
      </c>
      <c r="B39" s="6">
        <v>18.420000000000002</v>
      </c>
      <c r="C39" s="6">
        <v>28.98</v>
      </c>
      <c r="D39" s="6">
        <v>31.26</v>
      </c>
      <c r="E39" s="6">
        <v>8.6300000000000008</v>
      </c>
      <c r="F39" s="6">
        <v>4.45</v>
      </c>
      <c r="G39" s="6">
        <v>79.209999999999994</v>
      </c>
      <c r="H39" s="6">
        <v>32.909999999999997</v>
      </c>
      <c r="I39" s="6">
        <v>10.79</v>
      </c>
      <c r="J39" s="6">
        <v>0.26</v>
      </c>
      <c r="K39" s="6">
        <v>271.41000000000003</v>
      </c>
      <c r="L39" s="6">
        <v>25.55</v>
      </c>
      <c r="M39" s="6">
        <v>53.72</v>
      </c>
      <c r="N39" s="6">
        <v>73</v>
      </c>
      <c r="O39" s="6">
        <v>0</v>
      </c>
      <c r="P39" s="6">
        <v>0.87</v>
      </c>
      <c r="Q39" s="6">
        <v>4.8</v>
      </c>
    </row>
    <row r="40" spans="1:17" customFormat="1">
      <c r="A40" s="82">
        <v>45364.333333333336</v>
      </c>
      <c r="B40" s="6">
        <v>17.71</v>
      </c>
      <c r="C40" s="6">
        <v>26.98</v>
      </c>
      <c r="D40" s="6">
        <v>29.65</v>
      </c>
      <c r="E40" s="6">
        <v>7.96</v>
      </c>
      <c r="F40" s="6">
        <v>4.9000000000000004</v>
      </c>
      <c r="G40" s="6">
        <v>78.45</v>
      </c>
      <c r="H40" s="6">
        <v>32.58</v>
      </c>
      <c r="I40" s="6">
        <v>10.7</v>
      </c>
      <c r="J40" s="6">
        <v>0.26</v>
      </c>
      <c r="K40" s="6">
        <v>186.15</v>
      </c>
      <c r="L40" s="6">
        <v>26.62</v>
      </c>
      <c r="M40" s="6">
        <v>49.66</v>
      </c>
      <c r="N40" s="6">
        <v>120.9</v>
      </c>
      <c r="O40" s="6">
        <v>0</v>
      </c>
      <c r="P40" s="6">
        <v>0.88</v>
      </c>
      <c r="Q40" s="6">
        <v>4.78</v>
      </c>
    </row>
    <row r="41" spans="1:17" customFormat="1">
      <c r="A41" s="82">
        <v>45364.34375</v>
      </c>
      <c r="B41" s="6">
        <v>16.8</v>
      </c>
      <c r="C41" s="6">
        <v>25.47</v>
      </c>
      <c r="D41" s="6">
        <v>28.13</v>
      </c>
      <c r="E41" s="6">
        <v>7.58</v>
      </c>
      <c r="F41" s="6">
        <v>4.9800000000000004</v>
      </c>
      <c r="G41" s="6">
        <v>67.900000000000006</v>
      </c>
      <c r="H41" s="6">
        <v>28.6</v>
      </c>
      <c r="I41" s="6">
        <v>10.75</v>
      </c>
      <c r="J41" s="6">
        <v>0.24</v>
      </c>
      <c r="K41" s="6">
        <v>200.98</v>
      </c>
      <c r="L41" s="6">
        <v>27.74</v>
      </c>
      <c r="M41" s="6">
        <v>46.21</v>
      </c>
      <c r="N41" s="6">
        <v>127.9</v>
      </c>
      <c r="O41" s="6">
        <v>0</v>
      </c>
      <c r="P41" s="6">
        <v>0.88</v>
      </c>
      <c r="Q41" s="6">
        <v>4.7699999999999996</v>
      </c>
    </row>
    <row r="42" spans="1:17" customFormat="1">
      <c r="A42" s="82">
        <v>45364.354166666664</v>
      </c>
      <c r="B42" s="6">
        <v>15.92</v>
      </c>
      <c r="C42" s="6">
        <v>24.96</v>
      </c>
      <c r="D42" s="6">
        <v>27.16</v>
      </c>
      <c r="E42" s="6">
        <v>7.36</v>
      </c>
      <c r="F42" s="6">
        <v>4.93</v>
      </c>
      <c r="G42" s="6">
        <v>67.900000000000006</v>
      </c>
      <c r="H42" s="6">
        <v>28.6</v>
      </c>
      <c r="I42" s="6">
        <v>10.68</v>
      </c>
      <c r="J42" s="6">
        <v>0.25</v>
      </c>
      <c r="K42" s="6">
        <v>215.24</v>
      </c>
      <c r="L42" s="6">
        <v>28.88</v>
      </c>
      <c r="M42" s="6">
        <v>43.81</v>
      </c>
      <c r="N42" s="6">
        <v>204.9</v>
      </c>
      <c r="O42" s="6">
        <v>0</v>
      </c>
      <c r="P42" s="6">
        <v>0.87</v>
      </c>
      <c r="Q42" s="6">
        <v>4.7699999999999996</v>
      </c>
    </row>
    <row r="43" spans="1:17" customFormat="1">
      <c r="A43" s="82">
        <v>45364.364583333336</v>
      </c>
      <c r="B43" s="6">
        <v>14.98</v>
      </c>
      <c r="C43" s="6">
        <v>24.37</v>
      </c>
      <c r="D43" s="6">
        <v>26.1</v>
      </c>
      <c r="E43" s="6">
        <v>7.63</v>
      </c>
      <c r="F43" s="6">
        <v>4.9800000000000004</v>
      </c>
      <c r="G43" s="6">
        <v>67.900000000000006</v>
      </c>
      <c r="H43" s="6">
        <v>28.6</v>
      </c>
      <c r="I43" s="6">
        <v>10.65</v>
      </c>
      <c r="J43" s="6">
        <v>0.33</v>
      </c>
      <c r="K43" s="6">
        <v>265.89</v>
      </c>
      <c r="L43" s="6">
        <v>30.01</v>
      </c>
      <c r="M43" s="6">
        <v>41.42</v>
      </c>
      <c r="N43" s="6">
        <v>270.10000000000002</v>
      </c>
      <c r="O43" s="6">
        <v>0</v>
      </c>
      <c r="P43" s="6">
        <v>0.88</v>
      </c>
      <c r="Q43" s="6">
        <v>4.79</v>
      </c>
    </row>
    <row r="44" spans="1:17" customFormat="1">
      <c r="A44" s="82">
        <v>45364.375</v>
      </c>
      <c r="B44" s="6">
        <v>13.78</v>
      </c>
      <c r="C44" s="6">
        <v>24.53</v>
      </c>
      <c r="D44" s="6">
        <v>25.22</v>
      </c>
      <c r="E44" s="6">
        <v>7.13</v>
      </c>
      <c r="F44" s="6">
        <v>5.38</v>
      </c>
      <c r="G44" s="6">
        <v>68.03</v>
      </c>
      <c r="H44" s="6">
        <v>28.8</v>
      </c>
      <c r="I44" s="6">
        <v>10.68</v>
      </c>
      <c r="J44" s="6">
        <v>0.88</v>
      </c>
      <c r="K44" s="6">
        <v>295.25</v>
      </c>
      <c r="L44" s="6">
        <v>30.63</v>
      </c>
      <c r="M44" s="6">
        <v>40.630000000000003</v>
      </c>
      <c r="N44" s="6">
        <v>307.60000000000002</v>
      </c>
      <c r="O44" s="6">
        <v>0</v>
      </c>
      <c r="P44" s="6">
        <v>0.89</v>
      </c>
      <c r="Q44" s="6">
        <v>4.78</v>
      </c>
    </row>
    <row r="45" spans="1:17" customFormat="1">
      <c r="A45" s="82">
        <v>45364.385416666664</v>
      </c>
      <c r="B45" s="6">
        <v>12.6</v>
      </c>
      <c r="C45" s="6">
        <v>25.05</v>
      </c>
      <c r="D45" s="6">
        <v>24.55</v>
      </c>
      <c r="E45" s="6">
        <v>7.53</v>
      </c>
      <c r="F45" s="6">
        <v>5.52</v>
      </c>
      <c r="G45" s="6">
        <v>69.88</v>
      </c>
      <c r="H45" s="6">
        <v>31.16</v>
      </c>
      <c r="I45" s="6">
        <v>10.63</v>
      </c>
      <c r="J45" s="6">
        <v>1</v>
      </c>
      <c r="K45" s="6">
        <v>287.39</v>
      </c>
      <c r="L45" s="6">
        <v>30.72</v>
      </c>
      <c r="M45" s="6">
        <v>41.72</v>
      </c>
      <c r="N45" s="6">
        <v>334.1</v>
      </c>
      <c r="O45" s="6">
        <v>0</v>
      </c>
      <c r="P45" s="6">
        <v>0.91</v>
      </c>
      <c r="Q45" s="6">
        <v>4.78</v>
      </c>
    </row>
    <row r="46" spans="1:17" customFormat="1">
      <c r="A46" s="82">
        <v>45364.395833333336</v>
      </c>
      <c r="B46" s="6">
        <v>11.33</v>
      </c>
      <c r="C46" s="6">
        <v>25.54</v>
      </c>
      <c r="D46" s="6">
        <v>23.78</v>
      </c>
      <c r="E46" s="6">
        <v>8.49</v>
      </c>
      <c r="F46" s="6">
        <v>5.99</v>
      </c>
      <c r="G46" s="6">
        <v>69.88</v>
      </c>
      <c r="H46" s="6">
        <v>31.16</v>
      </c>
      <c r="I46" s="6">
        <v>10.64</v>
      </c>
      <c r="J46" s="6">
        <v>1.3</v>
      </c>
      <c r="K46" s="6">
        <v>306.12</v>
      </c>
      <c r="L46" s="6">
        <v>31.21</v>
      </c>
      <c r="M46" s="6">
        <v>41.2</v>
      </c>
      <c r="N46" s="6">
        <v>359.5</v>
      </c>
      <c r="O46" s="6">
        <v>0</v>
      </c>
      <c r="P46" s="6">
        <v>0.95</v>
      </c>
      <c r="Q46" s="6">
        <v>4.78</v>
      </c>
    </row>
    <row r="47" spans="1:17" customFormat="1">
      <c r="A47" s="82">
        <v>45364.40625</v>
      </c>
      <c r="B47" s="6">
        <v>9.35</v>
      </c>
      <c r="C47" s="6">
        <v>26.74</v>
      </c>
      <c r="D47" s="6">
        <v>22.82</v>
      </c>
      <c r="E47" s="6">
        <v>8.8000000000000007</v>
      </c>
      <c r="F47" s="6">
        <v>6.77</v>
      </c>
      <c r="G47" s="6">
        <v>69.88</v>
      </c>
      <c r="H47" s="6">
        <v>31.16</v>
      </c>
      <c r="I47" s="6">
        <v>11.27</v>
      </c>
      <c r="J47" s="6">
        <v>0.95</v>
      </c>
      <c r="K47" s="6">
        <v>280.72000000000003</v>
      </c>
      <c r="L47" s="6">
        <v>31.87</v>
      </c>
      <c r="M47" s="6">
        <v>40.619999999999997</v>
      </c>
      <c r="N47" s="6">
        <v>377</v>
      </c>
      <c r="O47" s="6">
        <v>0</v>
      </c>
      <c r="P47" s="6">
        <v>0.92</v>
      </c>
      <c r="Q47" s="6">
        <v>4.8</v>
      </c>
    </row>
    <row r="48" spans="1:17" customFormat="1">
      <c r="A48" s="82">
        <v>45364.416666666664</v>
      </c>
      <c r="B48" s="6">
        <v>7.03</v>
      </c>
      <c r="C48" s="6">
        <v>27.96</v>
      </c>
      <c r="D48" s="6">
        <v>21.59</v>
      </c>
      <c r="E48" s="6">
        <v>10.119999999999999</v>
      </c>
      <c r="F48" s="6">
        <v>8.2100000000000009</v>
      </c>
      <c r="G48" s="6">
        <v>71.040000000000006</v>
      </c>
      <c r="H48" s="6">
        <v>31.59</v>
      </c>
      <c r="I48" s="6">
        <v>12.52</v>
      </c>
      <c r="J48" s="6">
        <v>1.27</v>
      </c>
      <c r="K48" s="6">
        <v>299.61</v>
      </c>
      <c r="L48" s="6">
        <v>32.42</v>
      </c>
      <c r="M48" s="6">
        <v>39.51</v>
      </c>
      <c r="N48" s="6">
        <v>308.7</v>
      </c>
      <c r="O48" s="6">
        <v>0</v>
      </c>
      <c r="P48" s="6">
        <v>0.93</v>
      </c>
      <c r="Q48" s="6">
        <v>4.8099999999999996</v>
      </c>
    </row>
    <row r="49" spans="1:17" customFormat="1">
      <c r="A49" s="82">
        <v>45364.427083333336</v>
      </c>
      <c r="B49" s="6">
        <v>5.74</v>
      </c>
      <c r="C49" s="6">
        <v>29.46</v>
      </c>
      <c r="D49" s="6">
        <v>21.35</v>
      </c>
      <c r="E49" s="6">
        <v>9.93</v>
      </c>
      <c r="F49" s="6">
        <v>8.1</v>
      </c>
      <c r="G49" s="6">
        <v>87.3</v>
      </c>
      <c r="H49" s="6">
        <v>35.880000000000003</v>
      </c>
      <c r="I49" s="6">
        <v>13.75</v>
      </c>
      <c r="J49" s="6">
        <v>1.61</v>
      </c>
      <c r="K49" s="6">
        <v>309.8</v>
      </c>
      <c r="L49" s="6">
        <v>32.81</v>
      </c>
      <c r="M49" s="6">
        <v>38.58</v>
      </c>
      <c r="N49" s="6">
        <v>296.89999999999998</v>
      </c>
      <c r="O49" s="6">
        <v>0</v>
      </c>
      <c r="P49" s="6">
        <v>0.97</v>
      </c>
      <c r="Q49" s="6">
        <v>4.8099999999999996</v>
      </c>
    </row>
    <row r="50" spans="1:17" customFormat="1">
      <c r="A50" s="82">
        <v>45364.4375</v>
      </c>
      <c r="B50" s="6">
        <v>4.83</v>
      </c>
      <c r="C50" s="6">
        <v>30.4</v>
      </c>
      <c r="D50" s="6">
        <v>21.11</v>
      </c>
      <c r="E50" s="6">
        <v>13.22</v>
      </c>
      <c r="F50" s="6">
        <v>9.34</v>
      </c>
      <c r="G50" s="6">
        <v>87.3</v>
      </c>
      <c r="H50" s="6">
        <v>35.880000000000003</v>
      </c>
      <c r="I50" s="6">
        <v>14.35</v>
      </c>
      <c r="J50" s="6">
        <v>1.02</v>
      </c>
      <c r="K50" s="6">
        <v>280.91000000000003</v>
      </c>
      <c r="L50" s="6">
        <v>33.57</v>
      </c>
      <c r="M50" s="6">
        <v>37.19</v>
      </c>
      <c r="N50" s="6">
        <v>426.7</v>
      </c>
      <c r="O50" s="6">
        <v>0</v>
      </c>
      <c r="P50" s="6">
        <v>0.97</v>
      </c>
      <c r="Q50" s="6">
        <v>4.8</v>
      </c>
    </row>
    <row r="51" spans="1:17" customFormat="1">
      <c r="A51" s="82">
        <v>45364.447916666664</v>
      </c>
      <c r="B51" s="6">
        <v>4</v>
      </c>
      <c r="C51" s="6">
        <v>30.36</v>
      </c>
      <c r="D51" s="6">
        <v>20.420000000000002</v>
      </c>
      <c r="E51" s="6">
        <v>17.46</v>
      </c>
      <c r="F51" s="6">
        <v>11.78</v>
      </c>
      <c r="G51" s="6">
        <v>87.3</v>
      </c>
      <c r="H51" s="6">
        <v>35.880000000000003</v>
      </c>
      <c r="I51" s="6">
        <v>14.45</v>
      </c>
      <c r="J51" s="6">
        <v>0.94</v>
      </c>
      <c r="K51" s="6">
        <v>312.89</v>
      </c>
      <c r="L51" s="6">
        <v>34.229999999999997</v>
      </c>
      <c r="M51" s="6">
        <v>35.369999999999997</v>
      </c>
      <c r="N51" s="6">
        <v>472.6</v>
      </c>
      <c r="O51" s="6">
        <v>0</v>
      </c>
      <c r="P51" s="6">
        <v>0.98</v>
      </c>
      <c r="Q51" s="6">
        <v>4.79</v>
      </c>
    </row>
    <row r="52" spans="1:17" customFormat="1">
      <c r="A52" s="82">
        <v>45364.458333333336</v>
      </c>
      <c r="B52" s="6">
        <v>3.68</v>
      </c>
      <c r="C52" s="6">
        <v>30.23</v>
      </c>
      <c r="D52" s="6">
        <v>20.100000000000001</v>
      </c>
      <c r="E52" s="6">
        <v>16.2</v>
      </c>
      <c r="F52" s="6">
        <v>10.4</v>
      </c>
      <c r="G52" s="6">
        <v>87.56</v>
      </c>
      <c r="H52" s="6">
        <v>36.119999999999997</v>
      </c>
      <c r="I52" s="6">
        <v>14.08</v>
      </c>
      <c r="J52" s="6">
        <v>1.1599999999999999</v>
      </c>
      <c r="K52" s="6">
        <v>312.87</v>
      </c>
      <c r="L52" s="6">
        <v>34.39</v>
      </c>
      <c r="M52" s="6">
        <v>33.659999999999997</v>
      </c>
      <c r="N52" s="6">
        <v>485.6</v>
      </c>
      <c r="O52" s="6">
        <v>0</v>
      </c>
      <c r="P52" s="6">
        <v>1</v>
      </c>
      <c r="Q52" s="6">
        <v>4.7699999999999996</v>
      </c>
    </row>
    <row r="53" spans="1:17" customFormat="1">
      <c r="A53" s="82">
        <v>45364.46875</v>
      </c>
      <c r="B53" s="6">
        <v>3.62</v>
      </c>
      <c r="C53" s="6">
        <v>29.98</v>
      </c>
      <c r="D53" s="6">
        <v>19.920000000000002</v>
      </c>
      <c r="E53" s="6">
        <v>15.23</v>
      </c>
      <c r="F53" s="6">
        <v>11.95</v>
      </c>
      <c r="G53" s="6">
        <v>91.21</v>
      </c>
      <c r="H53" s="6">
        <v>38.950000000000003</v>
      </c>
      <c r="I53" s="6">
        <v>13.72</v>
      </c>
      <c r="J53" s="6">
        <v>1.2</v>
      </c>
      <c r="K53" s="6">
        <v>308.51</v>
      </c>
      <c r="L53" s="6">
        <v>34.590000000000003</v>
      </c>
      <c r="M53" s="6">
        <v>30.4</v>
      </c>
      <c r="N53" s="6">
        <v>471.6</v>
      </c>
      <c r="O53" s="6">
        <v>0</v>
      </c>
      <c r="P53" s="6">
        <v>1.03</v>
      </c>
      <c r="Q53" s="6">
        <v>4.76</v>
      </c>
    </row>
    <row r="54" spans="1:17" customFormat="1">
      <c r="A54" s="82">
        <v>45364.479166666664</v>
      </c>
      <c r="B54" s="6">
        <v>3.53</v>
      </c>
      <c r="C54" s="6">
        <v>29.6</v>
      </c>
      <c r="D54" s="6">
        <v>19.649999999999999</v>
      </c>
      <c r="E54" s="6">
        <v>14.64</v>
      </c>
      <c r="F54" s="6">
        <v>14.05</v>
      </c>
      <c r="G54" s="6">
        <v>91.21</v>
      </c>
      <c r="H54" s="6">
        <v>38.950000000000003</v>
      </c>
      <c r="I54" s="6">
        <v>13.64</v>
      </c>
      <c r="J54" s="6">
        <v>0.9</v>
      </c>
      <c r="K54" s="6">
        <v>295.86</v>
      </c>
      <c r="L54" s="6">
        <v>35.049999999999997</v>
      </c>
      <c r="M54" s="6">
        <v>29.32</v>
      </c>
      <c r="N54" s="6">
        <v>537.6</v>
      </c>
      <c r="O54" s="6">
        <v>0</v>
      </c>
      <c r="P54" s="6">
        <v>1.06</v>
      </c>
      <c r="Q54" s="6">
        <v>4.74</v>
      </c>
    </row>
    <row r="55" spans="1:17" customFormat="1">
      <c r="A55" s="82">
        <v>45364.489583333336</v>
      </c>
      <c r="B55" s="6">
        <v>3.7</v>
      </c>
      <c r="C55" s="6">
        <v>29.78</v>
      </c>
      <c r="D55" s="6">
        <v>19.88</v>
      </c>
      <c r="E55" s="6">
        <v>13.52</v>
      </c>
      <c r="F55" s="6">
        <v>14.69</v>
      </c>
      <c r="G55" s="6">
        <v>91.21</v>
      </c>
      <c r="H55" s="6">
        <v>38.950000000000003</v>
      </c>
      <c r="I55" s="6">
        <v>13.58</v>
      </c>
      <c r="J55" s="6">
        <v>0.9</v>
      </c>
      <c r="K55" s="6">
        <v>315.68</v>
      </c>
      <c r="L55" s="6">
        <v>35.479999999999997</v>
      </c>
      <c r="M55" s="6">
        <v>27.52</v>
      </c>
      <c r="N55" s="6">
        <v>539.79999999999995</v>
      </c>
      <c r="O55" s="6">
        <v>0</v>
      </c>
      <c r="P55" s="6">
        <v>1.05</v>
      </c>
      <c r="Q55" s="6">
        <v>4.75</v>
      </c>
    </row>
    <row r="56" spans="1:17" customFormat="1">
      <c r="A56" s="82">
        <v>45364.5</v>
      </c>
      <c r="B56" s="6">
        <v>3.46</v>
      </c>
      <c r="C56" s="6">
        <v>28.57</v>
      </c>
      <c r="D56" s="6">
        <v>19.059999999999999</v>
      </c>
      <c r="E56" s="6">
        <v>14.06</v>
      </c>
      <c r="F56" s="6">
        <v>14.85</v>
      </c>
      <c r="G56" s="6">
        <v>91.26</v>
      </c>
      <c r="H56" s="6">
        <v>38.630000000000003</v>
      </c>
      <c r="I56" s="6">
        <v>13.59</v>
      </c>
      <c r="J56" s="6">
        <v>0.68</v>
      </c>
      <c r="K56" s="6">
        <v>279.07</v>
      </c>
      <c r="L56" s="6">
        <v>36.07</v>
      </c>
      <c r="M56" s="6">
        <v>26.88</v>
      </c>
      <c r="N56" s="6">
        <v>536</v>
      </c>
      <c r="O56" s="6">
        <v>0</v>
      </c>
      <c r="P56" s="6">
        <v>1</v>
      </c>
      <c r="Q56" s="6">
        <v>4.75</v>
      </c>
    </row>
    <row r="57" spans="1:17" customFormat="1">
      <c r="A57" s="82">
        <v>45364.510416666664</v>
      </c>
      <c r="B57" s="6">
        <v>3.34</v>
      </c>
      <c r="C57" s="6">
        <v>27.2</v>
      </c>
      <c r="D57" s="6">
        <v>18.239999999999998</v>
      </c>
      <c r="E57" s="6">
        <v>12.65</v>
      </c>
      <c r="F57" s="6">
        <v>14.68</v>
      </c>
      <c r="G57" s="6">
        <v>91.88</v>
      </c>
      <c r="H57" s="6">
        <v>34.75</v>
      </c>
      <c r="I57" s="6">
        <v>13.49</v>
      </c>
      <c r="J57" s="6">
        <v>0.4</v>
      </c>
      <c r="K57" s="6">
        <v>273.31</v>
      </c>
      <c r="L57" s="6">
        <v>36.69</v>
      </c>
      <c r="M57" s="6">
        <v>25.21</v>
      </c>
      <c r="N57" s="6">
        <v>519.9</v>
      </c>
      <c r="O57" s="6">
        <v>0</v>
      </c>
      <c r="P57" s="6">
        <v>0.99</v>
      </c>
      <c r="Q57" s="6">
        <v>4.7300000000000004</v>
      </c>
    </row>
    <row r="58" spans="1:17" customFormat="1">
      <c r="A58" s="82">
        <v>45364.520833333336</v>
      </c>
      <c r="B58" s="6">
        <v>3.68</v>
      </c>
      <c r="C58" s="6">
        <v>27.2</v>
      </c>
      <c r="D58" s="6">
        <v>18.52</v>
      </c>
      <c r="E58" s="6">
        <v>13.57</v>
      </c>
      <c r="F58" s="6">
        <v>15.64</v>
      </c>
      <c r="G58" s="6">
        <v>91.88</v>
      </c>
      <c r="H58" s="6">
        <v>34.75</v>
      </c>
      <c r="I58" s="6">
        <v>13</v>
      </c>
      <c r="J58" s="6">
        <v>0.96</v>
      </c>
      <c r="K58" s="6">
        <v>322.68</v>
      </c>
      <c r="L58" s="6">
        <v>36.229999999999997</v>
      </c>
      <c r="M58" s="6">
        <v>25.37</v>
      </c>
      <c r="N58" s="6">
        <v>518.9</v>
      </c>
      <c r="O58" s="6">
        <v>0</v>
      </c>
      <c r="P58" s="6">
        <v>0.93</v>
      </c>
      <c r="Q58" s="6">
        <v>4.72</v>
      </c>
    </row>
    <row r="59" spans="1:17" customFormat="1">
      <c r="A59" s="82">
        <v>45364.53125</v>
      </c>
      <c r="B59" s="6">
        <v>3.83</v>
      </c>
      <c r="C59" s="6">
        <v>27.08</v>
      </c>
      <c r="D59" s="6">
        <v>18.57</v>
      </c>
      <c r="E59" s="6">
        <v>13.28</v>
      </c>
      <c r="F59" s="6">
        <v>17.16</v>
      </c>
      <c r="G59" s="6">
        <v>91.88</v>
      </c>
      <c r="H59" s="6">
        <v>34.75</v>
      </c>
      <c r="I59" s="6">
        <v>12.51</v>
      </c>
      <c r="J59" s="6">
        <v>0.97</v>
      </c>
      <c r="K59" s="6">
        <v>322.77999999999997</v>
      </c>
      <c r="L59" s="6">
        <v>36.53</v>
      </c>
      <c r="M59" s="6">
        <v>24.44</v>
      </c>
      <c r="N59" s="6">
        <v>519.9</v>
      </c>
      <c r="O59" s="6">
        <v>0</v>
      </c>
      <c r="P59" s="6">
        <v>0.9</v>
      </c>
      <c r="Q59" s="6">
        <v>4.71</v>
      </c>
    </row>
    <row r="60" spans="1:17" customFormat="1">
      <c r="A60" s="82">
        <v>45364.541666666664</v>
      </c>
      <c r="B60" s="6">
        <v>3.61</v>
      </c>
      <c r="C60" s="6">
        <v>25.94</v>
      </c>
      <c r="D60" s="6">
        <v>17.8</v>
      </c>
      <c r="E60" s="6">
        <v>14.18</v>
      </c>
      <c r="F60" s="6">
        <v>14.77</v>
      </c>
      <c r="G60" s="6">
        <v>91.5</v>
      </c>
      <c r="H60" s="6">
        <v>34.950000000000003</v>
      </c>
      <c r="I60" s="6">
        <v>12.02</v>
      </c>
      <c r="J60" s="6">
        <v>0.76</v>
      </c>
      <c r="K60" s="6">
        <v>286.36</v>
      </c>
      <c r="L60" s="6">
        <v>36.99</v>
      </c>
      <c r="M60" s="6">
        <v>23.41</v>
      </c>
      <c r="N60" s="6">
        <v>494.9</v>
      </c>
      <c r="O60" s="6">
        <v>0</v>
      </c>
      <c r="P60" s="6">
        <v>0.88</v>
      </c>
      <c r="Q60" s="6">
        <v>4.7</v>
      </c>
    </row>
    <row r="61" spans="1:17" customFormat="1">
      <c r="A61" s="82">
        <v>45364.552083333336</v>
      </c>
      <c r="B61" s="6">
        <v>3.53</v>
      </c>
      <c r="C61" s="6">
        <v>25.09</v>
      </c>
      <c r="D61" s="6">
        <v>17.29</v>
      </c>
      <c r="E61" s="6">
        <v>14.64</v>
      </c>
      <c r="F61" s="6">
        <v>17.48</v>
      </c>
      <c r="G61" s="6">
        <v>86.17</v>
      </c>
      <c r="H61" s="6">
        <v>37.380000000000003</v>
      </c>
      <c r="I61" s="6">
        <v>11.49</v>
      </c>
      <c r="J61" s="6">
        <v>0.57999999999999996</v>
      </c>
      <c r="K61" s="6">
        <v>264.67</v>
      </c>
      <c r="L61" s="6">
        <v>37.56</v>
      </c>
      <c r="M61" s="6">
        <v>22.4</v>
      </c>
      <c r="N61" s="6">
        <v>523.5</v>
      </c>
      <c r="O61" s="6">
        <v>0</v>
      </c>
      <c r="P61" s="6">
        <v>0.85</v>
      </c>
      <c r="Q61" s="6">
        <v>4.6900000000000004</v>
      </c>
    </row>
    <row r="62" spans="1:17" customFormat="1">
      <c r="A62" s="82">
        <v>45364.5625</v>
      </c>
      <c r="B62" s="6">
        <v>4.03</v>
      </c>
      <c r="C62" s="6">
        <v>26.65</v>
      </c>
      <c r="D62" s="6">
        <v>18.510000000000002</v>
      </c>
      <c r="E62" s="6">
        <v>14.2</v>
      </c>
      <c r="F62" s="6">
        <v>15.5</v>
      </c>
      <c r="G62" s="6">
        <v>86.17</v>
      </c>
      <c r="H62" s="6">
        <v>37.380000000000003</v>
      </c>
      <c r="I62" s="6">
        <v>11.36</v>
      </c>
      <c r="J62" s="6">
        <v>0.95</v>
      </c>
      <c r="K62" s="6">
        <v>306.55</v>
      </c>
      <c r="L62" s="6">
        <v>37.409999999999997</v>
      </c>
      <c r="M62" s="6">
        <v>21.81</v>
      </c>
      <c r="N62" s="6">
        <v>502.4</v>
      </c>
      <c r="O62" s="6">
        <v>0</v>
      </c>
      <c r="P62" s="6">
        <v>0.82</v>
      </c>
      <c r="Q62" s="6">
        <v>4.71</v>
      </c>
    </row>
    <row r="63" spans="1:17" customFormat="1">
      <c r="A63" s="82">
        <v>45364.572916666664</v>
      </c>
      <c r="B63" s="6">
        <v>3.6</v>
      </c>
      <c r="C63" s="6">
        <v>25.96</v>
      </c>
      <c r="D63" s="6">
        <v>17.8</v>
      </c>
      <c r="E63" s="6">
        <v>14.54</v>
      </c>
      <c r="F63" s="6">
        <v>15.61</v>
      </c>
      <c r="G63" s="6">
        <v>86.17</v>
      </c>
      <c r="H63" s="6">
        <v>37.380000000000003</v>
      </c>
      <c r="I63" s="6">
        <v>11.01</v>
      </c>
      <c r="J63" s="6">
        <v>0.9</v>
      </c>
      <c r="K63" s="6">
        <v>301.20999999999998</v>
      </c>
      <c r="L63" s="6">
        <v>37.56</v>
      </c>
      <c r="M63" s="6">
        <v>20.95</v>
      </c>
      <c r="N63" s="6">
        <v>472.9</v>
      </c>
      <c r="O63" s="6">
        <v>0</v>
      </c>
      <c r="P63" s="6">
        <v>0.82</v>
      </c>
      <c r="Q63" s="6">
        <v>4.71</v>
      </c>
    </row>
    <row r="64" spans="1:17" customFormat="1">
      <c r="A64" s="82">
        <v>45364.583333333336</v>
      </c>
      <c r="B64" s="6">
        <v>3.64</v>
      </c>
      <c r="C64" s="6">
        <v>25.12</v>
      </c>
      <c r="D64" s="6">
        <v>17.39</v>
      </c>
      <c r="E64" s="6">
        <v>13.84</v>
      </c>
      <c r="F64" s="6">
        <v>14.95</v>
      </c>
      <c r="G64" s="6">
        <v>85.56</v>
      </c>
      <c r="H64" s="6">
        <v>37.19</v>
      </c>
      <c r="I64" s="6">
        <v>10.76</v>
      </c>
      <c r="J64" s="6">
        <v>1.18</v>
      </c>
      <c r="K64" s="6">
        <v>301.77</v>
      </c>
      <c r="L64" s="6">
        <v>37.380000000000003</v>
      </c>
      <c r="M64" s="6">
        <v>19.03</v>
      </c>
      <c r="N64" s="6">
        <v>494.8</v>
      </c>
      <c r="O64" s="6">
        <v>0</v>
      </c>
      <c r="P64" s="6">
        <v>0.77</v>
      </c>
      <c r="Q64" s="6">
        <v>4.6900000000000004</v>
      </c>
    </row>
    <row r="65" spans="1:17" customFormat="1">
      <c r="A65" s="82">
        <v>45364.59375</v>
      </c>
      <c r="B65" s="6">
        <v>3.61</v>
      </c>
      <c r="C65" s="6">
        <v>24.35</v>
      </c>
      <c r="D65" s="6">
        <v>16.96</v>
      </c>
      <c r="E65" s="6">
        <v>13.09</v>
      </c>
      <c r="F65" s="6">
        <v>14.8</v>
      </c>
      <c r="G65" s="6">
        <v>77.06</v>
      </c>
      <c r="H65" s="6">
        <v>35.19</v>
      </c>
      <c r="I65" s="6">
        <v>10.63</v>
      </c>
      <c r="J65" s="6">
        <v>1.17</v>
      </c>
      <c r="K65" s="6">
        <v>283.98</v>
      </c>
      <c r="L65" s="6">
        <v>37.31</v>
      </c>
      <c r="M65" s="6">
        <v>18.329999999999998</v>
      </c>
      <c r="N65" s="6">
        <v>505.5</v>
      </c>
      <c r="O65" s="6">
        <v>0</v>
      </c>
      <c r="P65" s="6">
        <v>0.78</v>
      </c>
      <c r="Q65" s="6">
        <v>4.68</v>
      </c>
    </row>
    <row r="66" spans="1:17" customFormat="1">
      <c r="A66" s="82">
        <v>45364.604166666664</v>
      </c>
      <c r="B66" s="6">
        <v>3.66</v>
      </c>
      <c r="C66" s="6">
        <v>23.77</v>
      </c>
      <c r="D66" s="6">
        <v>16.7</v>
      </c>
      <c r="E66" s="6">
        <v>12.27</v>
      </c>
      <c r="F66" s="6">
        <v>12.03</v>
      </c>
      <c r="G66" s="6">
        <v>77.06</v>
      </c>
      <c r="H66" s="6">
        <v>35.19</v>
      </c>
      <c r="I66" s="6">
        <v>10.3</v>
      </c>
      <c r="J66" s="6">
        <v>0.92</v>
      </c>
      <c r="K66" s="6">
        <v>264.63</v>
      </c>
      <c r="L66" s="6">
        <v>37.53</v>
      </c>
      <c r="M66" s="6">
        <v>19.29</v>
      </c>
      <c r="N66" s="6">
        <v>426.4</v>
      </c>
      <c r="O66" s="6">
        <v>0</v>
      </c>
      <c r="P66" s="6">
        <v>0.87</v>
      </c>
      <c r="Q66" s="6">
        <v>4.66</v>
      </c>
    </row>
    <row r="67" spans="1:17" customFormat="1">
      <c r="A67" s="82">
        <v>45364.614583333336</v>
      </c>
      <c r="B67" s="6">
        <v>3.59</v>
      </c>
      <c r="C67" s="6">
        <v>23.76</v>
      </c>
      <c r="D67" s="6">
        <v>16.649999999999999</v>
      </c>
      <c r="E67" s="6">
        <v>11.29</v>
      </c>
      <c r="F67" s="6">
        <v>10.79</v>
      </c>
      <c r="G67" s="6">
        <v>77.06</v>
      </c>
      <c r="H67" s="6">
        <v>35.19</v>
      </c>
      <c r="I67" s="6">
        <v>9.92</v>
      </c>
      <c r="J67" s="6">
        <v>0.66</v>
      </c>
      <c r="K67" s="6">
        <v>242.17</v>
      </c>
      <c r="L67" s="6">
        <v>37.85</v>
      </c>
      <c r="M67" s="6">
        <v>19.87</v>
      </c>
      <c r="N67" s="6">
        <v>353.8</v>
      </c>
      <c r="O67" s="6">
        <v>0</v>
      </c>
      <c r="P67" s="6">
        <v>0.89</v>
      </c>
      <c r="Q67" s="6">
        <v>4.6500000000000004</v>
      </c>
    </row>
    <row r="68" spans="1:17" customFormat="1">
      <c r="A68" s="82">
        <v>45364.625</v>
      </c>
      <c r="B68" s="6">
        <v>3.75</v>
      </c>
      <c r="C68" s="6">
        <v>23.4</v>
      </c>
      <c r="D68" s="6">
        <v>16.59</v>
      </c>
      <c r="E68" s="6">
        <v>11.72</v>
      </c>
      <c r="F68" s="6">
        <v>11.03</v>
      </c>
      <c r="G68" s="6">
        <v>76.989999999999995</v>
      </c>
      <c r="H68" s="6">
        <v>34.909999999999997</v>
      </c>
      <c r="I68" s="6">
        <v>9.9</v>
      </c>
      <c r="J68" s="6">
        <v>1.25</v>
      </c>
      <c r="K68" s="6">
        <v>319.77999999999997</v>
      </c>
      <c r="L68" s="6">
        <v>37.159999999999997</v>
      </c>
      <c r="M68" s="6">
        <v>20.12</v>
      </c>
      <c r="N68" s="6">
        <v>235.4</v>
      </c>
      <c r="O68" s="6">
        <v>0</v>
      </c>
      <c r="P68" s="6">
        <v>0.89</v>
      </c>
      <c r="Q68" s="6">
        <v>4.6399999999999997</v>
      </c>
    </row>
    <row r="69" spans="1:17" customFormat="1">
      <c r="A69" s="82">
        <v>45364.635416666664</v>
      </c>
      <c r="B69" s="6">
        <v>3.84</v>
      </c>
      <c r="C69" s="6">
        <v>23.54</v>
      </c>
      <c r="D69" s="6">
        <v>16.73</v>
      </c>
      <c r="E69" s="6">
        <v>11.61</v>
      </c>
      <c r="F69" s="6">
        <v>9.36</v>
      </c>
      <c r="G69" s="6">
        <v>75.959999999999994</v>
      </c>
      <c r="H69" s="6">
        <v>31.43</v>
      </c>
      <c r="I69" s="6">
        <v>9.89</v>
      </c>
      <c r="J69" s="6">
        <v>0.79</v>
      </c>
      <c r="K69" s="6">
        <v>290.52</v>
      </c>
      <c r="L69" s="6">
        <v>37.1</v>
      </c>
      <c r="M69" s="6">
        <v>20.7</v>
      </c>
      <c r="N69" s="6">
        <v>205.9</v>
      </c>
      <c r="O69" s="6">
        <v>0</v>
      </c>
      <c r="P69" s="6">
        <v>0.89</v>
      </c>
      <c r="Q69" s="6">
        <v>4.63</v>
      </c>
    </row>
    <row r="70" spans="1:17" customFormat="1">
      <c r="A70" s="82">
        <v>45364.645833333336</v>
      </c>
      <c r="B70" s="6">
        <v>3.64</v>
      </c>
      <c r="C70" s="6">
        <v>23.55</v>
      </c>
      <c r="D70" s="6">
        <v>16.579999999999998</v>
      </c>
      <c r="E70" s="6">
        <v>9.89</v>
      </c>
      <c r="F70" s="6">
        <v>9.17</v>
      </c>
      <c r="G70" s="6">
        <v>75.959999999999994</v>
      </c>
      <c r="H70" s="6">
        <v>31.43</v>
      </c>
      <c r="I70" s="6">
        <v>9.7200000000000006</v>
      </c>
      <c r="J70" s="6">
        <v>1.01</v>
      </c>
      <c r="K70" s="6">
        <v>284.3</v>
      </c>
      <c r="L70" s="6">
        <v>36.78</v>
      </c>
      <c r="M70" s="6">
        <v>20.91</v>
      </c>
      <c r="N70" s="6">
        <v>296.60000000000002</v>
      </c>
      <c r="O70" s="6">
        <v>0</v>
      </c>
      <c r="P70" s="6">
        <v>0.9</v>
      </c>
      <c r="Q70" s="6">
        <v>4.62</v>
      </c>
    </row>
    <row r="71" spans="1:17" customFormat="1">
      <c r="A71" s="82">
        <v>45364.65625</v>
      </c>
      <c r="B71" s="6">
        <v>3.69</v>
      </c>
      <c r="C71" s="6">
        <v>23.64</v>
      </c>
      <c r="D71" s="6">
        <v>16.66</v>
      </c>
      <c r="E71" s="6">
        <v>10.97</v>
      </c>
      <c r="F71" s="6">
        <v>8.9600000000000009</v>
      </c>
      <c r="G71" s="6">
        <v>75.959999999999994</v>
      </c>
      <c r="H71" s="6">
        <v>31.43</v>
      </c>
      <c r="I71" s="6">
        <v>9.75</v>
      </c>
      <c r="J71" s="6">
        <v>1.33</v>
      </c>
      <c r="K71" s="6">
        <v>321.36</v>
      </c>
      <c r="L71" s="6">
        <v>36.75</v>
      </c>
      <c r="M71" s="6">
        <v>19.77</v>
      </c>
      <c r="N71" s="6">
        <v>318</v>
      </c>
      <c r="O71" s="6">
        <v>0</v>
      </c>
      <c r="P71" s="6">
        <v>0.9</v>
      </c>
      <c r="Q71" s="6">
        <v>4.5999999999999996</v>
      </c>
    </row>
    <row r="72" spans="1:17" customFormat="1">
      <c r="A72" s="82">
        <v>45364.666666666664</v>
      </c>
      <c r="B72" s="6">
        <v>3.8</v>
      </c>
      <c r="C72" s="6">
        <v>24.2</v>
      </c>
      <c r="D72" s="6">
        <v>17.04</v>
      </c>
      <c r="E72" s="6">
        <v>9.44</v>
      </c>
      <c r="F72" s="6">
        <v>8.33</v>
      </c>
      <c r="G72" s="6">
        <v>75.61</v>
      </c>
      <c r="H72" s="6">
        <v>31.26</v>
      </c>
      <c r="I72" s="6">
        <v>9.74</v>
      </c>
      <c r="J72" s="6">
        <v>1.02</v>
      </c>
      <c r="K72" s="6">
        <v>304.57</v>
      </c>
      <c r="L72" s="6">
        <v>36.840000000000003</v>
      </c>
      <c r="M72" s="6">
        <v>20.29</v>
      </c>
      <c r="N72" s="6">
        <v>283.5</v>
      </c>
      <c r="O72" s="6">
        <v>0</v>
      </c>
      <c r="P72" s="6">
        <v>0.9</v>
      </c>
      <c r="Q72" s="6">
        <v>4.63</v>
      </c>
    </row>
    <row r="73" spans="1:17" customFormat="1">
      <c r="A73" s="82">
        <v>45364.677083333336</v>
      </c>
      <c r="B73" s="6">
        <v>3.75</v>
      </c>
      <c r="C73" s="6">
        <v>24.47</v>
      </c>
      <c r="D73" s="6">
        <v>17.149999999999999</v>
      </c>
      <c r="E73" s="6">
        <v>9.8800000000000008</v>
      </c>
      <c r="F73" s="6">
        <v>10.62</v>
      </c>
      <c r="G73" s="6">
        <v>70.69</v>
      </c>
      <c r="H73" s="6">
        <v>29.13</v>
      </c>
      <c r="I73" s="6">
        <v>9.61</v>
      </c>
      <c r="J73" s="6">
        <v>0.89</v>
      </c>
      <c r="K73" s="6">
        <v>284.66000000000003</v>
      </c>
      <c r="L73" s="6">
        <v>36.74</v>
      </c>
      <c r="M73" s="6">
        <v>21.55</v>
      </c>
      <c r="N73" s="6">
        <v>215.2</v>
      </c>
      <c r="O73" s="6">
        <v>0</v>
      </c>
      <c r="P73" s="6">
        <v>0.84</v>
      </c>
      <c r="Q73" s="6">
        <v>4.6399999999999997</v>
      </c>
    </row>
    <row r="74" spans="1:17" customFormat="1">
      <c r="A74" s="82">
        <v>45364.6875</v>
      </c>
      <c r="B74" s="6">
        <v>3.35</v>
      </c>
      <c r="C74" s="6">
        <v>24.81</v>
      </c>
      <c r="D74" s="6">
        <v>17</v>
      </c>
      <c r="E74" s="6">
        <v>9.43</v>
      </c>
      <c r="F74" s="6">
        <v>10.029999999999999</v>
      </c>
      <c r="G74" s="6">
        <v>70.69</v>
      </c>
      <c r="H74" s="6">
        <v>29.13</v>
      </c>
      <c r="I74" s="6">
        <v>9.51</v>
      </c>
      <c r="J74" s="6">
        <v>0.96</v>
      </c>
      <c r="K74" s="6">
        <v>273.16000000000003</v>
      </c>
      <c r="L74" s="6">
        <v>36.44</v>
      </c>
      <c r="M74" s="6">
        <v>21.94</v>
      </c>
      <c r="N74" s="6">
        <v>185.2</v>
      </c>
      <c r="O74" s="6">
        <v>0</v>
      </c>
      <c r="P74" s="6">
        <v>0.74</v>
      </c>
      <c r="Q74" s="6">
        <v>4.68</v>
      </c>
    </row>
    <row r="75" spans="1:17" customFormat="1">
      <c r="A75" s="82">
        <v>45364.697916666664</v>
      </c>
      <c r="B75" s="6">
        <v>2.9</v>
      </c>
      <c r="C75" s="6">
        <v>24.17</v>
      </c>
      <c r="D75" s="6">
        <v>16.309999999999999</v>
      </c>
      <c r="E75" s="6">
        <v>11.13</v>
      </c>
      <c r="F75" s="6">
        <v>12.5</v>
      </c>
      <c r="G75" s="6">
        <v>70.69</v>
      </c>
      <c r="H75" s="6">
        <v>29.13</v>
      </c>
      <c r="I75" s="6">
        <v>9.07</v>
      </c>
      <c r="J75" s="6">
        <v>0.73</v>
      </c>
      <c r="K75" s="6">
        <v>271.85000000000002</v>
      </c>
      <c r="L75" s="6">
        <v>36.33</v>
      </c>
      <c r="M75" s="6">
        <v>22.3</v>
      </c>
      <c r="N75" s="6">
        <v>142.1</v>
      </c>
      <c r="O75" s="6">
        <v>0</v>
      </c>
      <c r="P75" s="6">
        <v>0.68</v>
      </c>
      <c r="Q75" s="6">
        <v>4.7</v>
      </c>
    </row>
    <row r="76" spans="1:17" customFormat="1">
      <c r="A76" s="82">
        <v>45364.708333333336</v>
      </c>
      <c r="B76" s="6">
        <v>2.85</v>
      </c>
      <c r="C76" s="6">
        <v>23.2</v>
      </c>
      <c r="D76" s="6">
        <v>15.76</v>
      </c>
      <c r="E76" s="6">
        <v>12.73</v>
      </c>
      <c r="F76" s="6">
        <v>16.420000000000002</v>
      </c>
      <c r="G76" s="6">
        <v>70.25</v>
      </c>
      <c r="H76" s="6">
        <v>28.89</v>
      </c>
      <c r="I76" s="6">
        <v>8.56</v>
      </c>
      <c r="J76" s="6">
        <v>0.7</v>
      </c>
      <c r="K76" s="6">
        <v>275.27999999999997</v>
      </c>
      <c r="L76" s="6">
        <v>35.92</v>
      </c>
      <c r="M76" s="6">
        <v>22.77</v>
      </c>
      <c r="N76" s="6">
        <v>106.6</v>
      </c>
      <c r="O76" s="6">
        <v>0</v>
      </c>
      <c r="P76" s="6">
        <v>0.64</v>
      </c>
      <c r="Q76" s="6">
        <v>4.6900000000000004</v>
      </c>
    </row>
    <row r="77" spans="1:17" customFormat="1">
      <c r="A77" s="82">
        <v>45364.71875</v>
      </c>
      <c r="B77" s="6">
        <v>2.97</v>
      </c>
      <c r="C77" s="6">
        <v>22.55</v>
      </c>
      <c r="D77" s="6">
        <v>15.52</v>
      </c>
      <c r="E77" s="6">
        <v>15.04</v>
      </c>
      <c r="F77" s="6">
        <v>13.64</v>
      </c>
      <c r="G77" s="6">
        <v>64.03</v>
      </c>
      <c r="H77" s="6">
        <v>25.97</v>
      </c>
      <c r="I77" s="6">
        <v>8.02</v>
      </c>
      <c r="J77" s="6">
        <v>0.81</v>
      </c>
      <c r="K77" s="6">
        <v>282.74</v>
      </c>
      <c r="L77" s="6">
        <v>35.299999999999997</v>
      </c>
      <c r="M77" s="6">
        <v>23.78</v>
      </c>
      <c r="N77" s="6">
        <v>46.5</v>
      </c>
      <c r="O77" s="6">
        <v>0</v>
      </c>
      <c r="P77" s="6">
        <v>0.65</v>
      </c>
      <c r="Q77" s="6">
        <v>4.7</v>
      </c>
    </row>
    <row r="78" spans="1:17" customFormat="1">
      <c r="A78" s="82">
        <v>45364.729166666664</v>
      </c>
      <c r="B78" s="6">
        <v>3.13</v>
      </c>
      <c r="C78" s="6">
        <v>22.13</v>
      </c>
      <c r="D78" s="6">
        <v>15.43</v>
      </c>
      <c r="E78" s="6">
        <v>14.19</v>
      </c>
      <c r="F78" s="6">
        <v>16.75</v>
      </c>
      <c r="G78" s="6">
        <v>64.03</v>
      </c>
      <c r="H78" s="6">
        <v>25.97</v>
      </c>
      <c r="I78" s="6">
        <v>7.63</v>
      </c>
      <c r="J78" s="6">
        <v>0.62</v>
      </c>
      <c r="K78" s="6">
        <v>270.77999999999997</v>
      </c>
      <c r="L78" s="6">
        <v>34.76</v>
      </c>
      <c r="M78" s="6">
        <v>24.58</v>
      </c>
      <c r="N78" s="6">
        <v>23.5</v>
      </c>
      <c r="O78" s="6">
        <v>0</v>
      </c>
      <c r="P78" s="6">
        <v>0.63</v>
      </c>
      <c r="Q78" s="6">
        <v>4.71</v>
      </c>
    </row>
    <row r="79" spans="1:17" customFormat="1">
      <c r="A79" s="82">
        <v>45364.739583333336</v>
      </c>
      <c r="B79" s="6">
        <v>3.3</v>
      </c>
      <c r="C79" s="6">
        <v>21.65</v>
      </c>
      <c r="D79" s="6">
        <v>15.31</v>
      </c>
      <c r="E79" s="6">
        <v>13.66</v>
      </c>
      <c r="F79" s="6">
        <v>16.12</v>
      </c>
      <c r="G79" s="6">
        <v>64.03</v>
      </c>
      <c r="H79" s="6">
        <v>25.97</v>
      </c>
      <c r="I79" s="6">
        <v>7.49</v>
      </c>
      <c r="J79" s="6">
        <v>0.48</v>
      </c>
      <c r="K79" s="6">
        <v>268.44</v>
      </c>
      <c r="L79" s="6">
        <v>34.39</v>
      </c>
      <c r="M79" s="6">
        <v>25.42</v>
      </c>
      <c r="N79" s="6">
        <v>7.6</v>
      </c>
      <c r="O79" s="6">
        <v>0</v>
      </c>
      <c r="P79" s="6">
        <v>0.63</v>
      </c>
      <c r="Q79" s="6">
        <v>4.7</v>
      </c>
    </row>
    <row r="80" spans="1:17" customFormat="1">
      <c r="A80" s="82">
        <v>45364.75</v>
      </c>
      <c r="B80" s="6">
        <v>4.3099999999999996</v>
      </c>
      <c r="C80" s="6">
        <v>26.81</v>
      </c>
      <c r="D80" s="6">
        <v>18.82</v>
      </c>
      <c r="E80" s="6">
        <v>15.63</v>
      </c>
      <c r="F80" s="6">
        <v>10.65</v>
      </c>
      <c r="G80" s="6">
        <v>63.79</v>
      </c>
      <c r="H80" s="6">
        <v>26</v>
      </c>
      <c r="I80" s="6">
        <v>7.22</v>
      </c>
      <c r="J80" s="6">
        <v>0.28000000000000003</v>
      </c>
      <c r="K80" s="6">
        <v>262.23</v>
      </c>
      <c r="L80" s="6">
        <v>34.08</v>
      </c>
      <c r="M80" s="6">
        <v>26.82</v>
      </c>
      <c r="N80" s="6">
        <v>0.1</v>
      </c>
      <c r="O80" s="6">
        <v>0</v>
      </c>
      <c r="P80" s="6">
        <v>0.69</v>
      </c>
      <c r="Q80" s="6">
        <v>4.71</v>
      </c>
    </row>
    <row r="81" spans="1:17" customFormat="1">
      <c r="A81" s="82">
        <v>45364.760416666664</v>
      </c>
      <c r="B81" s="6">
        <v>5.8</v>
      </c>
      <c r="C81" s="6">
        <v>33.369999999999997</v>
      </c>
      <c r="D81" s="6">
        <v>23.44</v>
      </c>
      <c r="E81" s="6">
        <v>11.96</v>
      </c>
      <c r="F81" s="6">
        <v>7.43</v>
      </c>
      <c r="G81" s="6">
        <v>60.47</v>
      </c>
      <c r="H81" s="6">
        <v>26.34</v>
      </c>
      <c r="I81" s="6">
        <v>6.9</v>
      </c>
      <c r="J81" s="6">
        <v>0.19</v>
      </c>
      <c r="K81" s="6">
        <v>234.47</v>
      </c>
      <c r="L81" s="6">
        <v>33.5</v>
      </c>
      <c r="M81" s="6">
        <v>28.12</v>
      </c>
      <c r="N81" s="6">
        <v>0</v>
      </c>
      <c r="O81" s="6">
        <v>0</v>
      </c>
      <c r="P81" s="6">
        <v>0.73</v>
      </c>
      <c r="Q81" s="6">
        <v>4.7</v>
      </c>
    </row>
    <row r="82" spans="1:17" customFormat="1">
      <c r="A82" s="82">
        <v>45364.770833333336</v>
      </c>
      <c r="B82" s="6">
        <v>7.05</v>
      </c>
      <c r="C82" s="6">
        <v>34.68</v>
      </c>
      <c r="D82" s="6">
        <v>25.13</v>
      </c>
      <c r="E82" s="6">
        <v>12.7</v>
      </c>
      <c r="F82" s="6">
        <v>5.75</v>
      </c>
      <c r="G82" s="6">
        <v>60.47</v>
      </c>
      <c r="H82" s="6">
        <v>26.34</v>
      </c>
      <c r="I82" s="6">
        <v>6.91</v>
      </c>
      <c r="J82" s="6">
        <v>0.32</v>
      </c>
      <c r="K82" s="6">
        <v>297.58</v>
      </c>
      <c r="L82" s="6">
        <v>33</v>
      </c>
      <c r="M82" s="6">
        <v>29.14</v>
      </c>
      <c r="N82" s="6">
        <v>0</v>
      </c>
      <c r="O82" s="6">
        <v>0</v>
      </c>
      <c r="P82" s="6">
        <v>0.77</v>
      </c>
      <c r="Q82" s="6">
        <v>4.7</v>
      </c>
    </row>
    <row r="83" spans="1:17" customFormat="1">
      <c r="A83" s="82">
        <v>45364.78125</v>
      </c>
      <c r="B83" s="6">
        <v>6.95</v>
      </c>
      <c r="C83" s="6">
        <v>34.020000000000003</v>
      </c>
      <c r="D83" s="6">
        <v>24.7</v>
      </c>
      <c r="E83" s="6">
        <v>12.36</v>
      </c>
      <c r="F83" s="6">
        <v>7.73</v>
      </c>
      <c r="G83" s="6">
        <v>60.47</v>
      </c>
      <c r="H83" s="6">
        <v>26.34</v>
      </c>
      <c r="I83" s="6">
        <v>7.08</v>
      </c>
      <c r="J83" s="6">
        <v>0.45</v>
      </c>
      <c r="K83" s="6">
        <v>293.38</v>
      </c>
      <c r="L83" s="6">
        <v>32.92</v>
      </c>
      <c r="M83" s="6">
        <v>27.53</v>
      </c>
      <c r="N83" s="6">
        <v>0</v>
      </c>
      <c r="O83" s="6">
        <v>0</v>
      </c>
      <c r="P83" s="6">
        <v>0.78</v>
      </c>
      <c r="Q83" s="6">
        <v>4.71</v>
      </c>
    </row>
    <row r="84" spans="1:17" customFormat="1">
      <c r="A84" s="82">
        <v>45364.791666666664</v>
      </c>
      <c r="B84" s="6">
        <v>6.95</v>
      </c>
      <c r="C84" s="6">
        <v>34.07</v>
      </c>
      <c r="D84" s="6">
        <v>24.73</v>
      </c>
      <c r="E84" s="6">
        <v>15.34</v>
      </c>
      <c r="F84" s="6">
        <v>7.7</v>
      </c>
      <c r="G84" s="6">
        <v>61.28</v>
      </c>
      <c r="H84" s="6">
        <v>26.52</v>
      </c>
      <c r="I84" s="6">
        <v>7.22</v>
      </c>
      <c r="J84" s="6">
        <v>0.23</v>
      </c>
      <c r="K84" s="6">
        <v>313.43</v>
      </c>
      <c r="L84" s="6">
        <v>32.56</v>
      </c>
      <c r="M84" s="6">
        <v>27.7</v>
      </c>
      <c r="N84" s="6">
        <v>0</v>
      </c>
      <c r="O84" s="6">
        <v>0</v>
      </c>
      <c r="P84" s="6">
        <v>0.8</v>
      </c>
      <c r="Q84" s="6">
        <v>4.76</v>
      </c>
    </row>
    <row r="85" spans="1:17" customFormat="1">
      <c r="A85" s="82">
        <v>45364.802083333336</v>
      </c>
      <c r="B85" s="6">
        <v>8.8000000000000007</v>
      </c>
      <c r="C85" s="6">
        <v>37.479999999999997</v>
      </c>
      <c r="D85" s="6">
        <v>27.99</v>
      </c>
      <c r="E85" s="6">
        <v>20.91</v>
      </c>
      <c r="F85" s="6">
        <v>6.37</v>
      </c>
      <c r="G85" s="6">
        <v>72.599999999999994</v>
      </c>
      <c r="H85" s="6">
        <v>28.69</v>
      </c>
      <c r="I85" s="6">
        <v>7.19</v>
      </c>
      <c r="J85" s="6">
        <v>0.37</v>
      </c>
      <c r="K85" s="6">
        <v>336.78</v>
      </c>
      <c r="L85" s="6">
        <v>32.35</v>
      </c>
      <c r="M85" s="6">
        <v>28</v>
      </c>
      <c r="N85" s="6">
        <v>0</v>
      </c>
      <c r="O85" s="6">
        <v>0</v>
      </c>
      <c r="P85" s="6">
        <v>0.84</v>
      </c>
      <c r="Q85" s="6">
        <v>4.76</v>
      </c>
    </row>
    <row r="86" spans="1:17" customFormat="1">
      <c r="A86" s="82">
        <v>45364.8125</v>
      </c>
      <c r="B86" s="6">
        <v>10</v>
      </c>
      <c r="C86" s="6">
        <v>37.869999999999997</v>
      </c>
      <c r="D86" s="6">
        <v>29.16</v>
      </c>
      <c r="E86" s="6">
        <v>15.4</v>
      </c>
      <c r="F86" s="6">
        <v>5.69</v>
      </c>
      <c r="G86" s="6">
        <v>72.599999999999994</v>
      </c>
      <c r="H86" s="6">
        <v>28.69</v>
      </c>
      <c r="I86" s="6">
        <v>7.28</v>
      </c>
      <c r="J86" s="6">
        <v>0.7</v>
      </c>
      <c r="K86" s="6">
        <v>315.37</v>
      </c>
      <c r="L86" s="6">
        <v>32.31</v>
      </c>
      <c r="M86" s="6">
        <v>27.61</v>
      </c>
      <c r="N86" s="6">
        <v>0</v>
      </c>
      <c r="O86" s="6">
        <v>0</v>
      </c>
      <c r="P86" s="6">
        <v>0.86</v>
      </c>
      <c r="Q86" s="6">
        <v>4.76</v>
      </c>
    </row>
    <row r="87" spans="1:17" customFormat="1">
      <c r="A87" s="82">
        <v>45364.822916666664</v>
      </c>
      <c r="B87" s="6">
        <v>10.56</v>
      </c>
      <c r="C87" s="6">
        <v>37.99</v>
      </c>
      <c r="D87" s="6">
        <v>29.67</v>
      </c>
      <c r="E87" s="6">
        <v>15.79</v>
      </c>
      <c r="F87" s="6">
        <v>5.87</v>
      </c>
      <c r="G87" s="6">
        <v>72.599999999999994</v>
      </c>
      <c r="H87" s="6">
        <v>28.69</v>
      </c>
      <c r="I87" s="6">
        <v>7.59</v>
      </c>
      <c r="J87" s="6">
        <v>0.56999999999999995</v>
      </c>
      <c r="K87" s="6">
        <v>315.51</v>
      </c>
      <c r="L87" s="6">
        <v>32.119999999999997</v>
      </c>
      <c r="M87" s="6">
        <v>28</v>
      </c>
      <c r="N87" s="6">
        <v>0</v>
      </c>
      <c r="O87" s="6">
        <v>0</v>
      </c>
      <c r="P87" s="6">
        <v>0.89</v>
      </c>
      <c r="Q87" s="6">
        <v>4.78</v>
      </c>
    </row>
    <row r="88" spans="1:17" customFormat="1">
      <c r="A88" s="82">
        <v>45364.833333333336</v>
      </c>
      <c r="B88" s="6">
        <v>10.8</v>
      </c>
      <c r="C88" s="6">
        <v>38.89</v>
      </c>
      <c r="D88" s="6">
        <v>30.33</v>
      </c>
      <c r="E88" s="6">
        <v>16.420000000000002</v>
      </c>
      <c r="F88" s="6">
        <v>6.05</v>
      </c>
      <c r="G88" s="6">
        <v>74.680000000000007</v>
      </c>
      <c r="H88" s="6">
        <v>29.25</v>
      </c>
      <c r="I88" s="6">
        <v>7.84</v>
      </c>
      <c r="J88" s="6">
        <v>0.44</v>
      </c>
      <c r="K88" s="6">
        <v>307.35000000000002</v>
      </c>
      <c r="L88" s="6">
        <v>31.78</v>
      </c>
      <c r="M88" s="6">
        <v>28.81</v>
      </c>
      <c r="N88" s="6">
        <v>0</v>
      </c>
      <c r="O88" s="6">
        <v>0</v>
      </c>
      <c r="P88" s="6">
        <v>0.92</v>
      </c>
      <c r="Q88" s="6">
        <v>4.78</v>
      </c>
    </row>
    <row r="89" spans="1:17" customFormat="1">
      <c r="A89" s="82">
        <v>45364.84375</v>
      </c>
      <c r="B89" s="6">
        <v>10.8</v>
      </c>
      <c r="C89" s="6">
        <v>38.94</v>
      </c>
      <c r="D89" s="6">
        <v>30.35</v>
      </c>
      <c r="E89" s="6">
        <v>15.87</v>
      </c>
      <c r="F89" s="6">
        <v>5.86</v>
      </c>
      <c r="G89" s="6">
        <v>99.33</v>
      </c>
      <c r="H89" s="6">
        <v>34.94</v>
      </c>
      <c r="I89" s="6">
        <v>8.0299999999999994</v>
      </c>
      <c r="J89" s="6">
        <v>0.26</v>
      </c>
      <c r="K89" s="6">
        <v>332.69</v>
      </c>
      <c r="L89" s="6">
        <v>31.48</v>
      </c>
      <c r="M89" s="6">
        <v>29.7</v>
      </c>
      <c r="N89" s="6">
        <v>0</v>
      </c>
      <c r="O89" s="6">
        <v>0</v>
      </c>
      <c r="P89" s="6">
        <v>0.93</v>
      </c>
      <c r="Q89" s="6">
        <v>4.8</v>
      </c>
    </row>
    <row r="90" spans="1:17" customFormat="1">
      <c r="A90" s="82">
        <v>45364.854166666664</v>
      </c>
      <c r="B90" s="6">
        <v>11.07</v>
      </c>
      <c r="C90" s="6">
        <v>39.270000000000003</v>
      </c>
      <c r="D90" s="6">
        <v>30.75</v>
      </c>
      <c r="E90" s="6">
        <v>15.35</v>
      </c>
      <c r="F90" s="6">
        <v>5.2</v>
      </c>
      <c r="G90" s="6">
        <v>99.33</v>
      </c>
      <c r="H90" s="6">
        <v>34.94</v>
      </c>
      <c r="I90" s="6">
        <v>8.34</v>
      </c>
      <c r="J90" s="6">
        <v>0.15</v>
      </c>
      <c r="K90" s="6">
        <v>195.79</v>
      </c>
      <c r="L90" s="6">
        <v>31.09</v>
      </c>
      <c r="M90" s="6">
        <v>31.28</v>
      </c>
      <c r="N90" s="6">
        <v>0</v>
      </c>
      <c r="O90" s="6">
        <v>0</v>
      </c>
      <c r="P90" s="6">
        <v>0.95</v>
      </c>
      <c r="Q90" s="6">
        <v>4.79</v>
      </c>
    </row>
    <row r="91" spans="1:17" customFormat="1">
      <c r="A91" s="82">
        <v>45364.864583333336</v>
      </c>
      <c r="B91" s="6">
        <v>11.02</v>
      </c>
      <c r="C91" s="6">
        <v>39.380000000000003</v>
      </c>
      <c r="D91" s="6">
        <v>30.76</v>
      </c>
      <c r="E91" s="6">
        <v>14.42</v>
      </c>
      <c r="F91" s="6">
        <v>4.92</v>
      </c>
      <c r="G91" s="6">
        <v>99.33</v>
      </c>
      <c r="H91" s="6">
        <v>34.94</v>
      </c>
      <c r="I91" s="6">
        <v>8.69</v>
      </c>
      <c r="J91" s="6">
        <v>0.09</v>
      </c>
      <c r="K91" s="6">
        <v>236.88</v>
      </c>
      <c r="L91" s="6">
        <v>30.41</v>
      </c>
      <c r="M91" s="6">
        <v>33.44</v>
      </c>
      <c r="N91" s="6">
        <v>0</v>
      </c>
      <c r="O91" s="6">
        <v>0</v>
      </c>
      <c r="P91" s="6">
        <v>0.96</v>
      </c>
      <c r="Q91" s="6">
        <v>4.79</v>
      </c>
    </row>
    <row r="92" spans="1:17" customFormat="1">
      <c r="A92" s="82">
        <v>45364.875</v>
      </c>
      <c r="B92" s="6">
        <v>16.62</v>
      </c>
      <c r="C92" s="6">
        <v>42.94</v>
      </c>
      <c r="D92" s="6">
        <v>37.11</v>
      </c>
      <c r="E92" s="6">
        <v>28.67</v>
      </c>
      <c r="F92" s="6">
        <v>6.7</v>
      </c>
      <c r="G92" s="6">
        <v>99.83</v>
      </c>
      <c r="H92" s="6">
        <v>34.97</v>
      </c>
      <c r="I92" s="6">
        <v>9.27</v>
      </c>
      <c r="J92" s="6">
        <v>0.2</v>
      </c>
      <c r="K92" s="6">
        <v>51.76</v>
      </c>
      <c r="L92" s="6">
        <v>30.25</v>
      </c>
      <c r="M92" s="6">
        <v>32.659999999999997</v>
      </c>
      <c r="N92" s="6">
        <v>0</v>
      </c>
      <c r="O92" s="6">
        <v>0</v>
      </c>
      <c r="P92" s="6">
        <v>1.06</v>
      </c>
      <c r="Q92" s="6">
        <v>4.79</v>
      </c>
    </row>
    <row r="93" spans="1:17" customFormat="1">
      <c r="A93" s="82">
        <v>45364.885416666664</v>
      </c>
      <c r="B93" s="6">
        <v>16.89</v>
      </c>
      <c r="C93" s="6">
        <v>40.44</v>
      </c>
      <c r="D93" s="6">
        <v>36.03</v>
      </c>
      <c r="E93" s="6">
        <v>26.78</v>
      </c>
      <c r="F93" s="6">
        <v>7.35</v>
      </c>
      <c r="G93" s="6">
        <v>106.81</v>
      </c>
      <c r="H93" s="6">
        <v>35.29</v>
      </c>
      <c r="I93" s="6">
        <v>9.59</v>
      </c>
      <c r="J93" s="6">
        <v>0.2</v>
      </c>
      <c r="K93" s="6">
        <v>76.03</v>
      </c>
      <c r="L93" s="6">
        <v>30.04</v>
      </c>
      <c r="M93" s="6">
        <v>34.4</v>
      </c>
      <c r="N93" s="6">
        <v>0</v>
      </c>
      <c r="O93" s="6">
        <v>0</v>
      </c>
      <c r="P93" s="6">
        <v>1.1000000000000001</v>
      </c>
      <c r="Q93" s="6">
        <v>4.8099999999999996</v>
      </c>
    </row>
    <row r="94" spans="1:17" customFormat="1">
      <c r="A94" s="82">
        <v>45364.895833333336</v>
      </c>
      <c r="B94" s="6">
        <v>15.12</v>
      </c>
      <c r="C94" s="6">
        <v>37.83</v>
      </c>
      <c r="D94" s="6">
        <v>33.24</v>
      </c>
      <c r="E94" s="6">
        <v>15.79</v>
      </c>
      <c r="F94" s="6">
        <v>5.5</v>
      </c>
      <c r="G94" s="6">
        <v>106.81</v>
      </c>
      <c r="H94" s="6">
        <v>35.29</v>
      </c>
      <c r="I94" s="6">
        <v>10.41</v>
      </c>
      <c r="J94" s="6">
        <v>0.17</v>
      </c>
      <c r="K94" s="6">
        <v>152.16999999999999</v>
      </c>
      <c r="L94" s="6">
        <v>29.01</v>
      </c>
      <c r="M94" s="6">
        <v>41.13</v>
      </c>
      <c r="N94" s="6">
        <v>0</v>
      </c>
      <c r="O94" s="6">
        <v>0</v>
      </c>
      <c r="P94" s="6">
        <v>1.1100000000000001</v>
      </c>
      <c r="Q94" s="6">
        <v>4.8099999999999996</v>
      </c>
    </row>
    <row r="95" spans="1:17" customFormat="1">
      <c r="A95" s="82">
        <v>45364.90625</v>
      </c>
      <c r="B95" s="6">
        <v>15.72</v>
      </c>
      <c r="C95" s="6">
        <v>35.39</v>
      </c>
      <c r="D95" s="6">
        <v>32.450000000000003</v>
      </c>
      <c r="E95" s="6">
        <v>12.49</v>
      </c>
      <c r="F95" s="6">
        <v>5.0999999999999996</v>
      </c>
      <c r="G95" s="6">
        <v>106.81</v>
      </c>
      <c r="H95" s="6">
        <v>35.29</v>
      </c>
      <c r="I95" s="6">
        <v>10.24</v>
      </c>
      <c r="J95" s="6">
        <v>0.08</v>
      </c>
      <c r="K95" s="6">
        <v>142.19999999999999</v>
      </c>
      <c r="L95" s="6">
        <v>28.45</v>
      </c>
      <c r="M95" s="6">
        <v>42.94</v>
      </c>
      <c r="N95" s="6">
        <v>0</v>
      </c>
      <c r="O95" s="6">
        <v>0</v>
      </c>
      <c r="P95" s="6">
        <v>1.1200000000000001</v>
      </c>
      <c r="Q95" s="6">
        <v>4.79</v>
      </c>
    </row>
    <row r="96" spans="1:17" customFormat="1">
      <c r="A96" s="82">
        <v>45364.916666666664</v>
      </c>
      <c r="B96" s="6">
        <v>16.47</v>
      </c>
      <c r="C96" s="6">
        <v>33.71</v>
      </c>
      <c r="D96" s="6">
        <v>32.17</v>
      </c>
      <c r="E96" s="6">
        <v>9.98</v>
      </c>
      <c r="F96" s="6">
        <v>5.0199999999999996</v>
      </c>
      <c r="G96" s="6">
        <v>107.58</v>
      </c>
      <c r="H96" s="6">
        <v>36.299999999999997</v>
      </c>
      <c r="I96" s="6">
        <v>10.199999999999999</v>
      </c>
      <c r="J96" s="6">
        <v>0.27</v>
      </c>
      <c r="K96" s="6">
        <v>165.78</v>
      </c>
      <c r="L96" s="6">
        <v>28.06</v>
      </c>
      <c r="M96" s="6">
        <v>49.71</v>
      </c>
      <c r="N96" s="6">
        <v>0</v>
      </c>
      <c r="O96" s="6">
        <v>0</v>
      </c>
      <c r="P96" s="6">
        <v>1.1100000000000001</v>
      </c>
      <c r="Q96" s="6">
        <v>4.78</v>
      </c>
    </row>
    <row r="97" spans="1:22" customFormat="1">
      <c r="A97" s="82">
        <v>45364.927083333336</v>
      </c>
      <c r="B97" s="6">
        <v>16.510000000000002</v>
      </c>
      <c r="C97" s="6">
        <v>31.61</v>
      </c>
      <c r="D97" s="6">
        <v>31.11</v>
      </c>
      <c r="E97" s="6">
        <v>6.43</v>
      </c>
      <c r="F97" s="6">
        <v>5.0599999999999996</v>
      </c>
      <c r="G97" s="6">
        <v>118.4</v>
      </c>
      <c r="H97" s="6">
        <v>46.63</v>
      </c>
      <c r="I97" s="6">
        <v>10.35</v>
      </c>
      <c r="J97" s="6">
        <v>0.33</v>
      </c>
      <c r="K97" s="6">
        <v>184.7</v>
      </c>
      <c r="L97" s="6">
        <v>26.8</v>
      </c>
      <c r="M97" s="6">
        <v>52.82</v>
      </c>
      <c r="N97" s="6">
        <v>0</v>
      </c>
      <c r="O97" s="6">
        <v>0</v>
      </c>
      <c r="P97" s="6">
        <v>1.1100000000000001</v>
      </c>
      <c r="Q97" s="6">
        <v>4.79</v>
      </c>
    </row>
    <row r="98" spans="1:22" customFormat="1">
      <c r="A98" s="82">
        <v>45364.9375</v>
      </c>
      <c r="B98" s="6">
        <v>16.559999999999999</v>
      </c>
      <c r="C98" s="6">
        <v>30.2</v>
      </c>
      <c r="D98" s="6">
        <v>30.41</v>
      </c>
      <c r="E98" s="6">
        <v>6.28</v>
      </c>
      <c r="F98" s="6">
        <v>4.96</v>
      </c>
      <c r="G98" s="6">
        <v>118.4</v>
      </c>
      <c r="H98" s="6">
        <v>46.63</v>
      </c>
      <c r="I98" s="6">
        <v>10.24</v>
      </c>
      <c r="J98" s="6">
        <v>0.13</v>
      </c>
      <c r="K98" s="6">
        <v>184.82</v>
      </c>
      <c r="L98" s="6">
        <v>26.31</v>
      </c>
      <c r="M98" s="6">
        <v>49.48</v>
      </c>
      <c r="N98" s="6">
        <v>0</v>
      </c>
      <c r="O98" s="6">
        <v>0</v>
      </c>
      <c r="P98" s="6">
        <v>1.1000000000000001</v>
      </c>
      <c r="Q98" s="6">
        <v>4.82</v>
      </c>
    </row>
    <row r="99" spans="1:22" customFormat="1">
      <c r="A99" s="82">
        <v>45364.947916666664</v>
      </c>
      <c r="B99" s="6">
        <v>16.48</v>
      </c>
      <c r="C99" s="6">
        <v>29.01</v>
      </c>
      <c r="D99" s="6">
        <v>29.72</v>
      </c>
      <c r="E99" s="6">
        <v>5.2</v>
      </c>
      <c r="F99" s="6">
        <v>4.99</v>
      </c>
      <c r="G99" s="6">
        <v>118.4</v>
      </c>
      <c r="H99" s="6">
        <v>46.63</v>
      </c>
      <c r="I99" s="6">
        <v>10.25</v>
      </c>
      <c r="J99" s="6">
        <v>0.17</v>
      </c>
      <c r="K99" s="6">
        <v>173.42</v>
      </c>
      <c r="L99" s="6">
        <v>26.5</v>
      </c>
      <c r="M99" s="6">
        <v>49.33</v>
      </c>
      <c r="N99" s="6">
        <v>0</v>
      </c>
      <c r="O99" s="6">
        <v>0</v>
      </c>
      <c r="P99" s="6">
        <v>1.1100000000000001</v>
      </c>
      <c r="Q99" s="6">
        <v>4.8600000000000003</v>
      </c>
    </row>
    <row r="100" spans="1:22" customFormat="1">
      <c r="A100" s="82">
        <v>45364.958333333336</v>
      </c>
      <c r="B100" s="6">
        <v>15.31</v>
      </c>
      <c r="C100" s="6">
        <v>28.66</v>
      </c>
      <c r="D100" s="6">
        <v>28.6</v>
      </c>
      <c r="E100" s="6">
        <v>6.81</v>
      </c>
      <c r="F100" s="6">
        <v>5.08</v>
      </c>
      <c r="G100" s="6">
        <v>117.26</v>
      </c>
      <c r="H100" s="6">
        <v>46.38</v>
      </c>
      <c r="I100" s="6">
        <v>10.29</v>
      </c>
      <c r="J100" s="6">
        <v>0.16</v>
      </c>
      <c r="K100" s="6">
        <v>186.03</v>
      </c>
      <c r="L100" s="6">
        <v>26.54</v>
      </c>
      <c r="M100" s="6">
        <v>49.18</v>
      </c>
      <c r="N100" s="6">
        <v>0</v>
      </c>
      <c r="O100" s="6">
        <v>0</v>
      </c>
      <c r="P100" s="6">
        <v>1.03</v>
      </c>
      <c r="Q100" s="6">
        <v>4.8600000000000003</v>
      </c>
    </row>
    <row r="101" spans="1:22" customFormat="1">
      <c r="A101" s="82">
        <v>45364.96875</v>
      </c>
      <c r="B101" s="6">
        <v>13.59</v>
      </c>
      <c r="C101" s="6">
        <v>28.78</v>
      </c>
      <c r="D101" s="6">
        <v>27.28</v>
      </c>
      <c r="E101" s="6">
        <v>6.86</v>
      </c>
      <c r="F101" s="6">
        <v>5.33</v>
      </c>
      <c r="G101" s="6">
        <v>101.32</v>
      </c>
      <c r="H101" s="6">
        <v>43.27</v>
      </c>
      <c r="I101" s="6">
        <v>10.210000000000001</v>
      </c>
      <c r="J101" s="6">
        <v>0.13</v>
      </c>
      <c r="K101" s="6">
        <v>169.72</v>
      </c>
      <c r="L101" s="6">
        <v>26.43</v>
      </c>
      <c r="M101" s="6">
        <v>48.46</v>
      </c>
      <c r="N101" s="6">
        <v>0</v>
      </c>
      <c r="O101" s="6">
        <v>0</v>
      </c>
      <c r="P101" s="6">
        <v>1</v>
      </c>
      <c r="Q101" s="6">
        <v>4.8499999999999996</v>
      </c>
    </row>
    <row r="102" spans="1:22" customFormat="1">
      <c r="A102" s="82">
        <v>45364.979166666664</v>
      </c>
      <c r="B102" s="6">
        <v>12.46</v>
      </c>
      <c r="C102" s="6">
        <v>30.02</v>
      </c>
      <c r="D102" s="6">
        <v>27.03</v>
      </c>
      <c r="E102" s="6">
        <v>7.48</v>
      </c>
      <c r="F102" s="6">
        <v>5.08</v>
      </c>
      <c r="G102" s="6">
        <v>101.32</v>
      </c>
      <c r="H102" s="6">
        <v>43.27</v>
      </c>
      <c r="I102" s="6">
        <v>10.029999999999999</v>
      </c>
      <c r="J102" s="6">
        <v>0.41</v>
      </c>
      <c r="K102" s="6">
        <v>5.68</v>
      </c>
      <c r="L102" s="6">
        <v>26.62</v>
      </c>
      <c r="M102" s="6">
        <v>46.26</v>
      </c>
      <c r="N102" s="6">
        <v>0</v>
      </c>
      <c r="O102" s="6">
        <v>0</v>
      </c>
      <c r="P102" s="6">
        <v>0.98</v>
      </c>
      <c r="Q102" s="6">
        <v>4.82</v>
      </c>
    </row>
    <row r="103" spans="1:22" customFormat="1">
      <c r="A103" s="82">
        <v>45364.989583333336</v>
      </c>
      <c r="B103" s="6">
        <v>11.88</v>
      </c>
      <c r="C103" s="6">
        <v>30.4</v>
      </c>
      <c r="D103" s="6">
        <v>26.76</v>
      </c>
      <c r="E103" s="6">
        <v>7.6</v>
      </c>
      <c r="F103" s="6">
        <v>4.8099999999999996</v>
      </c>
      <c r="G103" s="6">
        <v>101.32</v>
      </c>
      <c r="H103" s="6">
        <v>43.27</v>
      </c>
      <c r="I103" s="6">
        <v>9.82</v>
      </c>
      <c r="J103" s="6">
        <v>7.0000000000000007E-2</v>
      </c>
      <c r="K103" s="6">
        <v>0.24</v>
      </c>
      <c r="L103" s="6">
        <v>27.35</v>
      </c>
      <c r="M103" s="6">
        <v>43.17</v>
      </c>
      <c r="N103" s="6">
        <v>0</v>
      </c>
      <c r="O103" s="6">
        <v>0</v>
      </c>
      <c r="P103" s="6">
        <v>0.98</v>
      </c>
      <c r="Q103" s="6">
        <v>4.82</v>
      </c>
    </row>
    <row r="104" spans="1:22" customFormat="1">
      <c r="A104" s="82">
        <v>45365</v>
      </c>
      <c r="B104" s="6">
        <v>11.74</v>
      </c>
      <c r="C104" s="6">
        <v>30.69</v>
      </c>
      <c r="D104" s="6">
        <v>26.79</v>
      </c>
      <c r="E104" s="6">
        <v>7.85</v>
      </c>
      <c r="F104" s="6">
        <v>4.8600000000000003</v>
      </c>
      <c r="G104" s="6">
        <v>100.18</v>
      </c>
      <c r="H104" s="6">
        <v>42.19</v>
      </c>
      <c r="I104" s="6">
        <v>9.8000000000000007</v>
      </c>
      <c r="J104" s="6">
        <v>0.18</v>
      </c>
      <c r="K104" s="6">
        <v>249.23</v>
      </c>
      <c r="L104" s="6">
        <v>27.71</v>
      </c>
      <c r="M104" s="6">
        <v>42.36</v>
      </c>
      <c r="N104" s="6">
        <v>0</v>
      </c>
      <c r="O104" s="6">
        <v>0</v>
      </c>
      <c r="P104" s="6">
        <v>0.98</v>
      </c>
      <c r="Q104" s="6">
        <v>4.83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6" t="s">
        <v>48</v>
      </c>
      <c r="B106" s="187">
        <f>MIN(B9:B104)</f>
        <v>2.85</v>
      </c>
      <c r="C106" s="187">
        <f>MIN(C9:C104)</f>
        <v>21.65</v>
      </c>
      <c r="D106" s="187">
        <f t="shared" ref="D106:Q106" si="0">MIN(D9:D104)</f>
        <v>15.31</v>
      </c>
      <c r="E106" s="187">
        <f t="shared" si="0"/>
        <v>4.0599999999999996</v>
      </c>
      <c r="F106" s="187">
        <f t="shared" si="0"/>
        <v>4.2699999999999996</v>
      </c>
      <c r="G106" s="187">
        <f t="shared" si="0"/>
        <v>60.47</v>
      </c>
      <c r="H106" s="187">
        <f t="shared" si="0"/>
        <v>25.97</v>
      </c>
      <c r="I106" s="187">
        <f t="shared" si="0"/>
        <v>6.9</v>
      </c>
      <c r="J106" s="187">
        <f t="shared" si="0"/>
        <v>0.01</v>
      </c>
      <c r="K106" s="187">
        <f t="shared" si="0"/>
        <v>0.24</v>
      </c>
      <c r="L106" s="187">
        <f t="shared" si="0"/>
        <v>21.73</v>
      </c>
      <c r="M106" s="187">
        <f t="shared" si="0"/>
        <v>18.329999999999998</v>
      </c>
      <c r="N106" s="187">
        <f t="shared" si="0"/>
        <v>0</v>
      </c>
      <c r="O106" s="187">
        <f t="shared" si="0"/>
        <v>0</v>
      </c>
      <c r="P106" s="187">
        <f t="shared" si="0"/>
        <v>0.63</v>
      </c>
      <c r="Q106" s="187">
        <f t="shared" si="0"/>
        <v>4.5999999999999996</v>
      </c>
      <c r="R106" s="192"/>
      <c r="S106" s="192"/>
      <c r="T106" s="192"/>
      <c r="U106" s="192"/>
    </row>
    <row r="107" spans="1:22">
      <c r="A107" s="186" t="s">
        <v>49</v>
      </c>
      <c r="B107" s="188">
        <f>MAX(B9:B104)</f>
        <v>29.17</v>
      </c>
      <c r="C107" s="188">
        <f t="shared" ref="C107:Q107" si="1">MAX(C9:C104)</f>
        <v>42.94</v>
      </c>
      <c r="D107" s="188">
        <f t="shared" si="1"/>
        <v>38.94</v>
      </c>
      <c r="E107" s="188">
        <f t="shared" si="1"/>
        <v>28.67</v>
      </c>
      <c r="F107" s="188">
        <f t="shared" si="1"/>
        <v>17.48</v>
      </c>
      <c r="G107" s="188">
        <f t="shared" si="1"/>
        <v>118.4</v>
      </c>
      <c r="H107" s="188">
        <f t="shared" si="1"/>
        <v>46.63</v>
      </c>
      <c r="I107" s="188">
        <f t="shared" si="1"/>
        <v>14.45</v>
      </c>
      <c r="J107" s="188">
        <f t="shared" si="1"/>
        <v>1.61</v>
      </c>
      <c r="K107" s="188">
        <f t="shared" si="1"/>
        <v>336.78</v>
      </c>
      <c r="L107" s="188">
        <f t="shared" si="1"/>
        <v>37.85</v>
      </c>
      <c r="M107" s="188">
        <f t="shared" si="1"/>
        <v>69.599999999999994</v>
      </c>
      <c r="N107" s="188">
        <f t="shared" si="1"/>
        <v>539.79999999999995</v>
      </c>
      <c r="O107" s="188">
        <f t="shared" si="1"/>
        <v>0</v>
      </c>
      <c r="P107" s="188">
        <f t="shared" si="1"/>
        <v>1.1200000000000001</v>
      </c>
      <c r="Q107" s="188">
        <f t="shared" si="1"/>
        <v>4.9400000000000004</v>
      </c>
      <c r="R107" s="193"/>
      <c r="S107" s="193"/>
      <c r="T107" s="193"/>
      <c r="U107" s="193"/>
    </row>
    <row r="108" spans="1:22">
      <c r="A108" s="186" t="s">
        <v>50</v>
      </c>
      <c r="B108" s="187">
        <f>AVERAGE(B9:B104)</f>
        <v>12.708333333333334</v>
      </c>
      <c r="C108" s="187">
        <f t="shared" ref="C108:Q108" si="2">AVERAGE(C9:C104)</f>
        <v>28.979479166666675</v>
      </c>
      <c r="D108" s="187">
        <f t="shared" si="2"/>
        <v>26.683125000000008</v>
      </c>
      <c r="E108" s="187">
        <f t="shared" si="2"/>
        <v>10.912187499999996</v>
      </c>
      <c r="F108" s="187">
        <f t="shared" si="2"/>
        <v>7.7522916666666681</v>
      </c>
      <c r="G108" s="187">
        <f t="shared" si="2"/>
        <v>86.6119791666667</v>
      </c>
      <c r="H108" s="187">
        <f t="shared" si="2"/>
        <v>34.488958333333343</v>
      </c>
      <c r="I108" s="187">
        <f t="shared" si="2"/>
        <v>10.357083333333334</v>
      </c>
      <c r="J108" s="187">
        <f t="shared" si="2"/>
        <v>0.49708333333333332</v>
      </c>
      <c r="K108" s="187">
        <f t="shared" si="2"/>
        <v>228.77072916666657</v>
      </c>
      <c r="L108" s="187">
        <f t="shared" si="2"/>
        <v>29.856458333333332</v>
      </c>
      <c r="M108" s="187">
        <f t="shared" si="2"/>
        <v>41.128541666666671</v>
      </c>
      <c r="N108" s="187">
        <f t="shared" si="2"/>
        <v>143.46562499999999</v>
      </c>
      <c r="O108" s="187">
        <f t="shared" si="2"/>
        <v>0</v>
      </c>
      <c r="P108" s="187">
        <f t="shared" si="2"/>
        <v>0.89770833333333344</v>
      </c>
      <c r="Q108" s="187">
        <f t="shared" si="2"/>
        <v>4.7822916666666657</v>
      </c>
      <c r="R108" s="192"/>
      <c r="S108" s="192"/>
      <c r="T108" s="192"/>
      <c r="U108" s="192"/>
    </row>
    <row r="109" spans="1:22">
      <c r="A109" s="186" t="s">
        <v>51</v>
      </c>
      <c r="B109" s="187">
        <f>STDEV(B9:B104)</f>
        <v>8.2718511473253997</v>
      </c>
      <c r="C109" s="187">
        <f t="shared" ref="C109:Q109" si="3">STDEV(C9:C104)</f>
        <v>4.6454782473852703</v>
      </c>
      <c r="D109" s="187">
        <f t="shared" si="3"/>
        <v>7.4542054979227972</v>
      </c>
      <c r="E109" s="187">
        <f t="shared" si="3"/>
        <v>4.2112948885298911</v>
      </c>
      <c r="F109" s="187">
        <f t="shared" si="3"/>
        <v>4.0681827002306736</v>
      </c>
      <c r="G109" s="187">
        <f t="shared" si="3"/>
        <v>16.375277811691646</v>
      </c>
      <c r="H109" s="187">
        <f t="shared" si="3"/>
        <v>5.1574200974326505</v>
      </c>
      <c r="I109" s="187">
        <f t="shared" si="3"/>
        <v>1.6892626336996857</v>
      </c>
      <c r="J109" s="187">
        <f t="shared" si="3"/>
        <v>0.39052438879743989</v>
      </c>
      <c r="K109" s="187">
        <f t="shared" si="3"/>
        <v>79.406901837704027</v>
      </c>
      <c r="L109" s="187">
        <f t="shared" si="3"/>
        <v>5.375689914922904</v>
      </c>
      <c r="M109" s="187">
        <f t="shared" si="3"/>
        <v>15.955463012903799</v>
      </c>
      <c r="N109" s="187">
        <f t="shared" si="3"/>
        <v>196.45197073565092</v>
      </c>
      <c r="O109" s="187">
        <f t="shared" si="3"/>
        <v>0</v>
      </c>
      <c r="P109" s="187">
        <f t="shared" si="3"/>
        <v>0.1125538857302691</v>
      </c>
      <c r="Q109" s="187">
        <f t="shared" si="3"/>
        <v>7.7886275619112322E-2</v>
      </c>
      <c r="R109" s="192"/>
      <c r="S109" s="192"/>
      <c r="T109" s="192"/>
      <c r="U109" s="192"/>
    </row>
    <row r="110" spans="1:22">
      <c r="A110" s="186" t="s">
        <v>52</v>
      </c>
      <c r="B110" s="188">
        <f t="shared" ref="B110:Q110" si="4">COUNT(B9:B104)</f>
        <v>96</v>
      </c>
      <c r="C110" s="188">
        <f t="shared" si="4"/>
        <v>96</v>
      </c>
      <c r="D110" s="188">
        <f t="shared" si="4"/>
        <v>96</v>
      </c>
      <c r="E110" s="188">
        <f t="shared" si="4"/>
        <v>96</v>
      </c>
      <c r="F110" s="188">
        <f t="shared" si="4"/>
        <v>96</v>
      </c>
      <c r="G110" s="188">
        <f t="shared" si="4"/>
        <v>96</v>
      </c>
      <c r="H110" s="188">
        <f t="shared" si="4"/>
        <v>96</v>
      </c>
      <c r="I110" s="188">
        <f t="shared" si="4"/>
        <v>96</v>
      </c>
      <c r="J110" s="188">
        <f t="shared" si="4"/>
        <v>96</v>
      </c>
      <c r="K110" s="188">
        <f t="shared" si="4"/>
        <v>96</v>
      </c>
      <c r="L110" s="188">
        <f t="shared" si="4"/>
        <v>96</v>
      </c>
      <c r="M110" s="188">
        <f t="shared" si="4"/>
        <v>96</v>
      </c>
      <c r="N110" s="188">
        <f t="shared" si="4"/>
        <v>96</v>
      </c>
      <c r="O110" s="188">
        <f t="shared" si="4"/>
        <v>96</v>
      </c>
      <c r="P110" s="188">
        <f t="shared" si="4"/>
        <v>96</v>
      </c>
      <c r="Q110" s="188">
        <f t="shared" si="4"/>
        <v>96</v>
      </c>
      <c r="R110" s="193"/>
      <c r="S110" s="193"/>
      <c r="T110" s="193"/>
      <c r="U110" s="193"/>
      <c r="V110" s="188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91"/>
      <c r="O113" s="191"/>
      <c r="P113" s="191"/>
      <c r="Q113" s="191"/>
      <c r="R113" s="191"/>
      <c r="S113" s="191"/>
      <c r="T113" s="191"/>
      <c r="U113" s="191"/>
    </row>
    <row r="115" spans="1:21">
      <c r="A115" s="153" t="s">
        <v>55</v>
      </c>
      <c r="B115" s="197" t="s">
        <v>56</v>
      </c>
      <c r="C115" s="197"/>
      <c r="D115" s="197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9" t="s">
        <v>57</v>
      </c>
      <c r="B117" s="198"/>
      <c r="C117" s="198"/>
      <c r="D117" s="198"/>
      <c r="E117" s="198"/>
      <c r="F117" s="198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G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A9" sqref="A9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0</v>
      </c>
      <c r="C2" s="196" t="s">
        <v>3</v>
      </c>
      <c r="D2" s="196"/>
      <c r="E2" s="196"/>
      <c r="F2" s="196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2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6" t="s">
        <v>11</v>
      </c>
      <c r="D3" s="196"/>
      <c r="E3" s="196"/>
      <c r="F3" s="196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2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6" t="s">
        <v>18</v>
      </c>
      <c r="D4" s="196"/>
      <c r="E4" s="196"/>
      <c r="F4" s="196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3" t="s">
        <v>43</v>
      </c>
      <c r="M8" s="114" t="s">
        <v>44</v>
      </c>
      <c r="N8" s="114" t="s">
        <v>45</v>
      </c>
      <c r="O8" s="183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80"/>
      <c r="B9" s="181"/>
      <c r="C9" s="181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6"/>
      <c r="S9" s="6"/>
      <c r="T9" s="184"/>
      <c r="U9" s="6"/>
    </row>
    <row r="10" spans="1:21" customFormat="1">
      <c r="A10" s="180"/>
      <c r="B10" s="181"/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6"/>
      <c r="S10" s="6"/>
      <c r="T10" s="184"/>
      <c r="U10" s="6"/>
    </row>
    <row r="11" spans="1:21" customFormat="1">
      <c r="A11" s="180"/>
      <c r="B11" s="181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6"/>
      <c r="S11" s="6"/>
      <c r="T11" s="184"/>
      <c r="U11" s="6"/>
    </row>
    <row r="12" spans="1:21" customFormat="1">
      <c r="A12" s="180"/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6"/>
      <c r="S12" s="6"/>
      <c r="T12" s="184"/>
      <c r="U12" s="6"/>
    </row>
    <row r="13" spans="1:21" customFormat="1">
      <c r="A13" s="180"/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6"/>
      <c r="S13" s="6"/>
      <c r="T13" s="184"/>
      <c r="U13" s="6"/>
    </row>
    <row r="14" spans="1:21" customFormat="1">
      <c r="A14" s="180"/>
      <c r="B14" s="181"/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6"/>
      <c r="S14" s="6"/>
      <c r="T14" s="184"/>
      <c r="U14" s="6"/>
    </row>
    <row r="15" spans="1:21" customFormat="1">
      <c r="A15" s="180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6"/>
      <c r="S15" s="6"/>
      <c r="T15" s="184"/>
      <c r="U15" s="6"/>
    </row>
    <row r="16" spans="1:21" customFormat="1">
      <c r="A16" s="180"/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6"/>
      <c r="S16" s="6"/>
      <c r="T16" s="184"/>
      <c r="U16" s="6"/>
    </row>
    <row r="17" spans="1:21" customFormat="1">
      <c r="A17" s="180"/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6"/>
      <c r="S17" s="6"/>
      <c r="T17" s="184"/>
      <c r="U17" s="6"/>
    </row>
    <row r="18" spans="1:21" customFormat="1">
      <c r="A18" s="180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6"/>
      <c r="S18" s="6"/>
      <c r="T18" s="184"/>
      <c r="U18" s="6"/>
    </row>
    <row r="19" spans="1:21" customFormat="1">
      <c r="A19" s="180"/>
      <c r="B19" s="181"/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6"/>
      <c r="S19" s="6"/>
      <c r="T19" s="184"/>
      <c r="U19" s="6"/>
    </row>
    <row r="20" spans="1:21" customFormat="1">
      <c r="A20" s="180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6"/>
      <c r="S20" s="6"/>
      <c r="T20" s="184"/>
      <c r="U20" s="6"/>
    </row>
    <row r="21" spans="1:21" customFormat="1">
      <c r="A21" s="180"/>
      <c r="B21" s="181"/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6"/>
      <c r="S21" s="6"/>
      <c r="T21" s="184"/>
      <c r="U21" s="6"/>
    </row>
    <row r="22" spans="1:21" customFormat="1">
      <c r="A22" s="180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6"/>
      <c r="S22" s="6"/>
      <c r="T22" s="184"/>
      <c r="U22" s="6"/>
    </row>
    <row r="23" spans="1:21" customFormat="1">
      <c r="A23" s="180"/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6"/>
      <c r="S23" s="6"/>
      <c r="T23" s="184"/>
      <c r="U23" s="6"/>
    </row>
    <row r="24" spans="1:21" customFormat="1">
      <c r="A24" s="180"/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6"/>
      <c r="S24" s="6"/>
      <c r="T24" s="184"/>
      <c r="U24" s="6"/>
    </row>
    <row r="25" spans="1:21" customFormat="1">
      <c r="A25" s="180"/>
      <c r="B25" s="181"/>
      <c r="C25" s="181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6"/>
      <c r="S25" s="6"/>
      <c r="T25" s="184"/>
      <c r="U25" s="6"/>
    </row>
    <row r="26" spans="1:21" customFormat="1">
      <c r="A26" s="180"/>
      <c r="B26" s="181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6"/>
      <c r="S26" s="6"/>
      <c r="T26" s="184"/>
      <c r="U26" s="6"/>
    </row>
    <row r="27" spans="1:21" customFormat="1">
      <c r="A27" s="180"/>
      <c r="B27" s="181"/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6"/>
      <c r="S27" s="6"/>
      <c r="T27" s="184"/>
      <c r="U27" s="6"/>
    </row>
    <row r="28" spans="1:21" customFormat="1">
      <c r="A28" s="180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6"/>
      <c r="S28" s="6"/>
      <c r="T28" s="184"/>
      <c r="U28" s="6"/>
    </row>
    <row r="29" spans="1:21" customFormat="1">
      <c r="A29" s="180"/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6"/>
      <c r="S29" s="6"/>
      <c r="T29" s="184"/>
      <c r="U29" s="6"/>
    </row>
    <row r="30" spans="1:21" customFormat="1">
      <c r="A30" s="180"/>
      <c r="B30" s="181"/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6"/>
      <c r="S30" s="6"/>
      <c r="T30" s="184"/>
      <c r="U30" s="6"/>
    </row>
    <row r="31" spans="1:21" customFormat="1">
      <c r="A31" s="180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6"/>
      <c r="S31" s="6"/>
      <c r="T31" s="184"/>
      <c r="U31" s="6"/>
    </row>
    <row r="32" spans="1:21" customFormat="1">
      <c r="A32" s="180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6"/>
      <c r="S32" s="6"/>
      <c r="T32" s="184"/>
      <c r="U32" s="6"/>
    </row>
    <row r="33" spans="1:21" customFormat="1">
      <c r="A33" s="180"/>
      <c r="B33" s="181"/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6"/>
      <c r="S33" s="6"/>
      <c r="T33" s="184"/>
      <c r="U33" s="6"/>
    </row>
    <row r="34" spans="1:21" customFormat="1">
      <c r="A34" s="180"/>
      <c r="B34" s="181"/>
      <c r="C34" s="181"/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6"/>
      <c r="S34" s="6"/>
      <c r="T34" s="184"/>
      <c r="U34" s="6"/>
    </row>
    <row r="35" spans="1:21" customFormat="1">
      <c r="A35" s="180"/>
      <c r="B35" s="181"/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6"/>
      <c r="S35" s="6"/>
      <c r="T35" s="184"/>
      <c r="U35" s="6"/>
    </row>
    <row r="36" spans="1:21" customFormat="1">
      <c r="A36" s="180"/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6"/>
      <c r="S36" s="6"/>
      <c r="T36" s="184"/>
      <c r="U36" s="6"/>
    </row>
    <row r="37" spans="1:21" customFormat="1">
      <c r="A37" s="180"/>
      <c r="B37" s="181"/>
      <c r="C37" s="181"/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6"/>
      <c r="S37" s="6"/>
      <c r="T37" s="184"/>
      <c r="U37" s="6"/>
    </row>
    <row r="38" spans="1:21" customFormat="1">
      <c r="A38" s="180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6"/>
      <c r="S38" s="6"/>
      <c r="T38" s="184"/>
      <c r="U38" s="6"/>
    </row>
    <row r="39" spans="1:21" customFormat="1">
      <c r="A39" s="180"/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6"/>
      <c r="S39" s="6"/>
      <c r="T39" s="184"/>
      <c r="U39" s="6"/>
    </row>
    <row r="40" spans="1:21" customFormat="1">
      <c r="A40" s="180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6"/>
      <c r="S40" s="6"/>
      <c r="T40" s="184"/>
      <c r="U40" s="6"/>
    </row>
    <row r="41" spans="1:21" customFormat="1">
      <c r="A41" s="180"/>
      <c r="B41" s="181"/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6"/>
      <c r="S41" s="6"/>
      <c r="T41" s="184"/>
      <c r="U41" s="6"/>
    </row>
    <row r="42" spans="1:21" customFormat="1">
      <c r="A42" s="180"/>
      <c r="B42" s="181"/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6"/>
      <c r="S42" s="6"/>
      <c r="T42" s="184"/>
      <c r="U42" s="6"/>
    </row>
    <row r="43" spans="1:21" customFormat="1">
      <c r="A43" s="180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6"/>
      <c r="S43" s="6"/>
      <c r="T43" s="184"/>
      <c r="U43" s="6"/>
    </row>
    <row r="44" spans="1:21" customFormat="1">
      <c r="A44" s="180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6"/>
      <c r="S44" s="6"/>
      <c r="T44" s="184"/>
      <c r="U44" s="6"/>
    </row>
    <row r="45" spans="1:21" customFormat="1">
      <c r="A45" s="180"/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6"/>
      <c r="S45" s="6"/>
      <c r="T45" s="184"/>
      <c r="U45" s="6"/>
    </row>
    <row r="46" spans="1:21" customFormat="1">
      <c r="A46" s="180"/>
      <c r="B46" s="181"/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6"/>
      <c r="S46" s="6"/>
      <c r="T46" s="184"/>
      <c r="U46" s="6"/>
    </row>
    <row r="47" spans="1:21" customFormat="1">
      <c r="A47" s="180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6"/>
      <c r="S47" s="6"/>
      <c r="T47" s="184"/>
      <c r="U47" s="6"/>
    </row>
    <row r="48" spans="1:21" customFormat="1">
      <c r="A48" s="180"/>
      <c r="B48" s="181"/>
      <c r="C48" s="181"/>
      <c r="D48" s="181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6"/>
      <c r="S48" s="6"/>
      <c r="T48" s="184"/>
      <c r="U48" s="6"/>
    </row>
    <row r="49" spans="1:21" customFormat="1">
      <c r="A49" s="180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6"/>
      <c r="S49" s="6"/>
      <c r="T49" s="184"/>
      <c r="U49" s="6"/>
    </row>
    <row r="50" spans="1:21" customFormat="1">
      <c r="A50" s="180"/>
      <c r="B50" s="181"/>
      <c r="C50" s="181"/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6"/>
      <c r="S50" s="6"/>
      <c r="T50" s="184"/>
      <c r="U50" s="6"/>
    </row>
    <row r="51" spans="1:21" customFormat="1">
      <c r="A51" s="180"/>
      <c r="B51" s="181"/>
      <c r="C51" s="181"/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6"/>
      <c r="S51" s="6"/>
      <c r="T51" s="184"/>
      <c r="U51" s="6"/>
    </row>
    <row r="52" spans="1:21" customFormat="1">
      <c r="A52" s="180"/>
      <c r="B52" s="181"/>
      <c r="C52" s="181"/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6"/>
      <c r="S52" s="6"/>
      <c r="T52" s="184"/>
      <c r="U52" s="6"/>
    </row>
    <row r="53" spans="1:21" customFormat="1">
      <c r="A53" s="180"/>
      <c r="B53" s="181"/>
      <c r="C53" s="181"/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6"/>
      <c r="S53" s="6"/>
      <c r="T53" s="184"/>
      <c r="U53" s="6"/>
    </row>
    <row r="54" spans="1:21" customFormat="1">
      <c r="A54" s="180"/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6"/>
      <c r="S54" s="6"/>
      <c r="T54" s="184"/>
      <c r="U54" s="6"/>
    </row>
    <row r="55" spans="1:21" customFormat="1">
      <c r="A55" s="180"/>
      <c r="B55" s="181"/>
      <c r="C55" s="181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6"/>
      <c r="S55" s="6"/>
      <c r="T55" s="184"/>
      <c r="U55" s="6"/>
    </row>
    <row r="56" spans="1:21" customFormat="1">
      <c r="A56" s="180"/>
      <c r="B56" s="181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6"/>
      <c r="S56" s="6"/>
      <c r="T56" s="184"/>
      <c r="U56" s="6"/>
    </row>
    <row r="57" spans="1:21" customFormat="1">
      <c r="A57" s="180"/>
      <c r="B57" s="181"/>
      <c r="C57" s="181"/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6"/>
      <c r="S57" s="6"/>
      <c r="T57" s="184"/>
      <c r="U57" s="6"/>
    </row>
    <row r="58" spans="1:21" customFormat="1">
      <c r="A58" s="180"/>
      <c r="B58" s="181"/>
      <c r="C58" s="181"/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6"/>
      <c r="S58" s="6"/>
      <c r="T58" s="184"/>
      <c r="U58" s="6"/>
    </row>
    <row r="59" spans="1:21" customFormat="1">
      <c r="A59" s="180"/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6"/>
      <c r="S59" s="6"/>
      <c r="T59" s="184"/>
      <c r="U59" s="6"/>
    </row>
    <row r="60" spans="1:21" customFormat="1">
      <c r="A60" s="180"/>
      <c r="B60" s="181"/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6"/>
      <c r="S60" s="6"/>
      <c r="T60" s="184"/>
      <c r="U60" s="6"/>
    </row>
    <row r="61" spans="1:21" customFormat="1">
      <c r="A61" s="180"/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6"/>
      <c r="S61" s="6"/>
      <c r="T61" s="184"/>
      <c r="U61" s="6"/>
    </row>
    <row r="62" spans="1:21" customFormat="1">
      <c r="A62" s="180"/>
      <c r="B62" s="181"/>
      <c r="C62" s="181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6"/>
      <c r="S62" s="6"/>
      <c r="T62" s="184"/>
      <c r="U62" s="6"/>
    </row>
    <row r="63" spans="1:21" customFormat="1">
      <c r="A63" s="180"/>
      <c r="B63" s="181"/>
      <c r="C63" s="181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6"/>
      <c r="S63" s="6"/>
      <c r="T63" s="184"/>
      <c r="U63" s="6"/>
    </row>
    <row r="64" spans="1:21" customFormat="1">
      <c r="A64" s="180"/>
      <c r="B64" s="181"/>
      <c r="C64" s="181"/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6"/>
      <c r="S64" s="6"/>
      <c r="T64" s="184"/>
      <c r="U64" s="6"/>
    </row>
    <row r="65" spans="1:21" customFormat="1">
      <c r="A65" s="180"/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6"/>
      <c r="S65" s="6"/>
      <c r="T65" s="184"/>
      <c r="U65" s="6"/>
    </row>
    <row r="66" spans="1:21" customFormat="1">
      <c r="A66" s="180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6"/>
      <c r="S66" s="6"/>
      <c r="T66" s="184"/>
      <c r="U66" s="6"/>
    </row>
    <row r="67" spans="1:21" customFormat="1">
      <c r="A67" s="180"/>
      <c r="B67" s="181"/>
      <c r="C67" s="181"/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6"/>
      <c r="S67" s="6"/>
      <c r="T67" s="184"/>
      <c r="U67" s="6"/>
    </row>
    <row r="68" spans="1:21" customFormat="1">
      <c r="A68" s="180"/>
      <c r="B68" s="181"/>
      <c r="C68" s="181"/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6"/>
      <c r="S68" s="6"/>
      <c r="T68" s="184"/>
      <c r="U68" s="6"/>
    </row>
    <row r="69" spans="1:21" customFormat="1">
      <c r="A69" s="180"/>
      <c r="B69" s="181"/>
      <c r="C69" s="181"/>
      <c r="D69" s="181"/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6"/>
      <c r="S69" s="6"/>
      <c r="T69" s="184"/>
      <c r="U69" s="6"/>
    </row>
    <row r="70" spans="1:21" customFormat="1">
      <c r="A70" s="180"/>
      <c r="B70" s="181"/>
      <c r="C70" s="181"/>
      <c r="D70" s="181"/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6"/>
      <c r="S70" s="6"/>
      <c r="T70" s="184"/>
      <c r="U70" s="6"/>
    </row>
    <row r="71" spans="1:21" customFormat="1">
      <c r="A71" s="180"/>
      <c r="B71" s="181"/>
      <c r="C71" s="181"/>
      <c r="D71" s="181"/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6"/>
      <c r="S71" s="6"/>
      <c r="T71" s="184"/>
      <c r="U71" s="6"/>
    </row>
    <row r="72" spans="1:21" customFormat="1">
      <c r="A72" s="180"/>
      <c r="B72" s="181"/>
      <c r="C72" s="181"/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6"/>
      <c r="S72" s="6"/>
      <c r="T72" s="184"/>
      <c r="U72" s="6"/>
    </row>
    <row r="73" spans="1:21" customFormat="1">
      <c r="A73" s="180"/>
      <c r="B73" s="181"/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6"/>
      <c r="S73" s="6"/>
      <c r="T73" s="184"/>
      <c r="U73" s="6"/>
    </row>
    <row r="74" spans="1:21" customFormat="1">
      <c r="A74" s="180"/>
      <c r="B74" s="181"/>
      <c r="C74" s="181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6"/>
      <c r="S74" s="6"/>
      <c r="T74" s="184"/>
      <c r="U74" s="6"/>
    </row>
    <row r="75" spans="1:21" customFormat="1">
      <c r="A75" s="180"/>
      <c r="B75" s="181"/>
      <c r="C75" s="181"/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6"/>
      <c r="S75" s="6"/>
      <c r="T75" s="184"/>
      <c r="U75" s="6"/>
    </row>
    <row r="76" spans="1:21" customFormat="1">
      <c r="A76" s="180"/>
      <c r="B76" s="181"/>
      <c r="C76" s="181"/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6"/>
      <c r="S76" s="6"/>
      <c r="T76" s="184"/>
      <c r="U76" s="6"/>
    </row>
    <row r="77" spans="1:21" customFormat="1">
      <c r="A77" s="180"/>
      <c r="B77" s="181"/>
      <c r="C77" s="181"/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6"/>
      <c r="S77" s="6"/>
      <c r="T77" s="184"/>
      <c r="U77" s="6"/>
    </row>
    <row r="78" spans="1:21" customFormat="1">
      <c r="A78" s="180"/>
      <c r="B78" s="181"/>
      <c r="C78" s="181"/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6"/>
      <c r="S78" s="6"/>
      <c r="T78" s="184"/>
      <c r="U78" s="6"/>
    </row>
    <row r="79" spans="1:21" customFormat="1">
      <c r="A79" s="180"/>
      <c r="B79" s="181"/>
      <c r="C79" s="181"/>
      <c r="D79" s="181"/>
      <c r="E79" s="185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6"/>
      <c r="S79" s="6"/>
      <c r="T79" s="184"/>
      <c r="U79" s="6"/>
    </row>
    <row r="80" spans="1:21" customFormat="1">
      <c r="A80" s="180"/>
      <c r="B80" s="181"/>
      <c r="C80" s="181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6"/>
      <c r="S80" s="6"/>
      <c r="T80" s="184"/>
      <c r="U80" s="6"/>
    </row>
    <row r="81" spans="1:26" customFormat="1">
      <c r="A81" s="180"/>
      <c r="B81" s="181"/>
      <c r="C81" s="181"/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6"/>
      <c r="S81" s="6"/>
      <c r="T81" s="184"/>
      <c r="U81" s="6"/>
    </row>
    <row r="82" spans="1:26" customFormat="1">
      <c r="A82" s="180"/>
      <c r="B82" s="181"/>
      <c r="C82" s="181"/>
      <c r="D82" s="181"/>
      <c r="E82" s="181"/>
      <c r="F82" s="181"/>
      <c r="G82" s="181"/>
      <c r="H82" s="181"/>
      <c r="I82" s="181"/>
      <c r="J82" s="190"/>
      <c r="K82" s="181"/>
      <c r="L82" s="181"/>
      <c r="M82" s="181"/>
      <c r="N82" s="181"/>
      <c r="O82" s="181"/>
      <c r="P82" s="181"/>
      <c r="Q82" s="181"/>
      <c r="R82" s="6"/>
      <c r="S82" s="6"/>
      <c r="T82" s="184"/>
      <c r="U82" s="6"/>
    </row>
    <row r="83" spans="1:26" customFormat="1">
      <c r="A83" s="180"/>
      <c r="B83" s="181"/>
      <c r="C83" s="181"/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6"/>
      <c r="S83" s="6"/>
      <c r="T83" s="184"/>
      <c r="U83" s="6"/>
    </row>
    <row r="84" spans="1:26" customFormat="1">
      <c r="A84" s="180"/>
      <c r="B84" s="181"/>
      <c r="C84" s="181"/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6"/>
      <c r="S84" s="6"/>
      <c r="T84" s="184"/>
      <c r="U84" s="6"/>
    </row>
    <row r="85" spans="1:26" customFormat="1">
      <c r="A85" s="180"/>
      <c r="B85" s="181"/>
      <c r="C85" s="181"/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6"/>
      <c r="S85" s="6"/>
      <c r="T85" s="184"/>
      <c r="U85" s="6"/>
    </row>
    <row r="86" spans="1:26" customFormat="1">
      <c r="A86" s="180"/>
      <c r="B86" s="181"/>
      <c r="C86" s="181"/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6"/>
      <c r="S86" s="6"/>
      <c r="T86" s="184"/>
      <c r="U86" s="6"/>
    </row>
    <row r="87" spans="1:26" customFormat="1">
      <c r="A87" s="180"/>
      <c r="B87" s="181"/>
      <c r="C87" s="181"/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6"/>
      <c r="S87" s="6"/>
      <c r="T87" s="184"/>
      <c r="U87" s="6"/>
    </row>
    <row r="88" spans="1:26" customFormat="1">
      <c r="A88" s="180"/>
      <c r="B88" s="181"/>
      <c r="C88" s="181"/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6"/>
      <c r="S88" s="6"/>
      <c r="T88" s="184"/>
      <c r="U88" s="6"/>
    </row>
    <row r="89" spans="1:26" customFormat="1">
      <c r="A89" s="180"/>
      <c r="B89" s="181"/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6"/>
      <c r="S89" s="6"/>
      <c r="T89" s="184"/>
      <c r="U89" s="6"/>
    </row>
    <row r="90" spans="1:26" customFormat="1">
      <c r="A90" s="180"/>
      <c r="B90" s="181"/>
      <c r="C90" s="181"/>
      <c r="D90" s="181"/>
      <c r="E90" s="181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6"/>
      <c r="S90" s="6"/>
      <c r="T90" s="184"/>
      <c r="U90" s="6"/>
    </row>
    <row r="91" spans="1:26" customFormat="1">
      <c r="A91" s="180"/>
      <c r="B91" s="181"/>
      <c r="C91" s="181"/>
      <c r="D91" s="181"/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6"/>
      <c r="S91" s="6"/>
      <c r="T91" s="184"/>
      <c r="U91" s="6"/>
    </row>
    <row r="92" spans="1:26" customFormat="1">
      <c r="A92" s="180"/>
      <c r="B92" s="181"/>
      <c r="C92" s="181"/>
      <c r="D92" s="181"/>
      <c r="E92" s="18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6"/>
      <c r="S92" s="6"/>
      <c r="T92" s="184"/>
      <c r="U92" s="6"/>
    </row>
    <row r="93" spans="1:26" customFormat="1">
      <c r="A93" s="180"/>
      <c r="B93" s="181"/>
      <c r="C93" s="181"/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6"/>
      <c r="S93" s="6"/>
      <c r="T93" s="184"/>
      <c r="U93" s="6"/>
    </row>
    <row r="94" spans="1:26" customFormat="1">
      <c r="A94" s="180"/>
      <c r="B94" s="181"/>
      <c r="C94" s="181"/>
      <c r="D94" s="181"/>
      <c r="E94" s="181"/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6"/>
      <c r="S94" s="6"/>
      <c r="T94" s="184"/>
      <c r="U94" s="6"/>
    </row>
    <row r="95" spans="1:26" customFormat="1">
      <c r="A95" s="180"/>
      <c r="B95" s="181"/>
      <c r="C95" s="181"/>
      <c r="D95" s="181"/>
      <c r="E95" s="181"/>
      <c r="F95" s="181"/>
      <c r="G95" s="181"/>
      <c r="H95" s="181"/>
      <c r="I95" s="181"/>
      <c r="J95" s="181"/>
      <c r="K95" s="181"/>
      <c r="L95" s="181"/>
      <c r="M95" s="181"/>
      <c r="N95" s="181"/>
      <c r="O95" s="181"/>
      <c r="P95" s="181"/>
      <c r="Q95" s="181"/>
      <c r="R95" s="6"/>
      <c r="S95" s="6"/>
      <c r="T95" s="184"/>
      <c r="U95" s="6"/>
    </row>
    <row r="96" spans="1:26" customFormat="1">
      <c r="A96" s="180"/>
      <c r="B96" s="181"/>
      <c r="C96" s="181"/>
      <c r="D96" s="181"/>
      <c r="E96" s="181"/>
      <c r="F96" s="181"/>
      <c r="G96" s="181"/>
      <c r="H96" s="181"/>
      <c r="I96" s="181"/>
      <c r="J96" s="181"/>
      <c r="K96" s="181"/>
      <c r="L96" s="181"/>
      <c r="M96" s="181"/>
      <c r="N96" s="181"/>
      <c r="O96" s="181"/>
      <c r="P96" s="181"/>
      <c r="Q96" s="181"/>
      <c r="R96" s="6"/>
      <c r="S96" s="6"/>
      <c r="T96" s="184"/>
      <c r="U96" s="6"/>
      <c r="Z96" s="194"/>
    </row>
    <row r="97" spans="1:33" customFormat="1">
      <c r="A97" s="180"/>
      <c r="B97" s="181"/>
      <c r="C97" s="181"/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6"/>
      <c r="S97" s="6"/>
      <c r="T97" s="184"/>
      <c r="U97" s="6"/>
    </row>
    <row r="98" spans="1:33" customFormat="1">
      <c r="A98" s="180"/>
      <c r="B98" s="181"/>
      <c r="C98" s="181"/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6"/>
      <c r="S98" s="6"/>
      <c r="T98" s="184"/>
      <c r="U98" s="6"/>
    </row>
    <row r="99" spans="1:33" customFormat="1">
      <c r="A99" s="180"/>
      <c r="B99" s="181"/>
      <c r="C99" s="181"/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6"/>
      <c r="S99" s="6"/>
      <c r="T99" s="184"/>
      <c r="U99" s="6"/>
    </row>
    <row r="100" spans="1:33" customFormat="1">
      <c r="A100" s="180"/>
      <c r="B100" s="181"/>
      <c r="C100" s="181"/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6"/>
      <c r="S100" s="6"/>
      <c r="T100" s="184"/>
      <c r="U100" s="6"/>
      <c r="AB100" s="195"/>
      <c r="AG100" s="194"/>
    </row>
    <row r="101" spans="1:33" customFormat="1">
      <c r="A101" s="180"/>
      <c r="B101" s="181"/>
      <c r="C101" s="181"/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6"/>
      <c r="S101" s="6"/>
      <c r="T101" s="184"/>
      <c r="U101" s="6"/>
    </row>
    <row r="102" spans="1:33" customFormat="1">
      <c r="A102" s="180"/>
      <c r="B102" s="181"/>
      <c r="C102" s="181"/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6"/>
      <c r="S102" s="6"/>
      <c r="T102" s="184"/>
      <c r="U102" s="6"/>
    </row>
    <row r="103" spans="1:33" customFormat="1">
      <c r="A103" s="180"/>
      <c r="B103" s="181"/>
      <c r="C103" s="181"/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6"/>
      <c r="S103" s="6"/>
      <c r="T103" s="184"/>
      <c r="U103" s="6"/>
    </row>
    <row r="104" spans="1:33" customFormat="1">
      <c r="A104" s="180"/>
      <c r="B104" s="181"/>
      <c r="C104" s="181"/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6"/>
      <c r="S104" s="6"/>
      <c r="T104" s="184"/>
      <c r="U104" s="6"/>
    </row>
    <row r="105" spans="1:33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33">
      <c r="A106" s="186" t="s">
        <v>48</v>
      </c>
      <c r="B106" s="187">
        <f>MIN(B9:B104)</f>
        <v>0</v>
      </c>
      <c r="C106" s="187">
        <f>MIN(C9:C104)</f>
        <v>0</v>
      </c>
      <c r="D106" s="187">
        <f t="shared" ref="D106:Q106" si="0">MIN(D9:D104)</f>
        <v>0</v>
      </c>
      <c r="E106" s="187">
        <f t="shared" si="0"/>
        <v>0</v>
      </c>
      <c r="F106" s="187">
        <f t="shared" si="0"/>
        <v>0</v>
      </c>
      <c r="G106" s="187">
        <f t="shared" si="0"/>
        <v>0</v>
      </c>
      <c r="H106" s="187">
        <f t="shared" si="0"/>
        <v>0</v>
      </c>
      <c r="I106" s="187">
        <f t="shared" si="0"/>
        <v>0</v>
      </c>
      <c r="J106" s="187">
        <f t="shared" si="0"/>
        <v>0</v>
      </c>
      <c r="K106" s="187">
        <f t="shared" si="0"/>
        <v>0</v>
      </c>
      <c r="L106" s="187">
        <f t="shared" si="0"/>
        <v>0</v>
      </c>
      <c r="M106" s="187">
        <f t="shared" si="0"/>
        <v>0</v>
      </c>
      <c r="N106" s="187">
        <f t="shared" si="0"/>
        <v>0</v>
      </c>
      <c r="O106" s="187">
        <f t="shared" si="0"/>
        <v>0</v>
      </c>
      <c r="P106" s="187">
        <f t="shared" si="0"/>
        <v>0</v>
      </c>
      <c r="Q106" s="187">
        <f t="shared" si="0"/>
        <v>0</v>
      </c>
      <c r="R106" s="192"/>
      <c r="S106" s="192"/>
      <c r="T106" s="192"/>
      <c r="U106" s="192"/>
    </row>
    <row r="107" spans="1:33">
      <c r="A107" s="186" t="s">
        <v>49</v>
      </c>
      <c r="B107" s="188">
        <f>MAX(B9:B104)</f>
        <v>0</v>
      </c>
      <c r="C107" s="188">
        <f t="shared" ref="C107:Q107" si="1">MAX(C9:C104)</f>
        <v>0</v>
      </c>
      <c r="D107" s="188">
        <f t="shared" si="1"/>
        <v>0</v>
      </c>
      <c r="E107" s="188">
        <f t="shared" si="1"/>
        <v>0</v>
      </c>
      <c r="F107" s="188">
        <f t="shared" si="1"/>
        <v>0</v>
      </c>
      <c r="G107" s="188">
        <f t="shared" si="1"/>
        <v>0</v>
      </c>
      <c r="H107" s="188">
        <f t="shared" si="1"/>
        <v>0</v>
      </c>
      <c r="I107" s="188">
        <f t="shared" si="1"/>
        <v>0</v>
      </c>
      <c r="J107" s="188">
        <f t="shared" si="1"/>
        <v>0</v>
      </c>
      <c r="K107" s="188">
        <f t="shared" si="1"/>
        <v>0</v>
      </c>
      <c r="L107" s="188">
        <f t="shared" si="1"/>
        <v>0</v>
      </c>
      <c r="M107" s="188">
        <f t="shared" si="1"/>
        <v>0</v>
      </c>
      <c r="N107" s="188">
        <f t="shared" si="1"/>
        <v>0</v>
      </c>
      <c r="O107" s="188">
        <f t="shared" si="1"/>
        <v>0</v>
      </c>
      <c r="P107" s="188">
        <f t="shared" si="1"/>
        <v>0</v>
      </c>
      <c r="Q107" s="188">
        <f t="shared" si="1"/>
        <v>0</v>
      </c>
      <c r="R107" s="193"/>
      <c r="S107" s="193"/>
      <c r="T107" s="193"/>
      <c r="U107" s="193"/>
    </row>
    <row r="108" spans="1:33">
      <c r="A108" s="186" t="s">
        <v>50</v>
      </c>
      <c r="B108" s="187" t="e">
        <f>AVERAGE(B9:B104)</f>
        <v>#DIV/0!</v>
      </c>
      <c r="C108" s="187" t="e">
        <f t="shared" ref="C108:Q108" si="2">AVERAGE(C9:C104)</f>
        <v>#DIV/0!</v>
      </c>
      <c r="D108" s="187" t="e">
        <f t="shared" si="2"/>
        <v>#DIV/0!</v>
      </c>
      <c r="E108" s="187" t="e">
        <f t="shared" si="2"/>
        <v>#DIV/0!</v>
      </c>
      <c r="F108" s="187" t="e">
        <f t="shared" si="2"/>
        <v>#DIV/0!</v>
      </c>
      <c r="G108" s="187" t="e">
        <f t="shared" si="2"/>
        <v>#DIV/0!</v>
      </c>
      <c r="H108" s="187" t="e">
        <f t="shared" si="2"/>
        <v>#DIV/0!</v>
      </c>
      <c r="I108" s="187" t="e">
        <f t="shared" si="2"/>
        <v>#DIV/0!</v>
      </c>
      <c r="J108" s="187" t="e">
        <f t="shared" si="2"/>
        <v>#DIV/0!</v>
      </c>
      <c r="K108" s="187" t="e">
        <f t="shared" si="2"/>
        <v>#DIV/0!</v>
      </c>
      <c r="L108" s="187" t="e">
        <f t="shared" si="2"/>
        <v>#DIV/0!</v>
      </c>
      <c r="M108" s="187" t="e">
        <f t="shared" si="2"/>
        <v>#DIV/0!</v>
      </c>
      <c r="N108" s="187" t="e">
        <f t="shared" si="2"/>
        <v>#DIV/0!</v>
      </c>
      <c r="O108" s="187" t="e">
        <f t="shared" si="2"/>
        <v>#DIV/0!</v>
      </c>
      <c r="P108" s="187" t="e">
        <f t="shared" si="2"/>
        <v>#DIV/0!</v>
      </c>
      <c r="Q108" s="187" t="e">
        <f t="shared" si="2"/>
        <v>#DIV/0!</v>
      </c>
      <c r="R108" s="192"/>
      <c r="S108" s="192"/>
      <c r="T108" s="192"/>
      <c r="U108" s="192"/>
    </row>
    <row r="109" spans="1:33">
      <c r="A109" s="186" t="s">
        <v>51</v>
      </c>
      <c r="B109" s="187" t="e">
        <f>STDEV(B9:B104)</f>
        <v>#DIV/0!</v>
      </c>
      <c r="C109" s="187" t="e">
        <f t="shared" ref="C109:Q109" si="3">STDEV(C9:C104)</f>
        <v>#DIV/0!</v>
      </c>
      <c r="D109" s="187" t="e">
        <f t="shared" si="3"/>
        <v>#DIV/0!</v>
      </c>
      <c r="E109" s="187" t="e">
        <f t="shared" si="3"/>
        <v>#DIV/0!</v>
      </c>
      <c r="F109" s="187" t="e">
        <f t="shared" si="3"/>
        <v>#DIV/0!</v>
      </c>
      <c r="G109" s="187" t="e">
        <f t="shared" si="3"/>
        <v>#DIV/0!</v>
      </c>
      <c r="H109" s="187" t="e">
        <f t="shared" si="3"/>
        <v>#DIV/0!</v>
      </c>
      <c r="I109" s="187" t="e">
        <f t="shared" si="3"/>
        <v>#DIV/0!</v>
      </c>
      <c r="J109" s="187" t="e">
        <f t="shared" si="3"/>
        <v>#DIV/0!</v>
      </c>
      <c r="K109" s="187" t="e">
        <f t="shared" si="3"/>
        <v>#DIV/0!</v>
      </c>
      <c r="L109" s="187" t="e">
        <f t="shared" si="3"/>
        <v>#DIV/0!</v>
      </c>
      <c r="M109" s="187" t="e">
        <f t="shared" si="3"/>
        <v>#DIV/0!</v>
      </c>
      <c r="N109" s="187" t="e">
        <f t="shared" si="3"/>
        <v>#DIV/0!</v>
      </c>
      <c r="O109" s="187" t="e">
        <f t="shared" si="3"/>
        <v>#DIV/0!</v>
      </c>
      <c r="P109" s="187" t="e">
        <f t="shared" si="3"/>
        <v>#DIV/0!</v>
      </c>
      <c r="Q109" s="187" t="e">
        <f t="shared" si="3"/>
        <v>#DIV/0!</v>
      </c>
      <c r="R109" s="192"/>
      <c r="S109" s="192"/>
      <c r="T109" s="192"/>
      <c r="U109" s="192"/>
    </row>
    <row r="110" spans="1:33">
      <c r="A110" s="186" t="s">
        <v>52</v>
      </c>
      <c r="B110" s="188">
        <f t="shared" ref="B110:Q110" si="4">COUNT(B9:B104)</f>
        <v>0</v>
      </c>
      <c r="C110" s="188">
        <f t="shared" si="4"/>
        <v>0</v>
      </c>
      <c r="D110" s="188">
        <f t="shared" si="4"/>
        <v>0</v>
      </c>
      <c r="E110" s="188">
        <f t="shared" si="4"/>
        <v>0</v>
      </c>
      <c r="F110" s="188">
        <f t="shared" si="4"/>
        <v>0</v>
      </c>
      <c r="G110" s="188">
        <f t="shared" si="4"/>
        <v>0</v>
      </c>
      <c r="H110" s="188">
        <f t="shared" si="4"/>
        <v>0</v>
      </c>
      <c r="I110" s="188">
        <f t="shared" si="4"/>
        <v>0</v>
      </c>
      <c r="J110" s="188">
        <f t="shared" si="4"/>
        <v>0</v>
      </c>
      <c r="K110" s="188">
        <f t="shared" si="4"/>
        <v>0</v>
      </c>
      <c r="L110" s="188">
        <f t="shared" si="4"/>
        <v>0</v>
      </c>
      <c r="M110" s="188">
        <f t="shared" si="4"/>
        <v>0</v>
      </c>
      <c r="N110" s="188">
        <f t="shared" si="4"/>
        <v>0</v>
      </c>
      <c r="O110" s="188">
        <f t="shared" si="4"/>
        <v>0</v>
      </c>
      <c r="P110" s="188">
        <f t="shared" si="4"/>
        <v>0</v>
      </c>
      <c r="Q110" s="188">
        <f t="shared" si="4"/>
        <v>0</v>
      </c>
      <c r="R110" s="193"/>
      <c r="S110" s="193"/>
      <c r="T110" s="193"/>
      <c r="U110" s="193"/>
      <c r="V110" s="188"/>
    </row>
    <row r="111" spans="1:33">
      <c r="A111" s="153" t="s">
        <v>53</v>
      </c>
      <c r="B111" s="147" t="str">
        <f>IF(B110&gt;=87,"&gt;90%",IF(B110&lt;=87,"&lt;90%"))</f>
        <v>&lt;90%</v>
      </c>
      <c r="C111" s="147" t="str">
        <f t="shared" ref="C111:Q111" si="5">IF(C110&gt;=87,"&gt;90%",IF(C110&lt;=87,"&lt;90%"))</f>
        <v>&lt;90%</v>
      </c>
      <c r="D111" s="147" t="str">
        <f t="shared" si="5"/>
        <v>&lt;90%</v>
      </c>
      <c r="E111" s="147" t="str">
        <f t="shared" si="5"/>
        <v>&lt;90%</v>
      </c>
      <c r="F111" s="147" t="str">
        <f t="shared" si="5"/>
        <v>&lt;90%</v>
      </c>
      <c r="G111" s="147" t="str">
        <f t="shared" si="5"/>
        <v>&lt;90%</v>
      </c>
      <c r="H111" s="147" t="str">
        <f t="shared" si="5"/>
        <v>&lt;90%</v>
      </c>
      <c r="I111" s="147" t="str">
        <f t="shared" si="5"/>
        <v>&lt;90%</v>
      </c>
      <c r="J111" s="147" t="str">
        <f t="shared" si="5"/>
        <v>&lt;90%</v>
      </c>
      <c r="K111" s="147" t="str">
        <f t="shared" si="5"/>
        <v>&lt;90%</v>
      </c>
      <c r="L111" s="147" t="str">
        <f t="shared" si="5"/>
        <v>&lt;90%</v>
      </c>
      <c r="M111" s="147" t="str">
        <f t="shared" si="5"/>
        <v>&lt;90%</v>
      </c>
      <c r="N111" s="147" t="str">
        <f t="shared" si="5"/>
        <v>&lt;90%</v>
      </c>
      <c r="O111" s="147" t="str">
        <f t="shared" si="5"/>
        <v>&lt;90%</v>
      </c>
      <c r="P111" s="147" t="str">
        <f t="shared" si="5"/>
        <v>&lt;90%</v>
      </c>
      <c r="Q111" s="147" t="str">
        <f t="shared" si="5"/>
        <v>&lt;90%</v>
      </c>
      <c r="R111" s="175"/>
      <c r="S111" s="175"/>
      <c r="T111" s="175"/>
      <c r="U111" s="175"/>
    </row>
    <row r="112" spans="1:33">
      <c r="A112" s="153" t="s">
        <v>54</v>
      </c>
      <c r="B112" s="147" t="str">
        <f>IF(B110&gt;=87,"OK",IF(B110&lt;=87,"LESS"))</f>
        <v>LESS</v>
      </c>
      <c r="C112" s="147" t="str">
        <f t="shared" ref="C112:Q112" si="6">IF(C110&gt;=87,"OK",IF(C110&lt;=87,"LESS"))</f>
        <v>LESS</v>
      </c>
      <c r="D112" s="147" t="str">
        <f t="shared" si="6"/>
        <v>LESS</v>
      </c>
      <c r="E112" s="147" t="str">
        <f t="shared" si="6"/>
        <v>LESS</v>
      </c>
      <c r="F112" s="147" t="str">
        <f t="shared" si="6"/>
        <v>LESS</v>
      </c>
      <c r="G112" s="147" t="str">
        <f t="shared" si="6"/>
        <v>LESS</v>
      </c>
      <c r="H112" s="147" t="str">
        <f t="shared" si="6"/>
        <v>LESS</v>
      </c>
      <c r="I112" s="147" t="str">
        <f t="shared" si="6"/>
        <v>LESS</v>
      </c>
      <c r="J112" s="147" t="str">
        <f t="shared" si="6"/>
        <v>LESS</v>
      </c>
      <c r="K112" s="147" t="str">
        <f t="shared" si="6"/>
        <v>LESS</v>
      </c>
      <c r="L112" s="147" t="str">
        <f t="shared" si="6"/>
        <v>LESS</v>
      </c>
      <c r="M112" s="147" t="str">
        <f t="shared" si="6"/>
        <v>LESS</v>
      </c>
      <c r="N112" s="147" t="str">
        <f t="shared" si="6"/>
        <v>LESS</v>
      </c>
      <c r="O112" s="147" t="str">
        <f t="shared" si="6"/>
        <v>LESS</v>
      </c>
      <c r="P112" s="147" t="str">
        <f t="shared" si="6"/>
        <v>LESS</v>
      </c>
      <c r="Q112" s="147" t="str">
        <f t="shared" si="6"/>
        <v>LESS</v>
      </c>
      <c r="R112" s="175"/>
      <c r="S112" s="175"/>
      <c r="T112" s="175"/>
      <c r="U112" s="175"/>
    </row>
    <row r="113" spans="1:21">
      <c r="L113" s="32"/>
      <c r="N113" s="191"/>
      <c r="O113" s="191"/>
      <c r="P113" s="191"/>
      <c r="Q113" s="191"/>
      <c r="R113" s="191"/>
      <c r="S113" s="191"/>
      <c r="T113" s="191"/>
      <c r="U113" s="191"/>
    </row>
    <row r="115" spans="1:21">
      <c r="A115" s="153" t="s">
        <v>55</v>
      </c>
      <c r="B115" s="197" t="s">
        <v>56</v>
      </c>
      <c r="C115" s="197"/>
      <c r="D115" s="197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9" t="s">
        <v>57</v>
      </c>
      <c r="B117" s="198"/>
      <c r="C117" s="198"/>
      <c r="D117" s="198"/>
      <c r="E117" s="198"/>
      <c r="F117" s="198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G117"/>
  <sheetViews>
    <sheetView zoomScale="85" zoomScaleNormal="85" workbookViewId="0">
      <pane xSplit="1" ySplit="8" topLeftCell="B105" activePane="bottomRight" state="frozen"/>
      <selection activeCell="A9" sqref="A9"/>
      <selection pane="topRight" activeCell="A9" sqref="A9"/>
      <selection pane="bottomLeft" activeCell="A9" sqref="A9"/>
      <selection pane="bottomRight" activeCell="A9" sqref="A9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0</v>
      </c>
      <c r="C2" s="196" t="s">
        <v>3</v>
      </c>
      <c r="D2" s="196"/>
      <c r="E2" s="196"/>
      <c r="F2" s="196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2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6" t="s">
        <v>11</v>
      </c>
      <c r="D3" s="196"/>
      <c r="E3" s="196"/>
      <c r="F3" s="196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2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6" t="s">
        <v>18</v>
      </c>
      <c r="D4" s="196"/>
      <c r="E4" s="196"/>
      <c r="F4" s="196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3" t="s">
        <v>43</v>
      </c>
      <c r="M8" s="114" t="s">
        <v>44</v>
      </c>
      <c r="N8" s="114" t="s">
        <v>45</v>
      </c>
      <c r="O8" s="183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80"/>
      <c r="B9" s="181"/>
      <c r="C9" s="181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6"/>
      <c r="S9" s="6"/>
      <c r="T9" s="184"/>
      <c r="U9" s="6"/>
    </row>
    <row r="10" spans="1:21" customFormat="1">
      <c r="A10" s="180"/>
      <c r="B10" s="181"/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6"/>
      <c r="S10" s="6"/>
      <c r="T10" s="184"/>
      <c r="U10" s="6"/>
    </row>
    <row r="11" spans="1:21" customFormat="1">
      <c r="A11" s="180"/>
      <c r="B11" s="181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6"/>
      <c r="S11" s="6"/>
      <c r="T11" s="184"/>
      <c r="U11" s="6"/>
    </row>
    <row r="12" spans="1:21" customFormat="1">
      <c r="A12" s="180"/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6"/>
      <c r="S12" s="6"/>
      <c r="T12" s="184"/>
      <c r="U12" s="6"/>
    </row>
    <row r="13" spans="1:21" customFormat="1">
      <c r="A13" s="180"/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6"/>
      <c r="S13" s="6"/>
      <c r="T13" s="184"/>
      <c r="U13" s="6"/>
    </row>
    <row r="14" spans="1:21" customFormat="1">
      <c r="A14" s="180"/>
      <c r="B14" s="181"/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6"/>
      <c r="S14" s="6"/>
      <c r="T14" s="184"/>
      <c r="U14" s="6"/>
    </row>
    <row r="15" spans="1:21" customFormat="1">
      <c r="A15" s="180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6"/>
      <c r="S15" s="6"/>
      <c r="T15" s="184"/>
      <c r="U15" s="6"/>
    </row>
    <row r="16" spans="1:21" customFormat="1">
      <c r="A16" s="180"/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6"/>
      <c r="S16" s="6"/>
      <c r="T16" s="184"/>
      <c r="U16" s="6"/>
    </row>
    <row r="17" spans="1:21" customFormat="1">
      <c r="A17" s="180"/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6"/>
      <c r="S17" s="6"/>
      <c r="T17" s="184"/>
      <c r="U17" s="6"/>
    </row>
    <row r="18" spans="1:21" customFormat="1">
      <c r="A18" s="180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6"/>
      <c r="S18" s="6"/>
      <c r="T18" s="184"/>
      <c r="U18" s="6"/>
    </row>
    <row r="19" spans="1:21" customFormat="1">
      <c r="A19" s="180"/>
      <c r="B19" s="181"/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6"/>
      <c r="S19" s="6"/>
      <c r="T19" s="184"/>
      <c r="U19" s="6"/>
    </row>
    <row r="20" spans="1:21" customFormat="1">
      <c r="A20" s="180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6"/>
      <c r="S20" s="6"/>
      <c r="T20" s="184"/>
      <c r="U20" s="6"/>
    </row>
    <row r="21" spans="1:21" customFormat="1">
      <c r="A21" s="180"/>
      <c r="B21" s="181"/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6"/>
      <c r="S21" s="6"/>
      <c r="T21" s="184"/>
      <c r="U21" s="6"/>
    </row>
    <row r="22" spans="1:21" customFormat="1">
      <c r="A22" s="180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6"/>
      <c r="S22" s="6"/>
      <c r="T22" s="184"/>
      <c r="U22" s="6"/>
    </row>
    <row r="23" spans="1:21" customFormat="1">
      <c r="A23" s="180"/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6"/>
      <c r="S23" s="6"/>
      <c r="T23" s="184"/>
      <c r="U23" s="6"/>
    </row>
    <row r="24" spans="1:21" customFormat="1">
      <c r="A24" s="180"/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6"/>
      <c r="S24" s="6"/>
      <c r="T24" s="184"/>
      <c r="U24" s="6"/>
    </row>
    <row r="25" spans="1:21" customFormat="1">
      <c r="A25" s="180"/>
      <c r="B25" s="181"/>
      <c r="C25" s="181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6"/>
      <c r="S25" s="6"/>
      <c r="T25" s="184"/>
      <c r="U25" s="6"/>
    </row>
    <row r="26" spans="1:21" customFormat="1">
      <c r="A26" s="180"/>
      <c r="B26" s="181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6"/>
      <c r="S26" s="6"/>
      <c r="T26" s="184"/>
      <c r="U26" s="6"/>
    </row>
    <row r="27" spans="1:21" customFormat="1">
      <c r="A27" s="180"/>
      <c r="B27" s="181"/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6"/>
      <c r="S27" s="6"/>
      <c r="T27" s="184"/>
      <c r="U27" s="6"/>
    </row>
    <row r="28" spans="1:21" customFormat="1">
      <c r="A28" s="180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6"/>
      <c r="S28" s="6"/>
      <c r="T28" s="184"/>
      <c r="U28" s="6"/>
    </row>
    <row r="29" spans="1:21" customFormat="1">
      <c r="A29" s="180"/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6"/>
      <c r="S29" s="6"/>
      <c r="T29" s="184"/>
      <c r="U29" s="6"/>
    </row>
    <row r="30" spans="1:21" customFormat="1">
      <c r="A30" s="180"/>
      <c r="B30" s="181"/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6"/>
      <c r="S30" s="6"/>
      <c r="T30" s="184"/>
      <c r="U30" s="6"/>
    </row>
    <row r="31" spans="1:21" customFormat="1">
      <c r="A31" s="180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6"/>
      <c r="S31" s="6"/>
      <c r="T31" s="184"/>
      <c r="U31" s="6"/>
    </row>
    <row r="32" spans="1:21" customFormat="1">
      <c r="A32" s="180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6"/>
      <c r="S32" s="6"/>
      <c r="T32" s="184"/>
      <c r="U32" s="6"/>
    </row>
    <row r="33" spans="1:21" customFormat="1">
      <c r="A33" s="180"/>
      <c r="B33" s="181"/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6"/>
      <c r="S33" s="6"/>
      <c r="T33" s="184"/>
      <c r="U33" s="6"/>
    </row>
    <row r="34" spans="1:21" customFormat="1">
      <c r="A34" s="180"/>
      <c r="B34" s="181"/>
      <c r="C34" s="181"/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6"/>
      <c r="S34" s="6"/>
      <c r="T34" s="184"/>
      <c r="U34" s="6"/>
    </row>
    <row r="35" spans="1:21" customFormat="1">
      <c r="A35" s="180"/>
      <c r="B35" s="181"/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6"/>
      <c r="S35" s="6"/>
      <c r="T35" s="184"/>
      <c r="U35" s="6"/>
    </row>
    <row r="36" spans="1:21" customFormat="1">
      <c r="A36" s="180"/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6"/>
      <c r="S36" s="6"/>
      <c r="T36" s="184"/>
      <c r="U36" s="6"/>
    </row>
    <row r="37" spans="1:21" customFormat="1">
      <c r="A37" s="180"/>
      <c r="B37" s="181"/>
      <c r="C37" s="181"/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6"/>
      <c r="S37" s="6"/>
      <c r="T37" s="184"/>
      <c r="U37" s="6"/>
    </row>
    <row r="38" spans="1:21" customFormat="1">
      <c r="A38" s="180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6"/>
      <c r="S38" s="6"/>
      <c r="T38" s="184"/>
      <c r="U38" s="6"/>
    </row>
    <row r="39" spans="1:21" customFormat="1">
      <c r="A39" s="180"/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6"/>
      <c r="S39" s="6"/>
      <c r="T39" s="184"/>
      <c r="U39" s="6"/>
    </row>
    <row r="40" spans="1:21" customFormat="1">
      <c r="A40" s="180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6"/>
      <c r="S40" s="6"/>
      <c r="T40" s="184"/>
      <c r="U40" s="6"/>
    </row>
    <row r="41" spans="1:21" customFormat="1">
      <c r="A41" s="180"/>
      <c r="B41" s="181"/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6"/>
      <c r="S41" s="6"/>
      <c r="T41" s="184"/>
      <c r="U41" s="6"/>
    </row>
    <row r="42" spans="1:21" customFormat="1">
      <c r="A42" s="180"/>
      <c r="B42" s="181"/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6"/>
      <c r="S42" s="6"/>
      <c r="T42" s="184"/>
      <c r="U42" s="6"/>
    </row>
    <row r="43" spans="1:21" customFormat="1">
      <c r="A43" s="180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6"/>
      <c r="S43" s="6"/>
      <c r="T43" s="184"/>
      <c r="U43" s="6"/>
    </row>
    <row r="44" spans="1:21" customFormat="1">
      <c r="A44" s="180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6"/>
      <c r="S44" s="6"/>
      <c r="T44" s="184"/>
      <c r="U44" s="6"/>
    </row>
    <row r="45" spans="1:21" customFormat="1">
      <c r="A45" s="180"/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6"/>
      <c r="S45" s="6"/>
      <c r="T45" s="184"/>
      <c r="U45" s="6"/>
    </row>
    <row r="46" spans="1:21" customFormat="1">
      <c r="A46" s="180"/>
      <c r="B46" s="181"/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6"/>
      <c r="S46" s="6"/>
      <c r="T46" s="184"/>
      <c r="U46" s="6"/>
    </row>
    <row r="47" spans="1:21" customFormat="1">
      <c r="A47" s="180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6"/>
      <c r="S47" s="6"/>
      <c r="T47" s="184"/>
      <c r="U47" s="6"/>
    </row>
    <row r="48" spans="1:21" customFormat="1">
      <c r="A48" s="180"/>
      <c r="B48" s="181"/>
      <c r="C48" s="181"/>
      <c r="D48" s="181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6"/>
      <c r="S48" s="6"/>
      <c r="T48" s="184"/>
      <c r="U48" s="6"/>
    </row>
    <row r="49" spans="1:21" customFormat="1">
      <c r="A49" s="180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6"/>
      <c r="S49" s="6"/>
      <c r="T49" s="184"/>
      <c r="U49" s="6"/>
    </row>
    <row r="50" spans="1:21" customFormat="1">
      <c r="A50" s="180"/>
      <c r="B50" s="181"/>
      <c r="C50" s="181"/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6"/>
      <c r="S50" s="6"/>
      <c r="T50" s="184"/>
      <c r="U50" s="6"/>
    </row>
    <row r="51" spans="1:21" customFormat="1">
      <c r="A51" s="180"/>
      <c r="B51" s="181"/>
      <c r="C51" s="181"/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6"/>
      <c r="S51" s="6"/>
      <c r="T51" s="184"/>
      <c r="U51" s="6"/>
    </row>
    <row r="52" spans="1:21" customFormat="1">
      <c r="A52" s="180"/>
      <c r="B52" s="181"/>
      <c r="C52" s="181"/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6"/>
      <c r="S52" s="6"/>
      <c r="T52" s="184"/>
      <c r="U52" s="6"/>
    </row>
    <row r="53" spans="1:21" customFormat="1">
      <c r="A53" s="180"/>
      <c r="B53" s="181"/>
      <c r="C53" s="181"/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6"/>
      <c r="S53" s="6"/>
      <c r="T53" s="184"/>
      <c r="U53" s="6"/>
    </row>
    <row r="54" spans="1:21" customFormat="1">
      <c r="A54" s="180"/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6"/>
      <c r="S54" s="6"/>
      <c r="T54" s="184"/>
      <c r="U54" s="6"/>
    </row>
    <row r="55" spans="1:21" customFormat="1">
      <c r="A55" s="180"/>
      <c r="B55" s="181"/>
      <c r="C55" s="181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6"/>
      <c r="S55" s="6"/>
      <c r="T55" s="184"/>
      <c r="U55" s="6"/>
    </row>
    <row r="56" spans="1:21" customFormat="1">
      <c r="A56" s="180"/>
      <c r="B56" s="181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6"/>
      <c r="S56" s="6"/>
      <c r="T56" s="184"/>
      <c r="U56" s="6"/>
    </row>
    <row r="57" spans="1:21" customFormat="1">
      <c r="A57" s="180"/>
      <c r="B57" s="181"/>
      <c r="C57" s="181"/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6"/>
      <c r="S57" s="6"/>
      <c r="T57" s="184"/>
      <c r="U57" s="6"/>
    </row>
    <row r="58" spans="1:21" customFormat="1">
      <c r="A58" s="180"/>
      <c r="B58" s="181"/>
      <c r="C58" s="181"/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6"/>
      <c r="S58" s="6"/>
      <c r="T58" s="184"/>
      <c r="U58" s="6"/>
    </row>
    <row r="59" spans="1:21" customFormat="1">
      <c r="A59" s="180"/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6"/>
      <c r="S59" s="6"/>
      <c r="T59" s="184"/>
      <c r="U59" s="6"/>
    </row>
    <row r="60" spans="1:21" customFormat="1">
      <c r="A60" s="180"/>
      <c r="B60" s="181"/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6"/>
      <c r="S60" s="6"/>
      <c r="T60" s="184"/>
      <c r="U60" s="6"/>
    </row>
    <row r="61" spans="1:21" customFormat="1">
      <c r="A61" s="180"/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6"/>
      <c r="S61" s="6"/>
      <c r="T61" s="184"/>
      <c r="U61" s="6"/>
    </row>
    <row r="62" spans="1:21" customFormat="1">
      <c r="A62" s="180"/>
      <c r="B62" s="181"/>
      <c r="C62" s="181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6"/>
      <c r="S62" s="6"/>
      <c r="T62" s="184"/>
      <c r="U62" s="6"/>
    </row>
    <row r="63" spans="1:21" customFormat="1">
      <c r="A63" s="180"/>
      <c r="B63" s="181"/>
      <c r="C63" s="181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6"/>
      <c r="S63" s="6"/>
      <c r="T63" s="184"/>
      <c r="U63" s="6"/>
    </row>
    <row r="64" spans="1:21" customFormat="1">
      <c r="A64" s="180"/>
      <c r="B64" s="181"/>
      <c r="C64" s="181"/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6"/>
      <c r="S64" s="6"/>
      <c r="T64" s="184"/>
      <c r="U64" s="6"/>
    </row>
    <row r="65" spans="1:21" customFormat="1">
      <c r="A65" s="180"/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6"/>
      <c r="S65" s="6"/>
      <c r="T65" s="184"/>
      <c r="U65" s="6"/>
    </row>
    <row r="66" spans="1:21" customFormat="1">
      <c r="A66" s="180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6"/>
      <c r="S66" s="6"/>
      <c r="T66" s="184"/>
      <c r="U66" s="6"/>
    </row>
    <row r="67" spans="1:21" customFormat="1">
      <c r="A67" s="180"/>
      <c r="B67" s="181"/>
      <c r="C67" s="181"/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6"/>
      <c r="S67" s="6"/>
      <c r="T67" s="184"/>
      <c r="U67" s="6"/>
    </row>
    <row r="68" spans="1:21" customFormat="1">
      <c r="A68" s="180"/>
      <c r="B68" s="181"/>
      <c r="C68" s="181"/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6"/>
      <c r="S68" s="6"/>
      <c r="T68" s="184"/>
      <c r="U68" s="6"/>
    </row>
    <row r="69" spans="1:21" customFormat="1">
      <c r="A69" s="180"/>
      <c r="B69" s="181"/>
      <c r="C69" s="181"/>
      <c r="D69" s="181"/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6"/>
      <c r="S69" s="6"/>
      <c r="T69" s="184"/>
      <c r="U69" s="6"/>
    </row>
    <row r="70" spans="1:21" customFormat="1">
      <c r="A70" s="180"/>
      <c r="B70" s="181"/>
      <c r="C70" s="181"/>
      <c r="D70" s="181"/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6"/>
      <c r="S70" s="6"/>
      <c r="T70" s="184"/>
      <c r="U70" s="6"/>
    </row>
    <row r="71" spans="1:21" customFormat="1">
      <c r="A71" s="180"/>
      <c r="B71" s="181"/>
      <c r="C71" s="181"/>
      <c r="D71" s="181"/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6"/>
      <c r="S71" s="6"/>
      <c r="T71" s="184"/>
      <c r="U71" s="6"/>
    </row>
    <row r="72" spans="1:21" customFormat="1">
      <c r="A72" s="180"/>
      <c r="B72" s="181"/>
      <c r="C72" s="181"/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6"/>
      <c r="S72" s="6"/>
      <c r="T72" s="184"/>
      <c r="U72" s="6"/>
    </row>
    <row r="73" spans="1:21" customFormat="1">
      <c r="A73" s="180"/>
      <c r="B73" s="181"/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6"/>
      <c r="S73" s="6"/>
      <c r="T73" s="184"/>
      <c r="U73" s="6"/>
    </row>
    <row r="74" spans="1:21" customFormat="1">
      <c r="A74" s="180"/>
      <c r="B74" s="181"/>
      <c r="C74" s="181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6"/>
      <c r="S74" s="6"/>
      <c r="T74" s="184"/>
      <c r="U74" s="6"/>
    </row>
    <row r="75" spans="1:21" customFormat="1">
      <c r="A75" s="180"/>
      <c r="B75" s="181"/>
      <c r="C75" s="181"/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6"/>
      <c r="S75" s="6"/>
      <c r="T75" s="184"/>
      <c r="U75" s="6"/>
    </row>
    <row r="76" spans="1:21" customFormat="1">
      <c r="A76" s="180"/>
      <c r="B76" s="181"/>
      <c r="C76" s="181"/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6"/>
      <c r="S76" s="6"/>
      <c r="T76" s="184"/>
      <c r="U76" s="6"/>
    </row>
    <row r="77" spans="1:21" customFormat="1">
      <c r="A77" s="180"/>
      <c r="B77" s="181"/>
      <c r="C77" s="181"/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6"/>
      <c r="S77" s="6"/>
      <c r="T77" s="184"/>
      <c r="U77" s="6"/>
    </row>
    <row r="78" spans="1:21" customFormat="1">
      <c r="A78" s="180"/>
      <c r="B78" s="181"/>
      <c r="C78" s="181"/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6"/>
      <c r="S78" s="6"/>
      <c r="T78" s="184"/>
      <c r="U78" s="6"/>
    </row>
    <row r="79" spans="1:21" customFormat="1">
      <c r="A79" s="180"/>
      <c r="B79" s="181"/>
      <c r="C79" s="181"/>
      <c r="D79" s="181"/>
      <c r="E79" s="185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6"/>
      <c r="S79" s="6"/>
      <c r="T79" s="184"/>
      <c r="U79" s="6"/>
    </row>
    <row r="80" spans="1:21" customFormat="1">
      <c r="A80" s="180"/>
      <c r="B80" s="181"/>
      <c r="C80" s="181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6"/>
      <c r="S80" s="6"/>
      <c r="T80" s="184"/>
      <c r="U80" s="6"/>
    </row>
    <row r="81" spans="1:26" customFormat="1">
      <c r="A81" s="180"/>
      <c r="B81" s="181"/>
      <c r="C81" s="181"/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6"/>
      <c r="S81" s="6"/>
      <c r="T81" s="184"/>
      <c r="U81" s="6"/>
    </row>
    <row r="82" spans="1:26" customFormat="1">
      <c r="A82" s="180"/>
      <c r="B82" s="181"/>
      <c r="C82" s="181"/>
      <c r="D82" s="181"/>
      <c r="E82" s="181"/>
      <c r="F82" s="181"/>
      <c r="G82" s="181"/>
      <c r="H82" s="181"/>
      <c r="I82" s="181"/>
      <c r="J82" s="190"/>
      <c r="K82" s="181"/>
      <c r="L82" s="181"/>
      <c r="M82" s="181"/>
      <c r="N82" s="181"/>
      <c r="O82" s="181"/>
      <c r="P82" s="181"/>
      <c r="Q82" s="181"/>
      <c r="R82" s="6"/>
      <c r="S82" s="6"/>
      <c r="T82" s="184"/>
      <c r="U82" s="6"/>
    </row>
    <row r="83" spans="1:26" customFormat="1">
      <c r="A83" s="180"/>
      <c r="B83" s="181"/>
      <c r="C83" s="181"/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6"/>
      <c r="S83" s="6"/>
      <c r="T83" s="184"/>
      <c r="U83" s="6"/>
    </row>
    <row r="84" spans="1:26" customFormat="1">
      <c r="A84" s="180"/>
      <c r="B84" s="181"/>
      <c r="C84" s="181"/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6"/>
      <c r="S84" s="6"/>
      <c r="T84" s="184"/>
      <c r="U84" s="6"/>
    </row>
    <row r="85" spans="1:26" customFormat="1">
      <c r="A85" s="180"/>
      <c r="B85" s="181"/>
      <c r="C85" s="181"/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6"/>
      <c r="S85" s="6"/>
      <c r="T85" s="184"/>
      <c r="U85" s="6"/>
    </row>
    <row r="86" spans="1:26" customFormat="1">
      <c r="A86" s="180"/>
      <c r="B86" s="181"/>
      <c r="C86" s="181"/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6"/>
      <c r="S86" s="6"/>
      <c r="T86" s="184"/>
      <c r="U86" s="6"/>
    </row>
    <row r="87" spans="1:26" customFormat="1">
      <c r="A87" s="180"/>
      <c r="B87" s="181"/>
      <c r="C87" s="181"/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6"/>
      <c r="S87" s="6"/>
      <c r="T87" s="184"/>
      <c r="U87" s="6"/>
    </row>
    <row r="88" spans="1:26" customFormat="1">
      <c r="A88" s="180"/>
      <c r="B88" s="181"/>
      <c r="C88" s="181"/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6"/>
      <c r="S88" s="6"/>
      <c r="T88" s="184"/>
      <c r="U88" s="6"/>
    </row>
    <row r="89" spans="1:26" customFormat="1">
      <c r="A89" s="180"/>
      <c r="B89" s="181"/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6"/>
      <c r="S89" s="6"/>
      <c r="T89" s="184"/>
      <c r="U89" s="6"/>
    </row>
    <row r="90" spans="1:26" customFormat="1">
      <c r="A90" s="180"/>
      <c r="B90" s="181"/>
      <c r="C90" s="181"/>
      <c r="D90" s="181"/>
      <c r="E90" s="181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6"/>
      <c r="S90" s="6"/>
      <c r="T90" s="184"/>
      <c r="U90" s="6"/>
    </row>
    <row r="91" spans="1:26" customFormat="1">
      <c r="A91" s="180"/>
      <c r="B91" s="181"/>
      <c r="C91" s="181"/>
      <c r="D91" s="181"/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6"/>
      <c r="S91" s="6"/>
      <c r="T91" s="184"/>
      <c r="U91" s="6"/>
    </row>
    <row r="92" spans="1:26" customFormat="1">
      <c r="A92" s="180"/>
      <c r="B92" s="181"/>
      <c r="C92" s="181"/>
      <c r="D92" s="181"/>
      <c r="E92" s="18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6"/>
      <c r="S92" s="6"/>
      <c r="T92" s="184"/>
      <c r="U92" s="6"/>
    </row>
    <row r="93" spans="1:26" customFormat="1">
      <c r="A93" s="180"/>
      <c r="B93" s="181"/>
      <c r="C93" s="181"/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6"/>
      <c r="S93" s="6"/>
      <c r="T93" s="184"/>
      <c r="U93" s="6"/>
    </row>
    <row r="94" spans="1:26" customFormat="1">
      <c r="A94" s="180"/>
      <c r="B94" s="181"/>
      <c r="C94" s="181"/>
      <c r="D94" s="181"/>
      <c r="E94" s="181"/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6"/>
      <c r="S94" s="6"/>
      <c r="T94" s="184"/>
      <c r="U94" s="6"/>
    </row>
    <row r="95" spans="1:26" customFormat="1">
      <c r="A95" s="180"/>
      <c r="B95" s="181"/>
      <c r="C95" s="181"/>
      <c r="D95" s="181"/>
      <c r="E95" s="181"/>
      <c r="F95" s="181"/>
      <c r="G95" s="181"/>
      <c r="H95" s="181"/>
      <c r="I95" s="181"/>
      <c r="J95" s="181"/>
      <c r="K95" s="181"/>
      <c r="L95" s="181"/>
      <c r="M95" s="181"/>
      <c r="N95" s="181"/>
      <c r="O95" s="181"/>
      <c r="P95" s="181"/>
      <c r="Q95" s="181"/>
      <c r="R95" s="6"/>
      <c r="S95" s="6"/>
      <c r="T95" s="184"/>
      <c r="U95" s="6"/>
    </row>
    <row r="96" spans="1:26" customFormat="1">
      <c r="A96" s="180"/>
      <c r="B96" s="181"/>
      <c r="C96" s="181"/>
      <c r="D96" s="181"/>
      <c r="E96" s="181"/>
      <c r="F96" s="181"/>
      <c r="G96" s="181"/>
      <c r="H96" s="181"/>
      <c r="I96" s="181"/>
      <c r="J96" s="181"/>
      <c r="K96" s="181"/>
      <c r="L96" s="181"/>
      <c r="M96" s="181"/>
      <c r="N96" s="181"/>
      <c r="O96" s="181"/>
      <c r="P96" s="181"/>
      <c r="Q96" s="181"/>
      <c r="R96" s="6"/>
      <c r="S96" s="6"/>
      <c r="T96" s="184"/>
      <c r="U96" s="6"/>
      <c r="Z96" s="194"/>
    </row>
    <row r="97" spans="1:33" customFormat="1">
      <c r="A97" s="180"/>
      <c r="B97" s="181"/>
      <c r="C97" s="181"/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6"/>
      <c r="S97" s="6"/>
      <c r="T97" s="184"/>
      <c r="U97" s="6"/>
    </row>
    <row r="98" spans="1:33" customFormat="1">
      <c r="A98" s="180"/>
      <c r="B98" s="181"/>
      <c r="C98" s="181"/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6"/>
      <c r="S98" s="6"/>
      <c r="T98" s="184"/>
      <c r="U98" s="6"/>
    </row>
    <row r="99" spans="1:33" customFormat="1">
      <c r="A99" s="180"/>
      <c r="B99" s="181"/>
      <c r="C99" s="181"/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6"/>
      <c r="S99" s="6"/>
      <c r="T99" s="184"/>
      <c r="U99" s="6"/>
    </row>
    <row r="100" spans="1:33" customFormat="1">
      <c r="A100" s="180"/>
      <c r="B100" s="181"/>
      <c r="C100" s="181"/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6"/>
      <c r="S100" s="6"/>
      <c r="T100" s="184"/>
      <c r="U100" s="6"/>
      <c r="AB100" s="195"/>
      <c r="AG100" s="194"/>
    </row>
    <row r="101" spans="1:33" customFormat="1">
      <c r="A101" s="180"/>
      <c r="B101" s="181"/>
      <c r="C101" s="181"/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6"/>
      <c r="S101" s="6"/>
      <c r="T101" s="184"/>
      <c r="U101" s="6"/>
    </row>
    <row r="102" spans="1:33" customFormat="1">
      <c r="A102" s="180"/>
      <c r="B102" s="181"/>
      <c r="C102" s="181"/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6"/>
      <c r="S102" s="6"/>
      <c r="T102" s="184"/>
      <c r="U102" s="6"/>
    </row>
    <row r="103" spans="1:33" customFormat="1">
      <c r="A103" s="180"/>
      <c r="B103" s="181"/>
      <c r="C103" s="181"/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6"/>
      <c r="S103" s="6"/>
      <c r="T103" s="184"/>
      <c r="U103" s="6"/>
    </row>
    <row r="104" spans="1:33" customFormat="1">
      <c r="A104" s="180"/>
      <c r="B104" s="181"/>
      <c r="C104" s="181"/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6"/>
      <c r="S104" s="6"/>
      <c r="T104" s="184"/>
      <c r="U104" s="6"/>
    </row>
    <row r="105" spans="1:33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33">
      <c r="A106" s="186" t="s">
        <v>48</v>
      </c>
      <c r="B106" s="187">
        <f>MIN(B9:B104)</f>
        <v>0</v>
      </c>
      <c r="C106" s="187">
        <f>MIN(C9:C104)</f>
        <v>0</v>
      </c>
      <c r="D106" s="187">
        <f t="shared" ref="D106:Q106" si="0">MIN(D9:D104)</f>
        <v>0</v>
      </c>
      <c r="E106" s="187">
        <f t="shared" si="0"/>
        <v>0</v>
      </c>
      <c r="F106" s="187">
        <f t="shared" si="0"/>
        <v>0</v>
      </c>
      <c r="G106" s="187">
        <f t="shared" si="0"/>
        <v>0</v>
      </c>
      <c r="H106" s="187">
        <f t="shared" si="0"/>
        <v>0</v>
      </c>
      <c r="I106" s="187">
        <f t="shared" si="0"/>
        <v>0</v>
      </c>
      <c r="J106" s="187">
        <f t="shared" si="0"/>
        <v>0</v>
      </c>
      <c r="K106" s="187">
        <f t="shared" si="0"/>
        <v>0</v>
      </c>
      <c r="L106" s="187">
        <f t="shared" si="0"/>
        <v>0</v>
      </c>
      <c r="M106" s="187">
        <f t="shared" si="0"/>
        <v>0</v>
      </c>
      <c r="N106" s="187">
        <f t="shared" si="0"/>
        <v>0</v>
      </c>
      <c r="O106" s="187">
        <f t="shared" si="0"/>
        <v>0</v>
      </c>
      <c r="P106" s="187">
        <f t="shared" si="0"/>
        <v>0</v>
      </c>
      <c r="Q106" s="187">
        <f t="shared" si="0"/>
        <v>0</v>
      </c>
      <c r="R106" s="192"/>
      <c r="S106" s="192"/>
      <c r="T106" s="192"/>
      <c r="U106" s="192"/>
    </row>
    <row r="107" spans="1:33">
      <c r="A107" s="186" t="s">
        <v>49</v>
      </c>
      <c r="B107" s="188">
        <f>MAX(B9:B104)</f>
        <v>0</v>
      </c>
      <c r="C107" s="188">
        <f t="shared" ref="C107:Q107" si="1">MAX(C9:C104)</f>
        <v>0</v>
      </c>
      <c r="D107" s="188">
        <f t="shared" si="1"/>
        <v>0</v>
      </c>
      <c r="E107" s="188">
        <f t="shared" si="1"/>
        <v>0</v>
      </c>
      <c r="F107" s="188">
        <f t="shared" si="1"/>
        <v>0</v>
      </c>
      <c r="G107" s="188">
        <f t="shared" si="1"/>
        <v>0</v>
      </c>
      <c r="H107" s="188">
        <f t="shared" si="1"/>
        <v>0</v>
      </c>
      <c r="I107" s="188">
        <f t="shared" si="1"/>
        <v>0</v>
      </c>
      <c r="J107" s="188">
        <f t="shared" si="1"/>
        <v>0</v>
      </c>
      <c r="K107" s="188">
        <f t="shared" si="1"/>
        <v>0</v>
      </c>
      <c r="L107" s="188">
        <f t="shared" si="1"/>
        <v>0</v>
      </c>
      <c r="M107" s="188">
        <f t="shared" si="1"/>
        <v>0</v>
      </c>
      <c r="N107" s="188">
        <f t="shared" si="1"/>
        <v>0</v>
      </c>
      <c r="O107" s="188">
        <f t="shared" si="1"/>
        <v>0</v>
      </c>
      <c r="P107" s="188">
        <f t="shared" si="1"/>
        <v>0</v>
      </c>
      <c r="Q107" s="188">
        <f t="shared" si="1"/>
        <v>0</v>
      </c>
      <c r="R107" s="193"/>
      <c r="S107" s="193"/>
      <c r="T107" s="193"/>
      <c r="U107" s="193"/>
    </row>
    <row r="108" spans="1:33">
      <c r="A108" s="186" t="s">
        <v>50</v>
      </c>
      <c r="B108" s="187" t="e">
        <f>AVERAGE(B9:B104)</f>
        <v>#DIV/0!</v>
      </c>
      <c r="C108" s="187" t="e">
        <f t="shared" ref="C108:Q108" si="2">AVERAGE(C9:C104)</f>
        <v>#DIV/0!</v>
      </c>
      <c r="D108" s="187" t="e">
        <f t="shared" si="2"/>
        <v>#DIV/0!</v>
      </c>
      <c r="E108" s="187" t="e">
        <f t="shared" si="2"/>
        <v>#DIV/0!</v>
      </c>
      <c r="F108" s="187" t="e">
        <f t="shared" si="2"/>
        <v>#DIV/0!</v>
      </c>
      <c r="G108" s="187" t="e">
        <f t="shared" si="2"/>
        <v>#DIV/0!</v>
      </c>
      <c r="H108" s="187" t="e">
        <f t="shared" si="2"/>
        <v>#DIV/0!</v>
      </c>
      <c r="I108" s="187" t="e">
        <f t="shared" si="2"/>
        <v>#DIV/0!</v>
      </c>
      <c r="J108" s="187" t="e">
        <f t="shared" si="2"/>
        <v>#DIV/0!</v>
      </c>
      <c r="K108" s="187" t="e">
        <f t="shared" si="2"/>
        <v>#DIV/0!</v>
      </c>
      <c r="L108" s="187" t="e">
        <f t="shared" si="2"/>
        <v>#DIV/0!</v>
      </c>
      <c r="M108" s="187" t="e">
        <f t="shared" si="2"/>
        <v>#DIV/0!</v>
      </c>
      <c r="N108" s="187" t="e">
        <f t="shared" si="2"/>
        <v>#DIV/0!</v>
      </c>
      <c r="O108" s="187" t="e">
        <f t="shared" si="2"/>
        <v>#DIV/0!</v>
      </c>
      <c r="P108" s="187" t="e">
        <f t="shared" si="2"/>
        <v>#DIV/0!</v>
      </c>
      <c r="Q108" s="187" t="e">
        <f t="shared" si="2"/>
        <v>#DIV/0!</v>
      </c>
      <c r="R108" s="192"/>
      <c r="S108" s="192"/>
      <c r="T108" s="192"/>
      <c r="U108" s="192"/>
    </row>
    <row r="109" spans="1:33">
      <c r="A109" s="186" t="s">
        <v>51</v>
      </c>
      <c r="B109" s="187" t="e">
        <f>STDEV(B9:B104)</f>
        <v>#DIV/0!</v>
      </c>
      <c r="C109" s="187" t="e">
        <f t="shared" ref="C109:Q109" si="3">STDEV(C9:C104)</f>
        <v>#DIV/0!</v>
      </c>
      <c r="D109" s="187" t="e">
        <f t="shared" si="3"/>
        <v>#DIV/0!</v>
      </c>
      <c r="E109" s="187" t="e">
        <f t="shared" si="3"/>
        <v>#DIV/0!</v>
      </c>
      <c r="F109" s="187" t="e">
        <f t="shared" si="3"/>
        <v>#DIV/0!</v>
      </c>
      <c r="G109" s="187" t="e">
        <f t="shared" si="3"/>
        <v>#DIV/0!</v>
      </c>
      <c r="H109" s="187" t="e">
        <f t="shared" si="3"/>
        <v>#DIV/0!</v>
      </c>
      <c r="I109" s="187" t="e">
        <f t="shared" si="3"/>
        <v>#DIV/0!</v>
      </c>
      <c r="J109" s="187" t="e">
        <f t="shared" si="3"/>
        <v>#DIV/0!</v>
      </c>
      <c r="K109" s="187" t="e">
        <f t="shared" si="3"/>
        <v>#DIV/0!</v>
      </c>
      <c r="L109" s="187" t="e">
        <f t="shared" si="3"/>
        <v>#DIV/0!</v>
      </c>
      <c r="M109" s="187" t="e">
        <f t="shared" si="3"/>
        <v>#DIV/0!</v>
      </c>
      <c r="N109" s="187" t="e">
        <f t="shared" si="3"/>
        <v>#DIV/0!</v>
      </c>
      <c r="O109" s="187" t="e">
        <f t="shared" si="3"/>
        <v>#DIV/0!</v>
      </c>
      <c r="P109" s="187" t="e">
        <f t="shared" si="3"/>
        <v>#DIV/0!</v>
      </c>
      <c r="Q109" s="187" t="e">
        <f t="shared" si="3"/>
        <v>#DIV/0!</v>
      </c>
      <c r="R109" s="192"/>
      <c r="S109" s="192"/>
      <c r="T109" s="192"/>
      <c r="U109" s="192"/>
    </row>
    <row r="110" spans="1:33">
      <c r="A110" s="186" t="s">
        <v>52</v>
      </c>
      <c r="B110" s="188">
        <f t="shared" ref="B110:Q110" si="4">COUNT(B9:B104)</f>
        <v>0</v>
      </c>
      <c r="C110" s="188">
        <f t="shared" si="4"/>
        <v>0</v>
      </c>
      <c r="D110" s="188">
        <f t="shared" si="4"/>
        <v>0</v>
      </c>
      <c r="E110" s="188">
        <f t="shared" si="4"/>
        <v>0</v>
      </c>
      <c r="F110" s="188">
        <f t="shared" si="4"/>
        <v>0</v>
      </c>
      <c r="G110" s="188">
        <f t="shared" si="4"/>
        <v>0</v>
      </c>
      <c r="H110" s="188">
        <f t="shared" si="4"/>
        <v>0</v>
      </c>
      <c r="I110" s="188">
        <f t="shared" si="4"/>
        <v>0</v>
      </c>
      <c r="J110" s="188">
        <f t="shared" si="4"/>
        <v>0</v>
      </c>
      <c r="K110" s="188">
        <f t="shared" si="4"/>
        <v>0</v>
      </c>
      <c r="L110" s="188">
        <f t="shared" si="4"/>
        <v>0</v>
      </c>
      <c r="M110" s="188">
        <f t="shared" si="4"/>
        <v>0</v>
      </c>
      <c r="N110" s="188">
        <f t="shared" si="4"/>
        <v>0</v>
      </c>
      <c r="O110" s="188">
        <f t="shared" si="4"/>
        <v>0</v>
      </c>
      <c r="P110" s="188">
        <f t="shared" si="4"/>
        <v>0</v>
      </c>
      <c r="Q110" s="188">
        <f t="shared" si="4"/>
        <v>0</v>
      </c>
      <c r="R110" s="193"/>
      <c r="S110" s="193"/>
      <c r="T110" s="193"/>
      <c r="U110" s="193"/>
      <c r="V110" s="188"/>
    </row>
    <row r="111" spans="1:33">
      <c r="A111" s="153" t="s">
        <v>53</v>
      </c>
      <c r="B111" s="147" t="str">
        <f>IF(B110&gt;=87,"&gt;90%",IF(B110&lt;=87,"&lt;90%"))</f>
        <v>&lt;90%</v>
      </c>
      <c r="C111" s="147" t="str">
        <f t="shared" ref="C111:Q111" si="5">IF(C110&gt;=87,"&gt;90%",IF(C110&lt;=87,"&lt;90%"))</f>
        <v>&lt;90%</v>
      </c>
      <c r="D111" s="147" t="str">
        <f t="shared" si="5"/>
        <v>&lt;90%</v>
      </c>
      <c r="E111" s="147" t="str">
        <f t="shared" si="5"/>
        <v>&lt;90%</v>
      </c>
      <c r="F111" s="147" t="str">
        <f t="shared" si="5"/>
        <v>&lt;90%</v>
      </c>
      <c r="G111" s="147" t="str">
        <f t="shared" si="5"/>
        <v>&lt;90%</v>
      </c>
      <c r="H111" s="147" t="str">
        <f t="shared" si="5"/>
        <v>&lt;90%</v>
      </c>
      <c r="I111" s="147" t="str">
        <f t="shared" si="5"/>
        <v>&lt;90%</v>
      </c>
      <c r="J111" s="147" t="str">
        <f t="shared" si="5"/>
        <v>&lt;90%</v>
      </c>
      <c r="K111" s="147" t="str">
        <f t="shared" si="5"/>
        <v>&lt;90%</v>
      </c>
      <c r="L111" s="147" t="str">
        <f t="shared" si="5"/>
        <v>&lt;90%</v>
      </c>
      <c r="M111" s="147" t="str">
        <f t="shared" si="5"/>
        <v>&lt;90%</v>
      </c>
      <c r="N111" s="147" t="str">
        <f t="shared" si="5"/>
        <v>&lt;90%</v>
      </c>
      <c r="O111" s="147" t="str">
        <f t="shared" si="5"/>
        <v>&lt;90%</v>
      </c>
      <c r="P111" s="147" t="str">
        <f t="shared" si="5"/>
        <v>&lt;90%</v>
      </c>
      <c r="Q111" s="147" t="str">
        <f t="shared" si="5"/>
        <v>&lt;90%</v>
      </c>
      <c r="R111" s="175"/>
      <c r="S111" s="175"/>
      <c r="T111" s="175"/>
      <c r="U111" s="175"/>
    </row>
    <row r="112" spans="1:33">
      <c r="A112" s="153" t="s">
        <v>54</v>
      </c>
      <c r="B112" s="147" t="str">
        <f>IF(B110&gt;=87,"OK",IF(B110&lt;=87,"LESS"))</f>
        <v>LESS</v>
      </c>
      <c r="C112" s="147" t="str">
        <f t="shared" ref="C112:Q112" si="6">IF(C110&gt;=87,"OK",IF(C110&lt;=87,"LESS"))</f>
        <v>LESS</v>
      </c>
      <c r="D112" s="147" t="str">
        <f t="shared" si="6"/>
        <v>LESS</v>
      </c>
      <c r="E112" s="147" t="str">
        <f t="shared" si="6"/>
        <v>LESS</v>
      </c>
      <c r="F112" s="147" t="str">
        <f t="shared" si="6"/>
        <v>LESS</v>
      </c>
      <c r="G112" s="147" t="str">
        <f t="shared" si="6"/>
        <v>LESS</v>
      </c>
      <c r="H112" s="147" t="str">
        <f t="shared" si="6"/>
        <v>LESS</v>
      </c>
      <c r="I112" s="147" t="str">
        <f t="shared" si="6"/>
        <v>LESS</v>
      </c>
      <c r="J112" s="147" t="str">
        <f t="shared" si="6"/>
        <v>LESS</v>
      </c>
      <c r="K112" s="147" t="str">
        <f t="shared" si="6"/>
        <v>LESS</v>
      </c>
      <c r="L112" s="147" t="str">
        <f t="shared" si="6"/>
        <v>LESS</v>
      </c>
      <c r="M112" s="147" t="str">
        <f t="shared" si="6"/>
        <v>LESS</v>
      </c>
      <c r="N112" s="147" t="str">
        <f t="shared" si="6"/>
        <v>LESS</v>
      </c>
      <c r="O112" s="147" t="str">
        <f t="shared" si="6"/>
        <v>LESS</v>
      </c>
      <c r="P112" s="147" t="str">
        <f t="shared" si="6"/>
        <v>LESS</v>
      </c>
      <c r="Q112" s="147" t="str">
        <f t="shared" si="6"/>
        <v>LESS</v>
      </c>
      <c r="R112" s="175"/>
      <c r="S112" s="175"/>
      <c r="T112" s="175"/>
      <c r="U112" s="175"/>
    </row>
    <row r="113" spans="1:21">
      <c r="L113" s="32"/>
      <c r="N113" s="191"/>
      <c r="O113" s="191"/>
      <c r="P113" s="191"/>
      <c r="Q113" s="191"/>
      <c r="R113" s="191"/>
      <c r="S113" s="191"/>
      <c r="T113" s="191"/>
      <c r="U113" s="191"/>
    </row>
    <row r="115" spans="1:21">
      <c r="A115" s="153" t="s">
        <v>55</v>
      </c>
      <c r="B115" s="197" t="s">
        <v>56</v>
      </c>
      <c r="C115" s="197"/>
      <c r="D115" s="197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9" t="s">
        <v>57</v>
      </c>
      <c r="B117" s="198"/>
      <c r="C117" s="198"/>
      <c r="D117" s="198"/>
      <c r="E117" s="198"/>
      <c r="F117" s="198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G117"/>
  <sheetViews>
    <sheetView zoomScale="85" zoomScaleNormal="85" workbookViewId="0">
      <pane xSplit="1" ySplit="8" topLeftCell="B108" activePane="bottomRight" state="frozen"/>
      <selection activeCell="A9" sqref="A9"/>
      <selection pane="topRight" activeCell="A9" sqref="A9"/>
      <selection pane="bottomLeft" activeCell="A9" sqref="A9"/>
      <selection pane="bottomRight" activeCell="A9" sqref="A9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0</v>
      </c>
      <c r="C2" s="196" t="s">
        <v>3</v>
      </c>
      <c r="D2" s="196"/>
      <c r="E2" s="196"/>
      <c r="F2" s="196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2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6" t="s">
        <v>11</v>
      </c>
      <c r="D3" s="196"/>
      <c r="E3" s="196"/>
      <c r="F3" s="196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2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6" t="s">
        <v>18</v>
      </c>
      <c r="D4" s="196"/>
      <c r="E4" s="196"/>
      <c r="F4" s="196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3" t="s">
        <v>43</v>
      </c>
      <c r="M8" s="114" t="s">
        <v>44</v>
      </c>
      <c r="N8" s="114" t="s">
        <v>45</v>
      </c>
      <c r="O8" s="183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80"/>
      <c r="B9" s="181"/>
      <c r="C9" s="181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6"/>
      <c r="S9" s="6"/>
      <c r="T9" s="184"/>
      <c r="U9" s="6"/>
    </row>
    <row r="10" spans="1:21" customFormat="1">
      <c r="A10" s="180"/>
      <c r="B10" s="181"/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6"/>
      <c r="S10" s="6"/>
      <c r="T10" s="184"/>
      <c r="U10" s="6"/>
    </row>
    <row r="11" spans="1:21" customFormat="1">
      <c r="A11" s="180"/>
      <c r="B11" s="181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6"/>
      <c r="S11" s="6"/>
      <c r="T11" s="184"/>
      <c r="U11" s="6"/>
    </row>
    <row r="12" spans="1:21" customFormat="1">
      <c r="A12" s="180"/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6"/>
      <c r="S12" s="6"/>
      <c r="T12" s="184"/>
      <c r="U12" s="6"/>
    </row>
    <row r="13" spans="1:21" customFormat="1">
      <c r="A13" s="180"/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6"/>
      <c r="S13" s="6"/>
      <c r="T13" s="184"/>
      <c r="U13" s="6"/>
    </row>
    <row r="14" spans="1:21" customFormat="1">
      <c r="A14" s="180"/>
      <c r="B14" s="181"/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6"/>
      <c r="S14" s="6"/>
      <c r="T14" s="184"/>
      <c r="U14" s="6"/>
    </row>
    <row r="15" spans="1:21" customFormat="1">
      <c r="A15" s="180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6"/>
      <c r="S15" s="6"/>
      <c r="T15" s="184"/>
      <c r="U15" s="6"/>
    </row>
    <row r="16" spans="1:21" customFormat="1">
      <c r="A16" s="180"/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6"/>
      <c r="S16" s="6"/>
      <c r="T16" s="184"/>
      <c r="U16" s="6"/>
    </row>
    <row r="17" spans="1:21" customFormat="1">
      <c r="A17" s="180"/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6"/>
      <c r="S17" s="6"/>
      <c r="T17" s="184"/>
      <c r="U17" s="6"/>
    </row>
    <row r="18" spans="1:21" customFormat="1">
      <c r="A18" s="180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6"/>
      <c r="S18" s="6"/>
      <c r="T18" s="184"/>
      <c r="U18" s="6"/>
    </row>
    <row r="19" spans="1:21" customFormat="1">
      <c r="A19" s="180"/>
      <c r="B19" s="181"/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6"/>
      <c r="S19" s="6"/>
      <c r="T19" s="184"/>
      <c r="U19" s="6"/>
    </row>
    <row r="20" spans="1:21" customFormat="1">
      <c r="A20" s="180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6"/>
      <c r="S20" s="6"/>
      <c r="T20" s="184"/>
      <c r="U20" s="6"/>
    </row>
    <row r="21" spans="1:21" customFormat="1">
      <c r="A21" s="180"/>
      <c r="B21" s="181"/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6"/>
      <c r="S21" s="6"/>
      <c r="T21" s="184"/>
      <c r="U21" s="6"/>
    </row>
    <row r="22" spans="1:21" customFormat="1">
      <c r="A22" s="180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6"/>
      <c r="S22" s="6"/>
      <c r="T22" s="184"/>
      <c r="U22" s="6"/>
    </row>
    <row r="23" spans="1:21" customFormat="1">
      <c r="A23" s="180"/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6"/>
      <c r="S23" s="6"/>
      <c r="T23" s="184"/>
      <c r="U23" s="6"/>
    </row>
    <row r="24" spans="1:21" customFormat="1">
      <c r="A24" s="180"/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6"/>
      <c r="S24" s="6"/>
      <c r="T24" s="184"/>
      <c r="U24" s="6"/>
    </row>
    <row r="25" spans="1:21" customFormat="1">
      <c r="A25" s="180"/>
      <c r="B25" s="181"/>
      <c r="C25" s="181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6"/>
      <c r="S25" s="6"/>
      <c r="T25" s="184"/>
      <c r="U25" s="6"/>
    </row>
    <row r="26" spans="1:21" customFormat="1">
      <c r="A26" s="180"/>
      <c r="B26" s="181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6"/>
      <c r="S26" s="6"/>
      <c r="T26" s="184"/>
      <c r="U26" s="6"/>
    </row>
    <row r="27" spans="1:21" customFormat="1">
      <c r="A27" s="180"/>
      <c r="B27" s="181"/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6"/>
      <c r="S27" s="6"/>
      <c r="T27" s="184"/>
      <c r="U27" s="6"/>
    </row>
    <row r="28" spans="1:21" customFormat="1">
      <c r="A28" s="180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6"/>
      <c r="S28" s="6"/>
      <c r="T28" s="184"/>
      <c r="U28" s="6"/>
    </row>
    <row r="29" spans="1:21" customFormat="1">
      <c r="A29" s="180"/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6"/>
      <c r="S29" s="6"/>
      <c r="T29" s="184"/>
      <c r="U29" s="6"/>
    </row>
    <row r="30" spans="1:21" customFormat="1">
      <c r="A30" s="180"/>
      <c r="B30" s="181"/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6"/>
      <c r="S30" s="6"/>
      <c r="T30" s="184"/>
      <c r="U30" s="6"/>
    </row>
    <row r="31" spans="1:21" customFormat="1">
      <c r="A31" s="180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6"/>
      <c r="S31" s="6"/>
      <c r="T31" s="184"/>
      <c r="U31" s="6"/>
    </row>
    <row r="32" spans="1:21" customFormat="1">
      <c r="A32" s="180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6"/>
      <c r="S32" s="6"/>
      <c r="T32" s="184"/>
      <c r="U32" s="6"/>
    </row>
    <row r="33" spans="1:21" customFormat="1">
      <c r="A33" s="180"/>
      <c r="B33" s="181"/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6"/>
      <c r="S33" s="6"/>
      <c r="T33" s="184"/>
      <c r="U33" s="6"/>
    </row>
    <row r="34" spans="1:21" customFormat="1">
      <c r="A34" s="180"/>
      <c r="B34" s="181"/>
      <c r="C34" s="181"/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6"/>
      <c r="S34" s="6"/>
      <c r="T34" s="184"/>
      <c r="U34" s="6"/>
    </row>
    <row r="35" spans="1:21" customFormat="1">
      <c r="A35" s="180"/>
      <c r="B35" s="181"/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6"/>
      <c r="S35" s="6"/>
      <c r="T35" s="184"/>
      <c r="U35" s="6"/>
    </row>
    <row r="36" spans="1:21" customFormat="1">
      <c r="A36" s="180"/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6"/>
      <c r="S36" s="6"/>
      <c r="T36" s="184"/>
      <c r="U36" s="6"/>
    </row>
    <row r="37" spans="1:21" customFormat="1">
      <c r="A37" s="180"/>
      <c r="B37" s="181"/>
      <c r="C37" s="181"/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6"/>
      <c r="S37" s="6"/>
      <c r="T37" s="184"/>
      <c r="U37" s="6"/>
    </row>
    <row r="38" spans="1:21" customFormat="1">
      <c r="A38" s="180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6"/>
      <c r="S38" s="6"/>
      <c r="T38" s="184"/>
      <c r="U38" s="6"/>
    </row>
    <row r="39" spans="1:21" customFormat="1">
      <c r="A39" s="180"/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6"/>
      <c r="S39" s="6"/>
      <c r="T39" s="184"/>
      <c r="U39" s="6"/>
    </row>
    <row r="40" spans="1:21" customFormat="1">
      <c r="A40" s="180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6"/>
      <c r="S40" s="6"/>
      <c r="T40" s="184"/>
      <c r="U40" s="6"/>
    </row>
    <row r="41" spans="1:21" customFormat="1">
      <c r="A41" s="180"/>
      <c r="B41" s="181"/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6"/>
      <c r="S41" s="6"/>
      <c r="T41" s="184"/>
      <c r="U41" s="6"/>
    </row>
    <row r="42" spans="1:21" customFormat="1">
      <c r="A42" s="180"/>
      <c r="B42" s="181"/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6"/>
      <c r="S42" s="6"/>
      <c r="T42" s="184"/>
      <c r="U42" s="6"/>
    </row>
    <row r="43" spans="1:21" customFormat="1">
      <c r="A43" s="180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6"/>
      <c r="S43" s="6"/>
      <c r="T43" s="184"/>
      <c r="U43" s="6"/>
    </row>
    <row r="44" spans="1:21" customFormat="1">
      <c r="A44" s="180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6"/>
      <c r="S44" s="6"/>
      <c r="T44" s="184"/>
      <c r="U44" s="6"/>
    </row>
    <row r="45" spans="1:21" customFormat="1">
      <c r="A45" s="180"/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6"/>
      <c r="S45" s="6"/>
      <c r="T45" s="184"/>
      <c r="U45" s="6"/>
    </row>
    <row r="46" spans="1:21" customFormat="1">
      <c r="A46" s="180"/>
      <c r="B46" s="181"/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6"/>
      <c r="S46" s="6"/>
      <c r="T46" s="184"/>
      <c r="U46" s="6"/>
    </row>
    <row r="47" spans="1:21" customFormat="1">
      <c r="A47" s="180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6"/>
      <c r="S47" s="6"/>
      <c r="T47" s="184"/>
      <c r="U47" s="6"/>
    </row>
    <row r="48" spans="1:21" customFormat="1">
      <c r="A48" s="180"/>
      <c r="B48" s="181"/>
      <c r="C48" s="181"/>
      <c r="D48" s="181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6"/>
      <c r="S48" s="6"/>
      <c r="T48" s="184"/>
      <c r="U48" s="6"/>
    </row>
    <row r="49" spans="1:21" customFormat="1">
      <c r="A49" s="180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6"/>
      <c r="S49" s="6"/>
      <c r="T49" s="184"/>
      <c r="U49" s="6"/>
    </row>
    <row r="50" spans="1:21" customFormat="1">
      <c r="A50" s="180"/>
      <c r="B50" s="181"/>
      <c r="C50" s="181"/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6"/>
      <c r="S50" s="6"/>
      <c r="T50" s="184"/>
      <c r="U50" s="6"/>
    </row>
    <row r="51" spans="1:21" customFormat="1">
      <c r="A51" s="180"/>
      <c r="B51" s="181"/>
      <c r="C51" s="181"/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6"/>
      <c r="S51" s="6"/>
      <c r="T51" s="184"/>
      <c r="U51" s="6"/>
    </row>
    <row r="52" spans="1:21" customFormat="1">
      <c r="A52" s="180"/>
      <c r="B52" s="181"/>
      <c r="C52" s="181"/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6"/>
      <c r="S52" s="6"/>
      <c r="T52" s="184"/>
      <c r="U52" s="6"/>
    </row>
    <row r="53" spans="1:21" customFormat="1">
      <c r="A53" s="180"/>
      <c r="B53" s="181"/>
      <c r="C53" s="181"/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6"/>
      <c r="S53" s="6"/>
      <c r="T53" s="184"/>
      <c r="U53" s="6"/>
    </row>
    <row r="54" spans="1:21" customFormat="1">
      <c r="A54" s="180"/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6"/>
      <c r="S54" s="6"/>
      <c r="T54" s="184"/>
      <c r="U54" s="6"/>
    </row>
    <row r="55" spans="1:21" customFormat="1">
      <c r="A55" s="180"/>
      <c r="B55" s="181"/>
      <c r="C55" s="181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6"/>
      <c r="S55" s="6"/>
      <c r="T55" s="184"/>
      <c r="U55" s="6"/>
    </row>
    <row r="56" spans="1:21" customFormat="1">
      <c r="A56" s="180"/>
      <c r="B56" s="181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6"/>
      <c r="S56" s="6"/>
      <c r="T56" s="184"/>
      <c r="U56" s="6"/>
    </row>
    <row r="57" spans="1:21" customFormat="1">
      <c r="A57" s="180"/>
      <c r="B57" s="181"/>
      <c r="C57" s="181"/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6"/>
      <c r="S57" s="6"/>
      <c r="T57" s="184"/>
      <c r="U57" s="6"/>
    </row>
    <row r="58" spans="1:21" customFormat="1">
      <c r="A58" s="180"/>
      <c r="B58" s="181"/>
      <c r="C58" s="181"/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6"/>
      <c r="S58" s="6"/>
      <c r="T58" s="184"/>
      <c r="U58" s="6"/>
    </row>
    <row r="59" spans="1:21" customFormat="1">
      <c r="A59" s="180"/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6"/>
      <c r="S59" s="6"/>
      <c r="T59" s="184"/>
      <c r="U59" s="6"/>
    </row>
    <row r="60" spans="1:21" customFormat="1">
      <c r="A60" s="180"/>
      <c r="B60" s="181"/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6"/>
      <c r="S60" s="6"/>
      <c r="T60" s="184"/>
      <c r="U60" s="6"/>
    </row>
    <row r="61" spans="1:21" customFormat="1">
      <c r="A61" s="180"/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6"/>
      <c r="S61" s="6"/>
      <c r="T61" s="184"/>
      <c r="U61" s="6"/>
    </row>
    <row r="62" spans="1:21" customFormat="1">
      <c r="A62" s="180"/>
      <c r="B62" s="181"/>
      <c r="C62" s="181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6"/>
      <c r="S62" s="6"/>
      <c r="T62" s="184"/>
      <c r="U62" s="6"/>
    </row>
    <row r="63" spans="1:21" customFormat="1">
      <c r="A63" s="180"/>
      <c r="B63" s="181"/>
      <c r="C63" s="181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6"/>
      <c r="S63" s="6"/>
      <c r="T63" s="184"/>
      <c r="U63" s="6"/>
    </row>
    <row r="64" spans="1:21" customFormat="1">
      <c r="A64" s="180"/>
      <c r="B64" s="181"/>
      <c r="C64" s="181"/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6"/>
      <c r="S64" s="6"/>
      <c r="T64" s="184"/>
      <c r="U64" s="6"/>
    </row>
    <row r="65" spans="1:21" customFormat="1">
      <c r="A65" s="180"/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6"/>
      <c r="S65" s="6"/>
      <c r="T65" s="184"/>
      <c r="U65" s="6"/>
    </row>
    <row r="66" spans="1:21" customFormat="1">
      <c r="A66" s="180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6"/>
      <c r="S66" s="6"/>
      <c r="T66" s="184"/>
      <c r="U66" s="6"/>
    </row>
    <row r="67" spans="1:21" customFormat="1">
      <c r="A67" s="180"/>
      <c r="B67" s="181"/>
      <c r="C67" s="181"/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6"/>
      <c r="S67" s="6"/>
      <c r="T67" s="184"/>
      <c r="U67" s="6"/>
    </row>
    <row r="68" spans="1:21" customFormat="1">
      <c r="A68" s="180"/>
      <c r="B68" s="181"/>
      <c r="C68" s="181"/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6"/>
      <c r="S68" s="6"/>
      <c r="T68" s="184"/>
      <c r="U68" s="6"/>
    </row>
    <row r="69" spans="1:21" customFormat="1">
      <c r="A69" s="180"/>
      <c r="B69" s="181"/>
      <c r="C69" s="181"/>
      <c r="D69" s="181"/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6"/>
      <c r="S69" s="6"/>
      <c r="T69" s="184"/>
      <c r="U69" s="6"/>
    </row>
    <row r="70" spans="1:21" customFormat="1">
      <c r="A70" s="180"/>
      <c r="B70" s="181"/>
      <c r="C70" s="181"/>
      <c r="D70" s="181"/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6"/>
      <c r="S70" s="6"/>
      <c r="T70" s="184"/>
      <c r="U70" s="6"/>
    </row>
    <row r="71" spans="1:21" customFormat="1">
      <c r="A71" s="180"/>
      <c r="B71" s="181"/>
      <c r="C71" s="181"/>
      <c r="D71" s="181"/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6"/>
      <c r="S71" s="6"/>
      <c r="T71" s="184"/>
      <c r="U71" s="6"/>
    </row>
    <row r="72" spans="1:21" customFormat="1">
      <c r="A72" s="180"/>
      <c r="B72" s="181"/>
      <c r="C72" s="181"/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6"/>
      <c r="S72" s="6"/>
      <c r="T72" s="184"/>
      <c r="U72" s="6"/>
    </row>
    <row r="73" spans="1:21" customFormat="1">
      <c r="A73" s="180"/>
      <c r="B73" s="181"/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6"/>
      <c r="S73" s="6"/>
      <c r="T73" s="184"/>
      <c r="U73" s="6"/>
    </row>
    <row r="74" spans="1:21" customFormat="1">
      <c r="A74" s="180"/>
      <c r="B74" s="181"/>
      <c r="C74" s="181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6"/>
      <c r="S74" s="6"/>
      <c r="T74" s="184"/>
      <c r="U74" s="6"/>
    </row>
    <row r="75" spans="1:21" customFormat="1">
      <c r="A75" s="180"/>
      <c r="B75" s="181"/>
      <c r="C75" s="181"/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6"/>
      <c r="S75" s="6"/>
      <c r="T75" s="184"/>
      <c r="U75" s="6"/>
    </row>
    <row r="76" spans="1:21" customFormat="1">
      <c r="A76" s="180"/>
      <c r="B76" s="181"/>
      <c r="C76" s="181"/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6"/>
      <c r="S76" s="6"/>
      <c r="T76" s="184"/>
      <c r="U76" s="6"/>
    </row>
    <row r="77" spans="1:21" customFormat="1">
      <c r="A77" s="180"/>
      <c r="B77" s="181"/>
      <c r="C77" s="181"/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6"/>
      <c r="S77" s="6"/>
      <c r="T77" s="184"/>
      <c r="U77" s="6"/>
    </row>
    <row r="78" spans="1:21" customFormat="1">
      <c r="A78" s="180"/>
      <c r="B78" s="181"/>
      <c r="C78" s="181"/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6"/>
      <c r="S78" s="6"/>
      <c r="T78" s="184"/>
      <c r="U78" s="6"/>
    </row>
    <row r="79" spans="1:21" customFormat="1">
      <c r="A79" s="180"/>
      <c r="B79" s="181"/>
      <c r="C79" s="181"/>
      <c r="D79" s="181"/>
      <c r="E79" s="185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6"/>
      <c r="S79" s="6"/>
      <c r="T79" s="184"/>
      <c r="U79" s="6"/>
    </row>
    <row r="80" spans="1:21" customFormat="1">
      <c r="A80" s="180"/>
      <c r="B80" s="181"/>
      <c r="C80" s="181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6"/>
      <c r="S80" s="6"/>
      <c r="T80" s="184"/>
      <c r="U80" s="6"/>
    </row>
    <row r="81" spans="1:26" customFormat="1">
      <c r="A81" s="180"/>
      <c r="B81" s="181"/>
      <c r="C81" s="181"/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6"/>
      <c r="S81" s="6"/>
      <c r="T81" s="184"/>
      <c r="U81" s="6"/>
    </row>
    <row r="82" spans="1:26" customFormat="1">
      <c r="A82" s="180"/>
      <c r="B82" s="181"/>
      <c r="C82" s="181"/>
      <c r="D82" s="181"/>
      <c r="E82" s="181"/>
      <c r="F82" s="181"/>
      <c r="G82" s="181"/>
      <c r="H82" s="181"/>
      <c r="I82" s="181"/>
      <c r="J82" s="190"/>
      <c r="K82" s="181"/>
      <c r="L82" s="181"/>
      <c r="M82" s="181"/>
      <c r="N82" s="181"/>
      <c r="O82" s="181"/>
      <c r="P82" s="181"/>
      <c r="Q82" s="181"/>
      <c r="R82" s="6"/>
      <c r="S82" s="6"/>
      <c r="T82" s="184"/>
      <c r="U82" s="6"/>
    </row>
    <row r="83" spans="1:26" customFormat="1">
      <c r="A83" s="180"/>
      <c r="B83" s="181"/>
      <c r="C83" s="181"/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6"/>
      <c r="S83" s="6"/>
      <c r="T83" s="184"/>
      <c r="U83" s="6"/>
    </row>
    <row r="84" spans="1:26" customFormat="1">
      <c r="A84" s="180"/>
      <c r="B84" s="181"/>
      <c r="C84" s="181"/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6"/>
      <c r="S84" s="6"/>
      <c r="T84" s="184"/>
      <c r="U84" s="6"/>
    </row>
    <row r="85" spans="1:26" customFormat="1">
      <c r="A85" s="180"/>
      <c r="B85" s="181"/>
      <c r="C85" s="181"/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6"/>
      <c r="S85" s="6"/>
      <c r="T85" s="184"/>
      <c r="U85" s="6"/>
    </row>
    <row r="86" spans="1:26" customFormat="1">
      <c r="A86" s="180"/>
      <c r="B86" s="181"/>
      <c r="C86" s="181"/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6"/>
      <c r="S86" s="6"/>
      <c r="T86" s="184"/>
      <c r="U86" s="6"/>
    </row>
    <row r="87" spans="1:26" customFormat="1">
      <c r="A87" s="180"/>
      <c r="B87" s="181"/>
      <c r="C87" s="181"/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6"/>
      <c r="S87" s="6"/>
      <c r="T87" s="184"/>
      <c r="U87" s="6"/>
    </row>
    <row r="88" spans="1:26" customFormat="1">
      <c r="A88" s="180"/>
      <c r="B88" s="181"/>
      <c r="C88" s="181"/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6"/>
      <c r="S88" s="6"/>
      <c r="T88" s="184"/>
      <c r="U88" s="6"/>
    </row>
    <row r="89" spans="1:26" customFormat="1">
      <c r="A89" s="180"/>
      <c r="B89" s="181"/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6"/>
      <c r="S89" s="6"/>
      <c r="T89" s="184"/>
      <c r="U89" s="6"/>
    </row>
    <row r="90" spans="1:26" customFormat="1">
      <c r="A90" s="180"/>
      <c r="B90" s="181"/>
      <c r="C90" s="181"/>
      <c r="D90" s="181"/>
      <c r="E90" s="181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6"/>
      <c r="S90" s="6"/>
      <c r="T90" s="184"/>
      <c r="U90" s="6"/>
    </row>
    <row r="91" spans="1:26" customFormat="1">
      <c r="A91" s="180"/>
      <c r="B91" s="181"/>
      <c r="C91" s="181"/>
      <c r="D91" s="181"/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6"/>
      <c r="S91" s="6"/>
      <c r="T91" s="184"/>
      <c r="U91" s="6"/>
    </row>
    <row r="92" spans="1:26" customFormat="1">
      <c r="A92" s="180"/>
      <c r="B92" s="181"/>
      <c r="C92" s="181"/>
      <c r="D92" s="181"/>
      <c r="E92" s="18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6"/>
      <c r="S92" s="6"/>
      <c r="T92" s="184"/>
      <c r="U92" s="6"/>
    </row>
    <row r="93" spans="1:26" customFormat="1">
      <c r="A93" s="180"/>
      <c r="B93" s="181"/>
      <c r="C93" s="181"/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6"/>
      <c r="S93" s="6"/>
      <c r="T93" s="184"/>
      <c r="U93" s="6"/>
    </row>
    <row r="94" spans="1:26" customFormat="1">
      <c r="A94" s="180"/>
      <c r="B94" s="181"/>
      <c r="C94" s="181"/>
      <c r="D94" s="181"/>
      <c r="E94" s="181"/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6"/>
      <c r="S94" s="6"/>
      <c r="T94" s="184"/>
      <c r="U94" s="6"/>
    </row>
    <row r="95" spans="1:26" customFormat="1">
      <c r="A95" s="180"/>
      <c r="B95" s="181"/>
      <c r="C95" s="181"/>
      <c r="D95" s="181"/>
      <c r="E95" s="181"/>
      <c r="F95" s="181"/>
      <c r="G95" s="181"/>
      <c r="H95" s="181"/>
      <c r="I95" s="181"/>
      <c r="J95" s="181"/>
      <c r="K95" s="181"/>
      <c r="L95" s="181"/>
      <c r="M95" s="181"/>
      <c r="N95" s="181"/>
      <c r="O95" s="181"/>
      <c r="P95" s="181"/>
      <c r="Q95" s="181"/>
      <c r="R95" s="6"/>
      <c r="S95" s="6"/>
      <c r="T95" s="184"/>
      <c r="U95" s="6"/>
    </row>
    <row r="96" spans="1:26" customFormat="1">
      <c r="A96" s="180"/>
      <c r="B96" s="181"/>
      <c r="C96" s="181"/>
      <c r="D96" s="181"/>
      <c r="E96" s="181"/>
      <c r="F96" s="181"/>
      <c r="G96" s="181"/>
      <c r="H96" s="181"/>
      <c r="I96" s="181"/>
      <c r="J96" s="181"/>
      <c r="K96" s="181"/>
      <c r="L96" s="181"/>
      <c r="M96" s="181"/>
      <c r="N96" s="181"/>
      <c r="O96" s="181"/>
      <c r="P96" s="181"/>
      <c r="Q96" s="181"/>
      <c r="R96" s="6"/>
      <c r="S96" s="6"/>
      <c r="T96" s="184"/>
      <c r="U96" s="6"/>
      <c r="Z96" s="194"/>
    </row>
    <row r="97" spans="1:33" customFormat="1">
      <c r="A97" s="180"/>
      <c r="B97" s="181"/>
      <c r="C97" s="181"/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6"/>
      <c r="S97" s="6"/>
      <c r="T97" s="184"/>
      <c r="U97" s="6"/>
    </row>
    <row r="98" spans="1:33" customFormat="1">
      <c r="A98" s="180"/>
      <c r="B98" s="181"/>
      <c r="C98" s="181"/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6"/>
      <c r="S98" s="6"/>
      <c r="T98" s="184"/>
      <c r="U98" s="6"/>
    </row>
    <row r="99" spans="1:33" customFormat="1">
      <c r="A99" s="180"/>
      <c r="B99" s="181"/>
      <c r="C99" s="181"/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6"/>
      <c r="S99" s="6"/>
      <c r="T99" s="184"/>
      <c r="U99" s="6"/>
    </row>
    <row r="100" spans="1:33" customFormat="1">
      <c r="A100" s="180"/>
      <c r="B100" s="181"/>
      <c r="C100" s="181"/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6"/>
      <c r="S100" s="6"/>
      <c r="T100" s="184"/>
      <c r="U100" s="6"/>
      <c r="AB100" s="195"/>
      <c r="AG100" s="194"/>
    </row>
    <row r="101" spans="1:33" customFormat="1">
      <c r="A101" s="180"/>
      <c r="B101" s="181"/>
      <c r="C101" s="181"/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6"/>
      <c r="S101" s="6"/>
      <c r="T101" s="184"/>
      <c r="U101" s="6"/>
    </row>
    <row r="102" spans="1:33" customFormat="1">
      <c r="A102" s="180"/>
      <c r="B102" s="181"/>
      <c r="C102" s="181"/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6"/>
      <c r="S102" s="6"/>
      <c r="T102" s="184"/>
      <c r="U102" s="6"/>
    </row>
    <row r="103" spans="1:33" customFormat="1">
      <c r="A103" s="180"/>
      <c r="B103" s="181"/>
      <c r="C103" s="181"/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6"/>
      <c r="S103" s="6"/>
      <c r="T103" s="184"/>
      <c r="U103" s="6"/>
    </row>
    <row r="104" spans="1:33" customFormat="1">
      <c r="A104" s="180"/>
      <c r="B104" s="181"/>
      <c r="C104" s="181"/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6"/>
      <c r="S104" s="6"/>
      <c r="T104" s="184"/>
      <c r="U104" s="6"/>
    </row>
    <row r="105" spans="1:33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33">
      <c r="A106" s="186" t="s">
        <v>48</v>
      </c>
      <c r="B106" s="187">
        <f>MIN(B9:B104)</f>
        <v>0</v>
      </c>
      <c r="C106" s="187">
        <f>MIN(C9:C104)</f>
        <v>0</v>
      </c>
      <c r="D106" s="187">
        <f t="shared" ref="D106:Q106" si="0">MIN(D9:D104)</f>
        <v>0</v>
      </c>
      <c r="E106" s="187">
        <f t="shared" si="0"/>
        <v>0</v>
      </c>
      <c r="F106" s="187">
        <f t="shared" si="0"/>
        <v>0</v>
      </c>
      <c r="G106" s="187">
        <f t="shared" si="0"/>
        <v>0</v>
      </c>
      <c r="H106" s="187">
        <f t="shared" si="0"/>
        <v>0</v>
      </c>
      <c r="I106" s="187">
        <f t="shared" si="0"/>
        <v>0</v>
      </c>
      <c r="J106" s="187">
        <f t="shared" si="0"/>
        <v>0</v>
      </c>
      <c r="K106" s="187">
        <f t="shared" si="0"/>
        <v>0</v>
      </c>
      <c r="L106" s="187">
        <f t="shared" si="0"/>
        <v>0</v>
      </c>
      <c r="M106" s="187">
        <f t="shared" si="0"/>
        <v>0</v>
      </c>
      <c r="N106" s="187">
        <f t="shared" si="0"/>
        <v>0</v>
      </c>
      <c r="O106" s="187">
        <f t="shared" si="0"/>
        <v>0</v>
      </c>
      <c r="P106" s="187">
        <f t="shared" si="0"/>
        <v>0</v>
      </c>
      <c r="Q106" s="187">
        <f t="shared" si="0"/>
        <v>0</v>
      </c>
      <c r="R106" s="192"/>
      <c r="S106" s="192"/>
      <c r="T106" s="192"/>
      <c r="U106" s="192"/>
    </row>
    <row r="107" spans="1:33">
      <c r="A107" s="186" t="s">
        <v>49</v>
      </c>
      <c r="B107" s="188">
        <f>MAX(B9:B104)</f>
        <v>0</v>
      </c>
      <c r="C107" s="188">
        <f t="shared" ref="C107:Q107" si="1">MAX(C9:C104)</f>
        <v>0</v>
      </c>
      <c r="D107" s="188">
        <f t="shared" si="1"/>
        <v>0</v>
      </c>
      <c r="E107" s="188">
        <f t="shared" si="1"/>
        <v>0</v>
      </c>
      <c r="F107" s="188">
        <f t="shared" si="1"/>
        <v>0</v>
      </c>
      <c r="G107" s="188">
        <f t="shared" si="1"/>
        <v>0</v>
      </c>
      <c r="H107" s="188">
        <f t="shared" si="1"/>
        <v>0</v>
      </c>
      <c r="I107" s="188">
        <f t="shared" si="1"/>
        <v>0</v>
      </c>
      <c r="J107" s="188">
        <f t="shared" si="1"/>
        <v>0</v>
      </c>
      <c r="K107" s="188">
        <f t="shared" si="1"/>
        <v>0</v>
      </c>
      <c r="L107" s="188">
        <f t="shared" si="1"/>
        <v>0</v>
      </c>
      <c r="M107" s="188">
        <f t="shared" si="1"/>
        <v>0</v>
      </c>
      <c r="N107" s="188">
        <f t="shared" si="1"/>
        <v>0</v>
      </c>
      <c r="O107" s="188">
        <f t="shared" si="1"/>
        <v>0</v>
      </c>
      <c r="P107" s="188">
        <f t="shared" si="1"/>
        <v>0</v>
      </c>
      <c r="Q107" s="188">
        <f t="shared" si="1"/>
        <v>0</v>
      </c>
      <c r="R107" s="193"/>
      <c r="S107" s="193"/>
      <c r="T107" s="193"/>
      <c r="U107" s="193"/>
    </row>
    <row r="108" spans="1:33">
      <c r="A108" s="186" t="s">
        <v>50</v>
      </c>
      <c r="B108" s="187" t="e">
        <f>AVERAGE(B9:B104)</f>
        <v>#DIV/0!</v>
      </c>
      <c r="C108" s="187" t="e">
        <f t="shared" ref="C108:Q108" si="2">AVERAGE(C9:C104)</f>
        <v>#DIV/0!</v>
      </c>
      <c r="D108" s="187" t="e">
        <f t="shared" si="2"/>
        <v>#DIV/0!</v>
      </c>
      <c r="E108" s="187" t="e">
        <f t="shared" si="2"/>
        <v>#DIV/0!</v>
      </c>
      <c r="F108" s="187" t="e">
        <f t="shared" si="2"/>
        <v>#DIV/0!</v>
      </c>
      <c r="G108" s="187" t="e">
        <f t="shared" si="2"/>
        <v>#DIV/0!</v>
      </c>
      <c r="H108" s="187" t="e">
        <f t="shared" si="2"/>
        <v>#DIV/0!</v>
      </c>
      <c r="I108" s="187" t="e">
        <f t="shared" si="2"/>
        <v>#DIV/0!</v>
      </c>
      <c r="J108" s="187" t="e">
        <f t="shared" si="2"/>
        <v>#DIV/0!</v>
      </c>
      <c r="K108" s="187" t="e">
        <f t="shared" si="2"/>
        <v>#DIV/0!</v>
      </c>
      <c r="L108" s="187" t="e">
        <f t="shared" si="2"/>
        <v>#DIV/0!</v>
      </c>
      <c r="M108" s="187" t="e">
        <f t="shared" si="2"/>
        <v>#DIV/0!</v>
      </c>
      <c r="N108" s="187" t="e">
        <f t="shared" si="2"/>
        <v>#DIV/0!</v>
      </c>
      <c r="O108" s="187" t="e">
        <f t="shared" si="2"/>
        <v>#DIV/0!</v>
      </c>
      <c r="P108" s="187" t="e">
        <f t="shared" si="2"/>
        <v>#DIV/0!</v>
      </c>
      <c r="Q108" s="187" t="e">
        <f t="shared" si="2"/>
        <v>#DIV/0!</v>
      </c>
      <c r="R108" s="192"/>
      <c r="S108" s="192"/>
      <c r="T108" s="192"/>
      <c r="U108" s="192"/>
    </row>
    <row r="109" spans="1:33">
      <c r="A109" s="186" t="s">
        <v>51</v>
      </c>
      <c r="B109" s="187" t="e">
        <f>STDEV(B9:B104)</f>
        <v>#DIV/0!</v>
      </c>
      <c r="C109" s="187" t="e">
        <f t="shared" ref="C109:Q109" si="3">STDEV(C9:C104)</f>
        <v>#DIV/0!</v>
      </c>
      <c r="D109" s="187" t="e">
        <f t="shared" si="3"/>
        <v>#DIV/0!</v>
      </c>
      <c r="E109" s="187" t="e">
        <f t="shared" si="3"/>
        <v>#DIV/0!</v>
      </c>
      <c r="F109" s="187" t="e">
        <f t="shared" si="3"/>
        <v>#DIV/0!</v>
      </c>
      <c r="G109" s="187" t="e">
        <f t="shared" si="3"/>
        <v>#DIV/0!</v>
      </c>
      <c r="H109" s="187" t="e">
        <f t="shared" si="3"/>
        <v>#DIV/0!</v>
      </c>
      <c r="I109" s="187" t="e">
        <f t="shared" si="3"/>
        <v>#DIV/0!</v>
      </c>
      <c r="J109" s="187" t="e">
        <f t="shared" si="3"/>
        <v>#DIV/0!</v>
      </c>
      <c r="K109" s="187" t="e">
        <f t="shared" si="3"/>
        <v>#DIV/0!</v>
      </c>
      <c r="L109" s="187" t="e">
        <f t="shared" si="3"/>
        <v>#DIV/0!</v>
      </c>
      <c r="M109" s="187" t="e">
        <f t="shared" si="3"/>
        <v>#DIV/0!</v>
      </c>
      <c r="N109" s="187" t="e">
        <f t="shared" si="3"/>
        <v>#DIV/0!</v>
      </c>
      <c r="O109" s="187" t="e">
        <f t="shared" si="3"/>
        <v>#DIV/0!</v>
      </c>
      <c r="P109" s="187" t="e">
        <f t="shared" si="3"/>
        <v>#DIV/0!</v>
      </c>
      <c r="Q109" s="187" t="e">
        <f t="shared" si="3"/>
        <v>#DIV/0!</v>
      </c>
      <c r="R109" s="192"/>
      <c r="S109" s="192"/>
      <c r="T109" s="192"/>
      <c r="U109" s="192"/>
    </row>
    <row r="110" spans="1:33">
      <c r="A110" s="186" t="s">
        <v>52</v>
      </c>
      <c r="B110" s="188">
        <f t="shared" ref="B110:Q110" si="4">COUNT(B9:B104)</f>
        <v>0</v>
      </c>
      <c r="C110" s="188">
        <f t="shared" si="4"/>
        <v>0</v>
      </c>
      <c r="D110" s="188">
        <f t="shared" si="4"/>
        <v>0</v>
      </c>
      <c r="E110" s="188">
        <f t="shared" si="4"/>
        <v>0</v>
      </c>
      <c r="F110" s="188">
        <f t="shared" si="4"/>
        <v>0</v>
      </c>
      <c r="G110" s="188">
        <f t="shared" si="4"/>
        <v>0</v>
      </c>
      <c r="H110" s="188">
        <f t="shared" si="4"/>
        <v>0</v>
      </c>
      <c r="I110" s="188">
        <f t="shared" si="4"/>
        <v>0</v>
      </c>
      <c r="J110" s="188">
        <f t="shared" si="4"/>
        <v>0</v>
      </c>
      <c r="K110" s="188">
        <f t="shared" si="4"/>
        <v>0</v>
      </c>
      <c r="L110" s="188">
        <f t="shared" si="4"/>
        <v>0</v>
      </c>
      <c r="M110" s="188">
        <f t="shared" si="4"/>
        <v>0</v>
      </c>
      <c r="N110" s="188">
        <f t="shared" si="4"/>
        <v>0</v>
      </c>
      <c r="O110" s="188">
        <f t="shared" si="4"/>
        <v>0</v>
      </c>
      <c r="P110" s="188">
        <f t="shared" si="4"/>
        <v>0</v>
      </c>
      <c r="Q110" s="188">
        <f t="shared" si="4"/>
        <v>0</v>
      </c>
      <c r="R110" s="193"/>
      <c r="S110" s="193"/>
      <c r="T110" s="193"/>
      <c r="U110" s="193"/>
      <c r="V110" s="188"/>
    </row>
    <row r="111" spans="1:33">
      <c r="A111" s="153" t="s">
        <v>53</v>
      </c>
      <c r="B111" s="147" t="str">
        <f>IF(B110&gt;=87,"&gt;90%",IF(B110&lt;=87,"&lt;90%"))</f>
        <v>&lt;90%</v>
      </c>
      <c r="C111" s="147" t="str">
        <f t="shared" ref="C111:Q111" si="5">IF(C110&gt;=87,"&gt;90%",IF(C110&lt;=87,"&lt;90%"))</f>
        <v>&lt;90%</v>
      </c>
      <c r="D111" s="147" t="str">
        <f t="shared" si="5"/>
        <v>&lt;90%</v>
      </c>
      <c r="E111" s="147" t="str">
        <f t="shared" si="5"/>
        <v>&lt;90%</v>
      </c>
      <c r="F111" s="147" t="str">
        <f t="shared" si="5"/>
        <v>&lt;90%</v>
      </c>
      <c r="G111" s="147" t="str">
        <f t="shared" si="5"/>
        <v>&lt;90%</v>
      </c>
      <c r="H111" s="147" t="str">
        <f t="shared" si="5"/>
        <v>&lt;90%</v>
      </c>
      <c r="I111" s="147" t="str">
        <f t="shared" si="5"/>
        <v>&lt;90%</v>
      </c>
      <c r="J111" s="147" t="str">
        <f t="shared" si="5"/>
        <v>&lt;90%</v>
      </c>
      <c r="K111" s="147" t="str">
        <f t="shared" si="5"/>
        <v>&lt;90%</v>
      </c>
      <c r="L111" s="147" t="str">
        <f t="shared" si="5"/>
        <v>&lt;90%</v>
      </c>
      <c r="M111" s="147" t="str">
        <f t="shared" si="5"/>
        <v>&lt;90%</v>
      </c>
      <c r="N111" s="147" t="str">
        <f t="shared" si="5"/>
        <v>&lt;90%</v>
      </c>
      <c r="O111" s="147" t="str">
        <f t="shared" si="5"/>
        <v>&lt;90%</v>
      </c>
      <c r="P111" s="147" t="str">
        <f t="shared" si="5"/>
        <v>&lt;90%</v>
      </c>
      <c r="Q111" s="147" t="str">
        <f t="shared" si="5"/>
        <v>&lt;90%</v>
      </c>
      <c r="R111" s="175"/>
      <c r="S111" s="175"/>
      <c r="T111" s="175"/>
      <c r="U111" s="175"/>
    </row>
    <row r="112" spans="1:33">
      <c r="A112" s="153" t="s">
        <v>54</v>
      </c>
      <c r="B112" s="147" t="str">
        <f>IF(B110&gt;=87,"OK",IF(B110&lt;=87,"LESS"))</f>
        <v>LESS</v>
      </c>
      <c r="C112" s="147" t="str">
        <f t="shared" ref="C112:Q112" si="6">IF(C110&gt;=87,"OK",IF(C110&lt;=87,"LESS"))</f>
        <v>LESS</v>
      </c>
      <c r="D112" s="147" t="str">
        <f t="shared" si="6"/>
        <v>LESS</v>
      </c>
      <c r="E112" s="147" t="str">
        <f t="shared" si="6"/>
        <v>LESS</v>
      </c>
      <c r="F112" s="147" t="str">
        <f t="shared" si="6"/>
        <v>LESS</v>
      </c>
      <c r="G112" s="147" t="str">
        <f t="shared" si="6"/>
        <v>LESS</v>
      </c>
      <c r="H112" s="147" t="str">
        <f t="shared" si="6"/>
        <v>LESS</v>
      </c>
      <c r="I112" s="147" t="str">
        <f t="shared" si="6"/>
        <v>LESS</v>
      </c>
      <c r="J112" s="147" t="str">
        <f t="shared" si="6"/>
        <v>LESS</v>
      </c>
      <c r="K112" s="147" t="str">
        <f t="shared" si="6"/>
        <v>LESS</v>
      </c>
      <c r="L112" s="147" t="str">
        <f t="shared" si="6"/>
        <v>LESS</v>
      </c>
      <c r="M112" s="147" t="str">
        <f t="shared" si="6"/>
        <v>LESS</v>
      </c>
      <c r="N112" s="147" t="str">
        <f t="shared" si="6"/>
        <v>LESS</v>
      </c>
      <c r="O112" s="147" t="str">
        <f t="shared" si="6"/>
        <v>LESS</v>
      </c>
      <c r="P112" s="147" t="str">
        <f t="shared" si="6"/>
        <v>LESS</v>
      </c>
      <c r="Q112" s="147" t="str">
        <f t="shared" si="6"/>
        <v>LESS</v>
      </c>
      <c r="R112" s="175"/>
      <c r="S112" s="175"/>
      <c r="T112" s="175"/>
      <c r="U112" s="175"/>
    </row>
    <row r="113" spans="1:21">
      <c r="L113" s="32"/>
      <c r="N113" s="191"/>
      <c r="O113" s="191"/>
      <c r="P113" s="191"/>
      <c r="Q113" s="191"/>
      <c r="R113" s="191"/>
      <c r="S113" s="191"/>
      <c r="T113" s="191"/>
      <c r="U113" s="191"/>
    </row>
    <row r="115" spans="1:21">
      <c r="A115" s="153" t="s">
        <v>55</v>
      </c>
      <c r="B115" s="197" t="s">
        <v>56</v>
      </c>
      <c r="C115" s="197"/>
      <c r="D115" s="197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9" t="s">
        <v>57</v>
      </c>
      <c r="B117" s="198"/>
      <c r="C117" s="198"/>
      <c r="D117" s="198"/>
      <c r="E117" s="198"/>
      <c r="F117" s="198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G117"/>
  <sheetViews>
    <sheetView zoomScale="85" zoomScaleNormal="85" workbookViewId="0">
      <pane xSplit="1" ySplit="8" topLeftCell="B105" activePane="bottomRight" state="frozen"/>
      <selection activeCell="A9" sqref="A9"/>
      <selection pane="topRight" activeCell="A9" sqref="A9"/>
      <selection pane="bottomLeft" activeCell="A9" sqref="A9"/>
      <selection pane="bottomRight" activeCell="A9" sqref="A9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0</v>
      </c>
      <c r="C2" s="196" t="s">
        <v>3</v>
      </c>
      <c r="D2" s="196"/>
      <c r="E2" s="196"/>
      <c r="F2" s="196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2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6" t="s">
        <v>11</v>
      </c>
      <c r="D3" s="196"/>
      <c r="E3" s="196"/>
      <c r="F3" s="196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2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6" t="s">
        <v>18</v>
      </c>
      <c r="D4" s="196"/>
      <c r="E4" s="196"/>
      <c r="F4" s="196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3" t="s">
        <v>43</v>
      </c>
      <c r="M8" s="114" t="s">
        <v>44</v>
      </c>
      <c r="N8" s="114" t="s">
        <v>45</v>
      </c>
      <c r="O8" s="183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80"/>
      <c r="B9" s="181"/>
      <c r="C9" s="181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6"/>
      <c r="S9" s="6"/>
      <c r="T9" s="184"/>
      <c r="U9" s="6"/>
    </row>
    <row r="10" spans="1:21" customFormat="1">
      <c r="A10" s="180"/>
      <c r="B10" s="181"/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6"/>
      <c r="S10" s="6"/>
      <c r="T10" s="184"/>
      <c r="U10" s="6"/>
    </row>
    <row r="11" spans="1:21" customFormat="1">
      <c r="A11" s="180"/>
      <c r="B11" s="181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6"/>
      <c r="S11" s="6"/>
      <c r="T11" s="184"/>
      <c r="U11" s="6"/>
    </row>
    <row r="12" spans="1:21" customFormat="1">
      <c r="A12" s="180"/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6"/>
      <c r="S12" s="6"/>
      <c r="T12" s="184"/>
      <c r="U12" s="6"/>
    </row>
    <row r="13" spans="1:21" customFormat="1">
      <c r="A13" s="180"/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6"/>
      <c r="S13" s="6"/>
      <c r="T13" s="184"/>
      <c r="U13" s="6"/>
    </row>
    <row r="14" spans="1:21" customFormat="1">
      <c r="A14" s="180"/>
      <c r="B14" s="181"/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6"/>
      <c r="S14" s="6"/>
      <c r="T14" s="184"/>
      <c r="U14" s="6"/>
    </row>
    <row r="15" spans="1:21" customFormat="1">
      <c r="A15" s="180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6"/>
      <c r="S15" s="6"/>
      <c r="T15" s="184"/>
      <c r="U15" s="6"/>
    </row>
    <row r="16" spans="1:21" customFormat="1">
      <c r="A16" s="180"/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6"/>
      <c r="S16" s="6"/>
      <c r="T16" s="184"/>
      <c r="U16" s="6"/>
    </row>
    <row r="17" spans="1:21" customFormat="1">
      <c r="A17" s="180"/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6"/>
      <c r="S17" s="6"/>
      <c r="T17" s="184"/>
      <c r="U17" s="6"/>
    </row>
    <row r="18" spans="1:21" customFormat="1">
      <c r="A18" s="180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6"/>
      <c r="S18" s="6"/>
      <c r="T18" s="184"/>
      <c r="U18" s="6"/>
    </row>
    <row r="19" spans="1:21" customFormat="1">
      <c r="A19" s="180"/>
      <c r="B19" s="181"/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6"/>
      <c r="S19" s="6"/>
      <c r="T19" s="184"/>
      <c r="U19" s="6"/>
    </row>
    <row r="20" spans="1:21" customFormat="1">
      <c r="A20" s="180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6"/>
      <c r="S20" s="6"/>
      <c r="T20" s="184"/>
      <c r="U20" s="6"/>
    </row>
    <row r="21" spans="1:21" customFormat="1">
      <c r="A21" s="180"/>
      <c r="B21" s="181"/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6"/>
      <c r="S21" s="6"/>
      <c r="T21" s="184"/>
      <c r="U21" s="6"/>
    </row>
    <row r="22" spans="1:21" customFormat="1">
      <c r="A22" s="180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6"/>
      <c r="S22" s="6"/>
      <c r="T22" s="184"/>
      <c r="U22" s="6"/>
    </row>
    <row r="23" spans="1:21" customFormat="1">
      <c r="A23" s="180"/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6"/>
      <c r="S23" s="6"/>
      <c r="T23" s="184"/>
      <c r="U23" s="6"/>
    </row>
    <row r="24" spans="1:21" customFormat="1">
      <c r="A24" s="180"/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6"/>
      <c r="S24" s="6"/>
      <c r="T24" s="184"/>
      <c r="U24" s="6"/>
    </row>
    <row r="25" spans="1:21" customFormat="1">
      <c r="A25" s="180"/>
      <c r="B25" s="181"/>
      <c r="C25" s="181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6"/>
      <c r="S25" s="6"/>
      <c r="T25" s="184"/>
      <c r="U25" s="6"/>
    </row>
    <row r="26" spans="1:21" customFormat="1">
      <c r="A26" s="180"/>
      <c r="B26" s="181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6"/>
      <c r="S26" s="6"/>
      <c r="T26" s="184"/>
      <c r="U26" s="6"/>
    </row>
    <row r="27" spans="1:21" customFormat="1">
      <c r="A27" s="180"/>
      <c r="B27" s="181"/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6"/>
      <c r="S27" s="6"/>
      <c r="T27" s="184"/>
      <c r="U27" s="6"/>
    </row>
    <row r="28" spans="1:21" customFormat="1">
      <c r="A28" s="180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6"/>
      <c r="S28" s="6"/>
      <c r="T28" s="184"/>
      <c r="U28" s="6"/>
    </row>
    <row r="29" spans="1:21" customFormat="1">
      <c r="A29" s="180"/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6"/>
      <c r="S29" s="6"/>
      <c r="T29" s="184"/>
      <c r="U29" s="6"/>
    </row>
    <row r="30" spans="1:21" customFormat="1">
      <c r="A30" s="180"/>
      <c r="B30" s="181"/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6"/>
      <c r="S30" s="6"/>
      <c r="T30" s="184"/>
      <c r="U30" s="6"/>
    </row>
    <row r="31" spans="1:21" customFormat="1">
      <c r="A31" s="180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6"/>
      <c r="S31" s="6"/>
      <c r="T31" s="184"/>
      <c r="U31" s="6"/>
    </row>
    <row r="32" spans="1:21" customFormat="1">
      <c r="A32" s="180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6"/>
      <c r="S32" s="6"/>
      <c r="T32" s="184"/>
      <c r="U32" s="6"/>
    </row>
    <row r="33" spans="1:21" customFormat="1">
      <c r="A33" s="180"/>
      <c r="B33" s="181"/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6"/>
      <c r="S33" s="6"/>
      <c r="T33" s="184"/>
      <c r="U33" s="6"/>
    </row>
    <row r="34" spans="1:21" customFormat="1">
      <c r="A34" s="180"/>
      <c r="B34" s="181"/>
      <c r="C34" s="181"/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6"/>
      <c r="S34" s="6"/>
      <c r="T34" s="184"/>
      <c r="U34" s="6"/>
    </row>
    <row r="35" spans="1:21" customFormat="1">
      <c r="A35" s="180"/>
      <c r="B35" s="181"/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6"/>
      <c r="S35" s="6"/>
      <c r="T35" s="184"/>
      <c r="U35" s="6"/>
    </row>
    <row r="36" spans="1:21" customFormat="1">
      <c r="A36" s="180"/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6"/>
      <c r="S36" s="6"/>
      <c r="T36" s="184"/>
      <c r="U36" s="6"/>
    </row>
    <row r="37" spans="1:21" customFormat="1">
      <c r="A37" s="180"/>
      <c r="B37" s="181"/>
      <c r="C37" s="181"/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6"/>
      <c r="S37" s="6"/>
      <c r="T37" s="184"/>
      <c r="U37" s="6"/>
    </row>
    <row r="38" spans="1:21" customFormat="1">
      <c r="A38" s="180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6"/>
      <c r="S38" s="6"/>
      <c r="T38" s="184"/>
      <c r="U38" s="6"/>
    </row>
    <row r="39" spans="1:21" customFormat="1">
      <c r="A39" s="180"/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6"/>
      <c r="S39" s="6"/>
      <c r="T39" s="184"/>
      <c r="U39" s="6"/>
    </row>
    <row r="40" spans="1:21" customFormat="1">
      <c r="A40" s="180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6"/>
      <c r="S40" s="6"/>
      <c r="T40" s="184"/>
      <c r="U40" s="6"/>
    </row>
    <row r="41" spans="1:21" customFormat="1">
      <c r="A41" s="180"/>
      <c r="B41" s="181"/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6"/>
      <c r="S41" s="6"/>
      <c r="T41" s="184"/>
      <c r="U41" s="6"/>
    </row>
    <row r="42" spans="1:21" customFormat="1">
      <c r="A42" s="180"/>
      <c r="B42" s="181"/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6"/>
      <c r="S42" s="6"/>
      <c r="T42" s="184"/>
      <c r="U42" s="6"/>
    </row>
    <row r="43" spans="1:21" customFormat="1">
      <c r="A43" s="180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6"/>
      <c r="S43" s="6"/>
      <c r="T43" s="184"/>
      <c r="U43" s="6"/>
    </row>
    <row r="44" spans="1:21" customFormat="1">
      <c r="A44" s="180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6"/>
      <c r="S44" s="6"/>
      <c r="T44" s="184"/>
      <c r="U44" s="6"/>
    </row>
    <row r="45" spans="1:21" customFormat="1">
      <c r="A45" s="180"/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6"/>
      <c r="S45" s="6"/>
      <c r="T45" s="184"/>
      <c r="U45" s="6"/>
    </row>
    <row r="46" spans="1:21" customFormat="1">
      <c r="A46" s="180"/>
      <c r="B46" s="181"/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6"/>
      <c r="S46" s="6"/>
      <c r="T46" s="184"/>
      <c r="U46" s="6"/>
    </row>
    <row r="47" spans="1:21" customFormat="1">
      <c r="A47" s="180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6"/>
      <c r="S47" s="6"/>
      <c r="T47" s="184"/>
      <c r="U47" s="6"/>
    </row>
    <row r="48" spans="1:21" customFormat="1">
      <c r="A48" s="180"/>
      <c r="B48" s="181"/>
      <c r="C48" s="181"/>
      <c r="D48" s="181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6"/>
      <c r="S48" s="6"/>
      <c r="T48" s="184"/>
      <c r="U48" s="6"/>
    </row>
    <row r="49" spans="1:21" customFormat="1">
      <c r="A49" s="180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6"/>
      <c r="S49" s="6"/>
      <c r="T49" s="184"/>
      <c r="U49" s="6"/>
    </row>
    <row r="50" spans="1:21" customFormat="1">
      <c r="A50" s="180"/>
      <c r="B50" s="181"/>
      <c r="C50" s="181"/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6"/>
      <c r="S50" s="6"/>
      <c r="T50" s="184"/>
      <c r="U50" s="6"/>
    </row>
    <row r="51" spans="1:21" customFormat="1">
      <c r="A51" s="180"/>
      <c r="B51" s="181"/>
      <c r="C51" s="181"/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6"/>
      <c r="S51" s="6"/>
      <c r="T51" s="184"/>
      <c r="U51" s="6"/>
    </row>
    <row r="52" spans="1:21" customFormat="1">
      <c r="A52" s="180"/>
      <c r="B52" s="181"/>
      <c r="C52" s="181"/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6"/>
      <c r="S52" s="6"/>
      <c r="T52" s="184"/>
      <c r="U52" s="6"/>
    </row>
    <row r="53" spans="1:21" customFormat="1">
      <c r="A53" s="180"/>
      <c r="B53" s="181"/>
      <c r="C53" s="181"/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6"/>
      <c r="S53" s="6"/>
      <c r="T53" s="184"/>
      <c r="U53" s="6"/>
    </row>
    <row r="54" spans="1:21" customFormat="1">
      <c r="A54" s="180"/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6"/>
      <c r="S54" s="6"/>
      <c r="T54" s="184"/>
      <c r="U54" s="6"/>
    </row>
    <row r="55" spans="1:21" customFormat="1">
      <c r="A55" s="180"/>
      <c r="B55" s="181"/>
      <c r="C55" s="181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6"/>
      <c r="S55" s="6"/>
      <c r="T55" s="184"/>
      <c r="U55" s="6"/>
    </row>
    <row r="56" spans="1:21" customFormat="1">
      <c r="A56" s="180"/>
      <c r="B56" s="181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6"/>
      <c r="S56" s="6"/>
      <c r="T56" s="184"/>
      <c r="U56" s="6"/>
    </row>
    <row r="57" spans="1:21" customFormat="1">
      <c r="A57" s="180"/>
      <c r="B57" s="181"/>
      <c r="C57" s="181"/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6"/>
      <c r="S57" s="6"/>
      <c r="T57" s="184"/>
      <c r="U57" s="6"/>
    </row>
    <row r="58" spans="1:21" customFormat="1">
      <c r="A58" s="180"/>
      <c r="B58" s="181"/>
      <c r="C58" s="181"/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6"/>
      <c r="S58" s="6"/>
      <c r="T58" s="184"/>
      <c r="U58" s="6"/>
    </row>
    <row r="59" spans="1:21" customFormat="1">
      <c r="A59" s="180"/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6"/>
      <c r="S59" s="6"/>
      <c r="T59" s="184"/>
      <c r="U59" s="6"/>
    </row>
    <row r="60" spans="1:21" customFormat="1">
      <c r="A60" s="180"/>
      <c r="B60" s="181"/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6"/>
      <c r="S60" s="6"/>
      <c r="T60" s="184"/>
      <c r="U60" s="6"/>
    </row>
    <row r="61" spans="1:21" customFormat="1">
      <c r="A61" s="180"/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6"/>
      <c r="S61" s="6"/>
      <c r="T61" s="184"/>
      <c r="U61" s="6"/>
    </row>
    <row r="62" spans="1:21" customFormat="1">
      <c r="A62" s="180"/>
      <c r="B62" s="181"/>
      <c r="C62" s="181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6"/>
      <c r="S62" s="6"/>
      <c r="T62" s="184"/>
      <c r="U62" s="6"/>
    </row>
    <row r="63" spans="1:21" customFormat="1">
      <c r="A63" s="180"/>
      <c r="B63" s="181"/>
      <c r="C63" s="181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6"/>
      <c r="S63" s="6"/>
      <c r="T63" s="184"/>
      <c r="U63" s="6"/>
    </row>
    <row r="64" spans="1:21" customFormat="1">
      <c r="A64" s="180"/>
      <c r="B64" s="181"/>
      <c r="C64" s="181"/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6"/>
      <c r="S64" s="6"/>
      <c r="T64" s="184"/>
      <c r="U64" s="6"/>
    </row>
    <row r="65" spans="1:21" customFormat="1">
      <c r="A65" s="180"/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6"/>
      <c r="S65" s="6"/>
      <c r="T65" s="184"/>
      <c r="U65" s="6"/>
    </row>
    <row r="66" spans="1:21" customFormat="1">
      <c r="A66" s="180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6"/>
      <c r="S66" s="6"/>
      <c r="T66" s="184"/>
      <c r="U66" s="6"/>
    </row>
    <row r="67" spans="1:21" customFormat="1">
      <c r="A67" s="180"/>
      <c r="B67" s="181"/>
      <c r="C67" s="181"/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6"/>
      <c r="S67" s="6"/>
      <c r="T67" s="184"/>
      <c r="U67" s="6"/>
    </row>
    <row r="68" spans="1:21" customFormat="1">
      <c r="A68" s="180"/>
      <c r="B68" s="181"/>
      <c r="C68" s="181"/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6"/>
      <c r="S68" s="6"/>
      <c r="T68" s="184"/>
      <c r="U68" s="6"/>
    </row>
    <row r="69" spans="1:21" customFormat="1">
      <c r="A69" s="180"/>
      <c r="B69" s="181"/>
      <c r="C69" s="181"/>
      <c r="D69" s="181"/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6"/>
      <c r="S69" s="6"/>
      <c r="T69" s="184"/>
      <c r="U69" s="6"/>
    </row>
    <row r="70" spans="1:21" customFormat="1">
      <c r="A70" s="180"/>
      <c r="B70" s="181"/>
      <c r="C70" s="181"/>
      <c r="D70" s="181"/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6"/>
      <c r="S70" s="6"/>
      <c r="T70" s="184"/>
      <c r="U70" s="6"/>
    </row>
    <row r="71" spans="1:21" customFormat="1">
      <c r="A71" s="180"/>
      <c r="B71" s="181"/>
      <c r="C71" s="181"/>
      <c r="D71" s="181"/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6"/>
      <c r="S71" s="6"/>
      <c r="T71" s="184"/>
      <c r="U71" s="6"/>
    </row>
    <row r="72" spans="1:21" customFormat="1">
      <c r="A72" s="180"/>
      <c r="B72" s="181"/>
      <c r="C72" s="181"/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6"/>
      <c r="S72" s="6"/>
      <c r="T72" s="184"/>
      <c r="U72" s="6"/>
    </row>
    <row r="73" spans="1:21" customFormat="1">
      <c r="A73" s="180"/>
      <c r="B73" s="181"/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6"/>
      <c r="S73" s="6"/>
      <c r="T73" s="184"/>
      <c r="U73" s="6"/>
    </row>
    <row r="74" spans="1:21" customFormat="1">
      <c r="A74" s="180"/>
      <c r="B74" s="181"/>
      <c r="C74" s="181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6"/>
      <c r="S74" s="6"/>
      <c r="T74" s="184"/>
      <c r="U74" s="6"/>
    </row>
    <row r="75" spans="1:21" customFormat="1">
      <c r="A75" s="180"/>
      <c r="B75" s="181"/>
      <c r="C75" s="181"/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6"/>
      <c r="S75" s="6"/>
      <c r="T75" s="184"/>
      <c r="U75" s="6"/>
    </row>
    <row r="76" spans="1:21" customFormat="1">
      <c r="A76" s="180"/>
      <c r="B76" s="181"/>
      <c r="C76" s="181"/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6"/>
      <c r="S76" s="6"/>
      <c r="T76" s="184"/>
      <c r="U76" s="6"/>
    </row>
    <row r="77" spans="1:21" customFormat="1">
      <c r="A77" s="180"/>
      <c r="B77" s="181"/>
      <c r="C77" s="181"/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6"/>
      <c r="S77" s="6"/>
      <c r="T77" s="184"/>
      <c r="U77" s="6"/>
    </row>
    <row r="78" spans="1:21" customFormat="1">
      <c r="A78" s="180"/>
      <c r="B78" s="181"/>
      <c r="C78" s="181"/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6"/>
      <c r="S78" s="6"/>
      <c r="T78" s="184"/>
      <c r="U78" s="6"/>
    </row>
    <row r="79" spans="1:21" customFormat="1">
      <c r="A79" s="180"/>
      <c r="B79" s="181"/>
      <c r="C79" s="181"/>
      <c r="D79" s="181"/>
      <c r="E79" s="185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6"/>
      <c r="S79" s="6"/>
      <c r="T79" s="184"/>
      <c r="U79" s="6"/>
    </row>
    <row r="80" spans="1:21" customFormat="1">
      <c r="A80" s="180"/>
      <c r="B80" s="181"/>
      <c r="C80" s="181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6"/>
      <c r="S80" s="6"/>
      <c r="T80" s="184"/>
      <c r="U80" s="6"/>
    </row>
    <row r="81" spans="1:26" customFormat="1">
      <c r="A81" s="180"/>
      <c r="B81" s="181"/>
      <c r="C81" s="181"/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6"/>
      <c r="S81" s="6"/>
      <c r="T81" s="184"/>
      <c r="U81" s="6"/>
    </row>
    <row r="82" spans="1:26" customFormat="1">
      <c r="A82" s="180"/>
      <c r="B82" s="181"/>
      <c r="C82" s="181"/>
      <c r="D82" s="181"/>
      <c r="E82" s="181"/>
      <c r="F82" s="181"/>
      <c r="G82" s="181"/>
      <c r="H82" s="181"/>
      <c r="I82" s="181"/>
      <c r="J82" s="190"/>
      <c r="K82" s="181"/>
      <c r="L82" s="181"/>
      <c r="M82" s="181"/>
      <c r="N82" s="181"/>
      <c r="O82" s="181"/>
      <c r="P82" s="181"/>
      <c r="Q82" s="181"/>
      <c r="R82" s="6"/>
      <c r="S82" s="6"/>
      <c r="T82" s="184"/>
      <c r="U82" s="6"/>
    </row>
    <row r="83" spans="1:26" customFormat="1">
      <c r="A83" s="180"/>
      <c r="B83" s="181"/>
      <c r="C83" s="181"/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6"/>
      <c r="S83" s="6"/>
      <c r="T83" s="184"/>
      <c r="U83" s="6"/>
    </row>
    <row r="84" spans="1:26" customFormat="1">
      <c r="A84" s="180"/>
      <c r="B84" s="181"/>
      <c r="C84" s="181"/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6"/>
      <c r="S84" s="6"/>
      <c r="T84" s="184"/>
      <c r="U84" s="6"/>
    </row>
    <row r="85" spans="1:26" customFormat="1">
      <c r="A85" s="180"/>
      <c r="B85" s="181"/>
      <c r="C85" s="181"/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6"/>
      <c r="S85" s="6"/>
      <c r="T85" s="184"/>
      <c r="U85" s="6"/>
    </row>
    <row r="86" spans="1:26" customFormat="1">
      <c r="A86" s="180"/>
      <c r="B86" s="181"/>
      <c r="C86" s="181"/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6"/>
      <c r="S86" s="6"/>
      <c r="T86" s="184"/>
      <c r="U86" s="6"/>
    </row>
    <row r="87" spans="1:26" customFormat="1">
      <c r="A87" s="180"/>
      <c r="B87" s="181"/>
      <c r="C87" s="181"/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6"/>
      <c r="S87" s="6"/>
      <c r="T87" s="184"/>
      <c r="U87" s="6"/>
    </row>
    <row r="88" spans="1:26" customFormat="1">
      <c r="A88" s="180"/>
      <c r="B88" s="181"/>
      <c r="C88" s="181"/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6"/>
      <c r="S88" s="6"/>
      <c r="T88" s="184"/>
      <c r="U88" s="6"/>
    </row>
    <row r="89" spans="1:26" customFormat="1">
      <c r="A89" s="180"/>
      <c r="B89" s="181"/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6"/>
      <c r="S89" s="6"/>
      <c r="T89" s="184"/>
      <c r="U89" s="6"/>
    </row>
    <row r="90" spans="1:26" customFormat="1">
      <c r="A90" s="180"/>
      <c r="B90" s="181"/>
      <c r="C90" s="181"/>
      <c r="D90" s="181"/>
      <c r="E90" s="181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6"/>
      <c r="S90" s="6"/>
      <c r="T90" s="184"/>
      <c r="U90" s="6"/>
    </row>
    <row r="91" spans="1:26" customFormat="1">
      <c r="A91" s="180"/>
      <c r="B91" s="181"/>
      <c r="C91" s="181"/>
      <c r="D91" s="181"/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6"/>
      <c r="S91" s="6"/>
      <c r="T91" s="184"/>
      <c r="U91" s="6"/>
    </row>
    <row r="92" spans="1:26" customFormat="1">
      <c r="A92" s="180"/>
      <c r="B92" s="181"/>
      <c r="C92" s="181"/>
      <c r="D92" s="181"/>
      <c r="E92" s="18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6"/>
      <c r="S92" s="6"/>
      <c r="T92" s="184"/>
      <c r="U92" s="6"/>
    </row>
    <row r="93" spans="1:26" customFormat="1">
      <c r="A93" s="180"/>
      <c r="B93" s="181"/>
      <c r="C93" s="181"/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6"/>
      <c r="S93" s="6"/>
      <c r="T93" s="184"/>
      <c r="U93" s="6"/>
    </row>
    <row r="94" spans="1:26" customFormat="1">
      <c r="A94" s="180"/>
      <c r="B94" s="181"/>
      <c r="C94" s="181"/>
      <c r="D94" s="181"/>
      <c r="E94" s="181"/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6"/>
      <c r="S94" s="6"/>
      <c r="T94" s="184"/>
      <c r="U94" s="6"/>
    </row>
    <row r="95" spans="1:26" customFormat="1">
      <c r="A95" s="180"/>
      <c r="B95" s="181"/>
      <c r="C95" s="181"/>
      <c r="D95" s="181"/>
      <c r="E95" s="181"/>
      <c r="F95" s="181"/>
      <c r="G95" s="181"/>
      <c r="H95" s="181"/>
      <c r="I95" s="181"/>
      <c r="J95" s="181"/>
      <c r="K95" s="181"/>
      <c r="L95" s="181"/>
      <c r="M95" s="181"/>
      <c r="N95" s="181"/>
      <c r="O95" s="181"/>
      <c r="P95" s="181"/>
      <c r="Q95" s="181"/>
      <c r="R95" s="6"/>
      <c r="S95" s="6"/>
      <c r="T95" s="184"/>
      <c r="U95" s="6"/>
    </row>
    <row r="96" spans="1:26" customFormat="1">
      <c r="A96" s="180"/>
      <c r="B96" s="181"/>
      <c r="C96" s="181"/>
      <c r="D96" s="181"/>
      <c r="E96" s="181"/>
      <c r="F96" s="181"/>
      <c r="G96" s="181"/>
      <c r="H96" s="181"/>
      <c r="I96" s="181"/>
      <c r="J96" s="181"/>
      <c r="K96" s="181"/>
      <c r="L96" s="181"/>
      <c r="M96" s="181"/>
      <c r="N96" s="181"/>
      <c r="O96" s="181"/>
      <c r="P96" s="181"/>
      <c r="Q96" s="181"/>
      <c r="R96" s="6"/>
      <c r="S96" s="6"/>
      <c r="T96" s="184"/>
      <c r="U96" s="6"/>
      <c r="Z96" s="194"/>
    </row>
    <row r="97" spans="1:33" customFormat="1">
      <c r="A97" s="180"/>
      <c r="B97" s="181"/>
      <c r="C97" s="181"/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6"/>
      <c r="S97" s="6"/>
      <c r="T97" s="184"/>
      <c r="U97" s="6"/>
    </row>
    <row r="98" spans="1:33" customFormat="1">
      <c r="A98" s="180"/>
      <c r="B98" s="181"/>
      <c r="C98" s="181"/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6"/>
      <c r="S98" s="6"/>
      <c r="T98" s="184"/>
      <c r="U98" s="6"/>
    </row>
    <row r="99" spans="1:33" customFormat="1">
      <c r="A99" s="180"/>
      <c r="B99" s="181"/>
      <c r="C99" s="181"/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6"/>
      <c r="S99" s="6"/>
      <c r="T99" s="184"/>
      <c r="U99" s="6"/>
    </row>
    <row r="100" spans="1:33" customFormat="1">
      <c r="A100" s="180"/>
      <c r="B100" s="181"/>
      <c r="C100" s="181"/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6"/>
      <c r="S100" s="6"/>
      <c r="T100" s="184"/>
      <c r="U100" s="6"/>
      <c r="AB100" s="195"/>
      <c r="AG100" s="194"/>
    </row>
    <row r="101" spans="1:33" customFormat="1">
      <c r="A101" s="180"/>
      <c r="B101" s="181"/>
      <c r="C101" s="181"/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6"/>
      <c r="S101" s="6"/>
      <c r="T101" s="184"/>
      <c r="U101" s="6"/>
    </row>
    <row r="102" spans="1:33" customFormat="1">
      <c r="A102" s="180"/>
      <c r="B102" s="181"/>
      <c r="C102" s="181"/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6"/>
      <c r="S102" s="6"/>
      <c r="T102" s="184"/>
      <c r="U102" s="6"/>
    </row>
    <row r="103" spans="1:33" customFormat="1">
      <c r="A103" s="180"/>
      <c r="B103" s="181"/>
      <c r="C103" s="181"/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6"/>
      <c r="S103" s="6"/>
      <c r="T103" s="184"/>
      <c r="U103" s="6"/>
    </row>
    <row r="104" spans="1:33" customFormat="1">
      <c r="A104" s="180"/>
      <c r="B104" s="181"/>
      <c r="C104" s="181"/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6"/>
      <c r="S104" s="6"/>
      <c r="T104" s="184"/>
      <c r="U104" s="6"/>
    </row>
    <row r="105" spans="1:33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33">
      <c r="A106" s="186" t="s">
        <v>48</v>
      </c>
      <c r="B106" s="187">
        <f>MIN(B9:B104)</f>
        <v>0</v>
      </c>
      <c r="C106" s="187">
        <f>MIN(C9:C104)</f>
        <v>0</v>
      </c>
      <c r="D106" s="187">
        <f t="shared" ref="D106:Q106" si="0">MIN(D9:D104)</f>
        <v>0</v>
      </c>
      <c r="E106" s="187">
        <f t="shared" si="0"/>
        <v>0</v>
      </c>
      <c r="F106" s="187">
        <f t="shared" si="0"/>
        <v>0</v>
      </c>
      <c r="G106" s="187">
        <f t="shared" si="0"/>
        <v>0</v>
      </c>
      <c r="H106" s="187">
        <f t="shared" si="0"/>
        <v>0</v>
      </c>
      <c r="I106" s="187">
        <f t="shared" si="0"/>
        <v>0</v>
      </c>
      <c r="J106" s="187">
        <f t="shared" si="0"/>
        <v>0</v>
      </c>
      <c r="K106" s="187">
        <f t="shared" si="0"/>
        <v>0</v>
      </c>
      <c r="L106" s="187">
        <f t="shared" si="0"/>
        <v>0</v>
      </c>
      <c r="M106" s="187">
        <f t="shared" si="0"/>
        <v>0</v>
      </c>
      <c r="N106" s="187">
        <f t="shared" si="0"/>
        <v>0</v>
      </c>
      <c r="O106" s="187">
        <f t="shared" si="0"/>
        <v>0</v>
      </c>
      <c r="P106" s="187">
        <f t="shared" si="0"/>
        <v>0</v>
      </c>
      <c r="Q106" s="187">
        <f t="shared" si="0"/>
        <v>0</v>
      </c>
      <c r="R106" s="192"/>
      <c r="S106" s="192"/>
      <c r="T106" s="192"/>
      <c r="U106" s="192"/>
    </row>
    <row r="107" spans="1:33">
      <c r="A107" s="186" t="s">
        <v>49</v>
      </c>
      <c r="B107" s="188">
        <f>MAX(B9:B104)</f>
        <v>0</v>
      </c>
      <c r="C107" s="188">
        <f t="shared" ref="C107:Q107" si="1">MAX(C9:C104)</f>
        <v>0</v>
      </c>
      <c r="D107" s="188">
        <f t="shared" si="1"/>
        <v>0</v>
      </c>
      <c r="E107" s="188">
        <f t="shared" si="1"/>
        <v>0</v>
      </c>
      <c r="F107" s="188">
        <f t="shared" si="1"/>
        <v>0</v>
      </c>
      <c r="G107" s="188">
        <f t="shared" si="1"/>
        <v>0</v>
      </c>
      <c r="H107" s="188">
        <f t="shared" si="1"/>
        <v>0</v>
      </c>
      <c r="I107" s="188">
        <f t="shared" si="1"/>
        <v>0</v>
      </c>
      <c r="J107" s="188">
        <f t="shared" si="1"/>
        <v>0</v>
      </c>
      <c r="K107" s="188">
        <f t="shared" si="1"/>
        <v>0</v>
      </c>
      <c r="L107" s="188">
        <f t="shared" si="1"/>
        <v>0</v>
      </c>
      <c r="M107" s="188">
        <f t="shared" si="1"/>
        <v>0</v>
      </c>
      <c r="N107" s="188">
        <f t="shared" si="1"/>
        <v>0</v>
      </c>
      <c r="O107" s="188">
        <f t="shared" si="1"/>
        <v>0</v>
      </c>
      <c r="P107" s="188">
        <f t="shared" si="1"/>
        <v>0</v>
      </c>
      <c r="Q107" s="188">
        <f t="shared" si="1"/>
        <v>0</v>
      </c>
      <c r="R107" s="193"/>
      <c r="S107" s="193"/>
      <c r="T107" s="193"/>
      <c r="U107" s="193"/>
    </row>
    <row r="108" spans="1:33">
      <c r="A108" s="186" t="s">
        <v>50</v>
      </c>
      <c r="B108" s="187" t="e">
        <f>AVERAGE(B9:B104)</f>
        <v>#DIV/0!</v>
      </c>
      <c r="C108" s="187" t="e">
        <f t="shared" ref="C108:Q108" si="2">AVERAGE(C9:C104)</f>
        <v>#DIV/0!</v>
      </c>
      <c r="D108" s="187" t="e">
        <f t="shared" si="2"/>
        <v>#DIV/0!</v>
      </c>
      <c r="E108" s="187" t="e">
        <f t="shared" si="2"/>
        <v>#DIV/0!</v>
      </c>
      <c r="F108" s="187" t="e">
        <f t="shared" si="2"/>
        <v>#DIV/0!</v>
      </c>
      <c r="G108" s="187" t="e">
        <f t="shared" si="2"/>
        <v>#DIV/0!</v>
      </c>
      <c r="H108" s="187" t="e">
        <f t="shared" si="2"/>
        <v>#DIV/0!</v>
      </c>
      <c r="I108" s="187" t="e">
        <f t="shared" si="2"/>
        <v>#DIV/0!</v>
      </c>
      <c r="J108" s="187" t="e">
        <f t="shared" si="2"/>
        <v>#DIV/0!</v>
      </c>
      <c r="K108" s="187" t="e">
        <f t="shared" si="2"/>
        <v>#DIV/0!</v>
      </c>
      <c r="L108" s="187" t="e">
        <f t="shared" si="2"/>
        <v>#DIV/0!</v>
      </c>
      <c r="M108" s="187" t="e">
        <f t="shared" si="2"/>
        <v>#DIV/0!</v>
      </c>
      <c r="N108" s="187" t="e">
        <f t="shared" si="2"/>
        <v>#DIV/0!</v>
      </c>
      <c r="O108" s="187" t="e">
        <f t="shared" si="2"/>
        <v>#DIV/0!</v>
      </c>
      <c r="P108" s="187" t="e">
        <f t="shared" si="2"/>
        <v>#DIV/0!</v>
      </c>
      <c r="Q108" s="187" t="e">
        <f t="shared" si="2"/>
        <v>#DIV/0!</v>
      </c>
      <c r="R108" s="192"/>
      <c r="S108" s="192"/>
      <c r="T108" s="192"/>
      <c r="U108" s="192"/>
    </row>
    <row r="109" spans="1:33">
      <c r="A109" s="186" t="s">
        <v>51</v>
      </c>
      <c r="B109" s="187" t="e">
        <f>STDEV(B9:B104)</f>
        <v>#DIV/0!</v>
      </c>
      <c r="C109" s="187" t="e">
        <f t="shared" ref="C109:Q109" si="3">STDEV(C9:C104)</f>
        <v>#DIV/0!</v>
      </c>
      <c r="D109" s="187" t="e">
        <f t="shared" si="3"/>
        <v>#DIV/0!</v>
      </c>
      <c r="E109" s="187" t="e">
        <f t="shared" si="3"/>
        <v>#DIV/0!</v>
      </c>
      <c r="F109" s="187" t="e">
        <f t="shared" si="3"/>
        <v>#DIV/0!</v>
      </c>
      <c r="G109" s="187" t="e">
        <f t="shared" si="3"/>
        <v>#DIV/0!</v>
      </c>
      <c r="H109" s="187" t="e">
        <f t="shared" si="3"/>
        <v>#DIV/0!</v>
      </c>
      <c r="I109" s="187" t="e">
        <f t="shared" si="3"/>
        <v>#DIV/0!</v>
      </c>
      <c r="J109" s="187" t="e">
        <f t="shared" si="3"/>
        <v>#DIV/0!</v>
      </c>
      <c r="K109" s="187" t="e">
        <f t="shared" si="3"/>
        <v>#DIV/0!</v>
      </c>
      <c r="L109" s="187" t="e">
        <f t="shared" si="3"/>
        <v>#DIV/0!</v>
      </c>
      <c r="M109" s="187" t="e">
        <f t="shared" si="3"/>
        <v>#DIV/0!</v>
      </c>
      <c r="N109" s="187" t="e">
        <f t="shared" si="3"/>
        <v>#DIV/0!</v>
      </c>
      <c r="O109" s="187" t="e">
        <f t="shared" si="3"/>
        <v>#DIV/0!</v>
      </c>
      <c r="P109" s="187" t="e">
        <f t="shared" si="3"/>
        <v>#DIV/0!</v>
      </c>
      <c r="Q109" s="187" t="e">
        <f t="shared" si="3"/>
        <v>#DIV/0!</v>
      </c>
      <c r="R109" s="192"/>
      <c r="S109" s="192"/>
      <c r="T109" s="192"/>
      <c r="U109" s="192"/>
    </row>
    <row r="110" spans="1:33">
      <c r="A110" s="186" t="s">
        <v>52</v>
      </c>
      <c r="B110" s="188">
        <f t="shared" ref="B110:Q110" si="4">COUNT(B9:B104)</f>
        <v>0</v>
      </c>
      <c r="C110" s="188">
        <f t="shared" si="4"/>
        <v>0</v>
      </c>
      <c r="D110" s="188">
        <f t="shared" si="4"/>
        <v>0</v>
      </c>
      <c r="E110" s="188">
        <f t="shared" si="4"/>
        <v>0</v>
      </c>
      <c r="F110" s="188">
        <f t="shared" si="4"/>
        <v>0</v>
      </c>
      <c r="G110" s="188">
        <f t="shared" si="4"/>
        <v>0</v>
      </c>
      <c r="H110" s="188">
        <f t="shared" si="4"/>
        <v>0</v>
      </c>
      <c r="I110" s="188">
        <f t="shared" si="4"/>
        <v>0</v>
      </c>
      <c r="J110" s="188">
        <f t="shared" si="4"/>
        <v>0</v>
      </c>
      <c r="K110" s="188">
        <f t="shared" si="4"/>
        <v>0</v>
      </c>
      <c r="L110" s="188">
        <f t="shared" si="4"/>
        <v>0</v>
      </c>
      <c r="M110" s="188">
        <f t="shared" si="4"/>
        <v>0</v>
      </c>
      <c r="N110" s="188">
        <f t="shared" si="4"/>
        <v>0</v>
      </c>
      <c r="O110" s="188">
        <f t="shared" si="4"/>
        <v>0</v>
      </c>
      <c r="P110" s="188">
        <f t="shared" si="4"/>
        <v>0</v>
      </c>
      <c r="Q110" s="188">
        <f t="shared" si="4"/>
        <v>0</v>
      </c>
      <c r="R110" s="193"/>
      <c r="S110" s="193"/>
      <c r="T110" s="193"/>
      <c r="U110" s="193"/>
      <c r="V110" s="188"/>
    </row>
    <row r="111" spans="1:33">
      <c r="A111" s="153" t="s">
        <v>53</v>
      </c>
      <c r="B111" s="147" t="str">
        <f>IF(B110&gt;=87,"&gt;90%",IF(B110&lt;=87,"&lt;90%"))</f>
        <v>&lt;90%</v>
      </c>
      <c r="C111" s="147" t="str">
        <f t="shared" ref="C111:Q111" si="5">IF(C110&gt;=87,"&gt;90%",IF(C110&lt;=87,"&lt;90%"))</f>
        <v>&lt;90%</v>
      </c>
      <c r="D111" s="147" t="str">
        <f t="shared" si="5"/>
        <v>&lt;90%</v>
      </c>
      <c r="E111" s="147" t="str">
        <f t="shared" si="5"/>
        <v>&lt;90%</v>
      </c>
      <c r="F111" s="147" t="str">
        <f t="shared" si="5"/>
        <v>&lt;90%</v>
      </c>
      <c r="G111" s="147" t="str">
        <f t="shared" si="5"/>
        <v>&lt;90%</v>
      </c>
      <c r="H111" s="147" t="str">
        <f t="shared" si="5"/>
        <v>&lt;90%</v>
      </c>
      <c r="I111" s="147" t="str">
        <f t="shared" si="5"/>
        <v>&lt;90%</v>
      </c>
      <c r="J111" s="147" t="str">
        <f t="shared" si="5"/>
        <v>&lt;90%</v>
      </c>
      <c r="K111" s="147" t="str">
        <f t="shared" si="5"/>
        <v>&lt;90%</v>
      </c>
      <c r="L111" s="147" t="str">
        <f t="shared" si="5"/>
        <v>&lt;90%</v>
      </c>
      <c r="M111" s="147" t="str">
        <f t="shared" si="5"/>
        <v>&lt;90%</v>
      </c>
      <c r="N111" s="147" t="str">
        <f t="shared" si="5"/>
        <v>&lt;90%</v>
      </c>
      <c r="O111" s="147" t="str">
        <f t="shared" si="5"/>
        <v>&lt;90%</v>
      </c>
      <c r="P111" s="147" t="str">
        <f t="shared" si="5"/>
        <v>&lt;90%</v>
      </c>
      <c r="Q111" s="147" t="str">
        <f t="shared" si="5"/>
        <v>&lt;90%</v>
      </c>
      <c r="R111" s="175"/>
      <c r="S111" s="175"/>
      <c r="T111" s="175"/>
      <c r="U111" s="175"/>
    </row>
    <row r="112" spans="1:33">
      <c r="A112" s="153" t="s">
        <v>54</v>
      </c>
      <c r="B112" s="147" t="str">
        <f>IF(B110&gt;=87,"OK",IF(B110&lt;=87,"LESS"))</f>
        <v>LESS</v>
      </c>
      <c r="C112" s="147" t="str">
        <f t="shared" ref="C112:Q112" si="6">IF(C110&gt;=87,"OK",IF(C110&lt;=87,"LESS"))</f>
        <v>LESS</v>
      </c>
      <c r="D112" s="147" t="str">
        <f t="shared" si="6"/>
        <v>LESS</v>
      </c>
      <c r="E112" s="147" t="str">
        <f t="shared" si="6"/>
        <v>LESS</v>
      </c>
      <c r="F112" s="147" t="str">
        <f t="shared" si="6"/>
        <v>LESS</v>
      </c>
      <c r="G112" s="147" t="str">
        <f t="shared" si="6"/>
        <v>LESS</v>
      </c>
      <c r="H112" s="147" t="str">
        <f t="shared" si="6"/>
        <v>LESS</v>
      </c>
      <c r="I112" s="147" t="str">
        <f t="shared" si="6"/>
        <v>LESS</v>
      </c>
      <c r="J112" s="147" t="str">
        <f t="shared" si="6"/>
        <v>LESS</v>
      </c>
      <c r="K112" s="147" t="str">
        <f t="shared" si="6"/>
        <v>LESS</v>
      </c>
      <c r="L112" s="147" t="str">
        <f t="shared" si="6"/>
        <v>LESS</v>
      </c>
      <c r="M112" s="147" t="str">
        <f t="shared" si="6"/>
        <v>LESS</v>
      </c>
      <c r="N112" s="147" t="str">
        <f t="shared" si="6"/>
        <v>LESS</v>
      </c>
      <c r="O112" s="147" t="str">
        <f t="shared" si="6"/>
        <v>LESS</v>
      </c>
      <c r="P112" s="147" t="str">
        <f t="shared" si="6"/>
        <v>LESS</v>
      </c>
      <c r="Q112" s="147" t="str">
        <f t="shared" si="6"/>
        <v>LESS</v>
      </c>
      <c r="R112" s="175"/>
      <c r="S112" s="175"/>
      <c r="T112" s="175"/>
      <c r="U112" s="175"/>
    </row>
    <row r="113" spans="1:21">
      <c r="L113" s="32"/>
      <c r="N113" s="191"/>
      <c r="O113" s="191"/>
      <c r="P113" s="191"/>
      <c r="Q113" s="191"/>
      <c r="R113" s="191"/>
      <c r="S113" s="191"/>
      <c r="T113" s="191"/>
      <c r="U113" s="191"/>
    </row>
    <row r="115" spans="1:21">
      <c r="A115" s="153" t="s">
        <v>55</v>
      </c>
      <c r="B115" s="197" t="s">
        <v>56</v>
      </c>
      <c r="C115" s="197"/>
      <c r="D115" s="197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9" t="s">
        <v>57</v>
      </c>
      <c r="B117" s="198"/>
      <c r="C117" s="198"/>
      <c r="D117" s="198"/>
      <c r="E117" s="198"/>
      <c r="F117" s="198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G117"/>
  <sheetViews>
    <sheetView zoomScale="85" zoomScaleNormal="85" workbookViewId="0">
      <pane xSplit="1" ySplit="8" topLeftCell="B105" activePane="bottomRight" state="frozen"/>
      <selection activeCell="A9" sqref="A9"/>
      <selection pane="topRight" activeCell="A9" sqref="A9"/>
      <selection pane="bottomLeft" activeCell="A9" sqref="A9"/>
      <selection pane="bottomRight" activeCell="A9" sqref="A9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0</v>
      </c>
      <c r="C2" s="196" t="s">
        <v>3</v>
      </c>
      <c r="D2" s="196"/>
      <c r="E2" s="196"/>
      <c r="F2" s="196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2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6" t="s">
        <v>11</v>
      </c>
      <c r="D3" s="196"/>
      <c r="E3" s="196"/>
      <c r="F3" s="196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2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6" t="s">
        <v>18</v>
      </c>
      <c r="D4" s="196"/>
      <c r="E4" s="196"/>
      <c r="F4" s="196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3" t="s">
        <v>43</v>
      </c>
      <c r="M8" s="114" t="s">
        <v>44</v>
      </c>
      <c r="N8" s="114" t="s">
        <v>45</v>
      </c>
      <c r="O8" s="183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80"/>
      <c r="B9" s="181"/>
      <c r="C9" s="181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6"/>
      <c r="S9" s="6"/>
      <c r="T9" s="184"/>
      <c r="U9" s="6"/>
    </row>
    <row r="10" spans="1:21" customFormat="1">
      <c r="A10" s="180"/>
      <c r="B10" s="181"/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6"/>
      <c r="S10" s="6"/>
      <c r="T10" s="184"/>
      <c r="U10" s="6"/>
    </row>
    <row r="11" spans="1:21" customFormat="1">
      <c r="A11" s="180"/>
      <c r="B11" s="181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6"/>
      <c r="S11" s="6"/>
      <c r="T11" s="184"/>
      <c r="U11" s="6"/>
    </row>
    <row r="12" spans="1:21" customFormat="1">
      <c r="A12" s="180"/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6"/>
      <c r="S12" s="6"/>
      <c r="T12" s="184"/>
      <c r="U12" s="6"/>
    </row>
    <row r="13" spans="1:21" customFormat="1">
      <c r="A13" s="180"/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6"/>
      <c r="S13" s="6"/>
      <c r="T13" s="184"/>
      <c r="U13" s="6"/>
    </row>
    <row r="14" spans="1:21" customFormat="1">
      <c r="A14" s="180"/>
      <c r="B14" s="181"/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6"/>
      <c r="S14" s="6"/>
      <c r="T14" s="184"/>
      <c r="U14" s="6"/>
    </row>
    <row r="15" spans="1:21" customFormat="1">
      <c r="A15" s="180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6"/>
      <c r="S15" s="6"/>
      <c r="T15" s="184"/>
      <c r="U15" s="6"/>
    </row>
    <row r="16" spans="1:21" customFormat="1">
      <c r="A16" s="180"/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6"/>
      <c r="S16" s="6"/>
      <c r="T16" s="184"/>
      <c r="U16" s="6"/>
    </row>
    <row r="17" spans="1:21" customFormat="1">
      <c r="A17" s="180"/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6"/>
      <c r="S17" s="6"/>
      <c r="T17" s="184"/>
      <c r="U17" s="6"/>
    </row>
    <row r="18" spans="1:21" customFormat="1">
      <c r="A18" s="180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6"/>
      <c r="S18" s="6"/>
      <c r="T18" s="184"/>
      <c r="U18" s="6"/>
    </row>
    <row r="19" spans="1:21" customFormat="1">
      <c r="A19" s="180"/>
      <c r="B19" s="181"/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6"/>
      <c r="S19" s="6"/>
      <c r="T19" s="184"/>
      <c r="U19" s="6"/>
    </row>
    <row r="20" spans="1:21" customFormat="1">
      <c r="A20" s="180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6"/>
      <c r="S20" s="6"/>
      <c r="T20" s="184"/>
      <c r="U20" s="6"/>
    </row>
    <row r="21" spans="1:21" customFormat="1">
      <c r="A21" s="180"/>
      <c r="B21" s="181"/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6"/>
      <c r="S21" s="6"/>
      <c r="T21" s="184"/>
      <c r="U21" s="6"/>
    </row>
    <row r="22" spans="1:21" customFormat="1">
      <c r="A22" s="180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6"/>
      <c r="S22" s="6"/>
      <c r="T22" s="184"/>
      <c r="U22" s="6"/>
    </row>
    <row r="23" spans="1:21" customFormat="1">
      <c r="A23" s="180"/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6"/>
      <c r="S23" s="6"/>
      <c r="T23" s="184"/>
      <c r="U23" s="6"/>
    </row>
    <row r="24" spans="1:21" customFormat="1">
      <c r="A24" s="180"/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6"/>
      <c r="S24" s="6"/>
      <c r="T24" s="184"/>
      <c r="U24" s="6"/>
    </row>
    <row r="25" spans="1:21" customFormat="1">
      <c r="A25" s="180"/>
      <c r="B25" s="181"/>
      <c r="C25" s="181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6"/>
      <c r="S25" s="6"/>
      <c r="T25" s="184"/>
      <c r="U25" s="6"/>
    </row>
    <row r="26" spans="1:21" customFormat="1">
      <c r="A26" s="180"/>
      <c r="B26" s="181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6"/>
      <c r="S26" s="6"/>
      <c r="T26" s="184"/>
      <c r="U26" s="6"/>
    </row>
    <row r="27" spans="1:21" customFormat="1">
      <c r="A27" s="180"/>
      <c r="B27" s="181"/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6"/>
      <c r="S27" s="6"/>
      <c r="T27" s="184"/>
      <c r="U27" s="6"/>
    </row>
    <row r="28" spans="1:21" customFormat="1">
      <c r="A28" s="180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6"/>
      <c r="S28" s="6"/>
      <c r="T28" s="184"/>
      <c r="U28" s="6"/>
    </row>
    <row r="29" spans="1:21" customFormat="1">
      <c r="A29" s="180"/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6"/>
      <c r="S29" s="6"/>
      <c r="T29" s="184"/>
      <c r="U29" s="6"/>
    </row>
    <row r="30" spans="1:21" customFormat="1">
      <c r="A30" s="180"/>
      <c r="B30" s="181"/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6"/>
      <c r="S30" s="6"/>
      <c r="T30" s="184"/>
      <c r="U30" s="6"/>
    </row>
    <row r="31" spans="1:21" customFormat="1">
      <c r="A31" s="180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6"/>
      <c r="S31" s="6"/>
      <c r="T31" s="184"/>
      <c r="U31" s="6"/>
    </row>
    <row r="32" spans="1:21" customFormat="1">
      <c r="A32" s="180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6"/>
      <c r="S32" s="6"/>
      <c r="T32" s="184"/>
      <c r="U32" s="6"/>
    </row>
    <row r="33" spans="1:21" customFormat="1">
      <c r="A33" s="180"/>
      <c r="B33" s="181"/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6"/>
      <c r="S33" s="6"/>
      <c r="T33" s="184"/>
      <c r="U33" s="6"/>
    </row>
    <row r="34" spans="1:21" customFormat="1">
      <c r="A34" s="180"/>
      <c r="B34" s="181"/>
      <c r="C34" s="181"/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6"/>
      <c r="S34" s="6"/>
      <c r="T34" s="184"/>
      <c r="U34" s="6"/>
    </row>
    <row r="35" spans="1:21" customFormat="1">
      <c r="A35" s="180"/>
      <c r="B35" s="181"/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6"/>
      <c r="S35" s="6"/>
      <c r="T35" s="184"/>
      <c r="U35" s="6"/>
    </row>
    <row r="36" spans="1:21" customFormat="1">
      <c r="A36" s="180"/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6"/>
      <c r="S36" s="6"/>
      <c r="T36" s="184"/>
      <c r="U36" s="6"/>
    </row>
    <row r="37" spans="1:21" customFormat="1">
      <c r="A37" s="180"/>
      <c r="B37" s="181"/>
      <c r="C37" s="181"/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6"/>
      <c r="S37" s="6"/>
      <c r="T37" s="184"/>
      <c r="U37" s="6"/>
    </row>
    <row r="38" spans="1:21" customFormat="1">
      <c r="A38" s="180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6"/>
      <c r="S38" s="6"/>
      <c r="T38" s="184"/>
      <c r="U38" s="6"/>
    </row>
    <row r="39" spans="1:21" customFormat="1">
      <c r="A39" s="180"/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6"/>
      <c r="S39" s="6"/>
      <c r="T39" s="184"/>
      <c r="U39" s="6"/>
    </row>
    <row r="40" spans="1:21" customFormat="1">
      <c r="A40" s="180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6"/>
      <c r="S40" s="6"/>
      <c r="T40" s="184"/>
      <c r="U40" s="6"/>
    </row>
    <row r="41" spans="1:21" customFormat="1">
      <c r="A41" s="180"/>
      <c r="B41" s="181"/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6"/>
      <c r="S41" s="6"/>
      <c r="T41" s="184"/>
      <c r="U41" s="6"/>
    </row>
    <row r="42" spans="1:21" customFormat="1">
      <c r="A42" s="180"/>
      <c r="B42" s="181"/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6"/>
      <c r="S42" s="6"/>
      <c r="T42" s="184"/>
      <c r="U42" s="6"/>
    </row>
    <row r="43" spans="1:21" customFormat="1">
      <c r="A43" s="180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6"/>
      <c r="S43" s="6"/>
      <c r="T43" s="184"/>
      <c r="U43" s="6"/>
    </row>
    <row r="44" spans="1:21" customFormat="1">
      <c r="A44" s="180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6"/>
      <c r="S44" s="6"/>
      <c r="T44" s="184"/>
      <c r="U44" s="6"/>
    </row>
    <row r="45" spans="1:21" customFormat="1">
      <c r="A45" s="180"/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6"/>
      <c r="S45" s="6"/>
      <c r="T45" s="184"/>
      <c r="U45" s="6"/>
    </row>
    <row r="46" spans="1:21" customFormat="1">
      <c r="A46" s="180"/>
      <c r="B46" s="181"/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6"/>
      <c r="S46" s="6"/>
      <c r="T46" s="184"/>
      <c r="U46" s="6"/>
    </row>
    <row r="47" spans="1:21" customFormat="1">
      <c r="A47" s="180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6"/>
      <c r="S47" s="6"/>
      <c r="T47" s="184"/>
      <c r="U47" s="6"/>
    </row>
    <row r="48" spans="1:21" customFormat="1">
      <c r="A48" s="180"/>
      <c r="B48" s="181"/>
      <c r="C48" s="181"/>
      <c r="D48" s="181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6"/>
      <c r="S48" s="6"/>
      <c r="T48" s="184"/>
      <c r="U48" s="6"/>
    </row>
    <row r="49" spans="1:21" customFormat="1">
      <c r="A49" s="180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6"/>
      <c r="S49" s="6"/>
      <c r="T49" s="184"/>
      <c r="U49" s="6"/>
    </row>
    <row r="50" spans="1:21" customFormat="1">
      <c r="A50" s="180"/>
      <c r="B50" s="181"/>
      <c r="C50" s="181"/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6"/>
      <c r="S50" s="6"/>
      <c r="T50" s="184"/>
      <c r="U50" s="6"/>
    </row>
    <row r="51" spans="1:21" customFormat="1">
      <c r="A51" s="180"/>
      <c r="B51" s="181"/>
      <c r="C51" s="181"/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6"/>
      <c r="S51" s="6"/>
      <c r="T51" s="184"/>
      <c r="U51" s="6"/>
    </row>
    <row r="52" spans="1:21" customFormat="1">
      <c r="A52" s="180"/>
      <c r="B52" s="181"/>
      <c r="C52" s="181"/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6"/>
      <c r="S52" s="6"/>
      <c r="T52" s="184"/>
      <c r="U52" s="6"/>
    </row>
    <row r="53" spans="1:21" customFormat="1">
      <c r="A53" s="180"/>
      <c r="B53" s="181"/>
      <c r="C53" s="181"/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6"/>
      <c r="S53" s="6"/>
      <c r="T53" s="184"/>
      <c r="U53" s="6"/>
    </row>
    <row r="54" spans="1:21" customFormat="1">
      <c r="A54" s="180"/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6"/>
      <c r="S54" s="6"/>
      <c r="T54" s="184"/>
      <c r="U54" s="6"/>
    </row>
    <row r="55" spans="1:21" customFormat="1">
      <c r="A55" s="180"/>
      <c r="B55" s="181"/>
      <c r="C55" s="181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6"/>
      <c r="S55" s="6"/>
      <c r="T55" s="184"/>
      <c r="U55" s="6"/>
    </row>
    <row r="56" spans="1:21" customFormat="1">
      <c r="A56" s="180"/>
      <c r="B56" s="181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6"/>
      <c r="S56" s="6"/>
      <c r="T56" s="184"/>
      <c r="U56" s="6"/>
    </row>
    <row r="57" spans="1:21" customFormat="1">
      <c r="A57" s="180"/>
      <c r="B57" s="181"/>
      <c r="C57" s="181"/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6"/>
      <c r="S57" s="6"/>
      <c r="T57" s="184"/>
      <c r="U57" s="6"/>
    </row>
    <row r="58" spans="1:21" customFormat="1">
      <c r="A58" s="180"/>
      <c r="B58" s="181"/>
      <c r="C58" s="181"/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6"/>
      <c r="S58" s="6"/>
      <c r="T58" s="184"/>
      <c r="U58" s="6"/>
    </row>
    <row r="59" spans="1:21" customFormat="1">
      <c r="A59" s="180"/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6"/>
      <c r="S59" s="6"/>
      <c r="T59" s="184"/>
      <c r="U59" s="6"/>
    </row>
    <row r="60" spans="1:21" customFormat="1">
      <c r="A60" s="180"/>
      <c r="B60" s="181"/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6"/>
      <c r="S60" s="6"/>
      <c r="T60" s="184"/>
      <c r="U60" s="6"/>
    </row>
    <row r="61" spans="1:21" customFormat="1">
      <c r="A61" s="180"/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6"/>
      <c r="S61" s="6"/>
      <c r="T61" s="184"/>
      <c r="U61" s="6"/>
    </row>
    <row r="62" spans="1:21" customFormat="1">
      <c r="A62" s="180"/>
      <c r="B62" s="181"/>
      <c r="C62" s="181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6"/>
      <c r="S62" s="6"/>
      <c r="T62" s="184"/>
      <c r="U62" s="6"/>
    </row>
    <row r="63" spans="1:21" customFormat="1">
      <c r="A63" s="180"/>
      <c r="B63" s="181"/>
      <c r="C63" s="181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6"/>
      <c r="S63" s="6"/>
      <c r="T63" s="184"/>
      <c r="U63" s="6"/>
    </row>
    <row r="64" spans="1:21" customFormat="1">
      <c r="A64" s="180"/>
      <c r="B64" s="181"/>
      <c r="C64" s="181"/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6"/>
      <c r="S64" s="6"/>
      <c r="T64" s="184"/>
      <c r="U64" s="6"/>
    </row>
    <row r="65" spans="1:21" customFormat="1">
      <c r="A65" s="180"/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6"/>
      <c r="S65" s="6"/>
      <c r="T65" s="184"/>
      <c r="U65" s="6"/>
    </row>
    <row r="66" spans="1:21" customFormat="1">
      <c r="A66" s="180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6"/>
      <c r="S66" s="6"/>
      <c r="T66" s="184"/>
      <c r="U66" s="6"/>
    </row>
    <row r="67" spans="1:21" customFormat="1">
      <c r="A67" s="180"/>
      <c r="B67" s="181"/>
      <c r="C67" s="181"/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6"/>
      <c r="S67" s="6"/>
      <c r="T67" s="184"/>
      <c r="U67" s="6"/>
    </row>
    <row r="68" spans="1:21" customFormat="1">
      <c r="A68" s="180"/>
      <c r="B68" s="181"/>
      <c r="C68" s="181"/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6"/>
      <c r="S68" s="6"/>
      <c r="T68" s="184"/>
      <c r="U68" s="6"/>
    </row>
    <row r="69" spans="1:21" customFormat="1">
      <c r="A69" s="180"/>
      <c r="B69" s="181"/>
      <c r="C69" s="181"/>
      <c r="D69" s="181"/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6"/>
      <c r="S69" s="6"/>
      <c r="T69" s="184"/>
      <c r="U69" s="6"/>
    </row>
    <row r="70" spans="1:21" customFormat="1">
      <c r="A70" s="180"/>
      <c r="B70" s="181"/>
      <c r="C70" s="181"/>
      <c r="D70" s="181"/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6"/>
      <c r="S70" s="6"/>
      <c r="T70" s="184"/>
      <c r="U70" s="6"/>
    </row>
    <row r="71" spans="1:21" customFormat="1">
      <c r="A71" s="180"/>
      <c r="B71" s="181"/>
      <c r="C71" s="181"/>
      <c r="D71" s="181"/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6"/>
      <c r="S71" s="6"/>
      <c r="T71" s="184"/>
      <c r="U71" s="6"/>
    </row>
    <row r="72" spans="1:21" customFormat="1">
      <c r="A72" s="180"/>
      <c r="B72" s="181"/>
      <c r="C72" s="181"/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6"/>
      <c r="S72" s="6"/>
      <c r="T72" s="184"/>
      <c r="U72" s="6"/>
    </row>
    <row r="73" spans="1:21" customFormat="1">
      <c r="A73" s="180"/>
      <c r="B73" s="181"/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6"/>
      <c r="S73" s="6"/>
      <c r="T73" s="184"/>
      <c r="U73" s="6"/>
    </row>
    <row r="74" spans="1:21" customFormat="1">
      <c r="A74" s="180"/>
      <c r="B74" s="181"/>
      <c r="C74" s="181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6"/>
      <c r="S74" s="6"/>
      <c r="T74" s="184"/>
      <c r="U74" s="6"/>
    </row>
    <row r="75" spans="1:21" customFormat="1">
      <c r="A75" s="180"/>
      <c r="B75" s="181"/>
      <c r="C75" s="181"/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6"/>
      <c r="S75" s="6"/>
      <c r="T75" s="184"/>
      <c r="U75" s="6"/>
    </row>
    <row r="76" spans="1:21" customFormat="1">
      <c r="A76" s="180"/>
      <c r="B76" s="181"/>
      <c r="C76" s="181"/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6"/>
      <c r="S76" s="6"/>
      <c r="T76" s="184"/>
      <c r="U76" s="6"/>
    </row>
    <row r="77" spans="1:21" customFormat="1">
      <c r="A77" s="180"/>
      <c r="B77" s="181"/>
      <c r="C77" s="181"/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6"/>
      <c r="S77" s="6"/>
      <c r="T77" s="184"/>
      <c r="U77" s="6"/>
    </row>
    <row r="78" spans="1:21" customFormat="1">
      <c r="A78" s="180"/>
      <c r="B78" s="181"/>
      <c r="C78" s="181"/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6"/>
      <c r="S78" s="6"/>
      <c r="T78" s="184"/>
      <c r="U78" s="6"/>
    </row>
    <row r="79" spans="1:21" customFormat="1">
      <c r="A79" s="180"/>
      <c r="B79" s="181"/>
      <c r="C79" s="181"/>
      <c r="D79" s="181"/>
      <c r="E79" s="185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6"/>
      <c r="S79" s="6"/>
      <c r="T79" s="184"/>
      <c r="U79" s="6"/>
    </row>
    <row r="80" spans="1:21" customFormat="1">
      <c r="A80" s="180"/>
      <c r="B80" s="181"/>
      <c r="C80" s="181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6"/>
      <c r="S80" s="6"/>
      <c r="T80" s="184"/>
      <c r="U80" s="6"/>
    </row>
    <row r="81" spans="1:26" customFormat="1">
      <c r="A81" s="180"/>
      <c r="B81" s="181"/>
      <c r="C81" s="181"/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6"/>
      <c r="S81" s="6"/>
      <c r="T81" s="184"/>
      <c r="U81" s="6"/>
    </row>
    <row r="82" spans="1:26" customFormat="1">
      <c r="A82" s="180"/>
      <c r="B82" s="181"/>
      <c r="C82" s="181"/>
      <c r="D82" s="181"/>
      <c r="E82" s="181"/>
      <c r="F82" s="181"/>
      <c r="G82" s="181"/>
      <c r="H82" s="181"/>
      <c r="I82" s="181"/>
      <c r="J82" s="190"/>
      <c r="K82" s="181"/>
      <c r="L82" s="181"/>
      <c r="M82" s="181"/>
      <c r="N82" s="181"/>
      <c r="O82" s="181"/>
      <c r="P82" s="181"/>
      <c r="Q82" s="181"/>
      <c r="R82" s="6"/>
      <c r="S82" s="6"/>
      <c r="T82" s="184"/>
      <c r="U82" s="6"/>
    </row>
    <row r="83" spans="1:26" customFormat="1">
      <c r="A83" s="180"/>
      <c r="B83" s="181"/>
      <c r="C83" s="181"/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6"/>
      <c r="S83" s="6"/>
      <c r="T83" s="184"/>
      <c r="U83" s="6"/>
    </row>
    <row r="84" spans="1:26" customFormat="1">
      <c r="A84" s="180"/>
      <c r="B84" s="181"/>
      <c r="C84" s="181"/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6"/>
      <c r="S84" s="6"/>
      <c r="T84" s="184"/>
      <c r="U84" s="6"/>
    </row>
    <row r="85" spans="1:26" customFormat="1">
      <c r="A85" s="180"/>
      <c r="B85" s="181"/>
      <c r="C85" s="181"/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6"/>
      <c r="S85" s="6"/>
      <c r="T85" s="184"/>
      <c r="U85" s="6"/>
    </row>
    <row r="86" spans="1:26" customFormat="1">
      <c r="A86" s="180"/>
      <c r="B86" s="181"/>
      <c r="C86" s="181"/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6"/>
      <c r="S86" s="6"/>
      <c r="T86" s="184"/>
      <c r="U86" s="6"/>
    </row>
    <row r="87" spans="1:26" customFormat="1">
      <c r="A87" s="180"/>
      <c r="B87" s="181"/>
      <c r="C87" s="181"/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6"/>
      <c r="S87" s="6"/>
      <c r="T87" s="184"/>
      <c r="U87" s="6"/>
    </row>
    <row r="88" spans="1:26" customFormat="1">
      <c r="A88" s="180"/>
      <c r="B88" s="181"/>
      <c r="C88" s="181"/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6"/>
      <c r="S88" s="6"/>
      <c r="T88" s="184"/>
      <c r="U88" s="6"/>
    </row>
    <row r="89" spans="1:26" customFormat="1">
      <c r="A89" s="180"/>
      <c r="B89" s="181"/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6"/>
      <c r="S89" s="6"/>
      <c r="T89" s="184"/>
      <c r="U89" s="6"/>
    </row>
    <row r="90" spans="1:26" customFormat="1">
      <c r="A90" s="180"/>
      <c r="B90" s="181"/>
      <c r="C90" s="181"/>
      <c r="D90" s="181"/>
      <c r="E90" s="181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6"/>
      <c r="S90" s="6"/>
      <c r="T90" s="184"/>
      <c r="U90" s="6"/>
    </row>
    <row r="91" spans="1:26" customFormat="1">
      <c r="A91" s="180"/>
      <c r="B91" s="181"/>
      <c r="C91" s="181"/>
      <c r="D91" s="181"/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6"/>
      <c r="S91" s="6"/>
      <c r="T91" s="184"/>
      <c r="U91" s="6"/>
    </row>
    <row r="92" spans="1:26" customFormat="1">
      <c r="A92" s="180"/>
      <c r="B92" s="181"/>
      <c r="C92" s="181"/>
      <c r="D92" s="181"/>
      <c r="E92" s="18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6"/>
      <c r="S92" s="6"/>
      <c r="T92" s="184"/>
      <c r="U92" s="6"/>
    </row>
    <row r="93" spans="1:26" customFormat="1">
      <c r="A93" s="180"/>
      <c r="B93" s="181"/>
      <c r="C93" s="181"/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6"/>
      <c r="S93" s="6"/>
      <c r="T93" s="184"/>
      <c r="U93" s="6"/>
    </row>
    <row r="94" spans="1:26" customFormat="1">
      <c r="A94" s="180"/>
      <c r="B94" s="181"/>
      <c r="C94" s="181"/>
      <c r="D94" s="181"/>
      <c r="E94" s="181"/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6"/>
      <c r="S94" s="6"/>
      <c r="T94" s="184"/>
      <c r="U94" s="6"/>
    </row>
    <row r="95" spans="1:26" customFormat="1">
      <c r="A95" s="180"/>
      <c r="B95" s="181"/>
      <c r="C95" s="181"/>
      <c r="D95" s="181"/>
      <c r="E95" s="181"/>
      <c r="F95" s="181"/>
      <c r="G95" s="181"/>
      <c r="H95" s="181"/>
      <c r="I95" s="181"/>
      <c r="J95" s="181"/>
      <c r="K95" s="181"/>
      <c r="L95" s="181"/>
      <c r="M95" s="181"/>
      <c r="N95" s="181"/>
      <c r="O95" s="181"/>
      <c r="P95" s="181"/>
      <c r="Q95" s="181"/>
      <c r="R95" s="6"/>
      <c r="S95" s="6"/>
      <c r="T95" s="184"/>
      <c r="U95" s="6"/>
    </row>
    <row r="96" spans="1:26" customFormat="1">
      <c r="A96" s="180"/>
      <c r="B96" s="181"/>
      <c r="C96" s="181"/>
      <c r="D96" s="181"/>
      <c r="E96" s="181"/>
      <c r="F96" s="181"/>
      <c r="G96" s="181"/>
      <c r="H96" s="181"/>
      <c r="I96" s="181"/>
      <c r="J96" s="181"/>
      <c r="K96" s="181"/>
      <c r="L96" s="181"/>
      <c r="M96" s="181"/>
      <c r="N96" s="181"/>
      <c r="O96" s="181"/>
      <c r="P96" s="181"/>
      <c r="Q96" s="181"/>
      <c r="R96" s="6"/>
      <c r="S96" s="6"/>
      <c r="T96" s="184"/>
      <c r="U96" s="6"/>
      <c r="Z96" s="194"/>
    </row>
    <row r="97" spans="1:33" customFormat="1">
      <c r="A97" s="180"/>
      <c r="B97" s="181"/>
      <c r="C97" s="181"/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6"/>
      <c r="S97" s="6"/>
      <c r="T97" s="184"/>
      <c r="U97" s="6"/>
    </row>
    <row r="98" spans="1:33" customFormat="1">
      <c r="A98" s="180"/>
      <c r="B98" s="181"/>
      <c r="C98" s="181"/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6"/>
      <c r="S98" s="6"/>
      <c r="T98" s="184"/>
      <c r="U98" s="6"/>
    </row>
    <row r="99" spans="1:33" customFormat="1">
      <c r="A99" s="180"/>
      <c r="B99" s="181"/>
      <c r="C99" s="181"/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6"/>
      <c r="S99" s="6"/>
      <c r="T99" s="184"/>
      <c r="U99" s="6"/>
    </row>
    <row r="100" spans="1:33" customFormat="1">
      <c r="A100" s="180"/>
      <c r="B100" s="181"/>
      <c r="C100" s="181"/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6"/>
      <c r="S100" s="6"/>
      <c r="T100" s="184"/>
      <c r="U100" s="6"/>
      <c r="AB100" s="195"/>
      <c r="AG100" s="194"/>
    </row>
    <row r="101" spans="1:33" customFormat="1">
      <c r="A101" s="180"/>
      <c r="B101" s="181"/>
      <c r="C101" s="181"/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6"/>
      <c r="S101" s="6"/>
      <c r="T101" s="184"/>
      <c r="U101" s="6"/>
    </row>
    <row r="102" spans="1:33" customFormat="1">
      <c r="A102" s="180"/>
      <c r="B102" s="181"/>
      <c r="C102" s="181"/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6"/>
      <c r="S102" s="6"/>
      <c r="T102" s="184"/>
      <c r="U102" s="6"/>
    </row>
    <row r="103" spans="1:33" customFormat="1">
      <c r="A103" s="180"/>
      <c r="B103" s="181"/>
      <c r="C103" s="181"/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6"/>
      <c r="S103" s="6"/>
      <c r="T103" s="184"/>
      <c r="U103" s="6"/>
    </row>
    <row r="104" spans="1:33" customFormat="1">
      <c r="A104" s="180"/>
      <c r="B104" s="181"/>
      <c r="C104" s="181"/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6"/>
      <c r="S104" s="6"/>
      <c r="T104" s="184"/>
      <c r="U104" s="6"/>
    </row>
    <row r="105" spans="1:33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33">
      <c r="A106" s="186" t="s">
        <v>48</v>
      </c>
      <c r="B106" s="187">
        <f>MIN(B9:B104)</f>
        <v>0</v>
      </c>
      <c r="C106" s="187">
        <f>MIN(C9:C104)</f>
        <v>0</v>
      </c>
      <c r="D106" s="187">
        <f t="shared" ref="D106:Q106" si="0">MIN(D9:D104)</f>
        <v>0</v>
      </c>
      <c r="E106" s="187">
        <f t="shared" si="0"/>
        <v>0</v>
      </c>
      <c r="F106" s="187">
        <f t="shared" si="0"/>
        <v>0</v>
      </c>
      <c r="G106" s="187">
        <f t="shared" si="0"/>
        <v>0</v>
      </c>
      <c r="H106" s="187">
        <f t="shared" si="0"/>
        <v>0</v>
      </c>
      <c r="I106" s="187">
        <f t="shared" si="0"/>
        <v>0</v>
      </c>
      <c r="J106" s="187">
        <f t="shared" si="0"/>
        <v>0</v>
      </c>
      <c r="K106" s="187">
        <f t="shared" si="0"/>
        <v>0</v>
      </c>
      <c r="L106" s="187">
        <f t="shared" si="0"/>
        <v>0</v>
      </c>
      <c r="M106" s="187">
        <f t="shared" si="0"/>
        <v>0</v>
      </c>
      <c r="N106" s="187">
        <f t="shared" si="0"/>
        <v>0</v>
      </c>
      <c r="O106" s="187">
        <f t="shared" si="0"/>
        <v>0</v>
      </c>
      <c r="P106" s="187">
        <f t="shared" si="0"/>
        <v>0</v>
      </c>
      <c r="Q106" s="187">
        <f t="shared" si="0"/>
        <v>0</v>
      </c>
      <c r="R106" s="192"/>
      <c r="S106" s="192"/>
      <c r="T106" s="192"/>
      <c r="U106" s="192"/>
    </row>
    <row r="107" spans="1:33">
      <c r="A107" s="186" t="s">
        <v>49</v>
      </c>
      <c r="B107" s="188">
        <f>MAX(B9:B104)</f>
        <v>0</v>
      </c>
      <c r="C107" s="188">
        <f t="shared" ref="C107:Q107" si="1">MAX(C9:C104)</f>
        <v>0</v>
      </c>
      <c r="D107" s="188">
        <f t="shared" si="1"/>
        <v>0</v>
      </c>
      <c r="E107" s="188">
        <f t="shared" si="1"/>
        <v>0</v>
      </c>
      <c r="F107" s="188">
        <f t="shared" si="1"/>
        <v>0</v>
      </c>
      <c r="G107" s="188">
        <f t="shared" si="1"/>
        <v>0</v>
      </c>
      <c r="H107" s="188">
        <f t="shared" si="1"/>
        <v>0</v>
      </c>
      <c r="I107" s="188">
        <f t="shared" si="1"/>
        <v>0</v>
      </c>
      <c r="J107" s="188">
        <f t="shared" si="1"/>
        <v>0</v>
      </c>
      <c r="K107" s="188">
        <f t="shared" si="1"/>
        <v>0</v>
      </c>
      <c r="L107" s="188">
        <f t="shared" si="1"/>
        <v>0</v>
      </c>
      <c r="M107" s="188">
        <f t="shared" si="1"/>
        <v>0</v>
      </c>
      <c r="N107" s="188">
        <f t="shared" si="1"/>
        <v>0</v>
      </c>
      <c r="O107" s="188">
        <f t="shared" si="1"/>
        <v>0</v>
      </c>
      <c r="P107" s="188">
        <f t="shared" si="1"/>
        <v>0</v>
      </c>
      <c r="Q107" s="188">
        <f t="shared" si="1"/>
        <v>0</v>
      </c>
      <c r="R107" s="193"/>
      <c r="S107" s="193"/>
      <c r="T107" s="193"/>
      <c r="U107" s="193"/>
    </row>
    <row r="108" spans="1:33">
      <c r="A108" s="186" t="s">
        <v>50</v>
      </c>
      <c r="B108" s="187" t="e">
        <f>AVERAGE(B9:B104)</f>
        <v>#DIV/0!</v>
      </c>
      <c r="C108" s="187" t="e">
        <f t="shared" ref="C108:Q108" si="2">AVERAGE(C9:C104)</f>
        <v>#DIV/0!</v>
      </c>
      <c r="D108" s="187" t="e">
        <f t="shared" si="2"/>
        <v>#DIV/0!</v>
      </c>
      <c r="E108" s="187" t="e">
        <f t="shared" si="2"/>
        <v>#DIV/0!</v>
      </c>
      <c r="F108" s="187" t="e">
        <f t="shared" si="2"/>
        <v>#DIV/0!</v>
      </c>
      <c r="G108" s="187" t="e">
        <f t="shared" si="2"/>
        <v>#DIV/0!</v>
      </c>
      <c r="H108" s="187" t="e">
        <f t="shared" si="2"/>
        <v>#DIV/0!</v>
      </c>
      <c r="I108" s="187" t="e">
        <f t="shared" si="2"/>
        <v>#DIV/0!</v>
      </c>
      <c r="J108" s="187" t="e">
        <f t="shared" si="2"/>
        <v>#DIV/0!</v>
      </c>
      <c r="K108" s="187" t="e">
        <f t="shared" si="2"/>
        <v>#DIV/0!</v>
      </c>
      <c r="L108" s="187" t="e">
        <f t="shared" si="2"/>
        <v>#DIV/0!</v>
      </c>
      <c r="M108" s="187" t="e">
        <f t="shared" si="2"/>
        <v>#DIV/0!</v>
      </c>
      <c r="N108" s="187" t="e">
        <f t="shared" si="2"/>
        <v>#DIV/0!</v>
      </c>
      <c r="O108" s="187" t="e">
        <f t="shared" si="2"/>
        <v>#DIV/0!</v>
      </c>
      <c r="P108" s="187" t="e">
        <f t="shared" si="2"/>
        <v>#DIV/0!</v>
      </c>
      <c r="Q108" s="187" t="e">
        <f t="shared" si="2"/>
        <v>#DIV/0!</v>
      </c>
      <c r="R108" s="192"/>
      <c r="S108" s="192"/>
      <c r="T108" s="192"/>
      <c r="U108" s="192"/>
    </row>
    <row r="109" spans="1:33">
      <c r="A109" s="186" t="s">
        <v>51</v>
      </c>
      <c r="B109" s="187" t="e">
        <f>STDEV(B9:B104)</f>
        <v>#DIV/0!</v>
      </c>
      <c r="C109" s="187" t="e">
        <f t="shared" ref="C109:Q109" si="3">STDEV(C9:C104)</f>
        <v>#DIV/0!</v>
      </c>
      <c r="D109" s="187" t="e">
        <f t="shared" si="3"/>
        <v>#DIV/0!</v>
      </c>
      <c r="E109" s="187" t="e">
        <f t="shared" si="3"/>
        <v>#DIV/0!</v>
      </c>
      <c r="F109" s="187" t="e">
        <f t="shared" si="3"/>
        <v>#DIV/0!</v>
      </c>
      <c r="G109" s="187" t="e">
        <f t="shared" si="3"/>
        <v>#DIV/0!</v>
      </c>
      <c r="H109" s="187" t="e">
        <f t="shared" si="3"/>
        <v>#DIV/0!</v>
      </c>
      <c r="I109" s="187" t="e">
        <f t="shared" si="3"/>
        <v>#DIV/0!</v>
      </c>
      <c r="J109" s="187" t="e">
        <f t="shared" si="3"/>
        <v>#DIV/0!</v>
      </c>
      <c r="K109" s="187" t="e">
        <f t="shared" si="3"/>
        <v>#DIV/0!</v>
      </c>
      <c r="L109" s="187" t="e">
        <f t="shared" si="3"/>
        <v>#DIV/0!</v>
      </c>
      <c r="M109" s="187" t="e">
        <f t="shared" si="3"/>
        <v>#DIV/0!</v>
      </c>
      <c r="N109" s="187" t="e">
        <f t="shared" si="3"/>
        <v>#DIV/0!</v>
      </c>
      <c r="O109" s="187" t="e">
        <f t="shared" si="3"/>
        <v>#DIV/0!</v>
      </c>
      <c r="P109" s="187" t="e">
        <f t="shared" si="3"/>
        <v>#DIV/0!</v>
      </c>
      <c r="Q109" s="187" t="e">
        <f t="shared" si="3"/>
        <v>#DIV/0!</v>
      </c>
      <c r="R109" s="192"/>
      <c r="S109" s="192"/>
      <c r="T109" s="192"/>
      <c r="U109" s="192"/>
    </row>
    <row r="110" spans="1:33">
      <c r="A110" s="186" t="s">
        <v>52</v>
      </c>
      <c r="B110" s="188">
        <f t="shared" ref="B110:Q110" si="4">COUNT(B9:B104)</f>
        <v>0</v>
      </c>
      <c r="C110" s="188">
        <f t="shared" si="4"/>
        <v>0</v>
      </c>
      <c r="D110" s="188">
        <f t="shared" si="4"/>
        <v>0</v>
      </c>
      <c r="E110" s="188">
        <f t="shared" si="4"/>
        <v>0</v>
      </c>
      <c r="F110" s="188">
        <f t="shared" si="4"/>
        <v>0</v>
      </c>
      <c r="G110" s="188">
        <f t="shared" si="4"/>
        <v>0</v>
      </c>
      <c r="H110" s="188">
        <f t="shared" si="4"/>
        <v>0</v>
      </c>
      <c r="I110" s="188">
        <f t="shared" si="4"/>
        <v>0</v>
      </c>
      <c r="J110" s="188">
        <f t="shared" si="4"/>
        <v>0</v>
      </c>
      <c r="K110" s="188">
        <f t="shared" si="4"/>
        <v>0</v>
      </c>
      <c r="L110" s="188">
        <f t="shared" si="4"/>
        <v>0</v>
      </c>
      <c r="M110" s="188">
        <f t="shared" si="4"/>
        <v>0</v>
      </c>
      <c r="N110" s="188">
        <f t="shared" si="4"/>
        <v>0</v>
      </c>
      <c r="O110" s="188">
        <f t="shared" si="4"/>
        <v>0</v>
      </c>
      <c r="P110" s="188">
        <f t="shared" si="4"/>
        <v>0</v>
      </c>
      <c r="Q110" s="188">
        <f t="shared" si="4"/>
        <v>0</v>
      </c>
      <c r="R110" s="193"/>
      <c r="S110" s="193"/>
      <c r="T110" s="193"/>
      <c r="U110" s="193"/>
      <c r="V110" s="188"/>
    </row>
    <row r="111" spans="1:33">
      <c r="A111" s="153" t="s">
        <v>53</v>
      </c>
      <c r="B111" s="147" t="str">
        <f>IF(B110&gt;=87,"&gt;90%",IF(B110&lt;=87,"&lt;90%"))</f>
        <v>&lt;90%</v>
      </c>
      <c r="C111" s="147" t="str">
        <f t="shared" ref="C111:Q111" si="5">IF(C110&gt;=87,"&gt;90%",IF(C110&lt;=87,"&lt;90%"))</f>
        <v>&lt;90%</v>
      </c>
      <c r="D111" s="147" t="str">
        <f t="shared" si="5"/>
        <v>&lt;90%</v>
      </c>
      <c r="E111" s="147" t="str">
        <f t="shared" si="5"/>
        <v>&lt;90%</v>
      </c>
      <c r="F111" s="147" t="str">
        <f t="shared" si="5"/>
        <v>&lt;90%</v>
      </c>
      <c r="G111" s="147" t="str">
        <f t="shared" si="5"/>
        <v>&lt;90%</v>
      </c>
      <c r="H111" s="147" t="str">
        <f t="shared" si="5"/>
        <v>&lt;90%</v>
      </c>
      <c r="I111" s="147" t="str">
        <f t="shared" si="5"/>
        <v>&lt;90%</v>
      </c>
      <c r="J111" s="147" t="str">
        <f t="shared" si="5"/>
        <v>&lt;90%</v>
      </c>
      <c r="K111" s="147" t="str">
        <f t="shared" si="5"/>
        <v>&lt;90%</v>
      </c>
      <c r="L111" s="147" t="str">
        <f t="shared" si="5"/>
        <v>&lt;90%</v>
      </c>
      <c r="M111" s="147" t="str">
        <f t="shared" si="5"/>
        <v>&lt;90%</v>
      </c>
      <c r="N111" s="147" t="str">
        <f t="shared" si="5"/>
        <v>&lt;90%</v>
      </c>
      <c r="O111" s="147" t="str">
        <f t="shared" si="5"/>
        <v>&lt;90%</v>
      </c>
      <c r="P111" s="147" t="str">
        <f t="shared" si="5"/>
        <v>&lt;90%</v>
      </c>
      <c r="Q111" s="147" t="str">
        <f t="shared" si="5"/>
        <v>&lt;90%</v>
      </c>
      <c r="R111" s="175"/>
      <c r="S111" s="175"/>
      <c r="T111" s="175"/>
      <c r="U111" s="175"/>
    </row>
    <row r="112" spans="1:33">
      <c r="A112" s="153" t="s">
        <v>54</v>
      </c>
      <c r="B112" s="147" t="str">
        <f>IF(B110&gt;=87,"OK",IF(B110&lt;=87,"LESS"))</f>
        <v>LESS</v>
      </c>
      <c r="C112" s="147" t="str">
        <f t="shared" ref="C112:Q112" si="6">IF(C110&gt;=87,"OK",IF(C110&lt;=87,"LESS"))</f>
        <v>LESS</v>
      </c>
      <c r="D112" s="147" t="str">
        <f t="shared" si="6"/>
        <v>LESS</v>
      </c>
      <c r="E112" s="147" t="str">
        <f t="shared" si="6"/>
        <v>LESS</v>
      </c>
      <c r="F112" s="147" t="str">
        <f t="shared" si="6"/>
        <v>LESS</v>
      </c>
      <c r="G112" s="147" t="str">
        <f t="shared" si="6"/>
        <v>LESS</v>
      </c>
      <c r="H112" s="147" t="str">
        <f t="shared" si="6"/>
        <v>LESS</v>
      </c>
      <c r="I112" s="147" t="str">
        <f t="shared" si="6"/>
        <v>LESS</v>
      </c>
      <c r="J112" s="147" t="str">
        <f t="shared" si="6"/>
        <v>LESS</v>
      </c>
      <c r="K112" s="147" t="str">
        <f t="shared" si="6"/>
        <v>LESS</v>
      </c>
      <c r="L112" s="147" t="str">
        <f t="shared" si="6"/>
        <v>LESS</v>
      </c>
      <c r="M112" s="147" t="str">
        <f t="shared" si="6"/>
        <v>LESS</v>
      </c>
      <c r="N112" s="147" t="str">
        <f t="shared" si="6"/>
        <v>LESS</v>
      </c>
      <c r="O112" s="147" t="str">
        <f t="shared" si="6"/>
        <v>LESS</v>
      </c>
      <c r="P112" s="147" t="str">
        <f t="shared" si="6"/>
        <v>LESS</v>
      </c>
      <c r="Q112" s="147" t="str">
        <f t="shared" si="6"/>
        <v>LESS</v>
      </c>
      <c r="R112" s="175"/>
      <c r="S112" s="175"/>
      <c r="T112" s="175"/>
      <c r="U112" s="175"/>
    </row>
    <row r="113" spans="1:21">
      <c r="L113" s="32"/>
      <c r="N113" s="191"/>
      <c r="O113" s="191"/>
      <c r="P113" s="191"/>
      <c r="Q113" s="191"/>
      <c r="R113" s="191"/>
      <c r="S113" s="191"/>
      <c r="T113" s="191"/>
      <c r="U113" s="191"/>
    </row>
    <row r="115" spans="1:21">
      <c r="A115" s="153" t="s">
        <v>55</v>
      </c>
      <c r="B115" s="197" t="s">
        <v>56</v>
      </c>
      <c r="C115" s="197"/>
      <c r="D115" s="197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9" t="s">
        <v>57</v>
      </c>
      <c r="B117" s="198"/>
      <c r="C117" s="198"/>
      <c r="D117" s="198"/>
      <c r="E117" s="198"/>
      <c r="F117" s="198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G117"/>
  <sheetViews>
    <sheetView zoomScale="85" zoomScaleNormal="85" workbookViewId="0">
      <pane xSplit="1" ySplit="8" topLeftCell="B102" activePane="bottomRight" state="frozen"/>
      <selection activeCell="A9" sqref="A9"/>
      <selection pane="topRight" activeCell="A9" sqref="A9"/>
      <selection pane="bottomLeft" activeCell="A9" sqref="A9"/>
      <selection pane="bottomRight" activeCell="A9" sqref="A9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0</v>
      </c>
      <c r="C2" s="196" t="s">
        <v>3</v>
      </c>
      <c r="D2" s="196"/>
      <c r="E2" s="196"/>
      <c r="F2" s="196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2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6" t="s">
        <v>11</v>
      </c>
      <c r="D3" s="196"/>
      <c r="E3" s="196"/>
      <c r="F3" s="196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2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6" t="s">
        <v>18</v>
      </c>
      <c r="D4" s="196"/>
      <c r="E4" s="196"/>
      <c r="F4" s="196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3" t="s">
        <v>43</v>
      </c>
      <c r="M8" s="114" t="s">
        <v>44</v>
      </c>
      <c r="N8" s="114" t="s">
        <v>45</v>
      </c>
      <c r="O8" s="183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80"/>
      <c r="B9" s="181"/>
      <c r="C9" s="181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6"/>
      <c r="S9" s="6"/>
      <c r="T9" s="184"/>
      <c r="U9" s="6"/>
    </row>
    <row r="10" spans="1:21" customFormat="1">
      <c r="A10" s="180"/>
      <c r="B10" s="181"/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6"/>
      <c r="S10" s="6"/>
      <c r="T10" s="184"/>
      <c r="U10" s="6"/>
    </row>
    <row r="11" spans="1:21" customFormat="1">
      <c r="A11" s="180"/>
      <c r="B11" s="181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6"/>
      <c r="S11" s="6"/>
      <c r="T11" s="184"/>
      <c r="U11" s="6"/>
    </row>
    <row r="12" spans="1:21" customFormat="1">
      <c r="A12" s="180"/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6"/>
      <c r="S12" s="6"/>
      <c r="T12" s="184"/>
      <c r="U12" s="6"/>
    </row>
    <row r="13" spans="1:21" customFormat="1">
      <c r="A13" s="180"/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6"/>
      <c r="S13" s="6"/>
      <c r="T13" s="184"/>
      <c r="U13" s="6"/>
    </row>
    <row r="14" spans="1:21" customFormat="1">
      <c r="A14" s="180"/>
      <c r="B14" s="181"/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6"/>
      <c r="S14" s="6"/>
      <c r="T14" s="184"/>
      <c r="U14" s="6"/>
    </row>
    <row r="15" spans="1:21" customFormat="1">
      <c r="A15" s="180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6"/>
      <c r="S15" s="6"/>
      <c r="T15" s="184"/>
      <c r="U15" s="6"/>
    </row>
    <row r="16" spans="1:21" customFormat="1">
      <c r="A16" s="180"/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6"/>
      <c r="S16" s="6"/>
      <c r="T16" s="184"/>
      <c r="U16" s="6"/>
    </row>
    <row r="17" spans="1:21" customFormat="1">
      <c r="A17" s="180"/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6"/>
      <c r="S17" s="6"/>
      <c r="T17" s="184"/>
      <c r="U17" s="6"/>
    </row>
    <row r="18" spans="1:21" customFormat="1">
      <c r="A18" s="180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6"/>
      <c r="S18" s="6"/>
      <c r="T18" s="184"/>
      <c r="U18" s="6"/>
    </row>
    <row r="19" spans="1:21" customFormat="1">
      <c r="A19" s="180"/>
      <c r="B19" s="181"/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6"/>
      <c r="S19" s="6"/>
      <c r="T19" s="184"/>
      <c r="U19" s="6"/>
    </row>
    <row r="20" spans="1:21" customFormat="1">
      <c r="A20" s="180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6"/>
      <c r="S20" s="6"/>
      <c r="T20" s="184"/>
      <c r="U20" s="6"/>
    </row>
    <row r="21" spans="1:21" customFormat="1">
      <c r="A21" s="180"/>
      <c r="B21" s="181"/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6"/>
      <c r="S21" s="6"/>
      <c r="T21" s="184"/>
      <c r="U21" s="6"/>
    </row>
    <row r="22" spans="1:21" customFormat="1">
      <c r="A22" s="180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6"/>
      <c r="S22" s="6"/>
      <c r="T22" s="184"/>
      <c r="U22" s="6"/>
    </row>
    <row r="23" spans="1:21" customFormat="1">
      <c r="A23" s="180"/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6"/>
      <c r="S23" s="6"/>
      <c r="T23" s="184"/>
      <c r="U23" s="6"/>
    </row>
    <row r="24" spans="1:21" customFormat="1">
      <c r="A24" s="180"/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6"/>
      <c r="S24" s="6"/>
      <c r="T24" s="184"/>
      <c r="U24" s="6"/>
    </row>
    <row r="25" spans="1:21" customFormat="1">
      <c r="A25" s="180"/>
      <c r="B25" s="181"/>
      <c r="C25" s="181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6"/>
      <c r="S25" s="6"/>
      <c r="T25" s="184"/>
      <c r="U25" s="6"/>
    </row>
    <row r="26" spans="1:21" customFormat="1">
      <c r="A26" s="180"/>
      <c r="B26" s="181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6"/>
      <c r="S26" s="6"/>
      <c r="T26" s="184"/>
      <c r="U26" s="6"/>
    </row>
    <row r="27" spans="1:21" customFormat="1">
      <c r="A27" s="180"/>
      <c r="B27" s="181"/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6"/>
      <c r="S27" s="6"/>
      <c r="T27" s="184"/>
      <c r="U27" s="6"/>
    </row>
    <row r="28" spans="1:21" customFormat="1">
      <c r="A28" s="180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6"/>
      <c r="S28" s="6"/>
      <c r="T28" s="184"/>
      <c r="U28" s="6"/>
    </row>
    <row r="29" spans="1:21" customFormat="1">
      <c r="A29" s="180"/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6"/>
      <c r="S29" s="6"/>
      <c r="T29" s="184"/>
      <c r="U29" s="6"/>
    </row>
    <row r="30" spans="1:21" customFormat="1">
      <c r="A30" s="180"/>
      <c r="B30" s="181"/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6"/>
      <c r="S30" s="6"/>
      <c r="T30" s="184"/>
      <c r="U30" s="6"/>
    </row>
    <row r="31" spans="1:21" customFormat="1">
      <c r="A31" s="180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6"/>
      <c r="S31" s="6"/>
      <c r="T31" s="184"/>
      <c r="U31" s="6"/>
    </row>
    <row r="32" spans="1:21" customFormat="1">
      <c r="A32" s="180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6"/>
      <c r="S32" s="6"/>
      <c r="T32" s="184"/>
      <c r="U32" s="6"/>
    </row>
    <row r="33" spans="1:21" customFormat="1">
      <c r="A33" s="180"/>
      <c r="B33" s="181"/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6"/>
      <c r="S33" s="6"/>
      <c r="T33" s="184"/>
      <c r="U33" s="6"/>
    </row>
    <row r="34" spans="1:21" customFormat="1">
      <c r="A34" s="180"/>
      <c r="B34" s="181"/>
      <c r="C34" s="181"/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6"/>
      <c r="S34" s="6"/>
      <c r="T34" s="184"/>
      <c r="U34" s="6"/>
    </row>
    <row r="35" spans="1:21" customFormat="1">
      <c r="A35" s="180"/>
      <c r="B35" s="181"/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6"/>
      <c r="S35" s="6"/>
      <c r="T35" s="184"/>
      <c r="U35" s="6"/>
    </row>
    <row r="36" spans="1:21" customFormat="1">
      <c r="A36" s="180"/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6"/>
      <c r="S36" s="6"/>
      <c r="T36" s="184"/>
      <c r="U36" s="6"/>
    </row>
    <row r="37" spans="1:21" customFormat="1">
      <c r="A37" s="180"/>
      <c r="B37" s="181"/>
      <c r="C37" s="181"/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6"/>
      <c r="S37" s="6"/>
      <c r="T37" s="184"/>
      <c r="U37" s="6"/>
    </row>
    <row r="38" spans="1:21" customFormat="1">
      <c r="A38" s="180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6"/>
      <c r="S38" s="6"/>
      <c r="T38" s="184"/>
      <c r="U38" s="6"/>
    </row>
    <row r="39" spans="1:21" customFormat="1">
      <c r="A39" s="180"/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6"/>
      <c r="S39" s="6"/>
      <c r="T39" s="184"/>
      <c r="U39" s="6"/>
    </row>
    <row r="40" spans="1:21" customFormat="1">
      <c r="A40" s="180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6"/>
      <c r="S40" s="6"/>
      <c r="T40" s="184"/>
      <c r="U40" s="6"/>
    </row>
    <row r="41" spans="1:21" customFormat="1">
      <c r="A41" s="180"/>
      <c r="B41" s="181"/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6"/>
      <c r="S41" s="6"/>
      <c r="T41" s="184"/>
      <c r="U41" s="6"/>
    </row>
    <row r="42" spans="1:21" customFormat="1">
      <c r="A42" s="180"/>
      <c r="B42" s="181"/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6"/>
      <c r="S42" s="6"/>
      <c r="T42" s="184"/>
      <c r="U42" s="6"/>
    </row>
    <row r="43" spans="1:21" customFormat="1">
      <c r="A43" s="180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6"/>
      <c r="S43" s="6"/>
      <c r="T43" s="184"/>
      <c r="U43" s="6"/>
    </row>
    <row r="44" spans="1:21" customFormat="1">
      <c r="A44" s="180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6"/>
      <c r="S44" s="6"/>
      <c r="T44" s="184"/>
      <c r="U44" s="6"/>
    </row>
    <row r="45" spans="1:21" customFormat="1">
      <c r="A45" s="180"/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6"/>
      <c r="S45" s="6"/>
      <c r="T45" s="184"/>
      <c r="U45" s="6"/>
    </row>
    <row r="46" spans="1:21" customFormat="1">
      <c r="A46" s="180"/>
      <c r="B46" s="181"/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6"/>
      <c r="S46" s="6"/>
      <c r="T46" s="184"/>
      <c r="U46" s="6"/>
    </row>
    <row r="47" spans="1:21" customFormat="1">
      <c r="A47" s="180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6"/>
      <c r="S47" s="6"/>
      <c r="T47" s="184"/>
      <c r="U47" s="6"/>
    </row>
    <row r="48" spans="1:21" customFormat="1">
      <c r="A48" s="180"/>
      <c r="B48" s="181"/>
      <c r="C48" s="181"/>
      <c r="D48" s="181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6"/>
      <c r="S48" s="6"/>
      <c r="T48" s="184"/>
      <c r="U48" s="6"/>
    </row>
    <row r="49" spans="1:21" customFormat="1">
      <c r="A49" s="180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6"/>
      <c r="S49" s="6"/>
      <c r="T49" s="184"/>
      <c r="U49" s="6"/>
    </row>
    <row r="50" spans="1:21" customFormat="1">
      <c r="A50" s="180"/>
      <c r="B50" s="181"/>
      <c r="C50" s="181"/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6"/>
      <c r="S50" s="6"/>
      <c r="T50" s="184"/>
      <c r="U50" s="6"/>
    </row>
    <row r="51" spans="1:21" customFormat="1">
      <c r="A51" s="180"/>
      <c r="B51" s="181"/>
      <c r="C51" s="181"/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6"/>
      <c r="S51" s="6"/>
      <c r="T51" s="184"/>
      <c r="U51" s="6"/>
    </row>
    <row r="52" spans="1:21" customFormat="1">
      <c r="A52" s="180"/>
      <c r="B52" s="181"/>
      <c r="C52" s="181"/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6"/>
      <c r="S52" s="6"/>
      <c r="T52" s="184"/>
      <c r="U52" s="6"/>
    </row>
    <row r="53" spans="1:21" customFormat="1">
      <c r="A53" s="180"/>
      <c r="B53" s="181"/>
      <c r="C53" s="181"/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6"/>
      <c r="S53" s="6"/>
      <c r="T53" s="184"/>
      <c r="U53" s="6"/>
    </row>
    <row r="54" spans="1:21" customFormat="1">
      <c r="A54" s="180"/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6"/>
      <c r="S54" s="6"/>
      <c r="T54" s="184"/>
      <c r="U54" s="6"/>
    </row>
    <row r="55" spans="1:21" customFormat="1">
      <c r="A55" s="180"/>
      <c r="B55" s="181"/>
      <c r="C55" s="181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6"/>
      <c r="S55" s="6"/>
      <c r="T55" s="184"/>
      <c r="U55" s="6"/>
    </row>
    <row r="56" spans="1:21" customFormat="1">
      <c r="A56" s="180"/>
      <c r="B56" s="181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6"/>
      <c r="S56" s="6"/>
      <c r="T56" s="184"/>
      <c r="U56" s="6"/>
    </row>
    <row r="57" spans="1:21" customFormat="1">
      <c r="A57" s="180"/>
      <c r="B57" s="181"/>
      <c r="C57" s="181"/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6"/>
      <c r="S57" s="6"/>
      <c r="T57" s="184"/>
      <c r="U57" s="6"/>
    </row>
    <row r="58" spans="1:21" customFormat="1">
      <c r="A58" s="180"/>
      <c r="B58" s="181"/>
      <c r="C58" s="181"/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6"/>
      <c r="S58" s="6"/>
      <c r="T58" s="184"/>
      <c r="U58" s="6"/>
    </row>
    <row r="59" spans="1:21" customFormat="1">
      <c r="A59" s="180"/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6"/>
      <c r="S59" s="6"/>
      <c r="T59" s="184"/>
      <c r="U59" s="6"/>
    </row>
    <row r="60" spans="1:21" customFormat="1">
      <c r="A60" s="180"/>
      <c r="B60" s="181"/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6"/>
      <c r="S60" s="6"/>
      <c r="T60" s="184"/>
      <c r="U60" s="6"/>
    </row>
    <row r="61" spans="1:21" customFormat="1">
      <c r="A61" s="180"/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6"/>
      <c r="S61" s="6"/>
      <c r="T61" s="184"/>
      <c r="U61" s="6"/>
    </row>
    <row r="62" spans="1:21" customFormat="1">
      <c r="A62" s="180"/>
      <c r="B62" s="181"/>
      <c r="C62" s="181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6"/>
      <c r="S62" s="6"/>
      <c r="T62" s="184"/>
      <c r="U62" s="6"/>
    </row>
    <row r="63" spans="1:21" customFormat="1">
      <c r="A63" s="180"/>
      <c r="B63" s="181"/>
      <c r="C63" s="181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6"/>
      <c r="S63" s="6"/>
      <c r="T63" s="184"/>
      <c r="U63" s="6"/>
    </row>
    <row r="64" spans="1:21" customFormat="1">
      <c r="A64" s="180"/>
      <c r="B64" s="181"/>
      <c r="C64" s="181"/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6"/>
      <c r="S64" s="6"/>
      <c r="T64" s="184"/>
      <c r="U64" s="6"/>
    </row>
    <row r="65" spans="1:21" customFormat="1">
      <c r="A65" s="180"/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6"/>
      <c r="S65" s="6"/>
      <c r="T65" s="184"/>
      <c r="U65" s="6"/>
    </row>
    <row r="66" spans="1:21" customFormat="1">
      <c r="A66" s="180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6"/>
      <c r="S66" s="6"/>
      <c r="T66" s="184"/>
      <c r="U66" s="6"/>
    </row>
    <row r="67" spans="1:21" customFormat="1">
      <c r="A67" s="180"/>
      <c r="B67" s="181"/>
      <c r="C67" s="181"/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6"/>
      <c r="S67" s="6"/>
      <c r="T67" s="184"/>
      <c r="U67" s="6"/>
    </row>
    <row r="68" spans="1:21" customFormat="1">
      <c r="A68" s="180"/>
      <c r="B68" s="181"/>
      <c r="C68" s="181"/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6"/>
      <c r="S68" s="6"/>
      <c r="T68" s="184"/>
      <c r="U68" s="6"/>
    </row>
    <row r="69" spans="1:21" customFormat="1">
      <c r="A69" s="180"/>
      <c r="B69" s="181"/>
      <c r="C69" s="181"/>
      <c r="D69" s="181"/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6"/>
      <c r="S69" s="6"/>
      <c r="T69" s="184"/>
      <c r="U69" s="6"/>
    </row>
    <row r="70" spans="1:21" customFormat="1">
      <c r="A70" s="180"/>
      <c r="B70" s="181"/>
      <c r="C70" s="181"/>
      <c r="D70" s="181"/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6"/>
      <c r="S70" s="6"/>
      <c r="T70" s="184"/>
      <c r="U70" s="6"/>
    </row>
    <row r="71" spans="1:21" customFormat="1">
      <c r="A71" s="180"/>
      <c r="B71" s="181"/>
      <c r="C71" s="181"/>
      <c r="D71" s="181"/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6"/>
      <c r="S71" s="6"/>
      <c r="T71" s="184"/>
      <c r="U71" s="6"/>
    </row>
    <row r="72" spans="1:21" customFormat="1">
      <c r="A72" s="180"/>
      <c r="B72" s="181"/>
      <c r="C72" s="181"/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6"/>
      <c r="S72" s="6"/>
      <c r="T72" s="184"/>
      <c r="U72" s="6"/>
    </row>
    <row r="73" spans="1:21" customFormat="1">
      <c r="A73" s="180"/>
      <c r="B73" s="181"/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6"/>
      <c r="S73" s="6"/>
      <c r="T73" s="184"/>
      <c r="U73" s="6"/>
    </row>
    <row r="74" spans="1:21" customFormat="1">
      <c r="A74" s="180"/>
      <c r="B74" s="181"/>
      <c r="C74" s="181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6"/>
      <c r="S74" s="6"/>
      <c r="T74" s="184"/>
      <c r="U74" s="6"/>
    </row>
    <row r="75" spans="1:21" customFormat="1">
      <c r="A75" s="180"/>
      <c r="B75" s="181"/>
      <c r="C75" s="181"/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6"/>
      <c r="S75" s="6"/>
      <c r="T75" s="184"/>
      <c r="U75" s="6"/>
    </row>
    <row r="76" spans="1:21" customFormat="1">
      <c r="A76" s="180"/>
      <c r="B76" s="181"/>
      <c r="C76" s="181"/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6"/>
      <c r="S76" s="6"/>
      <c r="T76" s="184"/>
      <c r="U76" s="6"/>
    </row>
    <row r="77" spans="1:21" customFormat="1">
      <c r="A77" s="180"/>
      <c r="B77" s="181"/>
      <c r="C77" s="181"/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6"/>
      <c r="S77" s="6"/>
      <c r="T77" s="184"/>
      <c r="U77" s="6"/>
    </row>
    <row r="78" spans="1:21" customFormat="1">
      <c r="A78" s="180"/>
      <c r="B78" s="181"/>
      <c r="C78" s="181"/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6"/>
      <c r="S78" s="6"/>
      <c r="T78" s="184"/>
      <c r="U78" s="6"/>
    </row>
    <row r="79" spans="1:21" customFormat="1">
      <c r="A79" s="180"/>
      <c r="B79" s="181"/>
      <c r="C79" s="181"/>
      <c r="D79" s="181"/>
      <c r="E79" s="185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6"/>
      <c r="S79" s="6"/>
      <c r="T79" s="184"/>
      <c r="U79" s="6"/>
    </row>
    <row r="80" spans="1:21" customFormat="1">
      <c r="A80" s="180"/>
      <c r="B80" s="181"/>
      <c r="C80" s="181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6"/>
      <c r="S80" s="6"/>
      <c r="T80" s="184"/>
      <c r="U80" s="6"/>
    </row>
    <row r="81" spans="1:26" customFormat="1">
      <c r="A81" s="180"/>
      <c r="B81" s="181"/>
      <c r="C81" s="181"/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6"/>
      <c r="S81" s="6"/>
      <c r="T81" s="184"/>
      <c r="U81" s="6"/>
    </row>
    <row r="82" spans="1:26" customFormat="1">
      <c r="A82" s="180"/>
      <c r="B82" s="181"/>
      <c r="C82" s="181"/>
      <c r="D82" s="181"/>
      <c r="E82" s="181"/>
      <c r="F82" s="181"/>
      <c r="G82" s="181"/>
      <c r="H82" s="181"/>
      <c r="I82" s="181"/>
      <c r="J82" s="190"/>
      <c r="K82" s="181"/>
      <c r="L82" s="181"/>
      <c r="M82" s="181"/>
      <c r="N82" s="181"/>
      <c r="O82" s="181"/>
      <c r="P82" s="181"/>
      <c r="Q82" s="181"/>
      <c r="R82" s="6"/>
      <c r="S82" s="6"/>
      <c r="T82" s="184"/>
      <c r="U82" s="6"/>
    </row>
    <row r="83" spans="1:26" customFormat="1">
      <c r="A83" s="180"/>
      <c r="B83" s="181"/>
      <c r="C83" s="181"/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6"/>
      <c r="S83" s="6"/>
      <c r="T83" s="184"/>
      <c r="U83" s="6"/>
    </row>
    <row r="84" spans="1:26" customFormat="1">
      <c r="A84" s="180"/>
      <c r="B84" s="181"/>
      <c r="C84" s="181"/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6"/>
      <c r="S84" s="6"/>
      <c r="T84" s="184"/>
      <c r="U84" s="6"/>
    </row>
    <row r="85" spans="1:26" customFormat="1">
      <c r="A85" s="180"/>
      <c r="B85" s="181"/>
      <c r="C85" s="181"/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6"/>
      <c r="S85" s="6"/>
      <c r="T85" s="184"/>
      <c r="U85" s="6"/>
    </row>
    <row r="86" spans="1:26" customFormat="1">
      <c r="A86" s="180"/>
      <c r="B86" s="181"/>
      <c r="C86" s="181"/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6"/>
      <c r="S86" s="6"/>
      <c r="T86" s="184"/>
      <c r="U86" s="6"/>
    </row>
    <row r="87" spans="1:26" customFormat="1">
      <c r="A87" s="180"/>
      <c r="B87" s="181"/>
      <c r="C87" s="181"/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6"/>
      <c r="S87" s="6"/>
      <c r="T87" s="184"/>
      <c r="U87" s="6"/>
    </row>
    <row r="88" spans="1:26" customFormat="1">
      <c r="A88" s="180"/>
      <c r="B88" s="181"/>
      <c r="C88" s="181"/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6"/>
      <c r="S88" s="6"/>
      <c r="T88" s="184"/>
      <c r="U88" s="6"/>
    </row>
    <row r="89" spans="1:26" customFormat="1">
      <c r="A89" s="180"/>
      <c r="B89" s="181"/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6"/>
      <c r="S89" s="6"/>
      <c r="T89" s="184"/>
      <c r="U89" s="6"/>
    </row>
    <row r="90" spans="1:26" customFormat="1">
      <c r="A90" s="180"/>
      <c r="B90" s="181"/>
      <c r="C90" s="181"/>
      <c r="D90" s="181"/>
      <c r="E90" s="181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6"/>
      <c r="S90" s="6"/>
      <c r="T90" s="184"/>
      <c r="U90" s="6"/>
    </row>
    <row r="91" spans="1:26" customFormat="1">
      <c r="A91" s="180"/>
      <c r="B91" s="181"/>
      <c r="C91" s="181"/>
      <c r="D91" s="181"/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6"/>
      <c r="S91" s="6"/>
      <c r="T91" s="184"/>
      <c r="U91" s="6"/>
    </row>
    <row r="92" spans="1:26" customFormat="1">
      <c r="A92" s="180"/>
      <c r="B92" s="181"/>
      <c r="C92" s="181"/>
      <c r="D92" s="181"/>
      <c r="E92" s="18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6"/>
      <c r="S92" s="6"/>
      <c r="T92" s="184"/>
      <c r="U92" s="6"/>
    </row>
    <row r="93" spans="1:26" customFormat="1">
      <c r="A93" s="180"/>
      <c r="B93" s="181"/>
      <c r="C93" s="181"/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6"/>
      <c r="S93" s="6"/>
      <c r="T93" s="184"/>
      <c r="U93" s="6"/>
    </row>
    <row r="94" spans="1:26" customFormat="1">
      <c r="A94" s="180"/>
      <c r="B94" s="181"/>
      <c r="C94" s="181"/>
      <c r="D94" s="181"/>
      <c r="E94" s="181"/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6"/>
      <c r="S94" s="6"/>
      <c r="T94" s="184"/>
      <c r="U94" s="6"/>
    </row>
    <row r="95" spans="1:26" customFormat="1">
      <c r="A95" s="180"/>
      <c r="B95" s="181"/>
      <c r="C95" s="181"/>
      <c r="D95" s="181"/>
      <c r="E95" s="181"/>
      <c r="F95" s="181"/>
      <c r="G95" s="181"/>
      <c r="H95" s="181"/>
      <c r="I95" s="181"/>
      <c r="J95" s="181"/>
      <c r="K95" s="181"/>
      <c r="L95" s="181"/>
      <c r="M95" s="181"/>
      <c r="N95" s="181"/>
      <c r="O95" s="181"/>
      <c r="P95" s="181"/>
      <c r="Q95" s="181"/>
      <c r="R95" s="6"/>
      <c r="S95" s="6"/>
      <c r="T95" s="184"/>
      <c r="U95" s="6"/>
    </row>
    <row r="96" spans="1:26" customFormat="1">
      <c r="A96" s="180"/>
      <c r="B96" s="181"/>
      <c r="C96" s="181"/>
      <c r="D96" s="181"/>
      <c r="E96" s="181"/>
      <c r="F96" s="181"/>
      <c r="G96" s="181"/>
      <c r="H96" s="181"/>
      <c r="I96" s="181"/>
      <c r="J96" s="181"/>
      <c r="K96" s="181"/>
      <c r="L96" s="181"/>
      <c r="M96" s="181"/>
      <c r="N96" s="181"/>
      <c r="O96" s="181"/>
      <c r="P96" s="181"/>
      <c r="Q96" s="181"/>
      <c r="R96" s="6"/>
      <c r="S96" s="6"/>
      <c r="T96" s="184"/>
      <c r="U96" s="6"/>
      <c r="Z96" s="194"/>
    </row>
    <row r="97" spans="1:33" customFormat="1">
      <c r="A97" s="180"/>
      <c r="B97" s="181"/>
      <c r="C97" s="181"/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6"/>
      <c r="S97" s="6"/>
      <c r="T97" s="184"/>
      <c r="U97" s="6"/>
    </row>
    <row r="98" spans="1:33" customFormat="1">
      <c r="A98" s="180"/>
      <c r="B98" s="181"/>
      <c r="C98" s="181"/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6"/>
      <c r="S98" s="6"/>
      <c r="T98" s="184"/>
      <c r="U98" s="6"/>
    </row>
    <row r="99" spans="1:33" customFormat="1">
      <c r="A99" s="180"/>
      <c r="B99" s="181"/>
      <c r="C99" s="181"/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6"/>
      <c r="S99" s="6"/>
      <c r="T99" s="184"/>
      <c r="U99" s="6"/>
    </row>
    <row r="100" spans="1:33" customFormat="1">
      <c r="A100" s="180"/>
      <c r="B100" s="181"/>
      <c r="C100" s="181"/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6"/>
      <c r="S100" s="6"/>
      <c r="T100" s="184"/>
      <c r="U100" s="6"/>
      <c r="AB100" s="195"/>
      <c r="AG100" s="194"/>
    </row>
    <row r="101" spans="1:33" customFormat="1">
      <c r="A101" s="180"/>
      <c r="B101" s="181"/>
      <c r="C101" s="181"/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6"/>
      <c r="S101" s="6"/>
      <c r="T101" s="184"/>
      <c r="U101" s="6"/>
    </row>
    <row r="102" spans="1:33" customFormat="1">
      <c r="A102" s="180"/>
      <c r="B102" s="181"/>
      <c r="C102" s="181"/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6"/>
      <c r="S102" s="6"/>
      <c r="T102" s="184"/>
      <c r="U102" s="6"/>
    </row>
    <row r="103" spans="1:33" customFormat="1">
      <c r="A103" s="180"/>
      <c r="B103" s="181"/>
      <c r="C103" s="181"/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6"/>
      <c r="S103" s="6"/>
      <c r="T103" s="184"/>
      <c r="U103" s="6"/>
    </row>
    <row r="104" spans="1:33" customFormat="1">
      <c r="A104" s="180"/>
      <c r="B104" s="181"/>
      <c r="C104" s="181"/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6"/>
      <c r="S104" s="6"/>
      <c r="T104" s="184"/>
      <c r="U104" s="6"/>
    </row>
    <row r="105" spans="1:33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33">
      <c r="A106" s="186" t="s">
        <v>48</v>
      </c>
      <c r="B106" s="187">
        <f>MIN(B9:B104)</f>
        <v>0</v>
      </c>
      <c r="C106" s="187">
        <f>MIN(C9:C104)</f>
        <v>0</v>
      </c>
      <c r="D106" s="187">
        <f t="shared" ref="D106:Q106" si="0">MIN(D9:D104)</f>
        <v>0</v>
      </c>
      <c r="E106" s="187">
        <f t="shared" si="0"/>
        <v>0</v>
      </c>
      <c r="F106" s="187">
        <f t="shared" si="0"/>
        <v>0</v>
      </c>
      <c r="G106" s="187">
        <f t="shared" si="0"/>
        <v>0</v>
      </c>
      <c r="H106" s="187">
        <f t="shared" si="0"/>
        <v>0</v>
      </c>
      <c r="I106" s="187">
        <f t="shared" si="0"/>
        <v>0</v>
      </c>
      <c r="J106" s="187">
        <f t="shared" si="0"/>
        <v>0</v>
      </c>
      <c r="K106" s="187">
        <f t="shared" si="0"/>
        <v>0</v>
      </c>
      <c r="L106" s="187">
        <f t="shared" si="0"/>
        <v>0</v>
      </c>
      <c r="M106" s="187">
        <f t="shared" si="0"/>
        <v>0</v>
      </c>
      <c r="N106" s="187">
        <f t="shared" si="0"/>
        <v>0</v>
      </c>
      <c r="O106" s="187">
        <f t="shared" si="0"/>
        <v>0</v>
      </c>
      <c r="P106" s="187">
        <f t="shared" si="0"/>
        <v>0</v>
      </c>
      <c r="Q106" s="187">
        <f t="shared" si="0"/>
        <v>0</v>
      </c>
      <c r="R106" s="192"/>
      <c r="S106" s="192"/>
      <c r="T106" s="192"/>
      <c r="U106" s="192"/>
    </row>
    <row r="107" spans="1:33">
      <c r="A107" s="186" t="s">
        <v>49</v>
      </c>
      <c r="B107" s="188">
        <f>MAX(B9:B104)</f>
        <v>0</v>
      </c>
      <c r="C107" s="188">
        <f t="shared" ref="C107:Q107" si="1">MAX(C9:C104)</f>
        <v>0</v>
      </c>
      <c r="D107" s="188">
        <f t="shared" si="1"/>
        <v>0</v>
      </c>
      <c r="E107" s="188">
        <f t="shared" si="1"/>
        <v>0</v>
      </c>
      <c r="F107" s="188">
        <f t="shared" si="1"/>
        <v>0</v>
      </c>
      <c r="G107" s="188">
        <f t="shared" si="1"/>
        <v>0</v>
      </c>
      <c r="H107" s="188">
        <f t="shared" si="1"/>
        <v>0</v>
      </c>
      <c r="I107" s="188">
        <f t="shared" si="1"/>
        <v>0</v>
      </c>
      <c r="J107" s="188">
        <f t="shared" si="1"/>
        <v>0</v>
      </c>
      <c r="K107" s="188">
        <f t="shared" si="1"/>
        <v>0</v>
      </c>
      <c r="L107" s="188">
        <f t="shared" si="1"/>
        <v>0</v>
      </c>
      <c r="M107" s="188">
        <f t="shared" si="1"/>
        <v>0</v>
      </c>
      <c r="N107" s="188">
        <f t="shared" si="1"/>
        <v>0</v>
      </c>
      <c r="O107" s="188">
        <f t="shared" si="1"/>
        <v>0</v>
      </c>
      <c r="P107" s="188">
        <f t="shared" si="1"/>
        <v>0</v>
      </c>
      <c r="Q107" s="188">
        <f t="shared" si="1"/>
        <v>0</v>
      </c>
      <c r="R107" s="193"/>
      <c r="S107" s="193"/>
      <c r="T107" s="193"/>
      <c r="U107" s="193"/>
    </row>
    <row r="108" spans="1:33">
      <c r="A108" s="186" t="s">
        <v>50</v>
      </c>
      <c r="B108" s="187" t="e">
        <f>AVERAGE(B9:B104)</f>
        <v>#DIV/0!</v>
      </c>
      <c r="C108" s="187" t="e">
        <f t="shared" ref="C108:Q108" si="2">AVERAGE(C9:C104)</f>
        <v>#DIV/0!</v>
      </c>
      <c r="D108" s="187" t="e">
        <f t="shared" si="2"/>
        <v>#DIV/0!</v>
      </c>
      <c r="E108" s="187" t="e">
        <f t="shared" si="2"/>
        <v>#DIV/0!</v>
      </c>
      <c r="F108" s="187" t="e">
        <f t="shared" si="2"/>
        <v>#DIV/0!</v>
      </c>
      <c r="G108" s="187" t="e">
        <f t="shared" si="2"/>
        <v>#DIV/0!</v>
      </c>
      <c r="H108" s="187" t="e">
        <f t="shared" si="2"/>
        <v>#DIV/0!</v>
      </c>
      <c r="I108" s="187" t="e">
        <f t="shared" si="2"/>
        <v>#DIV/0!</v>
      </c>
      <c r="J108" s="187" t="e">
        <f t="shared" si="2"/>
        <v>#DIV/0!</v>
      </c>
      <c r="K108" s="187" t="e">
        <f t="shared" si="2"/>
        <v>#DIV/0!</v>
      </c>
      <c r="L108" s="187" t="e">
        <f t="shared" si="2"/>
        <v>#DIV/0!</v>
      </c>
      <c r="M108" s="187" t="e">
        <f t="shared" si="2"/>
        <v>#DIV/0!</v>
      </c>
      <c r="N108" s="187" t="e">
        <f t="shared" si="2"/>
        <v>#DIV/0!</v>
      </c>
      <c r="O108" s="187" t="e">
        <f t="shared" si="2"/>
        <v>#DIV/0!</v>
      </c>
      <c r="P108" s="187" t="e">
        <f t="shared" si="2"/>
        <v>#DIV/0!</v>
      </c>
      <c r="Q108" s="187" t="e">
        <f t="shared" si="2"/>
        <v>#DIV/0!</v>
      </c>
      <c r="R108" s="192"/>
      <c r="S108" s="192"/>
      <c r="T108" s="192"/>
      <c r="U108" s="192"/>
    </row>
    <row r="109" spans="1:33">
      <c r="A109" s="186" t="s">
        <v>51</v>
      </c>
      <c r="B109" s="187" t="e">
        <f>STDEV(B9:B104)</f>
        <v>#DIV/0!</v>
      </c>
      <c r="C109" s="187" t="e">
        <f t="shared" ref="C109:Q109" si="3">STDEV(C9:C104)</f>
        <v>#DIV/0!</v>
      </c>
      <c r="D109" s="187" t="e">
        <f t="shared" si="3"/>
        <v>#DIV/0!</v>
      </c>
      <c r="E109" s="187" t="e">
        <f t="shared" si="3"/>
        <v>#DIV/0!</v>
      </c>
      <c r="F109" s="187" t="e">
        <f t="shared" si="3"/>
        <v>#DIV/0!</v>
      </c>
      <c r="G109" s="187" t="e">
        <f t="shared" si="3"/>
        <v>#DIV/0!</v>
      </c>
      <c r="H109" s="187" t="e">
        <f t="shared" si="3"/>
        <v>#DIV/0!</v>
      </c>
      <c r="I109" s="187" t="e">
        <f t="shared" si="3"/>
        <v>#DIV/0!</v>
      </c>
      <c r="J109" s="187" t="e">
        <f t="shared" si="3"/>
        <v>#DIV/0!</v>
      </c>
      <c r="K109" s="187" t="e">
        <f t="shared" si="3"/>
        <v>#DIV/0!</v>
      </c>
      <c r="L109" s="187" t="e">
        <f t="shared" si="3"/>
        <v>#DIV/0!</v>
      </c>
      <c r="M109" s="187" t="e">
        <f t="shared" si="3"/>
        <v>#DIV/0!</v>
      </c>
      <c r="N109" s="187" t="e">
        <f t="shared" si="3"/>
        <v>#DIV/0!</v>
      </c>
      <c r="O109" s="187" t="e">
        <f t="shared" si="3"/>
        <v>#DIV/0!</v>
      </c>
      <c r="P109" s="187" t="e">
        <f t="shared" si="3"/>
        <v>#DIV/0!</v>
      </c>
      <c r="Q109" s="187" t="e">
        <f t="shared" si="3"/>
        <v>#DIV/0!</v>
      </c>
      <c r="R109" s="192"/>
      <c r="S109" s="192"/>
      <c r="T109" s="192"/>
      <c r="U109" s="192"/>
    </row>
    <row r="110" spans="1:33">
      <c r="A110" s="186" t="s">
        <v>52</v>
      </c>
      <c r="B110" s="188">
        <f t="shared" ref="B110:Q110" si="4">COUNT(B9:B104)</f>
        <v>0</v>
      </c>
      <c r="C110" s="188">
        <f t="shared" si="4"/>
        <v>0</v>
      </c>
      <c r="D110" s="188">
        <f t="shared" si="4"/>
        <v>0</v>
      </c>
      <c r="E110" s="188">
        <f t="shared" si="4"/>
        <v>0</v>
      </c>
      <c r="F110" s="188">
        <f t="shared" si="4"/>
        <v>0</v>
      </c>
      <c r="G110" s="188">
        <f t="shared" si="4"/>
        <v>0</v>
      </c>
      <c r="H110" s="188">
        <f t="shared" si="4"/>
        <v>0</v>
      </c>
      <c r="I110" s="188">
        <f t="shared" si="4"/>
        <v>0</v>
      </c>
      <c r="J110" s="188">
        <f t="shared" si="4"/>
        <v>0</v>
      </c>
      <c r="K110" s="188">
        <f t="shared" si="4"/>
        <v>0</v>
      </c>
      <c r="L110" s="188">
        <f t="shared" si="4"/>
        <v>0</v>
      </c>
      <c r="M110" s="188">
        <f t="shared" si="4"/>
        <v>0</v>
      </c>
      <c r="N110" s="188">
        <f t="shared" si="4"/>
        <v>0</v>
      </c>
      <c r="O110" s="188">
        <f t="shared" si="4"/>
        <v>0</v>
      </c>
      <c r="P110" s="188">
        <f t="shared" si="4"/>
        <v>0</v>
      </c>
      <c r="Q110" s="188">
        <f t="shared" si="4"/>
        <v>0</v>
      </c>
      <c r="R110" s="193"/>
      <c r="S110" s="193"/>
      <c r="T110" s="193"/>
      <c r="U110" s="193"/>
      <c r="V110" s="188"/>
    </row>
    <row r="111" spans="1:33">
      <c r="A111" s="153" t="s">
        <v>53</v>
      </c>
      <c r="B111" s="147" t="str">
        <f>IF(B110&gt;=87,"&gt;90%",IF(B110&lt;=87,"&lt;90%"))</f>
        <v>&lt;90%</v>
      </c>
      <c r="C111" s="147" t="str">
        <f t="shared" ref="C111:Q111" si="5">IF(C110&gt;=87,"&gt;90%",IF(C110&lt;=87,"&lt;90%"))</f>
        <v>&lt;90%</v>
      </c>
      <c r="D111" s="147" t="str">
        <f t="shared" si="5"/>
        <v>&lt;90%</v>
      </c>
      <c r="E111" s="147" t="str">
        <f t="shared" si="5"/>
        <v>&lt;90%</v>
      </c>
      <c r="F111" s="147" t="str">
        <f t="shared" si="5"/>
        <v>&lt;90%</v>
      </c>
      <c r="G111" s="147" t="str">
        <f t="shared" si="5"/>
        <v>&lt;90%</v>
      </c>
      <c r="H111" s="147" t="str">
        <f t="shared" si="5"/>
        <v>&lt;90%</v>
      </c>
      <c r="I111" s="147" t="str">
        <f t="shared" si="5"/>
        <v>&lt;90%</v>
      </c>
      <c r="J111" s="147" t="str">
        <f t="shared" si="5"/>
        <v>&lt;90%</v>
      </c>
      <c r="K111" s="147" t="str">
        <f t="shared" si="5"/>
        <v>&lt;90%</v>
      </c>
      <c r="L111" s="147" t="str">
        <f t="shared" si="5"/>
        <v>&lt;90%</v>
      </c>
      <c r="M111" s="147" t="str">
        <f t="shared" si="5"/>
        <v>&lt;90%</v>
      </c>
      <c r="N111" s="147" t="str">
        <f t="shared" si="5"/>
        <v>&lt;90%</v>
      </c>
      <c r="O111" s="147" t="str">
        <f t="shared" si="5"/>
        <v>&lt;90%</v>
      </c>
      <c r="P111" s="147" t="str">
        <f t="shared" si="5"/>
        <v>&lt;90%</v>
      </c>
      <c r="Q111" s="147" t="str">
        <f t="shared" si="5"/>
        <v>&lt;90%</v>
      </c>
      <c r="R111" s="175"/>
      <c r="S111" s="175"/>
      <c r="T111" s="175"/>
      <c r="U111" s="175"/>
    </row>
    <row r="112" spans="1:33">
      <c r="A112" s="153" t="s">
        <v>54</v>
      </c>
      <c r="B112" s="147" t="str">
        <f>IF(B110&gt;=87,"OK",IF(B110&lt;=87,"LESS"))</f>
        <v>LESS</v>
      </c>
      <c r="C112" s="147" t="str">
        <f t="shared" ref="C112:Q112" si="6">IF(C110&gt;=87,"OK",IF(C110&lt;=87,"LESS"))</f>
        <v>LESS</v>
      </c>
      <c r="D112" s="147" t="str">
        <f t="shared" si="6"/>
        <v>LESS</v>
      </c>
      <c r="E112" s="147" t="str">
        <f t="shared" si="6"/>
        <v>LESS</v>
      </c>
      <c r="F112" s="147" t="str">
        <f t="shared" si="6"/>
        <v>LESS</v>
      </c>
      <c r="G112" s="147" t="str">
        <f t="shared" si="6"/>
        <v>LESS</v>
      </c>
      <c r="H112" s="147" t="str">
        <f t="shared" si="6"/>
        <v>LESS</v>
      </c>
      <c r="I112" s="147" t="str">
        <f t="shared" si="6"/>
        <v>LESS</v>
      </c>
      <c r="J112" s="147" t="str">
        <f t="shared" si="6"/>
        <v>LESS</v>
      </c>
      <c r="K112" s="147" t="str">
        <f t="shared" si="6"/>
        <v>LESS</v>
      </c>
      <c r="L112" s="147" t="str">
        <f t="shared" si="6"/>
        <v>LESS</v>
      </c>
      <c r="M112" s="147" t="str">
        <f t="shared" si="6"/>
        <v>LESS</v>
      </c>
      <c r="N112" s="147" t="str">
        <f t="shared" si="6"/>
        <v>LESS</v>
      </c>
      <c r="O112" s="147" t="str">
        <f t="shared" si="6"/>
        <v>LESS</v>
      </c>
      <c r="P112" s="147" t="str">
        <f t="shared" si="6"/>
        <v>LESS</v>
      </c>
      <c r="Q112" s="147" t="str">
        <f t="shared" si="6"/>
        <v>LESS</v>
      </c>
      <c r="R112" s="175"/>
      <c r="S112" s="175"/>
      <c r="T112" s="175"/>
      <c r="U112" s="175"/>
    </row>
    <row r="113" spans="1:21">
      <c r="L113" s="32"/>
      <c r="N113" s="191"/>
      <c r="O113" s="191"/>
      <c r="P113" s="191"/>
      <c r="Q113" s="191"/>
      <c r="R113" s="191"/>
      <c r="S113" s="191"/>
      <c r="T113" s="191"/>
      <c r="U113" s="191"/>
    </row>
    <row r="115" spans="1:21">
      <c r="A115" s="153" t="s">
        <v>55</v>
      </c>
      <c r="B115" s="197" t="s">
        <v>56</v>
      </c>
      <c r="C115" s="197"/>
      <c r="D115" s="197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9" t="s">
        <v>57</v>
      </c>
      <c r="B117" s="198"/>
      <c r="C117" s="198"/>
      <c r="D117" s="198"/>
      <c r="E117" s="198"/>
      <c r="F117" s="198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G117"/>
  <sheetViews>
    <sheetView zoomScale="85" zoomScaleNormal="85" workbookViewId="0">
      <pane xSplit="1" ySplit="8" topLeftCell="B9" activePane="bottomRight" state="frozen"/>
      <selection activeCell="A9" sqref="A9"/>
      <selection pane="topRight" activeCell="A9" sqref="A9"/>
      <selection pane="bottomLeft" activeCell="A9" sqref="A9"/>
      <selection pane="bottomRight" activeCell="A9" sqref="A9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0</v>
      </c>
      <c r="C2" s="196" t="s">
        <v>3</v>
      </c>
      <c r="D2" s="196"/>
      <c r="E2" s="196"/>
      <c r="F2" s="196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2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6" t="s">
        <v>11</v>
      </c>
      <c r="D3" s="196"/>
      <c r="E3" s="196"/>
      <c r="F3" s="196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2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6" t="s">
        <v>18</v>
      </c>
      <c r="D4" s="196"/>
      <c r="E4" s="196"/>
      <c r="F4" s="196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3" t="s">
        <v>43</v>
      </c>
      <c r="M8" s="114" t="s">
        <v>44</v>
      </c>
      <c r="N8" s="114" t="s">
        <v>45</v>
      </c>
      <c r="O8" s="183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80"/>
      <c r="B9" s="181"/>
      <c r="C9" s="181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6"/>
      <c r="S9" s="6"/>
      <c r="T9" s="184"/>
      <c r="U9" s="6"/>
    </row>
    <row r="10" spans="1:21" customFormat="1">
      <c r="A10" s="180"/>
      <c r="B10" s="181"/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6"/>
      <c r="S10" s="6"/>
      <c r="T10" s="184"/>
      <c r="U10" s="6"/>
    </row>
    <row r="11" spans="1:21" customFormat="1">
      <c r="A11" s="180"/>
      <c r="B11" s="181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6"/>
      <c r="S11" s="6"/>
      <c r="T11" s="184"/>
      <c r="U11" s="6"/>
    </row>
    <row r="12" spans="1:21" customFormat="1">
      <c r="A12" s="180"/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6"/>
      <c r="S12" s="6"/>
      <c r="T12" s="184"/>
      <c r="U12" s="6"/>
    </row>
    <row r="13" spans="1:21" customFormat="1">
      <c r="A13" s="180"/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6"/>
      <c r="S13" s="6"/>
      <c r="T13" s="184"/>
      <c r="U13" s="6"/>
    </row>
    <row r="14" spans="1:21" customFormat="1">
      <c r="A14" s="180"/>
      <c r="B14" s="181"/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6"/>
      <c r="S14" s="6"/>
      <c r="T14" s="184"/>
      <c r="U14" s="6"/>
    </row>
    <row r="15" spans="1:21" customFormat="1">
      <c r="A15" s="180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6"/>
      <c r="S15" s="6"/>
      <c r="T15" s="184"/>
      <c r="U15" s="6"/>
    </row>
    <row r="16" spans="1:21" customFormat="1">
      <c r="A16" s="180"/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6"/>
      <c r="S16" s="6"/>
      <c r="T16" s="184"/>
      <c r="U16" s="6"/>
    </row>
    <row r="17" spans="1:21" customFormat="1">
      <c r="A17" s="180"/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6"/>
      <c r="S17" s="6"/>
      <c r="T17" s="184"/>
      <c r="U17" s="6"/>
    </row>
    <row r="18" spans="1:21" customFormat="1">
      <c r="A18" s="180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6"/>
      <c r="S18" s="6"/>
      <c r="T18" s="184"/>
      <c r="U18" s="6"/>
    </row>
    <row r="19" spans="1:21" customFormat="1">
      <c r="A19" s="180"/>
      <c r="B19" s="181"/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6"/>
      <c r="S19" s="6"/>
      <c r="T19" s="184"/>
      <c r="U19" s="6"/>
    </row>
    <row r="20" spans="1:21" customFormat="1">
      <c r="A20" s="180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6"/>
      <c r="S20" s="6"/>
      <c r="T20" s="184"/>
      <c r="U20" s="6"/>
    </row>
    <row r="21" spans="1:21" customFormat="1">
      <c r="A21" s="180"/>
      <c r="B21" s="181"/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6"/>
      <c r="S21" s="6"/>
      <c r="T21" s="184"/>
      <c r="U21" s="6"/>
    </row>
    <row r="22" spans="1:21" customFormat="1">
      <c r="A22" s="180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6"/>
      <c r="S22" s="6"/>
      <c r="T22" s="184"/>
      <c r="U22" s="6"/>
    </row>
    <row r="23" spans="1:21" customFormat="1">
      <c r="A23" s="180"/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6"/>
      <c r="S23" s="6"/>
      <c r="T23" s="184"/>
      <c r="U23" s="6"/>
    </row>
    <row r="24" spans="1:21" customFormat="1">
      <c r="A24" s="180"/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6"/>
      <c r="S24" s="6"/>
      <c r="T24" s="184"/>
      <c r="U24" s="6"/>
    </row>
    <row r="25" spans="1:21" customFormat="1">
      <c r="A25" s="180"/>
      <c r="B25" s="181"/>
      <c r="C25" s="181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6"/>
      <c r="S25" s="6"/>
      <c r="T25" s="184"/>
      <c r="U25" s="6"/>
    </row>
    <row r="26" spans="1:21" customFormat="1">
      <c r="A26" s="180"/>
      <c r="B26" s="181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6"/>
      <c r="S26" s="6"/>
      <c r="T26" s="184"/>
      <c r="U26" s="6"/>
    </row>
    <row r="27" spans="1:21" customFormat="1">
      <c r="A27" s="180"/>
      <c r="B27" s="181"/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6"/>
      <c r="S27" s="6"/>
      <c r="T27" s="184"/>
      <c r="U27" s="6"/>
    </row>
    <row r="28" spans="1:21" customFormat="1">
      <c r="A28" s="180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6"/>
      <c r="S28" s="6"/>
      <c r="T28" s="184"/>
      <c r="U28" s="6"/>
    </row>
    <row r="29" spans="1:21" customFormat="1">
      <c r="A29" s="180"/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6"/>
      <c r="S29" s="6"/>
      <c r="T29" s="184"/>
      <c r="U29" s="6"/>
    </row>
    <row r="30" spans="1:21" customFormat="1">
      <c r="A30" s="180"/>
      <c r="B30" s="181"/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6"/>
      <c r="S30" s="6"/>
      <c r="T30" s="184"/>
      <c r="U30" s="6"/>
    </row>
    <row r="31" spans="1:21" customFormat="1">
      <c r="A31" s="180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6"/>
      <c r="S31" s="6"/>
      <c r="T31" s="184"/>
      <c r="U31" s="6"/>
    </row>
    <row r="32" spans="1:21" customFormat="1">
      <c r="A32" s="180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6"/>
      <c r="S32" s="6"/>
      <c r="T32" s="184"/>
      <c r="U32" s="6"/>
    </row>
    <row r="33" spans="1:21" customFormat="1">
      <c r="A33" s="180"/>
      <c r="B33" s="181"/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6"/>
      <c r="S33" s="6"/>
      <c r="T33" s="184"/>
      <c r="U33" s="6"/>
    </row>
    <row r="34" spans="1:21" customFormat="1">
      <c r="A34" s="180"/>
      <c r="B34" s="181"/>
      <c r="C34" s="181"/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6"/>
      <c r="S34" s="6"/>
      <c r="T34" s="184"/>
      <c r="U34" s="6"/>
    </row>
    <row r="35" spans="1:21" customFormat="1">
      <c r="A35" s="180"/>
      <c r="B35" s="181"/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6"/>
      <c r="S35" s="6"/>
      <c r="T35" s="184"/>
      <c r="U35" s="6"/>
    </row>
    <row r="36" spans="1:21" customFormat="1">
      <c r="A36" s="180"/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6"/>
      <c r="S36" s="6"/>
      <c r="T36" s="184"/>
      <c r="U36" s="6"/>
    </row>
    <row r="37" spans="1:21" customFormat="1">
      <c r="A37" s="180"/>
      <c r="B37" s="181"/>
      <c r="C37" s="181"/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6"/>
      <c r="S37" s="6"/>
      <c r="T37" s="184"/>
      <c r="U37" s="6"/>
    </row>
    <row r="38" spans="1:21" customFormat="1">
      <c r="A38" s="180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6"/>
      <c r="S38" s="6"/>
      <c r="T38" s="184"/>
      <c r="U38" s="6"/>
    </row>
    <row r="39" spans="1:21" customFormat="1">
      <c r="A39" s="180"/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6"/>
      <c r="S39" s="6"/>
      <c r="T39" s="184"/>
      <c r="U39" s="6"/>
    </row>
    <row r="40" spans="1:21" customFormat="1">
      <c r="A40" s="180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6"/>
      <c r="S40" s="6"/>
      <c r="T40" s="184"/>
      <c r="U40" s="6"/>
    </row>
    <row r="41" spans="1:21" customFormat="1">
      <c r="A41" s="180"/>
      <c r="B41" s="181"/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6"/>
      <c r="S41" s="6"/>
      <c r="T41" s="184"/>
      <c r="U41" s="6"/>
    </row>
    <row r="42" spans="1:21" customFormat="1">
      <c r="A42" s="180"/>
      <c r="B42" s="181"/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6"/>
      <c r="S42" s="6"/>
      <c r="T42" s="184"/>
      <c r="U42" s="6"/>
    </row>
    <row r="43" spans="1:21" customFormat="1">
      <c r="A43" s="180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6"/>
      <c r="S43" s="6"/>
      <c r="T43" s="184"/>
      <c r="U43" s="6"/>
    </row>
    <row r="44" spans="1:21" customFormat="1">
      <c r="A44" s="180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6"/>
      <c r="S44" s="6"/>
      <c r="T44" s="184"/>
      <c r="U44" s="6"/>
    </row>
    <row r="45" spans="1:21" customFormat="1">
      <c r="A45" s="180"/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6"/>
      <c r="S45" s="6"/>
      <c r="T45" s="184"/>
      <c r="U45" s="6"/>
    </row>
    <row r="46" spans="1:21" customFormat="1">
      <c r="A46" s="180"/>
      <c r="B46" s="181"/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6"/>
      <c r="S46" s="6"/>
      <c r="T46" s="184"/>
      <c r="U46" s="6"/>
    </row>
    <row r="47" spans="1:21" customFormat="1">
      <c r="A47" s="180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6"/>
      <c r="S47" s="6"/>
      <c r="T47" s="184"/>
      <c r="U47" s="6"/>
    </row>
    <row r="48" spans="1:21" customFormat="1">
      <c r="A48" s="180"/>
      <c r="B48" s="181"/>
      <c r="C48" s="181"/>
      <c r="D48" s="181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6"/>
      <c r="S48" s="6"/>
      <c r="T48" s="184"/>
      <c r="U48" s="6"/>
    </row>
    <row r="49" spans="1:21" customFormat="1">
      <c r="A49" s="180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6"/>
      <c r="S49" s="6"/>
      <c r="T49" s="184"/>
      <c r="U49" s="6"/>
    </row>
    <row r="50" spans="1:21" customFormat="1">
      <c r="A50" s="180"/>
      <c r="B50" s="181"/>
      <c r="C50" s="181"/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6"/>
      <c r="S50" s="6"/>
      <c r="T50" s="184"/>
      <c r="U50" s="6"/>
    </row>
    <row r="51" spans="1:21" customFormat="1">
      <c r="A51" s="180"/>
      <c r="B51" s="181"/>
      <c r="C51" s="181"/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6"/>
      <c r="S51" s="6"/>
      <c r="T51" s="184"/>
      <c r="U51" s="6"/>
    </row>
    <row r="52" spans="1:21" customFormat="1">
      <c r="A52" s="180"/>
      <c r="B52" s="181"/>
      <c r="C52" s="181"/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6"/>
      <c r="S52" s="6"/>
      <c r="T52" s="184"/>
      <c r="U52" s="6"/>
    </row>
    <row r="53" spans="1:21" customFormat="1">
      <c r="A53" s="180"/>
      <c r="B53" s="181"/>
      <c r="C53" s="181"/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6"/>
      <c r="S53" s="6"/>
      <c r="T53" s="184"/>
      <c r="U53" s="6"/>
    </row>
    <row r="54" spans="1:21" customFormat="1">
      <c r="A54" s="180"/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6"/>
      <c r="S54" s="6"/>
      <c r="T54" s="184"/>
      <c r="U54" s="6"/>
    </row>
    <row r="55" spans="1:21" customFormat="1">
      <c r="A55" s="180"/>
      <c r="B55" s="181"/>
      <c r="C55" s="181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6"/>
      <c r="S55" s="6"/>
      <c r="T55" s="184"/>
      <c r="U55" s="6"/>
    </row>
    <row r="56" spans="1:21" customFormat="1">
      <c r="A56" s="180"/>
      <c r="B56" s="181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6"/>
      <c r="S56" s="6"/>
      <c r="T56" s="184"/>
      <c r="U56" s="6"/>
    </row>
    <row r="57" spans="1:21" customFormat="1">
      <c r="A57" s="180"/>
      <c r="B57" s="181"/>
      <c r="C57" s="181"/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6"/>
      <c r="S57" s="6"/>
      <c r="T57" s="184"/>
      <c r="U57" s="6"/>
    </row>
    <row r="58" spans="1:21" customFormat="1">
      <c r="A58" s="180"/>
      <c r="B58" s="181"/>
      <c r="C58" s="181"/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6"/>
      <c r="S58" s="6"/>
      <c r="T58" s="184"/>
      <c r="U58" s="6"/>
    </row>
    <row r="59" spans="1:21" customFormat="1">
      <c r="A59" s="180"/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6"/>
      <c r="S59" s="6"/>
      <c r="T59" s="184"/>
      <c r="U59" s="6"/>
    </row>
    <row r="60" spans="1:21" customFormat="1">
      <c r="A60" s="180"/>
      <c r="B60" s="181"/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6"/>
      <c r="S60" s="6"/>
      <c r="T60" s="184"/>
      <c r="U60" s="6"/>
    </row>
    <row r="61" spans="1:21" customFormat="1">
      <c r="A61" s="180"/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6"/>
      <c r="S61" s="6"/>
      <c r="T61" s="184"/>
      <c r="U61" s="6"/>
    </row>
    <row r="62" spans="1:21" customFormat="1">
      <c r="A62" s="180"/>
      <c r="B62" s="181"/>
      <c r="C62" s="181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6"/>
      <c r="S62" s="6"/>
      <c r="T62" s="184"/>
      <c r="U62" s="6"/>
    </row>
    <row r="63" spans="1:21" customFormat="1">
      <c r="A63" s="180"/>
      <c r="B63" s="181"/>
      <c r="C63" s="181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6"/>
      <c r="S63" s="6"/>
      <c r="T63" s="184"/>
      <c r="U63" s="6"/>
    </row>
    <row r="64" spans="1:21" customFormat="1">
      <c r="A64" s="180"/>
      <c r="B64" s="181"/>
      <c r="C64" s="181"/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6"/>
      <c r="S64" s="6"/>
      <c r="T64" s="184"/>
      <c r="U64" s="6"/>
    </row>
    <row r="65" spans="1:21" customFormat="1">
      <c r="A65" s="180"/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6"/>
      <c r="S65" s="6"/>
      <c r="T65" s="184"/>
      <c r="U65" s="6"/>
    </row>
    <row r="66" spans="1:21" customFormat="1">
      <c r="A66" s="180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6"/>
      <c r="S66" s="6"/>
      <c r="T66" s="184"/>
      <c r="U66" s="6"/>
    </row>
    <row r="67" spans="1:21" customFormat="1">
      <c r="A67" s="180"/>
      <c r="B67" s="181"/>
      <c r="C67" s="181"/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6"/>
      <c r="S67" s="6"/>
      <c r="T67" s="184"/>
      <c r="U67" s="6"/>
    </row>
    <row r="68" spans="1:21" customFormat="1">
      <c r="A68" s="180"/>
      <c r="B68" s="181"/>
      <c r="C68" s="181"/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6"/>
      <c r="S68" s="6"/>
      <c r="T68" s="184"/>
      <c r="U68" s="6"/>
    </row>
    <row r="69" spans="1:21" customFormat="1">
      <c r="A69" s="180"/>
      <c r="B69" s="181"/>
      <c r="C69" s="181"/>
      <c r="D69" s="181"/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6"/>
      <c r="S69" s="6"/>
      <c r="T69" s="184"/>
      <c r="U69" s="6"/>
    </row>
    <row r="70" spans="1:21" customFormat="1">
      <c r="A70" s="180"/>
      <c r="B70" s="181"/>
      <c r="C70" s="181"/>
      <c r="D70" s="181"/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6"/>
      <c r="S70" s="6"/>
      <c r="T70" s="184"/>
      <c r="U70" s="6"/>
    </row>
    <row r="71" spans="1:21" customFormat="1">
      <c r="A71" s="180"/>
      <c r="B71" s="181"/>
      <c r="C71" s="181"/>
      <c r="D71" s="181"/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6"/>
      <c r="S71" s="6"/>
      <c r="T71" s="184"/>
      <c r="U71" s="6"/>
    </row>
    <row r="72" spans="1:21" customFormat="1">
      <c r="A72" s="180"/>
      <c r="B72" s="181"/>
      <c r="C72" s="181"/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6"/>
      <c r="S72" s="6"/>
      <c r="T72" s="184"/>
      <c r="U72" s="6"/>
    </row>
    <row r="73" spans="1:21" customFormat="1">
      <c r="A73" s="180"/>
      <c r="B73" s="181"/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6"/>
      <c r="S73" s="6"/>
      <c r="T73" s="184"/>
      <c r="U73" s="6"/>
    </row>
    <row r="74" spans="1:21" customFormat="1">
      <c r="A74" s="180"/>
      <c r="B74" s="181"/>
      <c r="C74" s="181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6"/>
      <c r="S74" s="6"/>
      <c r="T74" s="184"/>
      <c r="U74" s="6"/>
    </row>
    <row r="75" spans="1:21" customFormat="1">
      <c r="A75" s="180"/>
      <c r="B75" s="181"/>
      <c r="C75" s="181"/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6"/>
      <c r="S75" s="6"/>
      <c r="T75" s="184"/>
      <c r="U75" s="6"/>
    </row>
    <row r="76" spans="1:21" customFormat="1">
      <c r="A76" s="180"/>
      <c r="B76" s="181"/>
      <c r="C76" s="181"/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6"/>
      <c r="S76" s="6"/>
      <c r="T76" s="184"/>
      <c r="U76" s="6"/>
    </row>
    <row r="77" spans="1:21" customFormat="1">
      <c r="A77" s="180"/>
      <c r="B77" s="181"/>
      <c r="C77" s="181"/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6"/>
      <c r="S77" s="6"/>
      <c r="T77" s="184"/>
      <c r="U77" s="6"/>
    </row>
    <row r="78" spans="1:21" customFormat="1">
      <c r="A78" s="180"/>
      <c r="B78" s="181"/>
      <c r="C78" s="181"/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6"/>
      <c r="S78" s="6"/>
      <c r="T78" s="184"/>
      <c r="U78" s="6"/>
    </row>
    <row r="79" spans="1:21" customFormat="1">
      <c r="A79" s="180"/>
      <c r="B79" s="181"/>
      <c r="C79" s="181"/>
      <c r="D79" s="181"/>
      <c r="E79" s="185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6"/>
      <c r="S79" s="6"/>
      <c r="T79" s="184"/>
      <c r="U79" s="6"/>
    </row>
    <row r="80" spans="1:21" customFormat="1">
      <c r="A80" s="180"/>
      <c r="B80" s="181"/>
      <c r="C80" s="181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6"/>
      <c r="S80" s="6"/>
      <c r="T80" s="184"/>
      <c r="U80" s="6"/>
    </row>
    <row r="81" spans="1:26" customFormat="1">
      <c r="A81" s="180"/>
      <c r="B81" s="181"/>
      <c r="C81" s="181"/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6"/>
      <c r="S81" s="6"/>
      <c r="T81" s="184"/>
      <c r="U81" s="6"/>
    </row>
    <row r="82" spans="1:26" customFormat="1">
      <c r="A82" s="180"/>
      <c r="B82" s="181"/>
      <c r="C82" s="181"/>
      <c r="D82" s="181"/>
      <c r="E82" s="181"/>
      <c r="F82" s="181"/>
      <c r="G82" s="181"/>
      <c r="H82" s="181"/>
      <c r="I82" s="181"/>
      <c r="J82" s="190"/>
      <c r="K82" s="181"/>
      <c r="L82" s="181"/>
      <c r="M82" s="181"/>
      <c r="N82" s="181"/>
      <c r="O82" s="181"/>
      <c r="P82" s="181"/>
      <c r="Q82" s="181"/>
      <c r="R82" s="6"/>
      <c r="S82" s="6"/>
      <c r="T82" s="184"/>
      <c r="U82" s="6"/>
    </row>
    <row r="83" spans="1:26" customFormat="1">
      <c r="A83" s="180"/>
      <c r="B83" s="181"/>
      <c r="C83" s="181"/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6"/>
      <c r="S83" s="6"/>
      <c r="T83" s="184"/>
      <c r="U83" s="6"/>
    </row>
    <row r="84" spans="1:26" customFormat="1">
      <c r="A84" s="180"/>
      <c r="B84" s="181"/>
      <c r="C84" s="181"/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6"/>
      <c r="S84" s="6"/>
      <c r="T84" s="184"/>
      <c r="U84" s="6"/>
    </row>
    <row r="85" spans="1:26" customFormat="1">
      <c r="A85" s="180"/>
      <c r="B85" s="181"/>
      <c r="C85" s="181"/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6"/>
      <c r="S85" s="6"/>
      <c r="T85" s="184"/>
      <c r="U85" s="6"/>
    </row>
    <row r="86" spans="1:26" customFormat="1">
      <c r="A86" s="180"/>
      <c r="B86" s="181"/>
      <c r="C86" s="181"/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6"/>
      <c r="S86" s="6"/>
      <c r="T86" s="184"/>
      <c r="U86" s="6"/>
    </row>
    <row r="87" spans="1:26" customFormat="1">
      <c r="A87" s="180"/>
      <c r="B87" s="181"/>
      <c r="C87" s="181"/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6"/>
      <c r="S87" s="6"/>
      <c r="T87" s="184"/>
      <c r="U87" s="6"/>
    </row>
    <row r="88" spans="1:26" customFormat="1">
      <c r="A88" s="180"/>
      <c r="B88" s="181"/>
      <c r="C88" s="181"/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6"/>
      <c r="S88" s="6"/>
      <c r="T88" s="184"/>
      <c r="U88" s="6"/>
    </row>
    <row r="89" spans="1:26" customFormat="1">
      <c r="A89" s="180"/>
      <c r="B89" s="181"/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6"/>
      <c r="S89" s="6"/>
      <c r="T89" s="184"/>
      <c r="U89" s="6"/>
    </row>
    <row r="90" spans="1:26" customFormat="1">
      <c r="A90" s="180"/>
      <c r="B90" s="181"/>
      <c r="C90" s="181"/>
      <c r="D90" s="181"/>
      <c r="E90" s="181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6"/>
      <c r="S90" s="6"/>
      <c r="T90" s="184"/>
      <c r="U90" s="6"/>
    </row>
    <row r="91" spans="1:26" customFormat="1">
      <c r="A91" s="180"/>
      <c r="B91" s="181"/>
      <c r="C91" s="181"/>
      <c r="D91" s="181"/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6"/>
      <c r="S91" s="6"/>
      <c r="T91" s="184"/>
      <c r="U91" s="6"/>
    </row>
    <row r="92" spans="1:26" customFormat="1">
      <c r="A92" s="180"/>
      <c r="B92" s="181"/>
      <c r="C92" s="181"/>
      <c r="D92" s="181"/>
      <c r="E92" s="18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6"/>
      <c r="S92" s="6"/>
      <c r="T92" s="184"/>
      <c r="U92" s="6"/>
    </row>
    <row r="93" spans="1:26" customFormat="1">
      <c r="A93" s="180"/>
      <c r="B93" s="181"/>
      <c r="C93" s="181"/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6"/>
      <c r="S93" s="6"/>
      <c r="T93" s="184"/>
      <c r="U93" s="6"/>
    </row>
    <row r="94" spans="1:26" customFormat="1">
      <c r="A94" s="180"/>
      <c r="B94" s="181"/>
      <c r="C94" s="181"/>
      <c r="D94" s="181"/>
      <c r="E94" s="181"/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6"/>
      <c r="S94" s="6"/>
      <c r="T94" s="184"/>
      <c r="U94" s="6"/>
    </row>
    <row r="95" spans="1:26" customFormat="1">
      <c r="A95" s="180"/>
      <c r="B95" s="181"/>
      <c r="C95" s="181"/>
      <c r="D95" s="181"/>
      <c r="E95" s="181"/>
      <c r="F95" s="181"/>
      <c r="G95" s="181"/>
      <c r="H95" s="181"/>
      <c r="I95" s="181"/>
      <c r="J95" s="181"/>
      <c r="K95" s="181"/>
      <c r="L95" s="181"/>
      <c r="M95" s="181"/>
      <c r="N95" s="181"/>
      <c r="O95" s="181"/>
      <c r="P95" s="181"/>
      <c r="Q95" s="181"/>
      <c r="R95" s="6"/>
      <c r="S95" s="6"/>
      <c r="T95" s="184"/>
      <c r="U95" s="6"/>
    </row>
    <row r="96" spans="1:26" customFormat="1">
      <c r="A96" s="180"/>
      <c r="B96" s="181"/>
      <c r="C96" s="181"/>
      <c r="D96" s="181"/>
      <c r="E96" s="181"/>
      <c r="F96" s="181"/>
      <c r="G96" s="181"/>
      <c r="H96" s="181"/>
      <c r="I96" s="181"/>
      <c r="J96" s="181"/>
      <c r="K96" s="181"/>
      <c r="L96" s="181"/>
      <c r="M96" s="181"/>
      <c r="N96" s="181"/>
      <c r="O96" s="181"/>
      <c r="P96" s="181"/>
      <c r="Q96" s="181"/>
      <c r="R96" s="6"/>
      <c r="S96" s="6"/>
      <c r="T96" s="184"/>
      <c r="U96" s="6"/>
      <c r="Z96" s="194"/>
    </row>
    <row r="97" spans="1:33" customFormat="1">
      <c r="A97" s="180"/>
      <c r="B97" s="181"/>
      <c r="C97" s="181"/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6"/>
      <c r="S97" s="6"/>
      <c r="T97" s="184"/>
      <c r="U97" s="6"/>
    </row>
    <row r="98" spans="1:33" customFormat="1">
      <c r="A98" s="180"/>
      <c r="B98" s="181"/>
      <c r="C98" s="181"/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6"/>
      <c r="S98" s="6"/>
      <c r="T98" s="184"/>
      <c r="U98" s="6"/>
    </row>
    <row r="99" spans="1:33" customFormat="1">
      <c r="A99" s="180"/>
      <c r="B99" s="181"/>
      <c r="C99" s="181"/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6"/>
      <c r="S99" s="6"/>
      <c r="T99" s="184"/>
      <c r="U99" s="6"/>
    </row>
    <row r="100" spans="1:33" customFormat="1">
      <c r="A100" s="180"/>
      <c r="B100" s="181"/>
      <c r="C100" s="181"/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6"/>
      <c r="S100" s="6"/>
      <c r="T100" s="184"/>
      <c r="U100" s="6"/>
      <c r="AB100" s="195"/>
      <c r="AG100" s="194"/>
    </row>
    <row r="101" spans="1:33" customFormat="1">
      <c r="A101" s="180"/>
      <c r="B101" s="181"/>
      <c r="C101" s="181"/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6"/>
      <c r="S101" s="6"/>
      <c r="T101" s="184"/>
      <c r="U101" s="6"/>
    </row>
    <row r="102" spans="1:33" customFormat="1">
      <c r="A102" s="180"/>
      <c r="B102" s="181"/>
      <c r="C102" s="181"/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6"/>
      <c r="S102" s="6"/>
      <c r="T102" s="184"/>
      <c r="U102" s="6"/>
    </row>
    <row r="103" spans="1:33" customFormat="1">
      <c r="A103" s="180"/>
      <c r="B103" s="181"/>
      <c r="C103" s="181"/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6"/>
      <c r="S103" s="6"/>
      <c r="T103" s="184"/>
      <c r="U103" s="6"/>
    </row>
    <row r="104" spans="1:33" customFormat="1">
      <c r="A104" s="180"/>
      <c r="B104" s="181"/>
      <c r="C104" s="181"/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6"/>
      <c r="S104" s="6"/>
      <c r="T104" s="184"/>
      <c r="U104" s="6"/>
    </row>
    <row r="105" spans="1:33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33">
      <c r="A106" s="186" t="s">
        <v>48</v>
      </c>
      <c r="B106" s="187">
        <f>MIN(B9:B104)</f>
        <v>0</v>
      </c>
      <c r="C106" s="187">
        <f>MIN(C9:C104)</f>
        <v>0</v>
      </c>
      <c r="D106" s="187">
        <f t="shared" ref="D106:Q106" si="0">MIN(D9:D104)</f>
        <v>0</v>
      </c>
      <c r="E106" s="187">
        <f t="shared" si="0"/>
        <v>0</v>
      </c>
      <c r="F106" s="187">
        <f t="shared" si="0"/>
        <v>0</v>
      </c>
      <c r="G106" s="187">
        <f t="shared" si="0"/>
        <v>0</v>
      </c>
      <c r="H106" s="187">
        <f t="shared" si="0"/>
        <v>0</v>
      </c>
      <c r="I106" s="187">
        <f t="shared" si="0"/>
        <v>0</v>
      </c>
      <c r="J106" s="187">
        <f t="shared" si="0"/>
        <v>0</v>
      </c>
      <c r="K106" s="187">
        <f t="shared" si="0"/>
        <v>0</v>
      </c>
      <c r="L106" s="187">
        <f t="shared" si="0"/>
        <v>0</v>
      </c>
      <c r="M106" s="187">
        <f t="shared" si="0"/>
        <v>0</v>
      </c>
      <c r="N106" s="187">
        <f t="shared" si="0"/>
        <v>0</v>
      </c>
      <c r="O106" s="187">
        <f t="shared" si="0"/>
        <v>0</v>
      </c>
      <c r="P106" s="187">
        <f t="shared" si="0"/>
        <v>0</v>
      </c>
      <c r="Q106" s="187">
        <f t="shared" si="0"/>
        <v>0</v>
      </c>
      <c r="R106" s="192"/>
      <c r="S106" s="192"/>
      <c r="T106" s="192"/>
      <c r="U106" s="192"/>
    </row>
    <row r="107" spans="1:33">
      <c r="A107" s="186" t="s">
        <v>49</v>
      </c>
      <c r="B107" s="188">
        <f>MAX(B9:B104)</f>
        <v>0</v>
      </c>
      <c r="C107" s="188">
        <f t="shared" ref="C107:Q107" si="1">MAX(C9:C104)</f>
        <v>0</v>
      </c>
      <c r="D107" s="188">
        <f t="shared" si="1"/>
        <v>0</v>
      </c>
      <c r="E107" s="188">
        <f t="shared" si="1"/>
        <v>0</v>
      </c>
      <c r="F107" s="188">
        <f t="shared" si="1"/>
        <v>0</v>
      </c>
      <c r="G107" s="188">
        <f t="shared" si="1"/>
        <v>0</v>
      </c>
      <c r="H107" s="188">
        <f t="shared" si="1"/>
        <v>0</v>
      </c>
      <c r="I107" s="188">
        <f t="shared" si="1"/>
        <v>0</v>
      </c>
      <c r="J107" s="188">
        <f t="shared" si="1"/>
        <v>0</v>
      </c>
      <c r="K107" s="188">
        <f t="shared" si="1"/>
        <v>0</v>
      </c>
      <c r="L107" s="188">
        <f t="shared" si="1"/>
        <v>0</v>
      </c>
      <c r="M107" s="188">
        <f t="shared" si="1"/>
        <v>0</v>
      </c>
      <c r="N107" s="188">
        <f t="shared" si="1"/>
        <v>0</v>
      </c>
      <c r="O107" s="188">
        <f t="shared" si="1"/>
        <v>0</v>
      </c>
      <c r="P107" s="188">
        <f t="shared" si="1"/>
        <v>0</v>
      </c>
      <c r="Q107" s="188">
        <f t="shared" si="1"/>
        <v>0</v>
      </c>
      <c r="R107" s="193"/>
      <c r="S107" s="193"/>
      <c r="T107" s="193"/>
      <c r="U107" s="193"/>
    </row>
    <row r="108" spans="1:33">
      <c r="A108" s="186" t="s">
        <v>50</v>
      </c>
      <c r="B108" s="187" t="e">
        <f>AVERAGE(B9:B104)</f>
        <v>#DIV/0!</v>
      </c>
      <c r="C108" s="187" t="e">
        <f t="shared" ref="C108:Q108" si="2">AVERAGE(C9:C104)</f>
        <v>#DIV/0!</v>
      </c>
      <c r="D108" s="187" t="e">
        <f t="shared" si="2"/>
        <v>#DIV/0!</v>
      </c>
      <c r="E108" s="187" t="e">
        <f t="shared" si="2"/>
        <v>#DIV/0!</v>
      </c>
      <c r="F108" s="187" t="e">
        <f t="shared" si="2"/>
        <v>#DIV/0!</v>
      </c>
      <c r="G108" s="187" t="e">
        <f t="shared" si="2"/>
        <v>#DIV/0!</v>
      </c>
      <c r="H108" s="187" t="e">
        <f t="shared" si="2"/>
        <v>#DIV/0!</v>
      </c>
      <c r="I108" s="187" t="e">
        <f t="shared" si="2"/>
        <v>#DIV/0!</v>
      </c>
      <c r="J108" s="187" t="e">
        <f t="shared" si="2"/>
        <v>#DIV/0!</v>
      </c>
      <c r="K108" s="187" t="e">
        <f t="shared" si="2"/>
        <v>#DIV/0!</v>
      </c>
      <c r="L108" s="187" t="e">
        <f t="shared" si="2"/>
        <v>#DIV/0!</v>
      </c>
      <c r="M108" s="187" t="e">
        <f t="shared" si="2"/>
        <v>#DIV/0!</v>
      </c>
      <c r="N108" s="187" t="e">
        <f t="shared" si="2"/>
        <v>#DIV/0!</v>
      </c>
      <c r="O108" s="187" t="e">
        <f t="shared" si="2"/>
        <v>#DIV/0!</v>
      </c>
      <c r="P108" s="187" t="e">
        <f t="shared" si="2"/>
        <v>#DIV/0!</v>
      </c>
      <c r="Q108" s="187" t="e">
        <f t="shared" si="2"/>
        <v>#DIV/0!</v>
      </c>
      <c r="R108" s="192"/>
      <c r="S108" s="192"/>
      <c r="T108" s="192"/>
      <c r="U108" s="192"/>
    </row>
    <row r="109" spans="1:33">
      <c r="A109" s="186" t="s">
        <v>51</v>
      </c>
      <c r="B109" s="187" t="e">
        <f>STDEV(B9:B104)</f>
        <v>#DIV/0!</v>
      </c>
      <c r="C109" s="187" t="e">
        <f t="shared" ref="C109:Q109" si="3">STDEV(C9:C104)</f>
        <v>#DIV/0!</v>
      </c>
      <c r="D109" s="187" t="e">
        <f t="shared" si="3"/>
        <v>#DIV/0!</v>
      </c>
      <c r="E109" s="187" t="e">
        <f t="shared" si="3"/>
        <v>#DIV/0!</v>
      </c>
      <c r="F109" s="187" t="e">
        <f t="shared" si="3"/>
        <v>#DIV/0!</v>
      </c>
      <c r="G109" s="187" t="e">
        <f t="shared" si="3"/>
        <v>#DIV/0!</v>
      </c>
      <c r="H109" s="187" t="e">
        <f t="shared" si="3"/>
        <v>#DIV/0!</v>
      </c>
      <c r="I109" s="187" t="e">
        <f t="shared" si="3"/>
        <v>#DIV/0!</v>
      </c>
      <c r="J109" s="187" t="e">
        <f t="shared" si="3"/>
        <v>#DIV/0!</v>
      </c>
      <c r="K109" s="187" t="e">
        <f t="shared" si="3"/>
        <v>#DIV/0!</v>
      </c>
      <c r="L109" s="187" t="e">
        <f t="shared" si="3"/>
        <v>#DIV/0!</v>
      </c>
      <c r="M109" s="187" t="e">
        <f t="shared" si="3"/>
        <v>#DIV/0!</v>
      </c>
      <c r="N109" s="187" t="e">
        <f t="shared" si="3"/>
        <v>#DIV/0!</v>
      </c>
      <c r="O109" s="187" t="e">
        <f t="shared" si="3"/>
        <v>#DIV/0!</v>
      </c>
      <c r="P109" s="187" t="e">
        <f t="shared" si="3"/>
        <v>#DIV/0!</v>
      </c>
      <c r="Q109" s="187" t="e">
        <f t="shared" si="3"/>
        <v>#DIV/0!</v>
      </c>
      <c r="R109" s="192"/>
      <c r="S109" s="192"/>
      <c r="T109" s="192"/>
      <c r="U109" s="192"/>
    </row>
    <row r="110" spans="1:33">
      <c r="A110" s="186" t="s">
        <v>52</v>
      </c>
      <c r="B110" s="188">
        <f t="shared" ref="B110:Q110" si="4">COUNT(B9:B104)</f>
        <v>0</v>
      </c>
      <c r="C110" s="188">
        <f t="shared" si="4"/>
        <v>0</v>
      </c>
      <c r="D110" s="188">
        <f t="shared" si="4"/>
        <v>0</v>
      </c>
      <c r="E110" s="188">
        <f t="shared" si="4"/>
        <v>0</v>
      </c>
      <c r="F110" s="188">
        <f t="shared" si="4"/>
        <v>0</v>
      </c>
      <c r="G110" s="188">
        <f t="shared" si="4"/>
        <v>0</v>
      </c>
      <c r="H110" s="188">
        <f t="shared" si="4"/>
        <v>0</v>
      </c>
      <c r="I110" s="188">
        <f t="shared" si="4"/>
        <v>0</v>
      </c>
      <c r="J110" s="188">
        <f t="shared" si="4"/>
        <v>0</v>
      </c>
      <c r="K110" s="188">
        <f t="shared" si="4"/>
        <v>0</v>
      </c>
      <c r="L110" s="188">
        <f t="shared" si="4"/>
        <v>0</v>
      </c>
      <c r="M110" s="188">
        <f t="shared" si="4"/>
        <v>0</v>
      </c>
      <c r="N110" s="188">
        <f t="shared" si="4"/>
        <v>0</v>
      </c>
      <c r="O110" s="188">
        <f t="shared" si="4"/>
        <v>0</v>
      </c>
      <c r="P110" s="188">
        <f t="shared" si="4"/>
        <v>0</v>
      </c>
      <c r="Q110" s="188">
        <f t="shared" si="4"/>
        <v>0</v>
      </c>
      <c r="R110" s="193"/>
      <c r="S110" s="193"/>
      <c r="T110" s="193"/>
      <c r="U110" s="193"/>
      <c r="V110" s="188"/>
    </row>
    <row r="111" spans="1:33">
      <c r="A111" s="153" t="s">
        <v>53</v>
      </c>
      <c r="B111" s="147" t="str">
        <f>IF(B110&gt;=87,"&gt;90%",IF(B110&lt;=87,"&lt;90%"))</f>
        <v>&lt;90%</v>
      </c>
      <c r="C111" s="147" t="str">
        <f t="shared" ref="C111:Q111" si="5">IF(C110&gt;=87,"&gt;90%",IF(C110&lt;=87,"&lt;90%"))</f>
        <v>&lt;90%</v>
      </c>
      <c r="D111" s="147" t="str">
        <f t="shared" si="5"/>
        <v>&lt;90%</v>
      </c>
      <c r="E111" s="147" t="str">
        <f t="shared" si="5"/>
        <v>&lt;90%</v>
      </c>
      <c r="F111" s="147" t="str">
        <f t="shared" si="5"/>
        <v>&lt;90%</v>
      </c>
      <c r="G111" s="147" t="str">
        <f t="shared" si="5"/>
        <v>&lt;90%</v>
      </c>
      <c r="H111" s="147" t="str">
        <f t="shared" si="5"/>
        <v>&lt;90%</v>
      </c>
      <c r="I111" s="147" t="str">
        <f t="shared" si="5"/>
        <v>&lt;90%</v>
      </c>
      <c r="J111" s="147" t="str">
        <f t="shared" si="5"/>
        <v>&lt;90%</v>
      </c>
      <c r="K111" s="147" t="str">
        <f t="shared" si="5"/>
        <v>&lt;90%</v>
      </c>
      <c r="L111" s="147" t="str">
        <f t="shared" si="5"/>
        <v>&lt;90%</v>
      </c>
      <c r="M111" s="147" t="str">
        <f t="shared" si="5"/>
        <v>&lt;90%</v>
      </c>
      <c r="N111" s="147" t="str">
        <f t="shared" si="5"/>
        <v>&lt;90%</v>
      </c>
      <c r="O111" s="147" t="str">
        <f t="shared" si="5"/>
        <v>&lt;90%</v>
      </c>
      <c r="P111" s="147" t="str">
        <f t="shared" si="5"/>
        <v>&lt;90%</v>
      </c>
      <c r="Q111" s="147" t="str">
        <f t="shared" si="5"/>
        <v>&lt;90%</v>
      </c>
      <c r="R111" s="175"/>
      <c r="S111" s="175"/>
      <c r="T111" s="175"/>
      <c r="U111" s="175"/>
    </row>
    <row r="112" spans="1:33">
      <c r="A112" s="153" t="s">
        <v>54</v>
      </c>
      <c r="B112" s="147" t="str">
        <f>IF(B110&gt;=87,"OK",IF(B110&lt;=87,"LESS"))</f>
        <v>LESS</v>
      </c>
      <c r="C112" s="147" t="str">
        <f t="shared" ref="C112:Q112" si="6">IF(C110&gt;=87,"OK",IF(C110&lt;=87,"LESS"))</f>
        <v>LESS</v>
      </c>
      <c r="D112" s="147" t="str">
        <f t="shared" si="6"/>
        <v>LESS</v>
      </c>
      <c r="E112" s="147" t="str">
        <f t="shared" si="6"/>
        <v>LESS</v>
      </c>
      <c r="F112" s="147" t="str">
        <f t="shared" si="6"/>
        <v>LESS</v>
      </c>
      <c r="G112" s="147" t="str">
        <f t="shared" si="6"/>
        <v>LESS</v>
      </c>
      <c r="H112" s="147" t="str">
        <f t="shared" si="6"/>
        <v>LESS</v>
      </c>
      <c r="I112" s="147" t="str">
        <f t="shared" si="6"/>
        <v>LESS</v>
      </c>
      <c r="J112" s="147" t="str">
        <f t="shared" si="6"/>
        <v>LESS</v>
      </c>
      <c r="K112" s="147" t="str">
        <f t="shared" si="6"/>
        <v>LESS</v>
      </c>
      <c r="L112" s="147" t="str">
        <f t="shared" si="6"/>
        <v>LESS</v>
      </c>
      <c r="M112" s="147" t="str">
        <f t="shared" si="6"/>
        <v>LESS</v>
      </c>
      <c r="N112" s="147" t="str">
        <f t="shared" si="6"/>
        <v>LESS</v>
      </c>
      <c r="O112" s="147" t="str">
        <f t="shared" si="6"/>
        <v>LESS</v>
      </c>
      <c r="P112" s="147" t="str">
        <f t="shared" si="6"/>
        <v>LESS</v>
      </c>
      <c r="Q112" s="147" t="str">
        <f t="shared" si="6"/>
        <v>LESS</v>
      </c>
      <c r="R112" s="175"/>
      <c r="S112" s="175"/>
      <c r="T112" s="175"/>
      <c r="U112" s="175"/>
    </row>
    <row r="113" spans="1:21">
      <c r="L113" s="32"/>
      <c r="N113" s="191"/>
      <c r="O113" s="191"/>
      <c r="P113" s="191"/>
      <c r="Q113" s="191"/>
      <c r="R113" s="191"/>
      <c r="S113" s="191"/>
      <c r="T113" s="191"/>
      <c r="U113" s="191"/>
    </row>
    <row r="115" spans="1:21">
      <c r="A115" s="153" t="s">
        <v>55</v>
      </c>
      <c r="B115" s="197" t="s">
        <v>56</v>
      </c>
      <c r="C115" s="197"/>
      <c r="D115" s="197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9" t="s">
        <v>57</v>
      </c>
      <c r="B117" s="198"/>
      <c r="C117" s="198"/>
      <c r="D117" s="198"/>
      <c r="E117" s="198"/>
      <c r="F117" s="198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G117"/>
  <sheetViews>
    <sheetView zoomScale="85" zoomScaleNormal="85" workbookViewId="0">
      <pane xSplit="1" ySplit="8" topLeftCell="B103" activePane="bottomRight" state="frozen"/>
      <selection activeCell="A9" sqref="A9"/>
      <selection pane="topRight" activeCell="A9" sqref="A9"/>
      <selection pane="bottomLeft" activeCell="A9" sqref="A9"/>
      <selection pane="bottomRight" activeCell="A9" sqref="A9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0</v>
      </c>
      <c r="C2" s="196" t="s">
        <v>3</v>
      </c>
      <c r="D2" s="196"/>
      <c r="E2" s="196"/>
      <c r="F2" s="196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2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6" t="s">
        <v>11</v>
      </c>
      <c r="D3" s="196"/>
      <c r="E3" s="196"/>
      <c r="F3" s="196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2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6" t="s">
        <v>18</v>
      </c>
      <c r="D4" s="196"/>
      <c r="E4" s="196"/>
      <c r="F4" s="196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3" t="s">
        <v>43</v>
      </c>
      <c r="M8" s="114" t="s">
        <v>44</v>
      </c>
      <c r="N8" s="114" t="s">
        <v>45</v>
      </c>
      <c r="O8" s="183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80"/>
      <c r="B9" s="181"/>
      <c r="C9" s="181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6"/>
      <c r="S9" s="6"/>
      <c r="T9" s="184"/>
      <c r="U9" s="6"/>
    </row>
    <row r="10" spans="1:21" customFormat="1">
      <c r="A10" s="180"/>
      <c r="B10" s="181"/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6"/>
      <c r="S10" s="6"/>
      <c r="T10" s="184"/>
      <c r="U10" s="6"/>
    </row>
    <row r="11" spans="1:21" customFormat="1">
      <c r="A11" s="180"/>
      <c r="B11" s="181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6"/>
      <c r="S11" s="6"/>
      <c r="T11" s="184"/>
      <c r="U11" s="6"/>
    </row>
    <row r="12" spans="1:21" customFormat="1">
      <c r="A12" s="180"/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6"/>
      <c r="S12" s="6"/>
      <c r="T12" s="184"/>
      <c r="U12" s="6"/>
    </row>
    <row r="13" spans="1:21" customFormat="1">
      <c r="A13" s="180"/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6"/>
      <c r="S13" s="6"/>
      <c r="T13" s="184"/>
      <c r="U13" s="6"/>
    </row>
    <row r="14" spans="1:21" customFormat="1">
      <c r="A14" s="180"/>
      <c r="B14" s="181"/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6"/>
      <c r="S14" s="6"/>
      <c r="T14" s="184"/>
      <c r="U14" s="6"/>
    </row>
    <row r="15" spans="1:21" customFormat="1">
      <c r="A15" s="180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6"/>
      <c r="S15" s="6"/>
      <c r="T15" s="184"/>
      <c r="U15" s="6"/>
    </row>
    <row r="16" spans="1:21" customFormat="1">
      <c r="A16" s="180"/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6"/>
      <c r="S16" s="6"/>
      <c r="T16" s="184"/>
      <c r="U16" s="6"/>
    </row>
    <row r="17" spans="1:21" customFormat="1">
      <c r="A17" s="180"/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6"/>
      <c r="S17" s="6"/>
      <c r="T17" s="184"/>
      <c r="U17" s="6"/>
    </row>
    <row r="18" spans="1:21" customFormat="1">
      <c r="A18" s="180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6"/>
      <c r="S18" s="6"/>
      <c r="T18" s="184"/>
      <c r="U18" s="6"/>
    </row>
    <row r="19" spans="1:21" customFormat="1">
      <c r="A19" s="180"/>
      <c r="B19" s="181"/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6"/>
      <c r="S19" s="6"/>
      <c r="T19" s="184"/>
      <c r="U19" s="6"/>
    </row>
    <row r="20" spans="1:21" customFormat="1">
      <c r="A20" s="180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6"/>
      <c r="S20" s="6"/>
      <c r="T20" s="184"/>
      <c r="U20" s="6"/>
    </row>
    <row r="21" spans="1:21" customFormat="1">
      <c r="A21" s="180"/>
      <c r="B21" s="181"/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6"/>
      <c r="S21" s="6"/>
      <c r="T21" s="184"/>
      <c r="U21" s="6"/>
    </row>
    <row r="22" spans="1:21" customFormat="1">
      <c r="A22" s="180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6"/>
      <c r="S22" s="6"/>
      <c r="T22" s="184"/>
      <c r="U22" s="6"/>
    </row>
    <row r="23" spans="1:21" customFormat="1">
      <c r="A23" s="180"/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6"/>
      <c r="S23" s="6"/>
      <c r="T23" s="184"/>
      <c r="U23" s="6"/>
    </row>
    <row r="24" spans="1:21" customFormat="1">
      <c r="A24" s="180"/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6"/>
      <c r="S24" s="6"/>
      <c r="T24" s="184"/>
      <c r="U24" s="6"/>
    </row>
    <row r="25" spans="1:21" customFormat="1">
      <c r="A25" s="180"/>
      <c r="B25" s="181"/>
      <c r="C25" s="181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6"/>
      <c r="S25" s="6"/>
      <c r="T25" s="184"/>
      <c r="U25" s="6"/>
    </row>
    <row r="26" spans="1:21" customFormat="1">
      <c r="A26" s="180"/>
      <c r="B26" s="181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6"/>
      <c r="S26" s="6"/>
      <c r="T26" s="184"/>
      <c r="U26" s="6"/>
    </row>
    <row r="27" spans="1:21" customFormat="1">
      <c r="A27" s="180"/>
      <c r="B27" s="181"/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6"/>
      <c r="S27" s="6"/>
      <c r="T27" s="184"/>
      <c r="U27" s="6"/>
    </row>
    <row r="28" spans="1:21" customFormat="1">
      <c r="A28" s="180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6"/>
      <c r="S28" s="6"/>
      <c r="T28" s="184"/>
      <c r="U28" s="6"/>
    </row>
    <row r="29" spans="1:21" customFormat="1">
      <c r="A29" s="180"/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6"/>
      <c r="S29" s="6"/>
      <c r="T29" s="184"/>
      <c r="U29" s="6"/>
    </row>
    <row r="30" spans="1:21" customFormat="1">
      <c r="A30" s="180"/>
      <c r="B30" s="181"/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6"/>
      <c r="S30" s="6"/>
      <c r="T30" s="184"/>
      <c r="U30" s="6"/>
    </row>
    <row r="31" spans="1:21" customFormat="1">
      <c r="A31" s="180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6"/>
      <c r="S31" s="6"/>
      <c r="T31" s="184"/>
      <c r="U31" s="6"/>
    </row>
    <row r="32" spans="1:21" customFormat="1">
      <c r="A32" s="180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6"/>
      <c r="S32" s="6"/>
      <c r="T32" s="184"/>
      <c r="U32" s="6"/>
    </row>
    <row r="33" spans="1:21" customFormat="1">
      <c r="A33" s="180"/>
      <c r="B33" s="181"/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6"/>
      <c r="S33" s="6"/>
      <c r="T33" s="184"/>
      <c r="U33" s="6"/>
    </row>
    <row r="34" spans="1:21" customFormat="1">
      <c r="A34" s="180"/>
      <c r="B34" s="181"/>
      <c r="C34" s="181"/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6"/>
      <c r="S34" s="6"/>
      <c r="T34" s="184"/>
      <c r="U34" s="6"/>
    </row>
    <row r="35" spans="1:21" customFormat="1">
      <c r="A35" s="180"/>
      <c r="B35" s="181"/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6"/>
      <c r="S35" s="6"/>
      <c r="T35" s="184"/>
      <c r="U35" s="6"/>
    </row>
    <row r="36" spans="1:21" customFormat="1">
      <c r="A36" s="180"/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6"/>
      <c r="S36" s="6"/>
      <c r="T36" s="184"/>
      <c r="U36" s="6"/>
    </row>
    <row r="37" spans="1:21" customFormat="1">
      <c r="A37" s="180"/>
      <c r="B37" s="181"/>
      <c r="C37" s="181"/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6"/>
      <c r="S37" s="6"/>
      <c r="T37" s="184"/>
      <c r="U37" s="6"/>
    </row>
    <row r="38" spans="1:21" customFormat="1">
      <c r="A38" s="180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6"/>
      <c r="S38" s="6"/>
      <c r="T38" s="184"/>
      <c r="U38" s="6"/>
    </row>
    <row r="39" spans="1:21" customFormat="1">
      <c r="A39" s="180"/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6"/>
      <c r="S39" s="6"/>
      <c r="T39" s="184"/>
      <c r="U39" s="6"/>
    </row>
    <row r="40" spans="1:21" customFormat="1">
      <c r="A40" s="180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6"/>
      <c r="S40" s="6"/>
      <c r="T40" s="184"/>
      <c r="U40" s="6"/>
    </row>
    <row r="41" spans="1:21" customFormat="1">
      <c r="A41" s="180"/>
      <c r="B41" s="181"/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6"/>
      <c r="S41" s="6"/>
      <c r="T41" s="184"/>
      <c r="U41" s="6"/>
    </row>
    <row r="42" spans="1:21" customFormat="1">
      <c r="A42" s="180"/>
      <c r="B42" s="181"/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6"/>
      <c r="S42" s="6"/>
      <c r="T42" s="184"/>
      <c r="U42" s="6"/>
    </row>
    <row r="43" spans="1:21" customFormat="1">
      <c r="A43" s="180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6"/>
      <c r="S43" s="6"/>
      <c r="T43" s="184"/>
      <c r="U43" s="6"/>
    </row>
    <row r="44" spans="1:21" customFormat="1">
      <c r="A44" s="180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6"/>
      <c r="S44" s="6"/>
      <c r="T44" s="184"/>
      <c r="U44" s="6"/>
    </row>
    <row r="45" spans="1:21" customFormat="1">
      <c r="A45" s="180"/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6"/>
      <c r="S45" s="6"/>
      <c r="T45" s="184"/>
      <c r="U45" s="6"/>
    </row>
    <row r="46" spans="1:21" customFormat="1">
      <c r="A46" s="180"/>
      <c r="B46" s="181"/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6"/>
      <c r="S46" s="6"/>
      <c r="T46" s="184"/>
      <c r="U46" s="6"/>
    </row>
    <row r="47" spans="1:21" customFormat="1">
      <c r="A47" s="180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6"/>
      <c r="S47" s="6"/>
      <c r="T47" s="184"/>
      <c r="U47" s="6"/>
    </row>
    <row r="48" spans="1:21" customFormat="1">
      <c r="A48" s="180"/>
      <c r="B48" s="181"/>
      <c r="C48" s="181"/>
      <c r="D48" s="181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6"/>
      <c r="S48" s="6"/>
      <c r="T48" s="184"/>
      <c r="U48" s="6"/>
    </row>
    <row r="49" spans="1:21" customFormat="1">
      <c r="A49" s="180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6"/>
      <c r="S49" s="6"/>
      <c r="T49" s="184"/>
      <c r="U49" s="6"/>
    </row>
    <row r="50" spans="1:21" customFormat="1">
      <c r="A50" s="180"/>
      <c r="B50" s="181"/>
      <c r="C50" s="181"/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6"/>
      <c r="S50" s="6"/>
      <c r="T50" s="184"/>
      <c r="U50" s="6"/>
    </row>
    <row r="51" spans="1:21" customFormat="1">
      <c r="A51" s="180"/>
      <c r="B51" s="181"/>
      <c r="C51" s="181"/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6"/>
      <c r="S51" s="6"/>
      <c r="T51" s="184"/>
      <c r="U51" s="6"/>
    </row>
    <row r="52" spans="1:21" customFormat="1">
      <c r="A52" s="180"/>
      <c r="B52" s="181"/>
      <c r="C52" s="181"/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6"/>
      <c r="S52" s="6"/>
      <c r="T52" s="184"/>
      <c r="U52" s="6"/>
    </row>
    <row r="53" spans="1:21" customFormat="1">
      <c r="A53" s="180"/>
      <c r="B53" s="181"/>
      <c r="C53" s="181"/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6"/>
      <c r="S53" s="6"/>
      <c r="T53" s="184"/>
      <c r="U53" s="6"/>
    </row>
    <row r="54" spans="1:21" customFormat="1">
      <c r="A54" s="180"/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6"/>
      <c r="S54" s="6"/>
      <c r="T54" s="184"/>
      <c r="U54" s="6"/>
    </row>
    <row r="55" spans="1:21" customFormat="1">
      <c r="A55" s="180"/>
      <c r="B55" s="181"/>
      <c r="C55" s="181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6"/>
      <c r="S55" s="6"/>
      <c r="T55" s="184"/>
      <c r="U55" s="6"/>
    </row>
    <row r="56" spans="1:21" customFormat="1">
      <c r="A56" s="180"/>
      <c r="B56" s="181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6"/>
      <c r="S56" s="6"/>
      <c r="T56" s="184"/>
      <c r="U56" s="6"/>
    </row>
    <row r="57" spans="1:21" customFormat="1">
      <c r="A57" s="180"/>
      <c r="B57" s="181"/>
      <c r="C57" s="181"/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6"/>
      <c r="S57" s="6"/>
      <c r="T57" s="184"/>
      <c r="U57" s="6"/>
    </row>
    <row r="58" spans="1:21" customFormat="1">
      <c r="A58" s="180"/>
      <c r="B58" s="181"/>
      <c r="C58" s="181"/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6"/>
      <c r="S58" s="6"/>
      <c r="T58" s="184"/>
      <c r="U58" s="6"/>
    </row>
    <row r="59" spans="1:21" customFormat="1">
      <c r="A59" s="180"/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6"/>
      <c r="S59" s="6"/>
      <c r="T59" s="184"/>
      <c r="U59" s="6"/>
    </row>
    <row r="60" spans="1:21" customFormat="1">
      <c r="A60" s="180"/>
      <c r="B60" s="181"/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6"/>
      <c r="S60" s="6"/>
      <c r="T60" s="184"/>
      <c r="U60" s="6"/>
    </row>
    <row r="61" spans="1:21" customFormat="1">
      <c r="A61" s="180"/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6"/>
      <c r="S61" s="6"/>
      <c r="T61" s="184"/>
      <c r="U61" s="6"/>
    </row>
    <row r="62" spans="1:21" customFormat="1">
      <c r="A62" s="180"/>
      <c r="B62" s="181"/>
      <c r="C62" s="181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6"/>
      <c r="S62" s="6"/>
      <c r="T62" s="184"/>
      <c r="U62" s="6"/>
    </row>
    <row r="63" spans="1:21" customFormat="1">
      <c r="A63" s="180"/>
      <c r="B63" s="181"/>
      <c r="C63" s="181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6"/>
      <c r="S63" s="6"/>
      <c r="T63" s="184"/>
      <c r="U63" s="6"/>
    </row>
    <row r="64" spans="1:21" customFormat="1">
      <c r="A64" s="180"/>
      <c r="B64" s="181"/>
      <c r="C64" s="181"/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6"/>
      <c r="S64" s="6"/>
      <c r="T64" s="184"/>
      <c r="U64" s="6"/>
    </row>
    <row r="65" spans="1:21" customFormat="1">
      <c r="A65" s="180"/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6"/>
      <c r="S65" s="6"/>
      <c r="T65" s="184"/>
      <c r="U65" s="6"/>
    </row>
    <row r="66" spans="1:21" customFormat="1">
      <c r="A66" s="180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6"/>
      <c r="S66" s="6"/>
      <c r="T66" s="184"/>
      <c r="U66" s="6"/>
    </row>
    <row r="67" spans="1:21" customFormat="1">
      <c r="A67" s="180"/>
      <c r="B67" s="181"/>
      <c r="C67" s="181"/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6"/>
      <c r="S67" s="6"/>
      <c r="T67" s="184"/>
      <c r="U67" s="6"/>
    </row>
    <row r="68" spans="1:21" customFormat="1">
      <c r="A68" s="180"/>
      <c r="B68" s="181"/>
      <c r="C68" s="181"/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6"/>
      <c r="S68" s="6"/>
      <c r="T68" s="184"/>
      <c r="U68" s="6"/>
    </row>
    <row r="69" spans="1:21" customFormat="1">
      <c r="A69" s="180"/>
      <c r="B69" s="181"/>
      <c r="C69" s="181"/>
      <c r="D69" s="181"/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6"/>
      <c r="S69" s="6"/>
      <c r="T69" s="184"/>
      <c r="U69" s="6"/>
    </row>
    <row r="70" spans="1:21" customFormat="1">
      <c r="A70" s="180"/>
      <c r="B70" s="181"/>
      <c r="C70" s="181"/>
      <c r="D70" s="181"/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6"/>
      <c r="S70" s="6"/>
      <c r="T70" s="184"/>
      <c r="U70" s="6"/>
    </row>
    <row r="71" spans="1:21" customFormat="1">
      <c r="A71" s="180"/>
      <c r="B71" s="181"/>
      <c r="C71" s="181"/>
      <c r="D71" s="181"/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6"/>
      <c r="S71" s="6"/>
      <c r="T71" s="184"/>
      <c r="U71" s="6"/>
    </row>
    <row r="72" spans="1:21" customFormat="1">
      <c r="A72" s="180"/>
      <c r="B72" s="181"/>
      <c r="C72" s="181"/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6"/>
      <c r="S72" s="6"/>
      <c r="T72" s="184"/>
      <c r="U72" s="6"/>
    </row>
    <row r="73" spans="1:21" customFormat="1">
      <c r="A73" s="180"/>
      <c r="B73" s="181"/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6"/>
      <c r="S73" s="6"/>
      <c r="T73" s="184"/>
      <c r="U73" s="6"/>
    </row>
    <row r="74" spans="1:21" customFormat="1">
      <c r="A74" s="180"/>
      <c r="B74" s="181"/>
      <c r="C74" s="181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6"/>
      <c r="S74" s="6"/>
      <c r="T74" s="184"/>
      <c r="U74" s="6"/>
    </row>
    <row r="75" spans="1:21" customFormat="1">
      <c r="A75" s="180"/>
      <c r="B75" s="181"/>
      <c r="C75" s="181"/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6"/>
      <c r="S75" s="6"/>
      <c r="T75" s="184"/>
      <c r="U75" s="6"/>
    </row>
    <row r="76" spans="1:21" customFormat="1">
      <c r="A76" s="180"/>
      <c r="B76" s="181"/>
      <c r="C76" s="181"/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6"/>
      <c r="S76" s="6"/>
      <c r="T76" s="184"/>
      <c r="U76" s="6"/>
    </row>
    <row r="77" spans="1:21" customFormat="1">
      <c r="A77" s="180"/>
      <c r="B77" s="181"/>
      <c r="C77" s="181"/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6"/>
      <c r="S77" s="6"/>
      <c r="T77" s="184"/>
      <c r="U77" s="6"/>
    </row>
    <row r="78" spans="1:21" customFormat="1">
      <c r="A78" s="180"/>
      <c r="B78" s="181"/>
      <c r="C78" s="181"/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6"/>
      <c r="S78" s="6"/>
      <c r="T78" s="184"/>
      <c r="U78" s="6"/>
    </row>
    <row r="79" spans="1:21" customFormat="1">
      <c r="A79" s="180"/>
      <c r="B79" s="181"/>
      <c r="C79" s="181"/>
      <c r="D79" s="181"/>
      <c r="E79" s="185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6"/>
      <c r="S79" s="6"/>
      <c r="T79" s="184"/>
      <c r="U79" s="6"/>
    </row>
    <row r="80" spans="1:21" customFormat="1">
      <c r="A80" s="180"/>
      <c r="B80" s="181"/>
      <c r="C80" s="181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6"/>
      <c r="S80" s="6"/>
      <c r="T80" s="184"/>
      <c r="U80" s="6"/>
    </row>
    <row r="81" spans="1:26" customFormat="1">
      <c r="A81" s="180"/>
      <c r="B81" s="181"/>
      <c r="C81" s="181"/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6"/>
      <c r="S81" s="6"/>
      <c r="T81" s="184"/>
      <c r="U81" s="6"/>
    </row>
    <row r="82" spans="1:26" customFormat="1">
      <c r="A82" s="180"/>
      <c r="B82" s="181"/>
      <c r="C82" s="181"/>
      <c r="D82" s="181"/>
      <c r="E82" s="181"/>
      <c r="F82" s="181"/>
      <c r="G82" s="181"/>
      <c r="H82" s="181"/>
      <c r="I82" s="181"/>
      <c r="J82" s="190"/>
      <c r="K82" s="181"/>
      <c r="L82" s="181"/>
      <c r="M82" s="181"/>
      <c r="N82" s="181"/>
      <c r="O82" s="181"/>
      <c r="P82" s="181"/>
      <c r="Q82" s="181"/>
      <c r="R82" s="6"/>
      <c r="S82" s="6"/>
      <c r="T82" s="184"/>
      <c r="U82" s="6"/>
    </row>
    <row r="83" spans="1:26" customFormat="1">
      <c r="A83" s="180"/>
      <c r="B83" s="181"/>
      <c r="C83" s="181"/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6"/>
      <c r="S83" s="6"/>
      <c r="T83" s="184"/>
      <c r="U83" s="6"/>
    </row>
    <row r="84" spans="1:26" customFormat="1">
      <c r="A84" s="180"/>
      <c r="B84" s="181"/>
      <c r="C84" s="181"/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6"/>
      <c r="S84" s="6"/>
      <c r="T84" s="184"/>
      <c r="U84" s="6"/>
    </row>
    <row r="85" spans="1:26" customFormat="1">
      <c r="A85" s="180"/>
      <c r="B85" s="181"/>
      <c r="C85" s="181"/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6"/>
      <c r="S85" s="6"/>
      <c r="T85" s="184"/>
      <c r="U85" s="6"/>
    </row>
    <row r="86" spans="1:26" customFormat="1">
      <c r="A86" s="180"/>
      <c r="B86" s="181"/>
      <c r="C86" s="181"/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6"/>
      <c r="S86" s="6"/>
      <c r="T86" s="184"/>
      <c r="U86" s="6"/>
    </row>
    <row r="87" spans="1:26" customFormat="1">
      <c r="A87" s="180"/>
      <c r="B87" s="181"/>
      <c r="C87" s="181"/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6"/>
      <c r="S87" s="6"/>
      <c r="T87" s="184"/>
      <c r="U87" s="6"/>
    </row>
    <row r="88" spans="1:26" customFormat="1">
      <c r="A88" s="180"/>
      <c r="B88" s="181"/>
      <c r="C88" s="181"/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6"/>
      <c r="S88" s="6"/>
      <c r="T88" s="184"/>
      <c r="U88" s="6"/>
    </row>
    <row r="89" spans="1:26" customFormat="1">
      <c r="A89" s="180"/>
      <c r="B89" s="181"/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6"/>
      <c r="S89" s="6"/>
      <c r="T89" s="184"/>
      <c r="U89" s="6"/>
    </row>
    <row r="90" spans="1:26" customFormat="1">
      <c r="A90" s="180"/>
      <c r="B90" s="181"/>
      <c r="C90" s="181"/>
      <c r="D90" s="181"/>
      <c r="E90" s="181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6"/>
      <c r="S90" s="6"/>
      <c r="T90" s="184"/>
      <c r="U90" s="6"/>
    </row>
    <row r="91" spans="1:26" customFormat="1">
      <c r="A91" s="180"/>
      <c r="B91" s="181"/>
      <c r="C91" s="181"/>
      <c r="D91" s="181"/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6"/>
      <c r="S91" s="6"/>
      <c r="T91" s="184"/>
      <c r="U91" s="6"/>
    </row>
    <row r="92" spans="1:26" customFormat="1">
      <c r="A92" s="180"/>
      <c r="B92" s="181"/>
      <c r="C92" s="181"/>
      <c r="D92" s="181"/>
      <c r="E92" s="18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6"/>
      <c r="S92" s="6"/>
      <c r="T92" s="184"/>
      <c r="U92" s="6"/>
    </row>
    <row r="93" spans="1:26" customFormat="1">
      <c r="A93" s="180"/>
      <c r="B93" s="181"/>
      <c r="C93" s="181"/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6"/>
      <c r="S93" s="6"/>
      <c r="T93" s="184"/>
      <c r="U93" s="6"/>
    </row>
    <row r="94" spans="1:26" customFormat="1">
      <c r="A94" s="180"/>
      <c r="B94" s="181"/>
      <c r="C94" s="181"/>
      <c r="D94" s="181"/>
      <c r="E94" s="181"/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6"/>
      <c r="S94" s="6"/>
      <c r="T94" s="184"/>
      <c r="U94" s="6"/>
    </row>
    <row r="95" spans="1:26" customFormat="1">
      <c r="A95" s="180"/>
      <c r="B95" s="181"/>
      <c r="C95" s="181"/>
      <c r="D95" s="181"/>
      <c r="E95" s="181"/>
      <c r="F95" s="181"/>
      <c r="G95" s="181"/>
      <c r="H95" s="181"/>
      <c r="I95" s="181"/>
      <c r="J95" s="181"/>
      <c r="K95" s="181"/>
      <c r="L95" s="181"/>
      <c r="M95" s="181"/>
      <c r="N95" s="181"/>
      <c r="O95" s="181"/>
      <c r="P95" s="181"/>
      <c r="Q95" s="181"/>
      <c r="R95" s="6"/>
      <c r="S95" s="6"/>
      <c r="T95" s="184"/>
      <c r="U95" s="6"/>
    </row>
    <row r="96" spans="1:26" customFormat="1">
      <c r="A96" s="180"/>
      <c r="B96" s="181"/>
      <c r="C96" s="181"/>
      <c r="D96" s="181"/>
      <c r="E96" s="181"/>
      <c r="F96" s="181"/>
      <c r="G96" s="181"/>
      <c r="H96" s="181"/>
      <c r="I96" s="181"/>
      <c r="J96" s="181"/>
      <c r="K96" s="181"/>
      <c r="L96" s="181"/>
      <c r="M96" s="181"/>
      <c r="N96" s="181"/>
      <c r="O96" s="181"/>
      <c r="P96" s="181"/>
      <c r="Q96" s="181"/>
      <c r="R96" s="6"/>
      <c r="S96" s="6"/>
      <c r="T96" s="184"/>
      <c r="U96" s="6"/>
      <c r="Z96" s="194"/>
    </row>
    <row r="97" spans="1:33" customFormat="1">
      <c r="A97" s="180"/>
      <c r="B97" s="181"/>
      <c r="C97" s="181"/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6"/>
      <c r="S97" s="6"/>
      <c r="T97" s="184"/>
      <c r="U97" s="6"/>
    </row>
    <row r="98" spans="1:33" customFormat="1">
      <c r="A98" s="180"/>
      <c r="B98" s="181"/>
      <c r="C98" s="181"/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6"/>
      <c r="S98" s="6"/>
      <c r="T98" s="184"/>
      <c r="U98" s="6"/>
    </row>
    <row r="99" spans="1:33" customFormat="1">
      <c r="A99" s="180"/>
      <c r="B99" s="181"/>
      <c r="C99" s="181"/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6"/>
      <c r="S99" s="6"/>
      <c r="T99" s="184"/>
      <c r="U99" s="6"/>
    </row>
    <row r="100" spans="1:33" customFormat="1">
      <c r="A100" s="180"/>
      <c r="B100" s="181"/>
      <c r="C100" s="181"/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6"/>
      <c r="S100" s="6"/>
      <c r="T100" s="184"/>
      <c r="U100" s="6"/>
      <c r="AB100" s="195"/>
      <c r="AG100" s="194"/>
    </row>
    <row r="101" spans="1:33" customFormat="1">
      <c r="A101" s="180"/>
      <c r="B101" s="181"/>
      <c r="C101" s="181"/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6"/>
      <c r="S101" s="6"/>
      <c r="T101" s="184"/>
      <c r="U101" s="6"/>
    </row>
    <row r="102" spans="1:33" customFormat="1">
      <c r="A102" s="180"/>
      <c r="B102" s="181"/>
      <c r="C102" s="181"/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6"/>
      <c r="S102" s="6"/>
      <c r="T102" s="184"/>
      <c r="U102" s="6"/>
    </row>
    <row r="103" spans="1:33" customFormat="1">
      <c r="A103" s="180"/>
      <c r="B103" s="181"/>
      <c r="C103" s="181"/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6"/>
      <c r="S103" s="6"/>
      <c r="T103" s="184"/>
      <c r="U103" s="6"/>
    </row>
    <row r="104" spans="1:33" customFormat="1">
      <c r="A104" s="180"/>
      <c r="B104" s="181"/>
      <c r="C104" s="181"/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6"/>
      <c r="S104" s="6"/>
      <c r="T104" s="184"/>
      <c r="U104" s="6"/>
    </row>
    <row r="105" spans="1:33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33">
      <c r="A106" s="186" t="s">
        <v>48</v>
      </c>
      <c r="B106" s="187">
        <f>MIN(B9:B104)</f>
        <v>0</v>
      </c>
      <c r="C106" s="187">
        <f>MIN(C9:C104)</f>
        <v>0</v>
      </c>
      <c r="D106" s="187">
        <f t="shared" ref="D106:Q106" si="0">MIN(D9:D104)</f>
        <v>0</v>
      </c>
      <c r="E106" s="187">
        <f t="shared" si="0"/>
        <v>0</v>
      </c>
      <c r="F106" s="187">
        <f t="shared" si="0"/>
        <v>0</v>
      </c>
      <c r="G106" s="187">
        <f t="shared" si="0"/>
        <v>0</v>
      </c>
      <c r="H106" s="187">
        <f t="shared" si="0"/>
        <v>0</v>
      </c>
      <c r="I106" s="187">
        <f t="shared" si="0"/>
        <v>0</v>
      </c>
      <c r="J106" s="187">
        <f t="shared" si="0"/>
        <v>0</v>
      </c>
      <c r="K106" s="187">
        <f t="shared" si="0"/>
        <v>0</v>
      </c>
      <c r="L106" s="187">
        <f t="shared" si="0"/>
        <v>0</v>
      </c>
      <c r="M106" s="187">
        <f t="shared" si="0"/>
        <v>0</v>
      </c>
      <c r="N106" s="187">
        <f t="shared" si="0"/>
        <v>0</v>
      </c>
      <c r="O106" s="187">
        <f t="shared" si="0"/>
        <v>0</v>
      </c>
      <c r="P106" s="187">
        <f t="shared" si="0"/>
        <v>0</v>
      </c>
      <c r="Q106" s="187">
        <f t="shared" si="0"/>
        <v>0</v>
      </c>
      <c r="R106" s="192"/>
      <c r="S106" s="192"/>
      <c r="T106" s="192"/>
      <c r="U106" s="192"/>
    </row>
    <row r="107" spans="1:33">
      <c r="A107" s="186" t="s">
        <v>49</v>
      </c>
      <c r="B107" s="188">
        <f>MAX(B9:B104)</f>
        <v>0</v>
      </c>
      <c r="C107" s="188">
        <f t="shared" ref="C107:Q107" si="1">MAX(C9:C104)</f>
        <v>0</v>
      </c>
      <c r="D107" s="188">
        <f t="shared" si="1"/>
        <v>0</v>
      </c>
      <c r="E107" s="188">
        <f t="shared" si="1"/>
        <v>0</v>
      </c>
      <c r="F107" s="188">
        <f t="shared" si="1"/>
        <v>0</v>
      </c>
      <c r="G107" s="188">
        <f t="shared" si="1"/>
        <v>0</v>
      </c>
      <c r="H107" s="188">
        <f t="shared" si="1"/>
        <v>0</v>
      </c>
      <c r="I107" s="188">
        <f t="shared" si="1"/>
        <v>0</v>
      </c>
      <c r="J107" s="188">
        <f t="shared" si="1"/>
        <v>0</v>
      </c>
      <c r="K107" s="188">
        <f t="shared" si="1"/>
        <v>0</v>
      </c>
      <c r="L107" s="188">
        <f t="shared" si="1"/>
        <v>0</v>
      </c>
      <c r="M107" s="188">
        <f t="shared" si="1"/>
        <v>0</v>
      </c>
      <c r="N107" s="188">
        <f t="shared" si="1"/>
        <v>0</v>
      </c>
      <c r="O107" s="188">
        <f t="shared" si="1"/>
        <v>0</v>
      </c>
      <c r="P107" s="188">
        <f t="shared" si="1"/>
        <v>0</v>
      </c>
      <c r="Q107" s="188">
        <f t="shared" si="1"/>
        <v>0</v>
      </c>
      <c r="R107" s="193"/>
      <c r="S107" s="193"/>
      <c r="T107" s="193"/>
      <c r="U107" s="193"/>
    </row>
    <row r="108" spans="1:33">
      <c r="A108" s="186" t="s">
        <v>50</v>
      </c>
      <c r="B108" s="187" t="e">
        <f>AVERAGE(B9:B104)</f>
        <v>#DIV/0!</v>
      </c>
      <c r="C108" s="187" t="e">
        <f t="shared" ref="C108:Q108" si="2">AVERAGE(C9:C104)</f>
        <v>#DIV/0!</v>
      </c>
      <c r="D108" s="187" t="e">
        <f t="shared" si="2"/>
        <v>#DIV/0!</v>
      </c>
      <c r="E108" s="187" t="e">
        <f t="shared" si="2"/>
        <v>#DIV/0!</v>
      </c>
      <c r="F108" s="187" t="e">
        <f t="shared" si="2"/>
        <v>#DIV/0!</v>
      </c>
      <c r="G108" s="187" t="e">
        <f t="shared" si="2"/>
        <v>#DIV/0!</v>
      </c>
      <c r="H108" s="187" t="e">
        <f t="shared" si="2"/>
        <v>#DIV/0!</v>
      </c>
      <c r="I108" s="187" t="e">
        <f t="shared" si="2"/>
        <v>#DIV/0!</v>
      </c>
      <c r="J108" s="187" t="e">
        <f t="shared" si="2"/>
        <v>#DIV/0!</v>
      </c>
      <c r="K108" s="187" t="e">
        <f t="shared" si="2"/>
        <v>#DIV/0!</v>
      </c>
      <c r="L108" s="187" t="e">
        <f t="shared" si="2"/>
        <v>#DIV/0!</v>
      </c>
      <c r="M108" s="187" t="e">
        <f t="shared" si="2"/>
        <v>#DIV/0!</v>
      </c>
      <c r="N108" s="187" t="e">
        <f t="shared" si="2"/>
        <v>#DIV/0!</v>
      </c>
      <c r="O108" s="187" t="e">
        <f t="shared" si="2"/>
        <v>#DIV/0!</v>
      </c>
      <c r="P108" s="187" t="e">
        <f t="shared" si="2"/>
        <v>#DIV/0!</v>
      </c>
      <c r="Q108" s="187" t="e">
        <f t="shared" si="2"/>
        <v>#DIV/0!</v>
      </c>
      <c r="R108" s="192"/>
      <c r="S108" s="192"/>
      <c r="T108" s="192"/>
      <c r="U108" s="192"/>
    </row>
    <row r="109" spans="1:33">
      <c r="A109" s="186" t="s">
        <v>51</v>
      </c>
      <c r="B109" s="187" t="e">
        <f>STDEV(B9:B104)</f>
        <v>#DIV/0!</v>
      </c>
      <c r="C109" s="187" t="e">
        <f t="shared" ref="C109:Q109" si="3">STDEV(C9:C104)</f>
        <v>#DIV/0!</v>
      </c>
      <c r="D109" s="187" t="e">
        <f t="shared" si="3"/>
        <v>#DIV/0!</v>
      </c>
      <c r="E109" s="187" t="e">
        <f t="shared" si="3"/>
        <v>#DIV/0!</v>
      </c>
      <c r="F109" s="187" t="e">
        <f t="shared" si="3"/>
        <v>#DIV/0!</v>
      </c>
      <c r="G109" s="187" t="e">
        <f t="shared" si="3"/>
        <v>#DIV/0!</v>
      </c>
      <c r="H109" s="187" t="e">
        <f t="shared" si="3"/>
        <v>#DIV/0!</v>
      </c>
      <c r="I109" s="187" t="e">
        <f t="shared" si="3"/>
        <v>#DIV/0!</v>
      </c>
      <c r="J109" s="187" t="e">
        <f t="shared" si="3"/>
        <v>#DIV/0!</v>
      </c>
      <c r="K109" s="187" t="e">
        <f t="shared" si="3"/>
        <v>#DIV/0!</v>
      </c>
      <c r="L109" s="187" t="e">
        <f t="shared" si="3"/>
        <v>#DIV/0!</v>
      </c>
      <c r="M109" s="187" t="e">
        <f t="shared" si="3"/>
        <v>#DIV/0!</v>
      </c>
      <c r="N109" s="187" t="e">
        <f t="shared" si="3"/>
        <v>#DIV/0!</v>
      </c>
      <c r="O109" s="187" t="e">
        <f t="shared" si="3"/>
        <v>#DIV/0!</v>
      </c>
      <c r="P109" s="187" t="e">
        <f t="shared" si="3"/>
        <v>#DIV/0!</v>
      </c>
      <c r="Q109" s="187" t="e">
        <f t="shared" si="3"/>
        <v>#DIV/0!</v>
      </c>
      <c r="R109" s="192"/>
      <c r="S109" s="192"/>
      <c r="T109" s="192"/>
      <c r="U109" s="192"/>
    </row>
    <row r="110" spans="1:33">
      <c r="A110" s="186" t="s">
        <v>52</v>
      </c>
      <c r="B110" s="188">
        <f t="shared" ref="B110:Q110" si="4">COUNT(B9:B104)</f>
        <v>0</v>
      </c>
      <c r="C110" s="188">
        <f t="shared" si="4"/>
        <v>0</v>
      </c>
      <c r="D110" s="188">
        <f t="shared" si="4"/>
        <v>0</v>
      </c>
      <c r="E110" s="188">
        <f t="shared" si="4"/>
        <v>0</v>
      </c>
      <c r="F110" s="188">
        <f t="shared" si="4"/>
        <v>0</v>
      </c>
      <c r="G110" s="188">
        <f t="shared" si="4"/>
        <v>0</v>
      </c>
      <c r="H110" s="188">
        <f t="shared" si="4"/>
        <v>0</v>
      </c>
      <c r="I110" s="188">
        <f t="shared" si="4"/>
        <v>0</v>
      </c>
      <c r="J110" s="188">
        <f t="shared" si="4"/>
        <v>0</v>
      </c>
      <c r="K110" s="188">
        <f t="shared" si="4"/>
        <v>0</v>
      </c>
      <c r="L110" s="188">
        <f t="shared" si="4"/>
        <v>0</v>
      </c>
      <c r="M110" s="188">
        <f t="shared" si="4"/>
        <v>0</v>
      </c>
      <c r="N110" s="188">
        <f t="shared" si="4"/>
        <v>0</v>
      </c>
      <c r="O110" s="188">
        <f t="shared" si="4"/>
        <v>0</v>
      </c>
      <c r="P110" s="188">
        <f t="shared" si="4"/>
        <v>0</v>
      </c>
      <c r="Q110" s="188">
        <f t="shared" si="4"/>
        <v>0</v>
      </c>
      <c r="R110" s="193"/>
      <c r="S110" s="193"/>
      <c r="T110" s="193"/>
      <c r="U110" s="193"/>
      <c r="V110" s="188"/>
    </row>
    <row r="111" spans="1:33">
      <c r="A111" s="153" t="s">
        <v>53</v>
      </c>
      <c r="B111" s="147" t="str">
        <f>IF(B110&gt;=87,"&gt;90%",IF(B110&lt;=87,"&lt;90%"))</f>
        <v>&lt;90%</v>
      </c>
      <c r="C111" s="147" t="str">
        <f t="shared" ref="C111:Q111" si="5">IF(C110&gt;=87,"&gt;90%",IF(C110&lt;=87,"&lt;90%"))</f>
        <v>&lt;90%</v>
      </c>
      <c r="D111" s="147" t="str">
        <f t="shared" si="5"/>
        <v>&lt;90%</v>
      </c>
      <c r="E111" s="147" t="str">
        <f t="shared" si="5"/>
        <v>&lt;90%</v>
      </c>
      <c r="F111" s="147" t="str">
        <f t="shared" si="5"/>
        <v>&lt;90%</v>
      </c>
      <c r="G111" s="147" t="str">
        <f t="shared" si="5"/>
        <v>&lt;90%</v>
      </c>
      <c r="H111" s="147" t="str">
        <f t="shared" si="5"/>
        <v>&lt;90%</v>
      </c>
      <c r="I111" s="147" t="str">
        <f t="shared" si="5"/>
        <v>&lt;90%</v>
      </c>
      <c r="J111" s="147" t="str">
        <f t="shared" si="5"/>
        <v>&lt;90%</v>
      </c>
      <c r="K111" s="147" t="str">
        <f t="shared" si="5"/>
        <v>&lt;90%</v>
      </c>
      <c r="L111" s="147" t="str">
        <f t="shared" si="5"/>
        <v>&lt;90%</v>
      </c>
      <c r="M111" s="147" t="str">
        <f t="shared" si="5"/>
        <v>&lt;90%</v>
      </c>
      <c r="N111" s="147" t="str">
        <f t="shared" si="5"/>
        <v>&lt;90%</v>
      </c>
      <c r="O111" s="147" t="str">
        <f t="shared" si="5"/>
        <v>&lt;90%</v>
      </c>
      <c r="P111" s="147" t="str">
        <f t="shared" si="5"/>
        <v>&lt;90%</v>
      </c>
      <c r="Q111" s="147" t="str">
        <f t="shared" si="5"/>
        <v>&lt;90%</v>
      </c>
      <c r="R111" s="175"/>
      <c r="S111" s="175"/>
      <c r="T111" s="175"/>
      <c r="U111" s="175"/>
    </row>
    <row r="112" spans="1:33">
      <c r="A112" s="153" t="s">
        <v>54</v>
      </c>
      <c r="B112" s="147" t="str">
        <f>IF(B110&gt;=87,"OK",IF(B110&lt;=87,"LESS"))</f>
        <v>LESS</v>
      </c>
      <c r="C112" s="147" t="str">
        <f t="shared" ref="C112:Q112" si="6">IF(C110&gt;=87,"OK",IF(C110&lt;=87,"LESS"))</f>
        <v>LESS</v>
      </c>
      <c r="D112" s="147" t="str">
        <f t="shared" si="6"/>
        <v>LESS</v>
      </c>
      <c r="E112" s="147" t="str">
        <f t="shared" si="6"/>
        <v>LESS</v>
      </c>
      <c r="F112" s="147" t="str">
        <f t="shared" si="6"/>
        <v>LESS</v>
      </c>
      <c r="G112" s="147" t="str">
        <f t="shared" si="6"/>
        <v>LESS</v>
      </c>
      <c r="H112" s="147" t="str">
        <f t="shared" si="6"/>
        <v>LESS</v>
      </c>
      <c r="I112" s="147" t="str">
        <f t="shared" si="6"/>
        <v>LESS</v>
      </c>
      <c r="J112" s="147" t="str">
        <f t="shared" si="6"/>
        <v>LESS</v>
      </c>
      <c r="K112" s="147" t="str">
        <f t="shared" si="6"/>
        <v>LESS</v>
      </c>
      <c r="L112" s="147" t="str">
        <f t="shared" si="6"/>
        <v>LESS</v>
      </c>
      <c r="M112" s="147" t="str">
        <f t="shared" si="6"/>
        <v>LESS</v>
      </c>
      <c r="N112" s="147" t="str">
        <f t="shared" si="6"/>
        <v>LESS</v>
      </c>
      <c r="O112" s="147" t="str">
        <f t="shared" si="6"/>
        <v>LESS</v>
      </c>
      <c r="P112" s="147" t="str">
        <f t="shared" si="6"/>
        <v>LESS</v>
      </c>
      <c r="Q112" s="147" t="str">
        <f t="shared" si="6"/>
        <v>LESS</v>
      </c>
      <c r="R112" s="175"/>
      <c r="S112" s="175"/>
      <c r="T112" s="175"/>
      <c r="U112" s="175"/>
    </row>
    <row r="113" spans="1:21">
      <c r="L113" s="32"/>
      <c r="N113" s="191"/>
      <c r="O113" s="191"/>
      <c r="P113" s="191"/>
      <c r="Q113" s="191"/>
      <c r="R113" s="191"/>
      <c r="S113" s="191"/>
      <c r="T113" s="191"/>
      <c r="U113" s="191"/>
    </row>
    <row r="115" spans="1:21">
      <c r="A115" s="153" t="s">
        <v>55</v>
      </c>
      <c r="B115" s="197" t="s">
        <v>56</v>
      </c>
      <c r="C115" s="197"/>
      <c r="D115" s="197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9" t="s">
        <v>57</v>
      </c>
      <c r="B117" s="198"/>
      <c r="C117" s="198"/>
      <c r="D117" s="198"/>
      <c r="E117" s="198"/>
      <c r="F117" s="198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G117"/>
  <sheetViews>
    <sheetView zoomScale="85" zoomScaleNormal="85" workbookViewId="0">
      <pane xSplit="1" ySplit="8" topLeftCell="B105" activePane="bottomRight" state="frozen"/>
      <selection activeCell="A9" sqref="A9"/>
      <selection pane="topRight" activeCell="A9" sqref="A9"/>
      <selection pane="bottomLeft" activeCell="A9" sqref="A9"/>
      <selection pane="bottomRight" activeCell="A9" sqref="A9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0</v>
      </c>
      <c r="C2" s="196" t="s">
        <v>3</v>
      </c>
      <c r="D2" s="196"/>
      <c r="E2" s="196"/>
      <c r="F2" s="196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2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6" t="s">
        <v>11</v>
      </c>
      <c r="D3" s="196"/>
      <c r="E3" s="196"/>
      <c r="F3" s="196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2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6" t="s">
        <v>18</v>
      </c>
      <c r="D4" s="196"/>
      <c r="E4" s="196"/>
      <c r="F4" s="196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3" t="s">
        <v>43</v>
      </c>
      <c r="M8" s="114" t="s">
        <v>44</v>
      </c>
      <c r="N8" s="114" t="s">
        <v>45</v>
      </c>
      <c r="O8" s="183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80"/>
      <c r="B9" s="181"/>
      <c r="C9" s="181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6"/>
      <c r="S9" s="6"/>
      <c r="T9" s="184"/>
      <c r="U9" s="6"/>
    </row>
    <row r="10" spans="1:21" customFormat="1">
      <c r="A10" s="180"/>
      <c r="B10" s="181"/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6"/>
      <c r="S10" s="6"/>
      <c r="T10" s="184"/>
      <c r="U10" s="6"/>
    </row>
    <row r="11" spans="1:21" customFormat="1">
      <c r="A11" s="180"/>
      <c r="B11" s="181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6"/>
      <c r="S11" s="6"/>
      <c r="T11" s="184"/>
      <c r="U11" s="6"/>
    </row>
    <row r="12" spans="1:21" customFormat="1">
      <c r="A12" s="180"/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6"/>
      <c r="S12" s="6"/>
      <c r="T12" s="184"/>
      <c r="U12" s="6"/>
    </row>
    <row r="13" spans="1:21" customFormat="1">
      <c r="A13" s="180"/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6"/>
      <c r="S13" s="6"/>
      <c r="T13" s="184"/>
      <c r="U13" s="6"/>
    </row>
    <row r="14" spans="1:21" customFormat="1">
      <c r="A14" s="180"/>
      <c r="B14" s="181"/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6"/>
      <c r="S14" s="6"/>
      <c r="T14" s="184"/>
      <c r="U14" s="6"/>
    </row>
    <row r="15" spans="1:21" customFormat="1">
      <c r="A15" s="180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6"/>
      <c r="S15" s="6"/>
      <c r="T15" s="184"/>
      <c r="U15" s="6"/>
    </row>
    <row r="16" spans="1:21" customFormat="1">
      <c r="A16" s="180"/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6"/>
      <c r="S16" s="6"/>
      <c r="T16" s="184"/>
      <c r="U16" s="6"/>
    </row>
    <row r="17" spans="1:21" customFormat="1">
      <c r="A17" s="180"/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6"/>
      <c r="S17" s="6"/>
      <c r="T17" s="184"/>
      <c r="U17" s="6"/>
    </row>
    <row r="18" spans="1:21" customFormat="1">
      <c r="A18" s="180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6"/>
      <c r="S18" s="6"/>
      <c r="T18" s="184"/>
      <c r="U18" s="6"/>
    </row>
    <row r="19" spans="1:21" customFormat="1">
      <c r="A19" s="180"/>
      <c r="B19" s="181"/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6"/>
      <c r="S19" s="6"/>
      <c r="T19" s="184"/>
      <c r="U19" s="6"/>
    </row>
    <row r="20" spans="1:21" customFormat="1">
      <c r="A20" s="180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6"/>
      <c r="S20" s="6"/>
      <c r="T20" s="184"/>
      <c r="U20" s="6"/>
    </row>
    <row r="21" spans="1:21" customFormat="1">
      <c r="A21" s="180"/>
      <c r="B21" s="181"/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6"/>
      <c r="S21" s="6"/>
      <c r="T21" s="184"/>
      <c r="U21" s="6"/>
    </row>
    <row r="22" spans="1:21" customFormat="1">
      <c r="A22" s="180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6"/>
      <c r="S22" s="6"/>
      <c r="T22" s="184"/>
      <c r="U22" s="6"/>
    </row>
    <row r="23" spans="1:21" customFormat="1">
      <c r="A23" s="180"/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6"/>
      <c r="S23" s="6"/>
      <c r="T23" s="184"/>
      <c r="U23" s="6"/>
    </row>
    <row r="24" spans="1:21" customFormat="1">
      <c r="A24" s="180"/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6"/>
      <c r="S24" s="6"/>
      <c r="T24" s="184"/>
      <c r="U24" s="6"/>
    </row>
    <row r="25" spans="1:21" customFormat="1">
      <c r="A25" s="180"/>
      <c r="B25" s="181"/>
      <c r="C25" s="181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6"/>
      <c r="S25" s="6"/>
      <c r="T25" s="184"/>
      <c r="U25" s="6"/>
    </row>
    <row r="26" spans="1:21" customFormat="1">
      <c r="A26" s="180"/>
      <c r="B26" s="181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6"/>
      <c r="S26" s="6"/>
      <c r="T26" s="184"/>
      <c r="U26" s="6"/>
    </row>
    <row r="27" spans="1:21" customFormat="1">
      <c r="A27" s="180"/>
      <c r="B27" s="181"/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6"/>
      <c r="S27" s="6"/>
      <c r="T27" s="184"/>
      <c r="U27" s="6"/>
    </row>
    <row r="28" spans="1:21" customFormat="1">
      <c r="A28" s="180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6"/>
      <c r="S28" s="6"/>
      <c r="T28" s="184"/>
      <c r="U28" s="6"/>
    </row>
    <row r="29" spans="1:21" customFormat="1">
      <c r="A29" s="180"/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6"/>
      <c r="S29" s="6"/>
      <c r="T29" s="184"/>
      <c r="U29" s="6"/>
    </row>
    <row r="30" spans="1:21" customFormat="1">
      <c r="A30" s="180"/>
      <c r="B30" s="181"/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6"/>
      <c r="S30" s="6"/>
      <c r="T30" s="184"/>
      <c r="U30" s="6"/>
    </row>
    <row r="31" spans="1:21" customFormat="1">
      <c r="A31" s="180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6"/>
      <c r="S31" s="6"/>
      <c r="T31" s="184"/>
      <c r="U31" s="6"/>
    </row>
    <row r="32" spans="1:21" customFormat="1">
      <c r="A32" s="180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6"/>
      <c r="S32" s="6"/>
      <c r="T32" s="184"/>
      <c r="U32" s="6"/>
    </row>
    <row r="33" spans="1:21" customFormat="1">
      <c r="A33" s="180"/>
      <c r="B33" s="181"/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6"/>
      <c r="S33" s="6"/>
      <c r="T33" s="184"/>
      <c r="U33" s="6"/>
    </row>
    <row r="34" spans="1:21" customFormat="1">
      <c r="A34" s="180"/>
      <c r="B34" s="181"/>
      <c r="C34" s="181"/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6"/>
      <c r="S34" s="6"/>
      <c r="T34" s="184"/>
      <c r="U34" s="6"/>
    </row>
    <row r="35" spans="1:21" customFormat="1">
      <c r="A35" s="180"/>
      <c r="B35" s="181"/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6"/>
      <c r="S35" s="6"/>
      <c r="T35" s="184"/>
      <c r="U35" s="6"/>
    </row>
    <row r="36" spans="1:21" customFormat="1">
      <c r="A36" s="180"/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6"/>
      <c r="S36" s="6"/>
      <c r="T36" s="184"/>
      <c r="U36" s="6"/>
    </row>
    <row r="37" spans="1:21" customFormat="1">
      <c r="A37" s="180"/>
      <c r="B37" s="181"/>
      <c r="C37" s="181"/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6"/>
      <c r="S37" s="6"/>
      <c r="T37" s="184"/>
      <c r="U37" s="6"/>
    </row>
    <row r="38" spans="1:21" customFormat="1">
      <c r="A38" s="180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6"/>
      <c r="S38" s="6"/>
      <c r="T38" s="184"/>
      <c r="U38" s="6"/>
    </row>
    <row r="39" spans="1:21" customFormat="1">
      <c r="A39" s="180"/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6"/>
      <c r="S39" s="6"/>
      <c r="T39" s="184"/>
      <c r="U39" s="6"/>
    </row>
    <row r="40" spans="1:21" customFormat="1">
      <c r="A40" s="180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6"/>
      <c r="S40" s="6"/>
      <c r="T40" s="184"/>
      <c r="U40" s="6"/>
    </row>
    <row r="41" spans="1:21" customFormat="1">
      <c r="A41" s="180"/>
      <c r="B41" s="181"/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6"/>
      <c r="S41" s="6"/>
      <c r="T41" s="184"/>
      <c r="U41" s="6"/>
    </row>
    <row r="42" spans="1:21" customFormat="1">
      <c r="A42" s="180"/>
      <c r="B42" s="181"/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6"/>
      <c r="S42" s="6"/>
      <c r="T42" s="184"/>
      <c r="U42" s="6"/>
    </row>
    <row r="43" spans="1:21" customFormat="1">
      <c r="A43" s="180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6"/>
      <c r="S43" s="6"/>
      <c r="T43" s="184"/>
      <c r="U43" s="6"/>
    </row>
    <row r="44" spans="1:21" customFormat="1">
      <c r="A44" s="180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6"/>
      <c r="S44" s="6"/>
      <c r="T44" s="184"/>
      <c r="U44" s="6"/>
    </row>
    <row r="45" spans="1:21" customFormat="1">
      <c r="A45" s="180"/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6"/>
      <c r="S45" s="6"/>
      <c r="T45" s="184"/>
      <c r="U45" s="6"/>
    </row>
    <row r="46" spans="1:21" customFormat="1">
      <c r="A46" s="180"/>
      <c r="B46" s="181"/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6"/>
      <c r="S46" s="6"/>
      <c r="T46" s="184"/>
      <c r="U46" s="6"/>
    </row>
    <row r="47" spans="1:21" customFormat="1">
      <c r="A47" s="180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6"/>
      <c r="S47" s="6"/>
      <c r="T47" s="184"/>
      <c r="U47" s="6"/>
    </row>
    <row r="48" spans="1:21" customFormat="1">
      <c r="A48" s="180"/>
      <c r="B48" s="181"/>
      <c r="C48" s="181"/>
      <c r="D48" s="181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6"/>
      <c r="S48" s="6"/>
      <c r="T48" s="184"/>
      <c r="U48" s="6"/>
    </row>
    <row r="49" spans="1:21" customFormat="1">
      <c r="A49" s="180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6"/>
      <c r="S49" s="6"/>
      <c r="T49" s="184"/>
      <c r="U49" s="6"/>
    </row>
    <row r="50" spans="1:21" customFormat="1">
      <c r="A50" s="180"/>
      <c r="B50" s="181"/>
      <c r="C50" s="181"/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6"/>
      <c r="S50" s="6"/>
      <c r="T50" s="184"/>
      <c r="U50" s="6"/>
    </row>
    <row r="51" spans="1:21" customFormat="1">
      <c r="A51" s="180"/>
      <c r="B51" s="181"/>
      <c r="C51" s="181"/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6"/>
      <c r="S51" s="6"/>
      <c r="T51" s="184"/>
      <c r="U51" s="6"/>
    </row>
    <row r="52" spans="1:21" customFormat="1">
      <c r="A52" s="180"/>
      <c r="B52" s="181"/>
      <c r="C52" s="181"/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6"/>
      <c r="S52" s="6"/>
      <c r="T52" s="184"/>
      <c r="U52" s="6"/>
    </row>
    <row r="53" spans="1:21" customFormat="1">
      <c r="A53" s="180"/>
      <c r="B53" s="181"/>
      <c r="C53" s="181"/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6"/>
      <c r="S53" s="6"/>
      <c r="T53" s="184"/>
      <c r="U53" s="6"/>
    </row>
    <row r="54" spans="1:21" customFormat="1">
      <c r="A54" s="180"/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6"/>
      <c r="S54" s="6"/>
      <c r="T54" s="184"/>
      <c r="U54" s="6"/>
    </row>
    <row r="55" spans="1:21" customFormat="1">
      <c r="A55" s="180"/>
      <c r="B55" s="181"/>
      <c r="C55" s="181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6"/>
      <c r="S55" s="6"/>
      <c r="T55" s="184"/>
      <c r="U55" s="6"/>
    </row>
    <row r="56" spans="1:21" customFormat="1">
      <c r="A56" s="180"/>
      <c r="B56" s="181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6"/>
      <c r="S56" s="6"/>
      <c r="T56" s="184"/>
      <c r="U56" s="6"/>
    </row>
    <row r="57" spans="1:21" customFormat="1">
      <c r="A57" s="180"/>
      <c r="B57" s="181"/>
      <c r="C57" s="181"/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6"/>
      <c r="S57" s="6"/>
      <c r="T57" s="184"/>
      <c r="U57" s="6"/>
    </row>
    <row r="58" spans="1:21" customFormat="1">
      <c r="A58" s="180"/>
      <c r="B58" s="181"/>
      <c r="C58" s="181"/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6"/>
      <c r="S58" s="6"/>
      <c r="T58" s="184"/>
      <c r="U58" s="6"/>
    </row>
    <row r="59" spans="1:21" customFormat="1">
      <c r="A59" s="180"/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6"/>
      <c r="S59" s="6"/>
      <c r="T59" s="184"/>
      <c r="U59" s="6"/>
    </row>
    <row r="60" spans="1:21" customFormat="1">
      <c r="A60" s="180"/>
      <c r="B60" s="181"/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6"/>
      <c r="S60" s="6"/>
      <c r="T60" s="184"/>
      <c r="U60" s="6"/>
    </row>
    <row r="61" spans="1:21" customFormat="1">
      <c r="A61" s="180"/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6"/>
      <c r="S61" s="6"/>
      <c r="T61" s="184"/>
      <c r="U61" s="6"/>
    </row>
    <row r="62" spans="1:21" customFormat="1">
      <c r="A62" s="180"/>
      <c r="B62" s="181"/>
      <c r="C62" s="181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6"/>
      <c r="S62" s="6"/>
      <c r="T62" s="184"/>
      <c r="U62" s="6"/>
    </row>
    <row r="63" spans="1:21" customFormat="1">
      <c r="A63" s="180"/>
      <c r="B63" s="181"/>
      <c r="C63" s="181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6"/>
      <c r="S63" s="6"/>
      <c r="T63" s="184"/>
      <c r="U63" s="6"/>
    </row>
    <row r="64" spans="1:21" customFormat="1">
      <c r="A64" s="180"/>
      <c r="B64" s="181"/>
      <c r="C64" s="181"/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6"/>
      <c r="S64" s="6"/>
      <c r="T64" s="184"/>
      <c r="U64" s="6"/>
    </row>
    <row r="65" spans="1:21" customFormat="1">
      <c r="A65" s="180"/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6"/>
      <c r="S65" s="6"/>
      <c r="T65" s="184"/>
      <c r="U65" s="6"/>
    </row>
    <row r="66" spans="1:21" customFormat="1">
      <c r="A66" s="180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6"/>
      <c r="S66" s="6"/>
      <c r="T66" s="184"/>
      <c r="U66" s="6"/>
    </row>
    <row r="67" spans="1:21" customFormat="1">
      <c r="A67" s="180"/>
      <c r="B67" s="181"/>
      <c r="C67" s="181"/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6"/>
      <c r="S67" s="6"/>
      <c r="T67" s="184"/>
      <c r="U67" s="6"/>
    </row>
    <row r="68" spans="1:21" customFormat="1">
      <c r="A68" s="180"/>
      <c r="B68" s="181"/>
      <c r="C68" s="181"/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6"/>
      <c r="S68" s="6"/>
      <c r="T68" s="184"/>
      <c r="U68" s="6"/>
    </row>
    <row r="69" spans="1:21" customFormat="1">
      <c r="A69" s="180"/>
      <c r="B69" s="181"/>
      <c r="C69" s="181"/>
      <c r="D69" s="181"/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6"/>
      <c r="S69" s="6"/>
      <c r="T69" s="184"/>
      <c r="U69" s="6"/>
    </row>
    <row r="70" spans="1:21" customFormat="1">
      <c r="A70" s="180"/>
      <c r="B70" s="181"/>
      <c r="C70" s="181"/>
      <c r="D70" s="181"/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6"/>
      <c r="S70" s="6"/>
      <c r="T70" s="184"/>
      <c r="U70" s="6"/>
    </row>
    <row r="71" spans="1:21" customFormat="1">
      <c r="A71" s="180"/>
      <c r="B71" s="181"/>
      <c r="C71" s="181"/>
      <c r="D71" s="181"/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6"/>
      <c r="S71" s="6"/>
      <c r="T71" s="184"/>
      <c r="U71" s="6"/>
    </row>
    <row r="72" spans="1:21" customFormat="1">
      <c r="A72" s="180"/>
      <c r="B72" s="181"/>
      <c r="C72" s="181"/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6"/>
      <c r="S72" s="6"/>
      <c r="T72" s="184"/>
      <c r="U72" s="6"/>
    </row>
    <row r="73" spans="1:21" customFormat="1">
      <c r="A73" s="180"/>
      <c r="B73" s="181"/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6"/>
      <c r="S73" s="6"/>
      <c r="T73" s="184"/>
      <c r="U73" s="6"/>
    </row>
    <row r="74" spans="1:21" customFormat="1">
      <c r="A74" s="180"/>
      <c r="B74" s="181"/>
      <c r="C74" s="181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6"/>
      <c r="S74" s="6"/>
      <c r="T74" s="184"/>
      <c r="U74" s="6"/>
    </row>
    <row r="75" spans="1:21" customFormat="1">
      <c r="A75" s="180"/>
      <c r="B75" s="181"/>
      <c r="C75" s="181"/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6"/>
      <c r="S75" s="6"/>
      <c r="T75" s="184"/>
      <c r="U75" s="6"/>
    </row>
    <row r="76" spans="1:21" customFormat="1">
      <c r="A76" s="180"/>
      <c r="B76" s="181"/>
      <c r="C76" s="181"/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6"/>
      <c r="S76" s="6"/>
      <c r="T76" s="184"/>
      <c r="U76" s="6"/>
    </row>
    <row r="77" spans="1:21" customFormat="1">
      <c r="A77" s="180"/>
      <c r="B77" s="181"/>
      <c r="C77" s="181"/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6"/>
      <c r="S77" s="6"/>
      <c r="T77" s="184"/>
      <c r="U77" s="6"/>
    </row>
    <row r="78" spans="1:21" customFormat="1">
      <c r="A78" s="180"/>
      <c r="B78" s="181"/>
      <c r="C78" s="181"/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6"/>
      <c r="S78" s="6"/>
      <c r="T78" s="184"/>
      <c r="U78" s="6"/>
    </row>
    <row r="79" spans="1:21" customFormat="1">
      <c r="A79" s="180"/>
      <c r="B79" s="181"/>
      <c r="C79" s="181"/>
      <c r="D79" s="181"/>
      <c r="E79" s="185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6"/>
      <c r="S79" s="6"/>
      <c r="T79" s="184"/>
      <c r="U79" s="6"/>
    </row>
    <row r="80" spans="1:21" customFormat="1">
      <c r="A80" s="180"/>
      <c r="B80" s="181"/>
      <c r="C80" s="181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6"/>
      <c r="S80" s="6"/>
      <c r="T80" s="184"/>
      <c r="U80" s="6"/>
    </row>
    <row r="81" spans="1:26" customFormat="1">
      <c r="A81" s="180"/>
      <c r="B81" s="181"/>
      <c r="C81" s="181"/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6"/>
      <c r="S81" s="6"/>
      <c r="T81" s="184"/>
      <c r="U81" s="6"/>
    </row>
    <row r="82" spans="1:26" customFormat="1">
      <c r="A82" s="180"/>
      <c r="B82" s="181"/>
      <c r="C82" s="181"/>
      <c r="D82" s="181"/>
      <c r="E82" s="181"/>
      <c r="F82" s="181"/>
      <c r="G82" s="181"/>
      <c r="H82" s="181"/>
      <c r="I82" s="181"/>
      <c r="J82" s="190"/>
      <c r="K82" s="181"/>
      <c r="L82" s="181"/>
      <c r="M82" s="181"/>
      <c r="N82" s="181"/>
      <c r="O82" s="181"/>
      <c r="P82" s="181"/>
      <c r="Q82" s="181"/>
      <c r="R82" s="6"/>
      <c r="S82" s="6"/>
      <c r="T82" s="184"/>
      <c r="U82" s="6"/>
    </row>
    <row r="83" spans="1:26" customFormat="1">
      <c r="A83" s="180"/>
      <c r="B83" s="181"/>
      <c r="C83" s="181"/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6"/>
      <c r="S83" s="6"/>
      <c r="T83" s="184"/>
      <c r="U83" s="6"/>
    </row>
    <row r="84" spans="1:26" customFormat="1">
      <c r="A84" s="180"/>
      <c r="B84" s="181"/>
      <c r="C84" s="181"/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6"/>
      <c r="S84" s="6"/>
      <c r="T84" s="184"/>
      <c r="U84" s="6"/>
    </row>
    <row r="85" spans="1:26" customFormat="1">
      <c r="A85" s="180"/>
      <c r="B85" s="181"/>
      <c r="C85" s="181"/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6"/>
      <c r="S85" s="6"/>
      <c r="T85" s="184"/>
      <c r="U85" s="6"/>
    </row>
    <row r="86" spans="1:26" customFormat="1">
      <c r="A86" s="180"/>
      <c r="B86" s="181"/>
      <c r="C86" s="181"/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6"/>
      <c r="S86" s="6"/>
      <c r="T86" s="184"/>
      <c r="U86" s="6"/>
    </row>
    <row r="87" spans="1:26" customFormat="1">
      <c r="A87" s="180"/>
      <c r="B87" s="181"/>
      <c r="C87" s="181"/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6"/>
      <c r="S87" s="6"/>
      <c r="T87" s="184"/>
      <c r="U87" s="6"/>
    </row>
    <row r="88" spans="1:26" customFormat="1">
      <c r="A88" s="180"/>
      <c r="B88" s="181"/>
      <c r="C88" s="181"/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6"/>
      <c r="S88" s="6"/>
      <c r="T88" s="184"/>
      <c r="U88" s="6"/>
    </row>
    <row r="89" spans="1:26" customFormat="1">
      <c r="A89" s="180"/>
      <c r="B89" s="181"/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6"/>
      <c r="S89" s="6"/>
      <c r="T89" s="184"/>
      <c r="U89" s="6"/>
    </row>
    <row r="90" spans="1:26" customFormat="1">
      <c r="A90" s="180"/>
      <c r="B90" s="181"/>
      <c r="C90" s="181"/>
      <c r="D90" s="181"/>
      <c r="E90" s="181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6"/>
      <c r="S90" s="6"/>
      <c r="T90" s="184"/>
      <c r="U90" s="6"/>
    </row>
    <row r="91" spans="1:26" customFormat="1">
      <c r="A91" s="180"/>
      <c r="B91" s="181"/>
      <c r="C91" s="181"/>
      <c r="D91" s="181"/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6"/>
      <c r="S91" s="6"/>
      <c r="T91" s="184"/>
      <c r="U91" s="6"/>
    </row>
    <row r="92" spans="1:26" customFormat="1">
      <c r="A92" s="180"/>
      <c r="B92" s="181"/>
      <c r="C92" s="181"/>
      <c r="D92" s="181"/>
      <c r="E92" s="18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6"/>
      <c r="S92" s="6"/>
      <c r="T92" s="184"/>
      <c r="U92" s="6"/>
    </row>
    <row r="93" spans="1:26" customFormat="1">
      <c r="A93" s="180"/>
      <c r="B93" s="181"/>
      <c r="C93" s="181"/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6"/>
      <c r="S93" s="6"/>
      <c r="T93" s="184"/>
      <c r="U93" s="6"/>
    </row>
    <row r="94" spans="1:26" customFormat="1">
      <c r="A94" s="180"/>
      <c r="B94" s="181"/>
      <c r="C94" s="181"/>
      <c r="D94" s="181"/>
      <c r="E94" s="181"/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6"/>
      <c r="S94" s="6"/>
      <c r="T94" s="184"/>
      <c r="U94" s="6"/>
    </row>
    <row r="95" spans="1:26" customFormat="1">
      <c r="A95" s="180"/>
      <c r="B95" s="181"/>
      <c r="C95" s="181"/>
      <c r="D95" s="181"/>
      <c r="E95" s="181"/>
      <c r="F95" s="181"/>
      <c r="G95" s="181"/>
      <c r="H95" s="181"/>
      <c r="I95" s="181"/>
      <c r="J95" s="181"/>
      <c r="K95" s="181"/>
      <c r="L95" s="181"/>
      <c r="M95" s="181"/>
      <c r="N95" s="181"/>
      <c r="O95" s="181"/>
      <c r="P95" s="181"/>
      <c r="Q95" s="181"/>
      <c r="R95" s="6"/>
      <c r="S95" s="6"/>
      <c r="T95" s="184"/>
      <c r="U95" s="6"/>
    </row>
    <row r="96" spans="1:26" customFormat="1">
      <c r="A96" s="180"/>
      <c r="B96" s="181"/>
      <c r="C96" s="181"/>
      <c r="D96" s="181"/>
      <c r="E96" s="181"/>
      <c r="F96" s="181"/>
      <c r="G96" s="181"/>
      <c r="H96" s="181"/>
      <c r="I96" s="181"/>
      <c r="J96" s="181"/>
      <c r="K96" s="181"/>
      <c r="L96" s="181"/>
      <c r="M96" s="181"/>
      <c r="N96" s="181"/>
      <c r="O96" s="181"/>
      <c r="P96" s="181"/>
      <c r="Q96" s="181"/>
      <c r="R96" s="6"/>
      <c r="S96" s="6"/>
      <c r="T96" s="184"/>
      <c r="U96" s="6"/>
      <c r="Z96" s="194"/>
    </row>
    <row r="97" spans="1:33" customFormat="1">
      <c r="A97" s="180"/>
      <c r="B97" s="181"/>
      <c r="C97" s="181"/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6"/>
      <c r="S97" s="6"/>
      <c r="T97" s="184"/>
      <c r="U97" s="6"/>
    </row>
    <row r="98" spans="1:33" customFormat="1">
      <c r="A98" s="180"/>
      <c r="B98" s="181"/>
      <c r="C98" s="181"/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6"/>
      <c r="S98" s="6"/>
      <c r="T98" s="184"/>
      <c r="U98" s="6"/>
    </row>
    <row r="99" spans="1:33" customFormat="1">
      <c r="A99" s="180"/>
      <c r="B99" s="181"/>
      <c r="C99" s="181"/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6"/>
      <c r="S99" s="6"/>
      <c r="T99" s="184"/>
      <c r="U99" s="6"/>
    </row>
    <row r="100" spans="1:33" customFormat="1">
      <c r="A100" s="180"/>
      <c r="B100" s="181"/>
      <c r="C100" s="181"/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6"/>
      <c r="S100" s="6"/>
      <c r="T100" s="184"/>
      <c r="U100" s="6"/>
      <c r="AB100" s="195"/>
      <c r="AG100" s="194"/>
    </row>
    <row r="101" spans="1:33" customFormat="1">
      <c r="A101" s="180"/>
      <c r="B101" s="181"/>
      <c r="C101" s="181"/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6"/>
      <c r="S101" s="6"/>
      <c r="T101" s="184"/>
      <c r="U101" s="6"/>
    </row>
    <row r="102" spans="1:33" customFormat="1">
      <c r="A102" s="180"/>
      <c r="B102" s="181"/>
      <c r="C102" s="181"/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6"/>
      <c r="S102" s="6"/>
      <c r="T102" s="184"/>
      <c r="U102" s="6"/>
    </row>
    <row r="103" spans="1:33" customFormat="1">
      <c r="A103" s="180"/>
      <c r="B103" s="181"/>
      <c r="C103" s="181"/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6"/>
      <c r="S103" s="6"/>
      <c r="T103" s="184"/>
      <c r="U103" s="6"/>
    </row>
    <row r="104" spans="1:33" customFormat="1">
      <c r="A104" s="180"/>
      <c r="B104" s="181"/>
      <c r="C104" s="181"/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6"/>
      <c r="S104" s="6"/>
      <c r="T104" s="184"/>
      <c r="U104" s="6"/>
    </row>
    <row r="105" spans="1:33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33">
      <c r="A106" s="186" t="s">
        <v>48</v>
      </c>
      <c r="B106" s="187">
        <f>MIN(B9:B104)</f>
        <v>0</v>
      </c>
      <c r="C106" s="187">
        <f>MIN(C9:C104)</f>
        <v>0</v>
      </c>
      <c r="D106" s="187">
        <f t="shared" ref="D106:Q106" si="0">MIN(D9:D104)</f>
        <v>0</v>
      </c>
      <c r="E106" s="187">
        <f t="shared" si="0"/>
        <v>0</v>
      </c>
      <c r="F106" s="187">
        <f t="shared" si="0"/>
        <v>0</v>
      </c>
      <c r="G106" s="187">
        <f t="shared" si="0"/>
        <v>0</v>
      </c>
      <c r="H106" s="187">
        <f t="shared" si="0"/>
        <v>0</v>
      </c>
      <c r="I106" s="187">
        <f t="shared" si="0"/>
        <v>0</v>
      </c>
      <c r="J106" s="187">
        <f t="shared" si="0"/>
        <v>0</v>
      </c>
      <c r="K106" s="187">
        <f t="shared" si="0"/>
        <v>0</v>
      </c>
      <c r="L106" s="187">
        <f t="shared" si="0"/>
        <v>0</v>
      </c>
      <c r="M106" s="187">
        <f t="shared" si="0"/>
        <v>0</v>
      </c>
      <c r="N106" s="187">
        <f t="shared" si="0"/>
        <v>0</v>
      </c>
      <c r="O106" s="187">
        <f t="shared" si="0"/>
        <v>0</v>
      </c>
      <c r="P106" s="187">
        <f t="shared" si="0"/>
        <v>0</v>
      </c>
      <c r="Q106" s="187">
        <f t="shared" si="0"/>
        <v>0</v>
      </c>
      <c r="R106" s="192"/>
      <c r="S106" s="192"/>
      <c r="T106" s="192"/>
      <c r="U106" s="192"/>
    </row>
    <row r="107" spans="1:33">
      <c r="A107" s="186" t="s">
        <v>49</v>
      </c>
      <c r="B107" s="188">
        <f>MAX(B9:B104)</f>
        <v>0</v>
      </c>
      <c r="C107" s="188">
        <f t="shared" ref="C107:Q107" si="1">MAX(C9:C104)</f>
        <v>0</v>
      </c>
      <c r="D107" s="188">
        <f t="shared" si="1"/>
        <v>0</v>
      </c>
      <c r="E107" s="188">
        <f t="shared" si="1"/>
        <v>0</v>
      </c>
      <c r="F107" s="188">
        <f t="shared" si="1"/>
        <v>0</v>
      </c>
      <c r="G107" s="188">
        <f t="shared" si="1"/>
        <v>0</v>
      </c>
      <c r="H107" s="188">
        <f t="shared" si="1"/>
        <v>0</v>
      </c>
      <c r="I107" s="188">
        <f t="shared" si="1"/>
        <v>0</v>
      </c>
      <c r="J107" s="188">
        <f t="shared" si="1"/>
        <v>0</v>
      </c>
      <c r="K107" s="188">
        <f t="shared" si="1"/>
        <v>0</v>
      </c>
      <c r="L107" s="188">
        <f t="shared" si="1"/>
        <v>0</v>
      </c>
      <c r="M107" s="188">
        <f t="shared" si="1"/>
        <v>0</v>
      </c>
      <c r="N107" s="188">
        <f t="shared" si="1"/>
        <v>0</v>
      </c>
      <c r="O107" s="188">
        <f t="shared" si="1"/>
        <v>0</v>
      </c>
      <c r="P107" s="188">
        <f t="shared" si="1"/>
        <v>0</v>
      </c>
      <c r="Q107" s="188">
        <f t="shared" si="1"/>
        <v>0</v>
      </c>
      <c r="R107" s="193"/>
      <c r="S107" s="193"/>
      <c r="T107" s="193"/>
      <c r="U107" s="193"/>
    </row>
    <row r="108" spans="1:33">
      <c r="A108" s="186" t="s">
        <v>50</v>
      </c>
      <c r="B108" s="187" t="e">
        <f>AVERAGE(B9:B104)</f>
        <v>#DIV/0!</v>
      </c>
      <c r="C108" s="187" t="e">
        <f t="shared" ref="C108:Q108" si="2">AVERAGE(C9:C104)</f>
        <v>#DIV/0!</v>
      </c>
      <c r="D108" s="187" t="e">
        <f t="shared" si="2"/>
        <v>#DIV/0!</v>
      </c>
      <c r="E108" s="187" t="e">
        <f t="shared" si="2"/>
        <v>#DIV/0!</v>
      </c>
      <c r="F108" s="187" t="e">
        <f t="shared" si="2"/>
        <v>#DIV/0!</v>
      </c>
      <c r="G108" s="187" t="e">
        <f t="shared" si="2"/>
        <v>#DIV/0!</v>
      </c>
      <c r="H108" s="187" t="e">
        <f t="shared" si="2"/>
        <v>#DIV/0!</v>
      </c>
      <c r="I108" s="187" t="e">
        <f t="shared" si="2"/>
        <v>#DIV/0!</v>
      </c>
      <c r="J108" s="187" t="e">
        <f t="shared" si="2"/>
        <v>#DIV/0!</v>
      </c>
      <c r="K108" s="187" t="e">
        <f t="shared" si="2"/>
        <v>#DIV/0!</v>
      </c>
      <c r="L108" s="187" t="e">
        <f t="shared" si="2"/>
        <v>#DIV/0!</v>
      </c>
      <c r="M108" s="187" t="e">
        <f t="shared" si="2"/>
        <v>#DIV/0!</v>
      </c>
      <c r="N108" s="187" t="e">
        <f t="shared" si="2"/>
        <v>#DIV/0!</v>
      </c>
      <c r="O108" s="187" t="e">
        <f t="shared" si="2"/>
        <v>#DIV/0!</v>
      </c>
      <c r="P108" s="187" t="e">
        <f t="shared" si="2"/>
        <v>#DIV/0!</v>
      </c>
      <c r="Q108" s="187" t="e">
        <f t="shared" si="2"/>
        <v>#DIV/0!</v>
      </c>
      <c r="R108" s="192"/>
      <c r="S108" s="192"/>
      <c r="T108" s="192"/>
      <c r="U108" s="192"/>
    </row>
    <row r="109" spans="1:33">
      <c r="A109" s="186" t="s">
        <v>51</v>
      </c>
      <c r="B109" s="187" t="e">
        <f>STDEV(B9:B104)</f>
        <v>#DIV/0!</v>
      </c>
      <c r="C109" s="187" t="e">
        <f t="shared" ref="C109:Q109" si="3">STDEV(C9:C104)</f>
        <v>#DIV/0!</v>
      </c>
      <c r="D109" s="187" t="e">
        <f t="shared" si="3"/>
        <v>#DIV/0!</v>
      </c>
      <c r="E109" s="187" t="e">
        <f t="shared" si="3"/>
        <v>#DIV/0!</v>
      </c>
      <c r="F109" s="187" t="e">
        <f t="shared" si="3"/>
        <v>#DIV/0!</v>
      </c>
      <c r="G109" s="187" t="e">
        <f t="shared" si="3"/>
        <v>#DIV/0!</v>
      </c>
      <c r="H109" s="187" t="e">
        <f t="shared" si="3"/>
        <v>#DIV/0!</v>
      </c>
      <c r="I109" s="187" t="e">
        <f t="shared" si="3"/>
        <v>#DIV/0!</v>
      </c>
      <c r="J109" s="187" t="e">
        <f t="shared" si="3"/>
        <v>#DIV/0!</v>
      </c>
      <c r="K109" s="187" t="e">
        <f t="shared" si="3"/>
        <v>#DIV/0!</v>
      </c>
      <c r="L109" s="187" t="e">
        <f t="shared" si="3"/>
        <v>#DIV/0!</v>
      </c>
      <c r="M109" s="187" t="e">
        <f t="shared" si="3"/>
        <v>#DIV/0!</v>
      </c>
      <c r="N109" s="187" t="e">
        <f t="shared" si="3"/>
        <v>#DIV/0!</v>
      </c>
      <c r="O109" s="187" t="e">
        <f t="shared" si="3"/>
        <v>#DIV/0!</v>
      </c>
      <c r="P109" s="187" t="e">
        <f t="shared" si="3"/>
        <v>#DIV/0!</v>
      </c>
      <c r="Q109" s="187" t="e">
        <f t="shared" si="3"/>
        <v>#DIV/0!</v>
      </c>
      <c r="R109" s="192"/>
      <c r="S109" s="192"/>
      <c r="T109" s="192"/>
      <c r="U109" s="192"/>
    </row>
    <row r="110" spans="1:33">
      <c r="A110" s="186" t="s">
        <v>52</v>
      </c>
      <c r="B110" s="188">
        <f t="shared" ref="B110:Q110" si="4">COUNT(B9:B104)</f>
        <v>0</v>
      </c>
      <c r="C110" s="188">
        <f t="shared" si="4"/>
        <v>0</v>
      </c>
      <c r="D110" s="188">
        <f t="shared" si="4"/>
        <v>0</v>
      </c>
      <c r="E110" s="188">
        <f t="shared" si="4"/>
        <v>0</v>
      </c>
      <c r="F110" s="188">
        <f t="shared" si="4"/>
        <v>0</v>
      </c>
      <c r="G110" s="188">
        <f t="shared" si="4"/>
        <v>0</v>
      </c>
      <c r="H110" s="188">
        <f t="shared" si="4"/>
        <v>0</v>
      </c>
      <c r="I110" s="188">
        <f t="shared" si="4"/>
        <v>0</v>
      </c>
      <c r="J110" s="188">
        <f t="shared" si="4"/>
        <v>0</v>
      </c>
      <c r="K110" s="188">
        <f t="shared" si="4"/>
        <v>0</v>
      </c>
      <c r="L110" s="188">
        <f t="shared" si="4"/>
        <v>0</v>
      </c>
      <c r="M110" s="188">
        <f t="shared" si="4"/>
        <v>0</v>
      </c>
      <c r="N110" s="188">
        <f t="shared" si="4"/>
        <v>0</v>
      </c>
      <c r="O110" s="188">
        <f t="shared" si="4"/>
        <v>0</v>
      </c>
      <c r="P110" s="188">
        <f t="shared" si="4"/>
        <v>0</v>
      </c>
      <c r="Q110" s="188">
        <f t="shared" si="4"/>
        <v>0</v>
      </c>
      <c r="R110" s="193"/>
      <c r="S110" s="193"/>
      <c r="T110" s="193"/>
      <c r="U110" s="193"/>
      <c r="V110" s="188"/>
    </row>
    <row r="111" spans="1:33">
      <c r="A111" s="153" t="s">
        <v>53</v>
      </c>
      <c r="B111" s="147" t="str">
        <f>IF(B110&gt;=87,"&gt;90%",IF(B110&lt;=87,"&lt;90%"))</f>
        <v>&lt;90%</v>
      </c>
      <c r="C111" s="147" t="str">
        <f t="shared" ref="C111:Q111" si="5">IF(C110&gt;=87,"&gt;90%",IF(C110&lt;=87,"&lt;90%"))</f>
        <v>&lt;90%</v>
      </c>
      <c r="D111" s="147" t="str">
        <f t="shared" si="5"/>
        <v>&lt;90%</v>
      </c>
      <c r="E111" s="147" t="str">
        <f t="shared" si="5"/>
        <v>&lt;90%</v>
      </c>
      <c r="F111" s="147" t="str">
        <f t="shared" si="5"/>
        <v>&lt;90%</v>
      </c>
      <c r="G111" s="147" t="str">
        <f t="shared" si="5"/>
        <v>&lt;90%</v>
      </c>
      <c r="H111" s="147" t="str">
        <f t="shared" si="5"/>
        <v>&lt;90%</v>
      </c>
      <c r="I111" s="147" t="str">
        <f t="shared" si="5"/>
        <v>&lt;90%</v>
      </c>
      <c r="J111" s="147" t="str">
        <f t="shared" si="5"/>
        <v>&lt;90%</v>
      </c>
      <c r="K111" s="147" t="str">
        <f t="shared" si="5"/>
        <v>&lt;90%</v>
      </c>
      <c r="L111" s="147" t="str">
        <f t="shared" si="5"/>
        <v>&lt;90%</v>
      </c>
      <c r="M111" s="147" t="str">
        <f t="shared" si="5"/>
        <v>&lt;90%</v>
      </c>
      <c r="N111" s="147" t="str">
        <f t="shared" si="5"/>
        <v>&lt;90%</v>
      </c>
      <c r="O111" s="147" t="str">
        <f t="shared" si="5"/>
        <v>&lt;90%</v>
      </c>
      <c r="P111" s="147" t="str">
        <f t="shared" si="5"/>
        <v>&lt;90%</v>
      </c>
      <c r="Q111" s="147" t="str">
        <f t="shared" si="5"/>
        <v>&lt;90%</v>
      </c>
      <c r="R111" s="175"/>
      <c r="S111" s="175"/>
      <c r="T111" s="175"/>
      <c r="U111" s="175"/>
    </row>
    <row r="112" spans="1:33">
      <c r="A112" s="153" t="s">
        <v>54</v>
      </c>
      <c r="B112" s="147" t="str">
        <f>IF(B110&gt;=87,"OK",IF(B110&lt;=87,"LESS"))</f>
        <v>LESS</v>
      </c>
      <c r="C112" s="147" t="str">
        <f t="shared" ref="C112:Q112" si="6">IF(C110&gt;=87,"OK",IF(C110&lt;=87,"LESS"))</f>
        <v>LESS</v>
      </c>
      <c r="D112" s="147" t="str">
        <f t="shared" si="6"/>
        <v>LESS</v>
      </c>
      <c r="E112" s="147" t="str">
        <f t="shared" si="6"/>
        <v>LESS</v>
      </c>
      <c r="F112" s="147" t="str">
        <f t="shared" si="6"/>
        <v>LESS</v>
      </c>
      <c r="G112" s="147" t="str">
        <f t="shared" si="6"/>
        <v>LESS</v>
      </c>
      <c r="H112" s="147" t="str">
        <f t="shared" si="6"/>
        <v>LESS</v>
      </c>
      <c r="I112" s="147" t="str">
        <f t="shared" si="6"/>
        <v>LESS</v>
      </c>
      <c r="J112" s="147" t="str">
        <f t="shared" si="6"/>
        <v>LESS</v>
      </c>
      <c r="K112" s="147" t="str">
        <f t="shared" si="6"/>
        <v>LESS</v>
      </c>
      <c r="L112" s="147" t="str">
        <f t="shared" si="6"/>
        <v>LESS</v>
      </c>
      <c r="M112" s="147" t="str">
        <f t="shared" si="6"/>
        <v>LESS</v>
      </c>
      <c r="N112" s="147" t="str">
        <f t="shared" si="6"/>
        <v>LESS</v>
      </c>
      <c r="O112" s="147" t="str">
        <f t="shared" si="6"/>
        <v>LESS</v>
      </c>
      <c r="P112" s="147" t="str">
        <f t="shared" si="6"/>
        <v>LESS</v>
      </c>
      <c r="Q112" s="147" t="str">
        <f t="shared" si="6"/>
        <v>LESS</v>
      </c>
      <c r="R112" s="175"/>
      <c r="S112" s="175"/>
      <c r="T112" s="175"/>
      <c r="U112" s="175"/>
    </row>
    <row r="113" spans="1:21">
      <c r="L113" s="32"/>
      <c r="N113" s="191"/>
      <c r="O113" s="191"/>
      <c r="P113" s="191"/>
      <c r="Q113" s="191"/>
      <c r="R113" s="191"/>
      <c r="S113" s="191"/>
      <c r="T113" s="191"/>
      <c r="U113" s="191"/>
    </row>
    <row r="115" spans="1:21">
      <c r="A115" s="153" t="s">
        <v>55</v>
      </c>
      <c r="B115" s="197" t="s">
        <v>56</v>
      </c>
      <c r="C115" s="197"/>
      <c r="D115" s="197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9" t="s">
        <v>57</v>
      </c>
      <c r="B117" s="198"/>
      <c r="C117" s="198"/>
      <c r="D117" s="198"/>
      <c r="E117" s="198"/>
      <c r="F117" s="198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G117"/>
  <sheetViews>
    <sheetView zoomScale="85" zoomScaleNormal="85" workbookViewId="0">
      <pane xSplit="1" ySplit="8" topLeftCell="B96" activePane="bottomRight" state="frozen"/>
      <selection activeCell="A9" sqref="A9"/>
      <selection pane="topRight" activeCell="A9" sqref="A9"/>
      <selection pane="bottomLeft" activeCell="A9" sqref="A9"/>
      <selection pane="bottomRight" activeCell="A9" sqref="A9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0</v>
      </c>
      <c r="C2" s="196" t="s">
        <v>3</v>
      </c>
      <c r="D2" s="196"/>
      <c r="E2" s="196"/>
      <c r="F2" s="196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2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6" t="s">
        <v>11</v>
      </c>
      <c r="D3" s="196"/>
      <c r="E3" s="196"/>
      <c r="F3" s="196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2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6" t="s">
        <v>18</v>
      </c>
      <c r="D4" s="196"/>
      <c r="E4" s="196"/>
      <c r="F4" s="196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3" t="s">
        <v>43</v>
      </c>
      <c r="M8" s="114" t="s">
        <v>44</v>
      </c>
      <c r="N8" s="114" t="s">
        <v>45</v>
      </c>
      <c r="O8" s="183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80"/>
      <c r="B9" s="181"/>
      <c r="C9" s="181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6"/>
      <c r="S9" s="6"/>
      <c r="T9" s="184"/>
      <c r="U9" s="6"/>
    </row>
    <row r="10" spans="1:21" customFormat="1">
      <c r="A10" s="180"/>
      <c r="B10" s="181"/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6"/>
      <c r="S10" s="6"/>
      <c r="T10" s="184"/>
      <c r="U10" s="6"/>
    </row>
    <row r="11" spans="1:21" customFormat="1">
      <c r="A11" s="180"/>
      <c r="B11" s="181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6"/>
      <c r="S11" s="6"/>
      <c r="T11" s="184"/>
      <c r="U11" s="6"/>
    </row>
    <row r="12" spans="1:21" customFormat="1">
      <c r="A12" s="180"/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6"/>
      <c r="S12" s="6"/>
      <c r="T12" s="184"/>
      <c r="U12" s="6"/>
    </row>
    <row r="13" spans="1:21" customFormat="1">
      <c r="A13" s="180"/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6"/>
      <c r="S13" s="6"/>
      <c r="T13" s="184"/>
      <c r="U13" s="6"/>
    </row>
    <row r="14" spans="1:21" customFormat="1">
      <c r="A14" s="180"/>
      <c r="B14" s="181"/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6"/>
      <c r="S14" s="6"/>
      <c r="T14" s="184"/>
      <c r="U14" s="6"/>
    </row>
    <row r="15" spans="1:21" customFormat="1">
      <c r="A15" s="180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6"/>
      <c r="S15" s="6"/>
      <c r="T15" s="184"/>
      <c r="U15" s="6"/>
    </row>
    <row r="16" spans="1:21" customFormat="1">
      <c r="A16" s="180"/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6"/>
      <c r="S16" s="6"/>
      <c r="T16" s="184"/>
      <c r="U16" s="6"/>
    </row>
    <row r="17" spans="1:21" customFormat="1">
      <c r="A17" s="180"/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6"/>
      <c r="S17" s="6"/>
      <c r="T17" s="184"/>
      <c r="U17" s="6"/>
    </row>
    <row r="18" spans="1:21" customFormat="1">
      <c r="A18" s="180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6"/>
      <c r="S18" s="6"/>
      <c r="T18" s="184"/>
      <c r="U18" s="6"/>
    </row>
    <row r="19" spans="1:21" customFormat="1">
      <c r="A19" s="180"/>
      <c r="B19" s="181"/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6"/>
      <c r="S19" s="6"/>
      <c r="T19" s="184"/>
      <c r="U19" s="6"/>
    </row>
    <row r="20" spans="1:21" customFormat="1">
      <c r="A20" s="180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6"/>
      <c r="S20" s="6"/>
      <c r="T20" s="184"/>
      <c r="U20" s="6"/>
    </row>
    <row r="21" spans="1:21" customFormat="1">
      <c r="A21" s="180"/>
      <c r="B21" s="181"/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6"/>
      <c r="S21" s="6"/>
      <c r="T21" s="184"/>
      <c r="U21" s="6"/>
    </row>
    <row r="22" spans="1:21" customFormat="1">
      <c r="A22" s="180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6"/>
      <c r="S22" s="6"/>
      <c r="T22" s="184"/>
      <c r="U22" s="6"/>
    </row>
    <row r="23" spans="1:21" customFormat="1">
      <c r="A23" s="180"/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6"/>
      <c r="S23" s="6"/>
      <c r="T23" s="184"/>
      <c r="U23" s="6"/>
    </row>
    <row r="24" spans="1:21" customFormat="1">
      <c r="A24" s="180"/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6"/>
      <c r="S24" s="6"/>
      <c r="T24" s="184"/>
      <c r="U24" s="6"/>
    </row>
    <row r="25" spans="1:21" customFormat="1">
      <c r="A25" s="180"/>
      <c r="B25" s="181"/>
      <c r="C25" s="181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6"/>
      <c r="S25" s="6"/>
      <c r="T25" s="184"/>
      <c r="U25" s="6"/>
    </row>
    <row r="26" spans="1:21" customFormat="1">
      <c r="A26" s="180"/>
      <c r="B26" s="181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6"/>
      <c r="S26" s="6"/>
      <c r="T26" s="184"/>
      <c r="U26" s="6"/>
    </row>
    <row r="27" spans="1:21" customFormat="1">
      <c r="A27" s="180"/>
      <c r="B27" s="181"/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6"/>
      <c r="S27" s="6"/>
      <c r="T27" s="184"/>
      <c r="U27" s="6"/>
    </row>
    <row r="28" spans="1:21" customFormat="1">
      <c r="A28" s="180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6"/>
      <c r="S28" s="6"/>
      <c r="T28" s="184"/>
      <c r="U28" s="6"/>
    </row>
    <row r="29" spans="1:21" customFormat="1">
      <c r="A29" s="180"/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6"/>
      <c r="S29" s="6"/>
      <c r="T29" s="184"/>
      <c r="U29" s="6"/>
    </row>
    <row r="30" spans="1:21" customFormat="1">
      <c r="A30" s="180"/>
      <c r="B30" s="181"/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6"/>
      <c r="S30" s="6"/>
      <c r="T30" s="184"/>
      <c r="U30" s="6"/>
    </row>
    <row r="31" spans="1:21" customFormat="1">
      <c r="A31" s="180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6"/>
      <c r="S31" s="6"/>
      <c r="T31" s="184"/>
      <c r="U31" s="6"/>
    </row>
    <row r="32" spans="1:21" customFormat="1">
      <c r="A32" s="180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6"/>
      <c r="S32" s="6"/>
      <c r="T32" s="184"/>
      <c r="U32" s="6"/>
    </row>
    <row r="33" spans="1:21" customFormat="1">
      <c r="A33" s="180"/>
      <c r="B33" s="181"/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6"/>
      <c r="S33" s="6"/>
      <c r="T33" s="184"/>
      <c r="U33" s="6"/>
    </row>
    <row r="34" spans="1:21" customFormat="1">
      <c r="A34" s="180"/>
      <c r="B34" s="181"/>
      <c r="C34" s="181"/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6"/>
      <c r="S34" s="6"/>
      <c r="T34" s="184"/>
      <c r="U34" s="6"/>
    </row>
    <row r="35" spans="1:21" customFormat="1">
      <c r="A35" s="180"/>
      <c r="B35" s="181"/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6"/>
      <c r="S35" s="6"/>
      <c r="T35" s="184"/>
      <c r="U35" s="6"/>
    </row>
    <row r="36" spans="1:21" customFormat="1">
      <c r="A36" s="180"/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6"/>
      <c r="S36" s="6"/>
      <c r="T36" s="184"/>
      <c r="U36" s="6"/>
    </row>
    <row r="37" spans="1:21" customFormat="1">
      <c r="A37" s="180"/>
      <c r="B37" s="181"/>
      <c r="C37" s="181"/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6"/>
      <c r="S37" s="6"/>
      <c r="T37" s="184"/>
      <c r="U37" s="6"/>
    </row>
    <row r="38" spans="1:21" customFormat="1">
      <c r="A38" s="180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6"/>
      <c r="S38" s="6"/>
      <c r="T38" s="184"/>
      <c r="U38" s="6"/>
    </row>
    <row r="39" spans="1:21" customFormat="1">
      <c r="A39" s="180"/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6"/>
      <c r="S39" s="6"/>
      <c r="T39" s="184"/>
      <c r="U39" s="6"/>
    </row>
    <row r="40" spans="1:21" customFormat="1">
      <c r="A40" s="180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6"/>
      <c r="S40" s="6"/>
      <c r="T40" s="184"/>
      <c r="U40" s="6"/>
    </row>
    <row r="41" spans="1:21" customFormat="1">
      <c r="A41" s="180"/>
      <c r="B41" s="181"/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6"/>
      <c r="S41" s="6"/>
      <c r="T41" s="184"/>
      <c r="U41" s="6"/>
    </row>
    <row r="42" spans="1:21" customFormat="1">
      <c r="A42" s="180"/>
      <c r="B42" s="181"/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6"/>
      <c r="S42" s="6"/>
      <c r="T42" s="184"/>
      <c r="U42" s="6"/>
    </row>
    <row r="43" spans="1:21" customFormat="1">
      <c r="A43" s="180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6"/>
      <c r="S43" s="6"/>
      <c r="T43" s="184"/>
      <c r="U43" s="6"/>
    </row>
    <row r="44" spans="1:21" customFormat="1">
      <c r="A44" s="180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6"/>
      <c r="S44" s="6"/>
      <c r="T44" s="184"/>
      <c r="U44" s="6"/>
    </row>
    <row r="45" spans="1:21" customFormat="1">
      <c r="A45" s="180"/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6"/>
      <c r="S45" s="6"/>
      <c r="T45" s="184"/>
      <c r="U45" s="6"/>
    </row>
    <row r="46" spans="1:21" customFormat="1">
      <c r="A46" s="180"/>
      <c r="B46" s="181"/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6"/>
      <c r="S46" s="6"/>
      <c r="T46" s="184"/>
      <c r="U46" s="6"/>
    </row>
    <row r="47" spans="1:21" customFormat="1">
      <c r="A47" s="180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6"/>
      <c r="S47" s="6"/>
      <c r="T47" s="184"/>
      <c r="U47" s="6"/>
    </row>
    <row r="48" spans="1:21" customFormat="1">
      <c r="A48" s="180"/>
      <c r="B48" s="181"/>
      <c r="C48" s="181"/>
      <c r="D48" s="181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6"/>
      <c r="S48" s="6"/>
      <c r="T48" s="184"/>
      <c r="U48" s="6"/>
    </row>
    <row r="49" spans="1:21" customFormat="1">
      <c r="A49" s="180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6"/>
      <c r="S49" s="6"/>
      <c r="T49" s="184"/>
      <c r="U49" s="6"/>
    </row>
    <row r="50" spans="1:21" customFormat="1">
      <c r="A50" s="180"/>
      <c r="B50" s="181"/>
      <c r="C50" s="181"/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6"/>
      <c r="S50" s="6"/>
      <c r="T50" s="184"/>
      <c r="U50" s="6"/>
    </row>
    <row r="51" spans="1:21" customFormat="1">
      <c r="A51" s="180"/>
      <c r="B51" s="181"/>
      <c r="C51" s="181"/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6"/>
      <c r="S51" s="6"/>
      <c r="T51" s="184"/>
      <c r="U51" s="6"/>
    </row>
    <row r="52" spans="1:21" customFormat="1">
      <c r="A52" s="180"/>
      <c r="B52" s="181"/>
      <c r="C52" s="181"/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6"/>
      <c r="S52" s="6"/>
      <c r="T52" s="184"/>
      <c r="U52" s="6"/>
    </row>
    <row r="53" spans="1:21" customFormat="1">
      <c r="A53" s="180"/>
      <c r="B53" s="181"/>
      <c r="C53" s="181"/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6"/>
      <c r="S53" s="6"/>
      <c r="T53" s="184"/>
      <c r="U53" s="6"/>
    </row>
    <row r="54" spans="1:21" customFormat="1">
      <c r="A54" s="180"/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6"/>
      <c r="S54" s="6"/>
      <c r="T54" s="184"/>
      <c r="U54" s="6"/>
    </row>
    <row r="55" spans="1:21" customFormat="1">
      <c r="A55" s="180"/>
      <c r="B55" s="181"/>
      <c r="C55" s="181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6"/>
      <c r="S55" s="6"/>
      <c r="T55" s="184"/>
      <c r="U55" s="6"/>
    </row>
    <row r="56" spans="1:21" customFormat="1">
      <c r="A56" s="180"/>
      <c r="B56" s="181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6"/>
      <c r="S56" s="6"/>
      <c r="T56" s="184"/>
      <c r="U56" s="6"/>
    </row>
    <row r="57" spans="1:21" customFormat="1">
      <c r="A57" s="180"/>
      <c r="B57" s="181"/>
      <c r="C57" s="181"/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6"/>
      <c r="S57" s="6"/>
      <c r="T57" s="184"/>
      <c r="U57" s="6"/>
    </row>
    <row r="58" spans="1:21" customFormat="1">
      <c r="A58" s="180"/>
      <c r="B58" s="181"/>
      <c r="C58" s="181"/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6"/>
      <c r="S58" s="6"/>
      <c r="T58" s="184"/>
      <c r="U58" s="6"/>
    </row>
    <row r="59" spans="1:21" customFormat="1">
      <c r="A59" s="180"/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6"/>
      <c r="S59" s="6"/>
      <c r="T59" s="184"/>
      <c r="U59" s="6"/>
    </row>
    <row r="60" spans="1:21" customFormat="1">
      <c r="A60" s="180"/>
      <c r="B60" s="181"/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6"/>
      <c r="S60" s="6"/>
      <c r="T60" s="184"/>
      <c r="U60" s="6"/>
    </row>
    <row r="61" spans="1:21" customFormat="1">
      <c r="A61" s="180"/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6"/>
      <c r="S61" s="6"/>
      <c r="T61" s="184"/>
      <c r="U61" s="6"/>
    </row>
    <row r="62" spans="1:21" customFormat="1">
      <c r="A62" s="180"/>
      <c r="B62" s="181"/>
      <c r="C62" s="181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6"/>
      <c r="S62" s="6"/>
      <c r="T62" s="184"/>
      <c r="U62" s="6"/>
    </row>
    <row r="63" spans="1:21" customFormat="1">
      <c r="A63" s="180"/>
      <c r="B63" s="181"/>
      <c r="C63" s="181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6"/>
      <c r="S63" s="6"/>
      <c r="T63" s="184"/>
      <c r="U63" s="6"/>
    </row>
    <row r="64" spans="1:21" customFormat="1">
      <c r="A64" s="180"/>
      <c r="B64" s="181"/>
      <c r="C64" s="181"/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6"/>
      <c r="S64" s="6"/>
      <c r="T64" s="184"/>
      <c r="U64" s="6"/>
    </row>
    <row r="65" spans="1:21" customFormat="1">
      <c r="A65" s="180"/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6"/>
      <c r="S65" s="6"/>
      <c r="T65" s="184"/>
      <c r="U65" s="6"/>
    </row>
    <row r="66" spans="1:21" customFormat="1">
      <c r="A66" s="180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6"/>
      <c r="S66" s="6"/>
      <c r="T66" s="184"/>
      <c r="U66" s="6"/>
    </row>
    <row r="67" spans="1:21" customFormat="1">
      <c r="A67" s="180"/>
      <c r="B67" s="181"/>
      <c r="C67" s="181"/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6"/>
      <c r="S67" s="6"/>
      <c r="T67" s="184"/>
      <c r="U67" s="6"/>
    </row>
    <row r="68" spans="1:21" customFormat="1">
      <c r="A68" s="180"/>
      <c r="B68" s="181"/>
      <c r="C68" s="181"/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6"/>
      <c r="S68" s="6"/>
      <c r="T68" s="184"/>
      <c r="U68" s="6"/>
    </row>
    <row r="69" spans="1:21" customFormat="1">
      <c r="A69" s="180"/>
      <c r="B69" s="181"/>
      <c r="C69" s="181"/>
      <c r="D69" s="181"/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6"/>
      <c r="S69" s="6"/>
      <c r="T69" s="184"/>
      <c r="U69" s="6"/>
    </row>
    <row r="70" spans="1:21" customFormat="1">
      <c r="A70" s="180"/>
      <c r="B70" s="181"/>
      <c r="C70" s="181"/>
      <c r="D70" s="181"/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6"/>
      <c r="S70" s="6"/>
      <c r="T70" s="184"/>
      <c r="U70" s="6"/>
    </row>
    <row r="71" spans="1:21" customFormat="1">
      <c r="A71" s="180"/>
      <c r="B71" s="181"/>
      <c r="C71" s="181"/>
      <c r="D71" s="181"/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6"/>
      <c r="S71" s="6"/>
      <c r="T71" s="184"/>
      <c r="U71" s="6"/>
    </row>
    <row r="72" spans="1:21" customFormat="1">
      <c r="A72" s="180"/>
      <c r="B72" s="181"/>
      <c r="C72" s="181"/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6"/>
      <c r="S72" s="6"/>
      <c r="T72" s="184"/>
      <c r="U72" s="6"/>
    </row>
    <row r="73" spans="1:21" customFormat="1">
      <c r="A73" s="180"/>
      <c r="B73" s="181"/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6"/>
      <c r="S73" s="6"/>
      <c r="T73" s="184"/>
      <c r="U73" s="6"/>
    </row>
    <row r="74" spans="1:21" customFormat="1">
      <c r="A74" s="180"/>
      <c r="B74" s="181"/>
      <c r="C74" s="181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6"/>
      <c r="S74" s="6"/>
      <c r="T74" s="184"/>
      <c r="U74" s="6"/>
    </row>
    <row r="75" spans="1:21" customFormat="1">
      <c r="A75" s="180"/>
      <c r="B75" s="181"/>
      <c r="C75" s="181"/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6"/>
      <c r="S75" s="6"/>
      <c r="T75" s="184"/>
      <c r="U75" s="6"/>
    </row>
    <row r="76" spans="1:21" customFormat="1">
      <c r="A76" s="180"/>
      <c r="B76" s="181"/>
      <c r="C76" s="181"/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6"/>
      <c r="S76" s="6"/>
      <c r="T76" s="184"/>
      <c r="U76" s="6"/>
    </row>
    <row r="77" spans="1:21" customFormat="1">
      <c r="A77" s="180"/>
      <c r="B77" s="181"/>
      <c r="C77" s="181"/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6"/>
      <c r="S77" s="6"/>
      <c r="T77" s="184"/>
      <c r="U77" s="6"/>
    </row>
    <row r="78" spans="1:21" customFormat="1">
      <c r="A78" s="180"/>
      <c r="B78" s="181"/>
      <c r="C78" s="181"/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6"/>
      <c r="S78" s="6"/>
      <c r="T78" s="184"/>
      <c r="U78" s="6"/>
    </row>
    <row r="79" spans="1:21" customFormat="1">
      <c r="A79" s="180"/>
      <c r="B79" s="181"/>
      <c r="C79" s="181"/>
      <c r="D79" s="181"/>
      <c r="E79" s="185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6"/>
      <c r="S79" s="6"/>
      <c r="T79" s="184"/>
      <c r="U79" s="6"/>
    </row>
    <row r="80" spans="1:21" customFormat="1">
      <c r="A80" s="180"/>
      <c r="B80" s="181"/>
      <c r="C80" s="181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6"/>
      <c r="S80" s="6"/>
      <c r="T80" s="184"/>
      <c r="U80" s="6"/>
    </row>
    <row r="81" spans="1:26" customFormat="1">
      <c r="A81" s="180"/>
      <c r="B81" s="181"/>
      <c r="C81" s="181"/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6"/>
      <c r="S81" s="6"/>
      <c r="T81" s="184"/>
      <c r="U81" s="6"/>
    </row>
    <row r="82" spans="1:26" customFormat="1">
      <c r="A82" s="180"/>
      <c r="B82" s="181"/>
      <c r="C82" s="181"/>
      <c r="D82" s="181"/>
      <c r="E82" s="181"/>
      <c r="F82" s="181"/>
      <c r="G82" s="181"/>
      <c r="H82" s="181"/>
      <c r="I82" s="181"/>
      <c r="J82" s="190"/>
      <c r="K82" s="181"/>
      <c r="L82" s="181"/>
      <c r="M82" s="181"/>
      <c r="N82" s="181"/>
      <c r="O82" s="181"/>
      <c r="P82" s="181"/>
      <c r="Q82" s="181"/>
      <c r="R82" s="6"/>
      <c r="S82" s="6"/>
      <c r="T82" s="184"/>
      <c r="U82" s="6"/>
    </row>
    <row r="83" spans="1:26" customFormat="1">
      <c r="A83" s="180"/>
      <c r="B83" s="181"/>
      <c r="C83" s="181"/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6"/>
      <c r="S83" s="6"/>
      <c r="T83" s="184"/>
      <c r="U83" s="6"/>
    </row>
    <row r="84" spans="1:26" customFormat="1">
      <c r="A84" s="180"/>
      <c r="B84" s="181"/>
      <c r="C84" s="181"/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6"/>
      <c r="S84" s="6"/>
      <c r="T84" s="184"/>
      <c r="U84" s="6"/>
    </row>
    <row r="85" spans="1:26" customFormat="1">
      <c r="A85" s="180"/>
      <c r="B85" s="181"/>
      <c r="C85" s="181"/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6"/>
      <c r="S85" s="6"/>
      <c r="T85" s="184"/>
      <c r="U85" s="6"/>
    </row>
    <row r="86" spans="1:26" customFormat="1">
      <c r="A86" s="180"/>
      <c r="B86" s="181"/>
      <c r="C86" s="181"/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6"/>
      <c r="S86" s="6"/>
      <c r="T86" s="184"/>
      <c r="U86" s="6"/>
    </row>
    <row r="87" spans="1:26" customFormat="1">
      <c r="A87" s="180"/>
      <c r="B87" s="181"/>
      <c r="C87" s="181"/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6"/>
      <c r="S87" s="6"/>
      <c r="T87" s="184"/>
      <c r="U87" s="6"/>
    </row>
    <row r="88" spans="1:26" customFormat="1">
      <c r="A88" s="180"/>
      <c r="B88" s="181"/>
      <c r="C88" s="181"/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6"/>
      <c r="S88" s="6"/>
      <c r="T88" s="184"/>
      <c r="U88" s="6"/>
    </row>
    <row r="89" spans="1:26" customFormat="1">
      <c r="A89" s="180"/>
      <c r="B89" s="181"/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6"/>
      <c r="S89" s="6"/>
      <c r="T89" s="184"/>
      <c r="U89" s="6"/>
    </row>
    <row r="90" spans="1:26" customFormat="1">
      <c r="A90" s="180"/>
      <c r="B90" s="181"/>
      <c r="C90" s="181"/>
      <c r="D90" s="181"/>
      <c r="E90" s="181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6"/>
      <c r="S90" s="6"/>
      <c r="T90" s="184"/>
      <c r="U90" s="6"/>
    </row>
    <row r="91" spans="1:26" customFormat="1">
      <c r="A91" s="180"/>
      <c r="B91" s="181"/>
      <c r="C91" s="181"/>
      <c r="D91" s="181"/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6"/>
      <c r="S91" s="6"/>
      <c r="T91" s="184"/>
      <c r="U91" s="6"/>
    </row>
    <row r="92" spans="1:26" customFormat="1">
      <c r="A92" s="180"/>
      <c r="B92" s="181"/>
      <c r="C92" s="181"/>
      <c r="D92" s="181"/>
      <c r="E92" s="18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6"/>
      <c r="S92" s="6"/>
      <c r="T92" s="184"/>
      <c r="U92" s="6"/>
    </row>
    <row r="93" spans="1:26" customFormat="1">
      <c r="A93" s="180"/>
      <c r="B93" s="181"/>
      <c r="C93" s="181"/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6"/>
      <c r="S93" s="6"/>
      <c r="T93" s="184"/>
      <c r="U93" s="6"/>
    </row>
    <row r="94" spans="1:26" customFormat="1">
      <c r="A94" s="180"/>
      <c r="B94" s="181"/>
      <c r="C94" s="181"/>
      <c r="D94" s="181"/>
      <c r="E94" s="181"/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6"/>
      <c r="S94" s="6"/>
      <c r="T94" s="184"/>
      <c r="U94" s="6"/>
    </row>
    <row r="95" spans="1:26" customFormat="1">
      <c r="A95" s="180"/>
      <c r="B95" s="181"/>
      <c r="C95" s="181"/>
      <c r="D95" s="181"/>
      <c r="E95" s="181"/>
      <c r="F95" s="181"/>
      <c r="G95" s="181"/>
      <c r="H95" s="181"/>
      <c r="I95" s="181"/>
      <c r="J95" s="181"/>
      <c r="K95" s="181"/>
      <c r="L95" s="181"/>
      <c r="M95" s="181"/>
      <c r="N95" s="181"/>
      <c r="O95" s="181"/>
      <c r="P95" s="181"/>
      <c r="Q95" s="181"/>
      <c r="R95" s="6"/>
      <c r="S95" s="6"/>
      <c r="T95" s="184"/>
      <c r="U95" s="6"/>
    </row>
    <row r="96" spans="1:26" customFormat="1">
      <c r="A96" s="180"/>
      <c r="B96" s="181"/>
      <c r="C96" s="181"/>
      <c r="D96" s="181"/>
      <c r="E96" s="181"/>
      <c r="F96" s="181"/>
      <c r="G96" s="181"/>
      <c r="H96" s="181"/>
      <c r="I96" s="181"/>
      <c r="J96" s="181"/>
      <c r="K96" s="181"/>
      <c r="L96" s="181"/>
      <c r="M96" s="181"/>
      <c r="N96" s="181"/>
      <c r="O96" s="181"/>
      <c r="P96" s="181"/>
      <c r="Q96" s="181"/>
      <c r="R96" s="6"/>
      <c r="S96" s="6"/>
      <c r="T96" s="184"/>
      <c r="U96" s="6"/>
      <c r="Z96" s="194"/>
    </row>
    <row r="97" spans="1:33" customFormat="1">
      <c r="A97" s="180"/>
      <c r="B97" s="181"/>
      <c r="C97" s="181"/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6"/>
      <c r="S97" s="6"/>
      <c r="T97" s="184"/>
      <c r="U97" s="6"/>
    </row>
    <row r="98" spans="1:33" customFormat="1">
      <c r="A98" s="180"/>
      <c r="B98" s="181"/>
      <c r="C98" s="181"/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6"/>
      <c r="S98" s="6"/>
      <c r="T98" s="184"/>
      <c r="U98" s="6"/>
    </row>
    <row r="99" spans="1:33" customFormat="1">
      <c r="A99" s="180"/>
      <c r="B99" s="181"/>
      <c r="C99" s="181"/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6"/>
      <c r="S99" s="6"/>
      <c r="T99" s="184"/>
      <c r="U99" s="6"/>
    </row>
    <row r="100" spans="1:33" customFormat="1">
      <c r="A100" s="180"/>
      <c r="B100" s="181"/>
      <c r="C100" s="181"/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6"/>
      <c r="S100" s="6"/>
      <c r="T100" s="184"/>
      <c r="U100" s="6"/>
      <c r="AB100" s="195"/>
      <c r="AG100" s="194"/>
    </row>
    <row r="101" spans="1:33" customFormat="1">
      <c r="A101" s="180"/>
      <c r="B101" s="181"/>
      <c r="C101" s="181"/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6"/>
      <c r="S101" s="6"/>
      <c r="T101" s="184"/>
      <c r="U101" s="6"/>
    </row>
    <row r="102" spans="1:33" customFormat="1">
      <c r="A102" s="180"/>
      <c r="B102" s="181"/>
      <c r="C102" s="181"/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6"/>
      <c r="S102" s="6"/>
      <c r="T102" s="184"/>
      <c r="U102" s="6"/>
    </row>
    <row r="103" spans="1:33" customFormat="1">
      <c r="A103" s="180"/>
      <c r="B103" s="181"/>
      <c r="C103" s="181"/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6"/>
      <c r="S103" s="6"/>
      <c r="T103" s="184"/>
      <c r="U103" s="6"/>
    </row>
    <row r="104" spans="1:33" customFormat="1">
      <c r="A104" s="180"/>
      <c r="B104" s="181"/>
      <c r="C104" s="181"/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6"/>
      <c r="S104" s="6"/>
      <c r="T104" s="184"/>
      <c r="U104" s="6"/>
    </row>
    <row r="105" spans="1:33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33">
      <c r="A106" s="186" t="s">
        <v>48</v>
      </c>
      <c r="B106" s="187">
        <f>MIN(B9:B104)</f>
        <v>0</v>
      </c>
      <c r="C106" s="187">
        <f>MIN(C9:C104)</f>
        <v>0</v>
      </c>
      <c r="D106" s="187">
        <f t="shared" ref="D106:Q106" si="0">MIN(D9:D104)</f>
        <v>0</v>
      </c>
      <c r="E106" s="187">
        <f t="shared" si="0"/>
        <v>0</v>
      </c>
      <c r="F106" s="187">
        <f t="shared" si="0"/>
        <v>0</v>
      </c>
      <c r="G106" s="187">
        <f t="shared" si="0"/>
        <v>0</v>
      </c>
      <c r="H106" s="187">
        <f t="shared" si="0"/>
        <v>0</v>
      </c>
      <c r="I106" s="187">
        <f t="shared" si="0"/>
        <v>0</v>
      </c>
      <c r="J106" s="187">
        <f t="shared" si="0"/>
        <v>0</v>
      </c>
      <c r="K106" s="187">
        <f t="shared" si="0"/>
        <v>0</v>
      </c>
      <c r="L106" s="187">
        <f t="shared" si="0"/>
        <v>0</v>
      </c>
      <c r="M106" s="187">
        <f t="shared" si="0"/>
        <v>0</v>
      </c>
      <c r="N106" s="187">
        <f t="shared" si="0"/>
        <v>0</v>
      </c>
      <c r="O106" s="187">
        <f t="shared" si="0"/>
        <v>0</v>
      </c>
      <c r="P106" s="187">
        <f t="shared" si="0"/>
        <v>0</v>
      </c>
      <c r="Q106" s="187">
        <f t="shared" si="0"/>
        <v>0</v>
      </c>
      <c r="R106" s="192"/>
      <c r="S106" s="192"/>
      <c r="T106" s="192"/>
      <c r="U106" s="192"/>
    </row>
    <row r="107" spans="1:33">
      <c r="A107" s="186" t="s">
        <v>49</v>
      </c>
      <c r="B107" s="188">
        <f>MAX(B9:B104)</f>
        <v>0</v>
      </c>
      <c r="C107" s="188">
        <f t="shared" ref="C107:Q107" si="1">MAX(C9:C104)</f>
        <v>0</v>
      </c>
      <c r="D107" s="188">
        <f t="shared" si="1"/>
        <v>0</v>
      </c>
      <c r="E107" s="188">
        <f t="shared" si="1"/>
        <v>0</v>
      </c>
      <c r="F107" s="188">
        <f t="shared" si="1"/>
        <v>0</v>
      </c>
      <c r="G107" s="188">
        <f t="shared" si="1"/>
        <v>0</v>
      </c>
      <c r="H107" s="188">
        <f t="shared" si="1"/>
        <v>0</v>
      </c>
      <c r="I107" s="188">
        <f t="shared" si="1"/>
        <v>0</v>
      </c>
      <c r="J107" s="188">
        <f t="shared" si="1"/>
        <v>0</v>
      </c>
      <c r="K107" s="188">
        <f t="shared" si="1"/>
        <v>0</v>
      </c>
      <c r="L107" s="188">
        <f t="shared" si="1"/>
        <v>0</v>
      </c>
      <c r="M107" s="188">
        <f t="shared" si="1"/>
        <v>0</v>
      </c>
      <c r="N107" s="188">
        <f t="shared" si="1"/>
        <v>0</v>
      </c>
      <c r="O107" s="188">
        <f t="shared" si="1"/>
        <v>0</v>
      </c>
      <c r="P107" s="188">
        <f t="shared" si="1"/>
        <v>0</v>
      </c>
      <c r="Q107" s="188">
        <f t="shared" si="1"/>
        <v>0</v>
      </c>
      <c r="R107" s="193"/>
      <c r="S107" s="193"/>
      <c r="T107" s="193"/>
      <c r="U107" s="193"/>
    </row>
    <row r="108" spans="1:33">
      <c r="A108" s="186" t="s">
        <v>50</v>
      </c>
      <c r="B108" s="187" t="e">
        <f>AVERAGE(B9:B104)</f>
        <v>#DIV/0!</v>
      </c>
      <c r="C108" s="187" t="e">
        <f t="shared" ref="C108:Q108" si="2">AVERAGE(C9:C104)</f>
        <v>#DIV/0!</v>
      </c>
      <c r="D108" s="187" t="e">
        <f t="shared" si="2"/>
        <v>#DIV/0!</v>
      </c>
      <c r="E108" s="187" t="e">
        <f t="shared" si="2"/>
        <v>#DIV/0!</v>
      </c>
      <c r="F108" s="187" t="e">
        <f t="shared" si="2"/>
        <v>#DIV/0!</v>
      </c>
      <c r="G108" s="187" t="e">
        <f t="shared" si="2"/>
        <v>#DIV/0!</v>
      </c>
      <c r="H108" s="187" t="e">
        <f t="shared" si="2"/>
        <v>#DIV/0!</v>
      </c>
      <c r="I108" s="187" t="e">
        <f t="shared" si="2"/>
        <v>#DIV/0!</v>
      </c>
      <c r="J108" s="187" t="e">
        <f t="shared" si="2"/>
        <v>#DIV/0!</v>
      </c>
      <c r="K108" s="187" t="e">
        <f t="shared" si="2"/>
        <v>#DIV/0!</v>
      </c>
      <c r="L108" s="187" t="e">
        <f t="shared" si="2"/>
        <v>#DIV/0!</v>
      </c>
      <c r="M108" s="187" t="e">
        <f t="shared" si="2"/>
        <v>#DIV/0!</v>
      </c>
      <c r="N108" s="187" t="e">
        <f t="shared" si="2"/>
        <v>#DIV/0!</v>
      </c>
      <c r="O108" s="187" t="e">
        <f t="shared" si="2"/>
        <v>#DIV/0!</v>
      </c>
      <c r="P108" s="187" t="e">
        <f t="shared" si="2"/>
        <v>#DIV/0!</v>
      </c>
      <c r="Q108" s="187" t="e">
        <f t="shared" si="2"/>
        <v>#DIV/0!</v>
      </c>
      <c r="R108" s="192"/>
      <c r="S108" s="192"/>
      <c r="T108" s="192"/>
      <c r="U108" s="192"/>
    </row>
    <row r="109" spans="1:33">
      <c r="A109" s="186" t="s">
        <v>51</v>
      </c>
      <c r="B109" s="187" t="e">
        <f>STDEV(B9:B104)</f>
        <v>#DIV/0!</v>
      </c>
      <c r="C109" s="187" t="e">
        <f t="shared" ref="C109:Q109" si="3">STDEV(C9:C104)</f>
        <v>#DIV/0!</v>
      </c>
      <c r="D109" s="187" t="e">
        <f t="shared" si="3"/>
        <v>#DIV/0!</v>
      </c>
      <c r="E109" s="187" t="e">
        <f t="shared" si="3"/>
        <v>#DIV/0!</v>
      </c>
      <c r="F109" s="187" t="e">
        <f t="shared" si="3"/>
        <v>#DIV/0!</v>
      </c>
      <c r="G109" s="187" t="e">
        <f t="shared" si="3"/>
        <v>#DIV/0!</v>
      </c>
      <c r="H109" s="187" t="e">
        <f t="shared" si="3"/>
        <v>#DIV/0!</v>
      </c>
      <c r="I109" s="187" t="e">
        <f t="shared" si="3"/>
        <v>#DIV/0!</v>
      </c>
      <c r="J109" s="187" t="e">
        <f t="shared" si="3"/>
        <v>#DIV/0!</v>
      </c>
      <c r="K109" s="187" t="e">
        <f t="shared" si="3"/>
        <v>#DIV/0!</v>
      </c>
      <c r="L109" s="187" t="e">
        <f t="shared" si="3"/>
        <v>#DIV/0!</v>
      </c>
      <c r="M109" s="187" t="e">
        <f t="shared" si="3"/>
        <v>#DIV/0!</v>
      </c>
      <c r="N109" s="187" t="e">
        <f t="shared" si="3"/>
        <v>#DIV/0!</v>
      </c>
      <c r="O109" s="187" t="e">
        <f t="shared" si="3"/>
        <v>#DIV/0!</v>
      </c>
      <c r="P109" s="187" t="e">
        <f t="shared" si="3"/>
        <v>#DIV/0!</v>
      </c>
      <c r="Q109" s="187" t="e">
        <f t="shared" si="3"/>
        <v>#DIV/0!</v>
      </c>
      <c r="R109" s="192"/>
      <c r="S109" s="192"/>
      <c r="T109" s="192"/>
      <c r="U109" s="192"/>
    </row>
    <row r="110" spans="1:33">
      <c r="A110" s="186" t="s">
        <v>52</v>
      </c>
      <c r="B110" s="188">
        <f t="shared" ref="B110:Q110" si="4">COUNT(B9:B104)</f>
        <v>0</v>
      </c>
      <c r="C110" s="188">
        <f t="shared" si="4"/>
        <v>0</v>
      </c>
      <c r="D110" s="188">
        <f t="shared" si="4"/>
        <v>0</v>
      </c>
      <c r="E110" s="188">
        <f t="shared" si="4"/>
        <v>0</v>
      </c>
      <c r="F110" s="188">
        <f t="shared" si="4"/>
        <v>0</v>
      </c>
      <c r="G110" s="188">
        <f t="shared" si="4"/>
        <v>0</v>
      </c>
      <c r="H110" s="188">
        <f t="shared" si="4"/>
        <v>0</v>
      </c>
      <c r="I110" s="188">
        <f t="shared" si="4"/>
        <v>0</v>
      </c>
      <c r="J110" s="188">
        <f t="shared" si="4"/>
        <v>0</v>
      </c>
      <c r="K110" s="188">
        <f t="shared" si="4"/>
        <v>0</v>
      </c>
      <c r="L110" s="188">
        <f t="shared" si="4"/>
        <v>0</v>
      </c>
      <c r="M110" s="188">
        <f t="shared" si="4"/>
        <v>0</v>
      </c>
      <c r="N110" s="188">
        <f t="shared" si="4"/>
        <v>0</v>
      </c>
      <c r="O110" s="188">
        <f t="shared" si="4"/>
        <v>0</v>
      </c>
      <c r="P110" s="188">
        <f t="shared" si="4"/>
        <v>0</v>
      </c>
      <c r="Q110" s="188">
        <f t="shared" si="4"/>
        <v>0</v>
      </c>
      <c r="R110" s="193"/>
      <c r="S110" s="193"/>
      <c r="T110" s="193"/>
      <c r="U110" s="193"/>
      <c r="V110" s="188"/>
    </row>
    <row r="111" spans="1:33">
      <c r="A111" s="153" t="s">
        <v>53</v>
      </c>
      <c r="B111" s="147" t="str">
        <f>IF(B110&gt;=87,"&gt;90%",IF(B110&lt;=87,"&lt;90%"))</f>
        <v>&lt;90%</v>
      </c>
      <c r="C111" s="147" t="str">
        <f t="shared" ref="C111:Q111" si="5">IF(C110&gt;=87,"&gt;90%",IF(C110&lt;=87,"&lt;90%"))</f>
        <v>&lt;90%</v>
      </c>
      <c r="D111" s="147" t="str">
        <f t="shared" si="5"/>
        <v>&lt;90%</v>
      </c>
      <c r="E111" s="147" t="str">
        <f t="shared" si="5"/>
        <v>&lt;90%</v>
      </c>
      <c r="F111" s="147" t="str">
        <f t="shared" si="5"/>
        <v>&lt;90%</v>
      </c>
      <c r="G111" s="147" t="str">
        <f t="shared" si="5"/>
        <v>&lt;90%</v>
      </c>
      <c r="H111" s="147" t="str">
        <f t="shared" si="5"/>
        <v>&lt;90%</v>
      </c>
      <c r="I111" s="147" t="str">
        <f t="shared" si="5"/>
        <v>&lt;90%</v>
      </c>
      <c r="J111" s="147" t="str">
        <f t="shared" si="5"/>
        <v>&lt;90%</v>
      </c>
      <c r="K111" s="147" t="str">
        <f t="shared" si="5"/>
        <v>&lt;90%</v>
      </c>
      <c r="L111" s="147" t="str">
        <f t="shared" si="5"/>
        <v>&lt;90%</v>
      </c>
      <c r="M111" s="147" t="str">
        <f t="shared" si="5"/>
        <v>&lt;90%</v>
      </c>
      <c r="N111" s="147" t="str">
        <f t="shared" si="5"/>
        <v>&lt;90%</v>
      </c>
      <c r="O111" s="147" t="str">
        <f t="shared" si="5"/>
        <v>&lt;90%</v>
      </c>
      <c r="P111" s="147" t="str">
        <f t="shared" si="5"/>
        <v>&lt;90%</v>
      </c>
      <c r="Q111" s="147" t="str">
        <f t="shared" si="5"/>
        <v>&lt;90%</v>
      </c>
      <c r="R111" s="175"/>
      <c r="S111" s="175"/>
      <c r="T111" s="175"/>
      <c r="U111" s="175"/>
    </row>
    <row r="112" spans="1:33">
      <c r="A112" s="153" t="s">
        <v>54</v>
      </c>
      <c r="B112" s="147" t="str">
        <f>IF(B110&gt;=87,"OK",IF(B110&lt;=87,"LESS"))</f>
        <v>LESS</v>
      </c>
      <c r="C112" s="147" t="str">
        <f t="shared" ref="C112:Q112" si="6">IF(C110&gt;=87,"OK",IF(C110&lt;=87,"LESS"))</f>
        <v>LESS</v>
      </c>
      <c r="D112" s="147" t="str">
        <f t="shared" si="6"/>
        <v>LESS</v>
      </c>
      <c r="E112" s="147" t="str">
        <f t="shared" si="6"/>
        <v>LESS</v>
      </c>
      <c r="F112" s="147" t="str">
        <f t="shared" si="6"/>
        <v>LESS</v>
      </c>
      <c r="G112" s="147" t="str">
        <f t="shared" si="6"/>
        <v>LESS</v>
      </c>
      <c r="H112" s="147" t="str">
        <f t="shared" si="6"/>
        <v>LESS</v>
      </c>
      <c r="I112" s="147" t="str">
        <f t="shared" si="6"/>
        <v>LESS</v>
      </c>
      <c r="J112" s="147" t="str">
        <f t="shared" si="6"/>
        <v>LESS</v>
      </c>
      <c r="K112" s="147" t="str">
        <f t="shared" si="6"/>
        <v>LESS</v>
      </c>
      <c r="L112" s="147" t="str">
        <f t="shared" si="6"/>
        <v>LESS</v>
      </c>
      <c r="M112" s="147" t="str">
        <f t="shared" si="6"/>
        <v>LESS</v>
      </c>
      <c r="N112" s="147" t="str">
        <f t="shared" si="6"/>
        <v>LESS</v>
      </c>
      <c r="O112" s="147" t="str">
        <f t="shared" si="6"/>
        <v>LESS</v>
      </c>
      <c r="P112" s="147" t="str">
        <f t="shared" si="6"/>
        <v>LESS</v>
      </c>
      <c r="Q112" s="147" t="str">
        <f t="shared" si="6"/>
        <v>LESS</v>
      </c>
      <c r="R112" s="175"/>
      <c r="S112" s="175"/>
      <c r="T112" s="175"/>
      <c r="U112" s="175"/>
    </row>
    <row r="113" spans="1:21">
      <c r="L113" s="32"/>
      <c r="N113" s="191"/>
      <c r="O113" s="191"/>
      <c r="P113" s="191"/>
      <c r="Q113" s="191"/>
      <c r="R113" s="191"/>
      <c r="S113" s="191"/>
      <c r="T113" s="191"/>
      <c r="U113" s="191"/>
    </row>
    <row r="115" spans="1:21">
      <c r="A115" s="153" t="s">
        <v>55</v>
      </c>
      <c r="B115" s="197" t="s">
        <v>56</v>
      </c>
      <c r="C115" s="197"/>
      <c r="D115" s="197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9" t="s">
        <v>57</v>
      </c>
      <c r="B117" s="198"/>
      <c r="C117" s="198"/>
      <c r="D117" s="198"/>
      <c r="E117" s="198"/>
      <c r="F117" s="198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G117"/>
  <sheetViews>
    <sheetView zoomScale="85" zoomScaleNormal="85" workbookViewId="0">
      <pane xSplit="1" ySplit="8" topLeftCell="B105" activePane="bottomRight" state="frozen"/>
      <selection activeCell="A9" sqref="A9"/>
      <selection pane="topRight" activeCell="A9" sqref="A9"/>
      <selection pane="bottomLeft" activeCell="A9" sqref="A9"/>
      <selection pane="bottomRight" activeCell="A9" sqref="A9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0</v>
      </c>
      <c r="C2" s="196" t="s">
        <v>3</v>
      </c>
      <c r="D2" s="196"/>
      <c r="E2" s="196"/>
      <c r="F2" s="196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2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6" t="s">
        <v>11</v>
      </c>
      <c r="D3" s="196"/>
      <c r="E3" s="196"/>
      <c r="F3" s="196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2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6" t="s">
        <v>18</v>
      </c>
      <c r="D4" s="196"/>
      <c r="E4" s="196"/>
      <c r="F4" s="196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3" t="s">
        <v>43</v>
      </c>
      <c r="M8" s="114" t="s">
        <v>44</v>
      </c>
      <c r="N8" s="114" t="s">
        <v>45</v>
      </c>
      <c r="O8" s="183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80"/>
      <c r="B9" s="181"/>
      <c r="C9" s="181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6"/>
      <c r="S9" s="6"/>
      <c r="T9" s="184"/>
      <c r="U9" s="6"/>
    </row>
    <row r="10" spans="1:21" customFormat="1">
      <c r="A10" s="180"/>
      <c r="B10" s="181"/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6"/>
      <c r="S10" s="6"/>
      <c r="T10" s="184"/>
      <c r="U10" s="6"/>
    </row>
    <row r="11" spans="1:21" customFormat="1">
      <c r="A11" s="180"/>
      <c r="B11" s="181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6"/>
      <c r="S11" s="6"/>
      <c r="T11" s="184"/>
      <c r="U11" s="6"/>
    </row>
    <row r="12" spans="1:21" customFormat="1">
      <c r="A12" s="180"/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6"/>
      <c r="S12" s="6"/>
      <c r="T12" s="184"/>
      <c r="U12" s="6"/>
    </row>
    <row r="13" spans="1:21" customFormat="1">
      <c r="A13" s="180"/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6"/>
      <c r="S13" s="6"/>
      <c r="T13" s="184"/>
      <c r="U13" s="6"/>
    </row>
    <row r="14" spans="1:21" customFormat="1">
      <c r="A14" s="180"/>
      <c r="B14" s="181"/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6"/>
      <c r="S14" s="6"/>
      <c r="T14" s="184"/>
      <c r="U14" s="6"/>
    </row>
    <row r="15" spans="1:21" customFormat="1">
      <c r="A15" s="180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6"/>
      <c r="S15" s="6"/>
      <c r="T15" s="184"/>
      <c r="U15" s="6"/>
    </row>
    <row r="16" spans="1:21" customFormat="1">
      <c r="A16" s="180"/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6"/>
      <c r="S16" s="6"/>
      <c r="T16" s="184"/>
      <c r="U16" s="6"/>
    </row>
    <row r="17" spans="1:21" customFormat="1">
      <c r="A17" s="180"/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6"/>
      <c r="S17" s="6"/>
      <c r="T17" s="184"/>
      <c r="U17" s="6"/>
    </row>
    <row r="18" spans="1:21" customFormat="1">
      <c r="A18" s="180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6"/>
      <c r="S18" s="6"/>
      <c r="T18" s="184"/>
      <c r="U18" s="6"/>
    </row>
    <row r="19" spans="1:21" customFormat="1">
      <c r="A19" s="180"/>
      <c r="B19" s="181"/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6"/>
      <c r="S19" s="6"/>
      <c r="T19" s="184"/>
      <c r="U19" s="6"/>
    </row>
    <row r="20" spans="1:21" customFormat="1">
      <c r="A20" s="180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6"/>
      <c r="S20" s="6"/>
      <c r="T20" s="184"/>
      <c r="U20" s="6"/>
    </row>
    <row r="21" spans="1:21" customFormat="1">
      <c r="A21" s="180"/>
      <c r="B21" s="181"/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6"/>
      <c r="S21" s="6"/>
      <c r="T21" s="184"/>
      <c r="U21" s="6"/>
    </row>
    <row r="22" spans="1:21" customFormat="1">
      <c r="A22" s="180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6"/>
      <c r="S22" s="6"/>
      <c r="T22" s="184"/>
      <c r="U22" s="6"/>
    </row>
    <row r="23" spans="1:21" customFormat="1">
      <c r="A23" s="180"/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6"/>
      <c r="S23" s="6"/>
      <c r="T23" s="184"/>
      <c r="U23" s="6"/>
    </row>
    <row r="24" spans="1:21" customFormat="1">
      <c r="A24" s="180"/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6"/>
      <c r="S24" s="6"/>
      <c r="T24" s="184"/>
      <c r="U24" s="6"/>
    </row>
    <row r="25" spans="1:21" customFormat="1">
      <c r="A25" s="180"/>
      <c r="B25" s="181"/>
      <c r="C25" s="181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6"/>
      <c r="S25" s="6"/>
      <c r="T25" s="184"/>
      <c r="U25" s="6"/>
    </row>
    <row r="26" spans="1:21" customFormat="1">
      <c r="A26" s="180"/>
      <c r="B26" s="181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6"/>
      <c r="S26" s="6"/>
      <c r="T26" s="184"/>
      <c r="U26" s="6"/>
    </row>
    <row r="27" spans="1:21" customFormat="1">
      <c r="A27" s="180"/>
      <c r="B27" s="181"/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6"/>
      <c r="S27" s="6"/>
      <c r="T27" s="184"/>
      <c r="U27" s="6"/>
    </row>
    <row r="28" spans="1:21" customFormat="1">
      <c r="A28" s="180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6"/>
      <c r="S28" s="6"/>
      <c r="T28" s="184"/>
      <c r="U28" s="6"/>
    </row>
    <row r="29" spans="1:21" customFormat="1">
      <c r="A29" s="180"/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6"/>
      <c r="S29" s="6"/>
      <c r="T29" s="184"/>
      <c r="U29" s="6"/>
    </row>
    <row r="30" spans="1:21" customFormat="1">
      <c r="A30" s="180"/>
      <c r="B30" s="181"/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6"/>
      <c r="S30" s="6"/>
      <c r="T30" s="184"/>
      <c r="U30" s="6"/>
    </row>
    <row r="31" spans="1:21" customFormat="1">
      <c r="A31" s="180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6"/>
      <c r="S31" s="6"/>
      <c r="T31" s="184"/>
      <c r="U31" s="6"/>
    </row>
    <row r="32" spans="1:21" customFormat="1">
      <c r="A32" s="180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6"/>
      <c r="S32" s="6"/>
      <c r="T32" s="184"/>
      <c r="U32" s="6"/>
    </row>
    <row r="33" spans="1:21" customFormat="1">
      <c r="A33" s="180"/>
      <c r="B33" s="181"/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6"/>
      <c r="S33" s="6"/>
      <c r="T33" s="184"/>
      <c r="U33" s="6"/>
    </row>
    <row r="34" spans="1:21" customFormat="1">
      <c r="A34" s="180"/>
      <c r="B34" s="181"/>
      <c r="C34" s="181"/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6"/>
      <c r="S34" s="6"/>
      <c r="T34" s="184"/>
      <c r="U34" s="6"/>
    </row>
    <row r="35" spans="1:21" customFormat="1">
      <c r="A35" s="180"/>
      <c r="B35" s="181"/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6"/>
      <c r="S35" s="6"/>
      <c r="T35" s="184"/>
      <c r="U35" s="6"/>
    </row>
    <row r="36" spans="1:21" customFormat="1">
      <c r="A36" s="180"/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6"/>
      <c r="S36" s="6"/>
      <c r="T36" s="184"/>
      <c r="U36" s="6"/>
    </row>
    <row r="37" spans="1:21" customFormat="1">
      <c r="A37" s="180"/>
      <c r="B37" s="181"/>
      <c r="C37" s="181"/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6"/>
      <c r="S37" s="6"/>
      <c r="T37" s="184"/>
      <c r="U37" s="6"/>
    </row>
    <row r="38" spans="1:21" customFormat="1">
      <c r="A38" s="180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6"/>
      <c r="S38" s="6"/>
      <c r="T38" s="184"/>
      <c r="U38" s="6"/>
    </row>
    <row r="39" spans="1:21" customFormat="1">
      <c r="A39" s="180"/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6"/>
      <c r="S39" s="6"/>
      <c r="T39" s="184"/>
      <c r="U39" s="6"/>
    </row>
    <row r="40" spans="1:21" customFormat="1">
      <c r="A40" s="180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6"/>
      <c r="S40" s="6"/>
      <c r="T40" s="184"/>
      <c r="U40" s="6"/>
    </row>
    <row r="41" spans="1:21" customFormat="1">
      <c r="A41" s="180"/>
      <c r="B41" s="181"/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6"/>
      <c r="S41" s="6"/>
      <c r="T41" s="184"/>
      <c r="U41" s="6"/>
    </row>
    <row r="42" spans="1:21" customFormat="1">
      <c r="A42" s="180"/>
      <c r="B42" s="181"/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6"/>
      <c r="S42" s="6"/>
      <c r="T42" s="184"/>
      <c r="U42" s="6"/>
    </row>
    <row r="43" spans="1:21" customFormat="1">
      <c r="A43" s="180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6"/>
      <c r="S43" s="6"/>
      <c r="T43" s="184"/>
      <c r="U43" s="6"/>
    </row>
    <row r="44" spans="1:21" customFormat="1">
      <c r="A44" s="180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6"/>
      <c r="S44" s="6"/>
      <c r="T44" s="184"/>
      <c r="U44" s="6"/>
    </row>
    <row r="45" spans="1:21" customFormat="1">
      <c r="A45" s="180"/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6"/>
      <c r="S45" s="6"/>
      <c r="T45" s="184"/>
      <c r="U45" s="6"/>
    </row>
    <row r="46" spans="1:21" customFormat="1">
      <c r="A46" s="180"/>
      <c r="B46" s="181"/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6"/>
      <c r="S46" s="6"/>
      <c r="T46" s="184"/>
      <c r="U46" s="6"/>
    </row>
    <row r="47" spans="1:21" customFormat="1">
      <c r="A47" s="180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6"/>
      <c r="S47" s="6"/>
      <c r="T47" s="184"/>
      <c r="U47" s="6"/>
    </row>
    <row r="48" spans="1:21" customFormat="1">
      <c r="A48" s="180"/>
      <c r="B48" s="181"/>
      <c r="C48" s="181"/>
      <c r="D48" s="181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6"/>
      <c r="S48" s="6"/>
      <c r="T48" s="184"/>
      <c r="U48" s="6"/>
    </row>
    <row r="49" spans="1:21" customFormat="1">
      <c r="A49" s="180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6"/>
      <c r="S49" s="6"/>
      <c r="T49" s="184"/>
      <c r="U49" s="6"/>
    </row>
    <row r="50" spans="1:21" customFormat="1">
      <c r="A50" s="180"/>
      <c r="B50" s="181"/>
      <c r="C50" s="181"/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6"/>
      <c r="S50" s="6"/>
      <c r="T50" s="184"/>
      <c r="U50" s="6"/>
    </row>
    <row r="51" spans="1:21" customFormat="1">
      <c r="A51" s="180"/>
      <c r="B51" s="181"/>
      <c r="C51" s="181"/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6"/>
      <c r="S51" s="6"/>
      <c r="T51" s="184"/>
      <c r="U51" s="6"/>
    </row>
    <row r="52" spans="1:21" customFormat="1">
      <c r="A52" s="180"/>
      <c r="B52" s="181"/>
      <c r="C52" s="181"/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6"/>
      <c r="S52" s="6"/>
      <c r="T52" s="184"/>
      <c r="U52" s="6"/>
    </row>
    <row r="53" spans="1:21" customFormat="1">
      <c r="A53" s="180"/>
      <c r="B53" s="181"/>
      <c r="C53" s="181"/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6"/>
      <c r="S53" s="6"/>
      <c r="T53" s="184"/>
      <c r="U53" s="6"/>
    </row>
    <row r="54" spans="1:21" customFormat="1">
      <c r="A54" s="180"/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6"/>
      <c r="S54" s="6"/>
      <c r="T54" s="184"/>
      <c r="U54" s="6"/>
    </row>
    <row r="55" spans="1:21" customFormat="1">
      <c r="A55" s="180"/>
      <c r="B55" s="181"/>
      <c r="C55" s="181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6"/>
      <c r="S55" s="6"/>
      <c r="T55" s="184"/>
      <c r="U55" s="6"/>
    </row>
    <row r="56" spans="1:21" customFormat="1">
      <c r="A56" s="180"/>
      <c r="B56" s="181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6"/>
      <c r="S56" s="6"/>
      <c r="T56" s="184"/>
      <c r="U56" s="6"/>
    </row>
    <row r="57" spans="1:21" customFormat="1">
      <c r="A57" s="180"/>
      <c r="B57" s="181"/>
      <c r="C57" s="181"/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6"/>
      <c r="S57" s="6"/>
      <c r="T57" s="184"/>
      <c r="U57" s="6"/>
    </row>
    <row r="58" spans="1:21" customFormat="1">
      <c r="A58" s="180"/>
      <c r="B58" s="181"/>
      <c r="C58" s="181"/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6"/>
      <c r="S58" s="6"/>
      <c r="T58" s="184"/>
      <c r="U58" s="6"/>
    </row>
    <row r="59" spans="1:21" customFormat="1">
      <c r="A59" s="180"/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6"/>
      <c r="S59" s="6"/>
      <c r="T59" s="184"/>
      <c r="U59" s="6"/>
    </row>
    <row r="60" spans="1:21" customFormat="1">
      <c r="A60" s="180"/>
      <c r="B60" s="181"/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6"/>
      <c r="S60" s="6"/>
      <c r="T60" s="184"/>
      <c r="U60" s="6"/>
    </row>
    <row r="61" spans="1:21" customFormat="1">
      <c r="A61" s="180"/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6"/>
      <c r="S61" s="6"/>
      <c r="T61" s="184"/>
      <c r="U61" s="6"/>
    </row>
    <row r="62" spans="1:21" customFormat="1">
      <c r="A62" s="180"/>
      <c r="B62" s="181"/>
      <c r="C62" s="181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6"/>
      <c r="S62" s="6"/>
      <c r="T62" s="184"/>
      <c r="U62" s="6"/>
    </row>
    <row r="63" spans="1:21" customFormat="1">
      <c r="A63" s="180"/>
      <c r="B63" s="181"/>
      <c r="C63" s="181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6"/>
      <c r="S63" s="6"/>
      <c r="T63" s="184"/>
      <c r="U63" s="6"/>
    </row>
    <row r="64" spans="1:21" customFormat="1">
      <c r="A64" s="180"/>
      <c r="B64" s="181"/>
      <c r="C64" s="181"/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6"/>
      <c r="S64" s="6"/>
      <c r="T64" s="184"/>
      <c r="U64" s="6"/>
    </row>
    <row r="65" spans="1:21" customFormat="1">
      <c r="A65" s="180"/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6"/>
      <c r="S65" s="6"/>
      <c r="T65" s="184"/>
      <c r="U65" s="6"/>
    </row>
    <row r="66" spans="1:21" customFormat="1">
      <c r="A66" s="180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6"/>
      <c r="S66" s="6"/>
      <c r="T66" s="184"/>
      <c r="U66" s="6"/>
    </row>
    <row r="67" spans="1:21" customFormat="1">
      <c r="A67" s="180"/>
      <c r="B67" s="181"/>
      <c r="C67" s="181"/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6"/>
      <c r="S67" s="6"/>
      <c r="T67" s="184"/>
      <c r="U67" s="6"/>
    </row>
    <row r="68" spans="1:21" customFormat="1">
      <c r="A68" s="180"/>
      <c r="B68" s="181"/>
      <c r="C68" s="181"/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6"/>
      <c r="S68" s="6"/>
      <c r="T68" s="184"/>
      <c r="U68" s="6"/>
    </row>
    <row r="69" spans="1:21" customFormat="1">
      <c r="A69" s="180"/>
      <c r="B69" s="181"/>
      <c r="C69" s="181"/>
      <c r="D69" s="181"/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6"/>
      <c r="S69" s="6"/>
      <c r="T69" s="184"/>
      <c r="U69" s="6"/>
    </row>
    <row r="70" spans="1:21" customFormat="1">
      <c r="A70" s="180"/>
      <c r="B70" s="181"/>
      <c r="C70" s="181"/>
      <c r="D70" s="181"/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6"/>
      <c r="S70" s="6"/>
      <c r="T70" s="184"/>
      <c r="U70" s="6"/>
    </row>
    <row r="71" spans="1:21" customFormat="1">
      <c r="A71" s="180"/>
      <c r="B71" s="181"/>
      <c r="C71" s="181"/>
      <c r="D71" s="181"/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6"/>
      <c r="S71" s="6"/>
      <c r="T71" s="184"/>
      <c r="U71" s="6"/>
    </row>
    <row r="72" spans="1:21" customFormat="1">
      <c r="A72" s="180"/>
      <c r="B72" s="181"/>
      <c r="C72" s="181"/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6"/>
      <c r="S72" s="6"/>
      <c r="T72" s="184"/>
      <c r="U72" s="6"/>
    </row>
    <row r="73" spans="1:21" customFormat="1">
      <c r="A73" s="180"/>
      <c r="B73" s="181"/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6"/>
      <c r="S73" s="6"/>
      <c r="T73" s="184"/>
      <c r="U73" s="6"/>
    </row>
    <row r="74" spans="1:21" customFormat="1">
      <c r="A74" s="180"/>
      <c r="B74" s="181"/>
      <c r="C74" s="181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6"/>
      <c r="S74" s="6"/>
      <c r="T74" s="184"/>
      <c r="U74" s="6"/>
    </row>
    <row r="75" spans="1:21" customFormat="1">
      <c r="A75" s="180"/>
      <c r="B75" s="181"/>
      <c r="C75" s="181"/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6"/>
      <c r="S75" s="6"/>
      <c r="T75" s="184"/>
      <c r="U75" s="6"/>
    </row>
    <row r="76" spans="1:21" customFormat="1">
      <c r="A76" s="180"/>
      <c r="B76" s="181"/>
      <c r="C76" s="181"/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6"/>
      <c r="S76" s="6"/>
      <c r="T76" s="184"/>
      <c r="U76" s="6"/>
    </row>
    <row r="77" spans="1:21" customFormat="1">
      <c r="A77" s="180"/>
      <c r="B77" s="181"/>
      <c r="C77" s="181"/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6"/>
      <c r="S77" s="6"/>
      <c r="T77" s="184"/>
      <c r="U77" s="6"/>
    </row>
    <row r="78" spans="1:21" customFormat="1">
      <c r="A78" s="180"/>
      <c r="B78" s="181"/>
      <c r="C78" s="181"/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6"/>
      <c r="S78" s="6"/>
      <c r="T78" s="184"/>
      <c r="U78" s="6"/>
    </row>
    <row r="79" spans="1:21" customFormat="1">
      <c r="A79" s="180"/>
      <c r="B79" s="181"/>
      <c r="C79" s="181"/>
      <c r="D79" s="181"/>
      <c r="E79" s="185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6"/>
      <c r="S79" s="6"/>
      <c r="T79" s="184"/>
      <c r="U79" s="6"/>
    </row>
    <row r="80" spans="1:21" customFormat="1">
      <c r="A80" s="180"/>
      <c r="B80" s="181"/>
      <c r="C80" s="181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6"/>
      <c r="S80" s="6"/>
      <c r="T80" s="184"/>
      <c r="U80" s="6"/>
    </row>
    <row r="81" spans="1:26" customFormat="1">
      <c r="A81" s="180"/>
      <c r="B81" s="181"/>
      <c r="C81" s="181"/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6"/>
      <c r="S81" s="6"/>
      <c r="T81" s="184"/>
      <c r="U81" s="6"/>
    </row>
    <row r="82" spans="1:26" customFormat="1">
      <c r="A82" s="180"/>
      <c r="B82" s="181"/>
      <c r="C82" s="181"/>
      <c r="D82" s="181"/>
      <c r="E82" s="181"/>
      <c r="F82" s="181"/>
      <c r="G82" s="181"/>
      <c r="H82" s="181"/>
      <c r="I82" s="181"/>
      <c r="J82" s="190"/>
      <c r="K82" s="181"/>
      <c r="L82" s="181"/>
      <c r="M82" s="181"/>
      <c r="N82" s="181"/>
      <c r="O82" s="181"/>
      <c r="P82" s="181"/>
      <c r="Q82" s="181"/>
      <c r="R82" s="6"/>
      <c r="S82" s="6"/>
      <c r="T82" s="184"/>
      <c r="U82" s="6"/>
    </row>
    <row r="83" spans="1:26" customFormat="1">
      <c r="A83" s="180"/>
      <c r="B83" s="181"/>
      <c r="C83" s="181"/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6"/>
      <c r="S83" s="6"/>
      <c r="T83" s="184"/>
      <c r="U83" s="6"/>
    </row>
    <row r="84" spans="1:26" customFormat="1">
      <c r="A84" s="180"/>
      <c r="B84" s="181"/>
      <c r="C84" s="181"/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6"/>
      <c r="S84" s="6"/>
      <c r="T84" s="184"/>
      <c r="U84" s="6"/>
    </row>
    <row r="85" spans="1:26" customFormat="1">
      <c r="A85" s="180"/>
      <c r="B85" s="181"/>
      <c r="C85" s="181"/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6"/>
      <c r="S85" s="6"/>
      <c r="T85" s="184"/>
      <c r="U85" s="6"/>
    </row>
    <row r="86" spans="1:26" customFormat="1">
      <c r="A86" s="180"/>
      <c r="B86" s="181"/>
      <c r="C86" s="181"/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6"/>
      <c r="S86" s="6"/>
      <c r="T86" s="184"/>
      <c r="U86" s="6"/>
    </row>
    <row r="87" spans="1:26" customFormat="1">
      <c r="A87" s="180"/>
      <c r="B87" s="181"/>
      <c r="C87" s="181"/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6"/>
      <c r="S87" s="6"/>
      <c r="T87" s="184"/>
      <c r="U87" s="6"/>
    </row>
    <row r="88" spans="1:26" customFormat="1">
      <c r="A88" s="180"/>
      <c r="B88" s="181"/>
      <c r="C88" s="181"/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6"/>
      <c r="S88" s="6"/>
      <c r="T88" s="184"/>
      <c r="U88" s="6"/>
    </row>
    <row r="89" spans="1:26" customFormat="1">
      <c r="A89" s="180"/>
      <c r="B89" s="181"/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6"/>
      <c r="S89" s="6"/>
      <c r="T89" s="184"/>
      <c r="U89" s="6"/>
    </row>
    <row r="90" spans="1:26" customFormat="1">
      <c r="A90" s="180"/>
      <c r="B90" s="181"/>
      <c r="C90" s="181"/>
      <c r="D90" s="181"/>
      <c r="E90" s="181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6"/>
      <c r="S90" s="6"/>
      <c r="T90" s="184"/>
      <c r="U90" s="6"/>
    </row>
    <row r="91" spans="1:26" customFormat="1">
      <c r="A91" s="180"/>
      <c r="B91" s="181"/>
      <c r="C91" s="181"/>
      <c r="D91" s="181"/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6"/>
      <c r="S91" s="6"/>
      <c r="T91" s="184"/>
      <c r="U91" s="6"/>
    </row>
    <row r="92" spans="1:26" customFormat="1">
      <c r="A92" s="180"/>
      <c r="B92" s="181"/>
      <c r="C92" s="181"/>
      <c r="D92" s="181"/>
      <c r="E92" s="18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6"/>
      <c r="S92" s="6"/>
      <c r="T92" s="184"/>
      <c r="U92" s="6"/>
    </row>
    <row r="93" spans="1:26" customFormat="1">
      <c r="A93" s="180"/>
      <c r="B93" s="181"/>
      <c r="C93" s="181"/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6"/>
      <c r="S93" s="6"/>
      <c r="T93" s="184"/>
      <c r="U93" s="6"/>
    </row>
    <row r="94" spans="1:26" customFormat="1">
      <c r="A94" s="180"/>
      <c r="B94" s="181"/>
      <c r="C94" s="181"/>
      <c r="D94" s="181"/>
      <c r="E94" s="181"/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6"/>
      <c r="S94" s="6"/>
      <c r="T94" s="184"/>
      <c r="U94" s="6"/>
    </row>
    <row r="95" spans="1:26" customFormat="1">
      <c r="A95" s="180"/>
      <c r="B95" s="181"/>
      <c r="C95" s="181"/>
      <c r="D95" s="181"/>
      <c r="E95" s="181"/>
      <c r="F95" s="181"/>
      <c r="G95" s="181"/>
      <c r="H95" s="181"/>
      <c r="I95" s="181"/>
      <c r="J95" s="181"/>
      <c r="K95" s="181"/>
      <c r="L95" s="181"/>
      <c r="M95" s="181"/>
      <c r="N95" s="181"/>
      <c r="O95" s="181"/>
      <c r="P95" s="181"/>
      <c r="Q95" s="181"/>
      <c r="R95" s="6"/>
      <c r="S95" s="6"/>
      <c r="T95" s="184"/>
      <c r="U95" s="6"/>
    </row>
    <row r="96" spans="1:26" customFormat="1">
      <c r="A96" s="180"/>
      <c r="B96" s="181"/>
      <c r="C96" s="181"/>
      <c r="D96" s="181"/>
      <c r="E96" s="181"/>
      <c r="F96" s="181"/>
      <c r="G96" s="181"/>
      <c r="H96" s="181"/>
      <c r="I96" s="181"/>
      <c r="J96" s="181"/>
      <c r="K96" s="181"/>
      <c r="L96" s="181"/>
      <c r="M96" s="181"/>
      <c r="N96" s="181"/>
      <c r="O96" s="181"/>
      <c r="P96" s="181"/>
      <c r="Q96" s="181"/>
      <c r="R96" s="6"/>
      <c r="S96" s="6"/>
      <c r="T96" s="184"/>
      <c r="U96" s="6"/>
      <c r="Z96" s="194"/>
    </row>
    <row r="97" spans="1:33" customFormat="1">
      <c r="A97" s="180"/>
      <c r="B97" s="181"/>
      <c r="C97" s="181"/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6"/>
      <c r="S97" s="6"/>
      <c r="T97" s="184"/>
      <c r="U97" s="6"/>
    </row>
    <row r="98" spans="1:33" customFormat="1">
      <c r="A98" s="180"/>
      <c r="B98" s="181"/>
      <c r="C98" s="181"/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6"/>
      <c r="S98" s="6"/>
      <c r="T98" s="184"/>
      <c r="U98" s="6"/>
    </row>
    <row r="99" spans="1:33" customFormat="1">
      <c r="A99" s="180"/>
      <c r="B99" s="181"/>
      <c r="C99" s="181"/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6"/>
      <c r="S99" s="6"/>
      <c r="T99" s="184"/>
      <c r="U99" s="6"/>
    </row>
    <row r="100" spans="1:33" customFormat="1">
      <c r="A100" s="180"/>
      <c r="B100" s="181"/>
      <c r="C100" s="181"/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6"/>
      <c r="S100" s="6"/>
      <c r="T100" s="184"/>
      <c r="U100" s="6"/>
      <c r="AB100" s="195"/>
      <c r="AG100" s="194"/>
    </row>
    <row r="101" spans="1:33" customFormat="1">
      <c r="A101" s="180"/>
      <c r="B101" s="181"/>
      <c r="C101" s="181"/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6"/>
      <c r="S101" s="6"/>
      <c r="T101" s="184"/>
      <c r="U101" s="6"/>
    </row>
    <row r="102" spans="1:33" customFormat="1">
      <c r="A102" s="180"/>
      <c r="B102" s="181"/>
      <c r="C102" s="181"/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6"/>
      <c r="S102" s="6"/>
      <c r="T102" s="184"/>
      <c r="U102" s="6"/>
    </row>
    <row r="103" spans="1:33" customFormat="1">
      <c r="A103" s="180"/>
      <c r="B103" s="181"/>
      <c r="C103" s="181"/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6"/>
      <c r="S103" s="6"/>
      <c r="T103" s="184"/>
      <c r="U103" s="6"/>
    </row>
    <row r="104" spans="1:33" customFormat="1">
      <c r="A104" s="180"/>
      <c r="B104" s="181"/>
      <c r="C104" s="181"/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6"/>
      <c r="S104" s="6"/>
      <c r="T104" s="184"/>
      <c r="U104" s="6"/>
    </row>
    <row r="105" spans="1:33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33">
      <c r="A106" s="186" t="s">
        <v>48</v>
      </c>
      <c r="B106" s="187">
        <f>MIN(B9:B104)</f>
        <v>0</v>
      </c>
      <c r="C106" s="187">
        <f>MIN(C9:C104)</f>
        <v>0</v>
      </c>
      <c r="D106" s="187">
        <f t="shared" ref="D106:Q106" si="0">MIN(D9:D104)</f>
        <v>0</v>
      </c>
      <c r="E106" s="187">
        <f t="shared" si="0"/>
        <v>0</v>
      </c>
      <c r="F106" s="187">
        <f t="shared" si="0"/>
        <v>0</v>
      </c>
      <c r="G106" s="187">
        <f t="shared" si="0"/>
        <v>0</v>
      </c>
      <c r="H106" s="187">
        <f t="shared" si="0"/>
        <v>0</v>
      </c>
      <c r="I106" s="187">
        <f t="shared" si="0"/>
        <v>0</v>
      </c>
      <c r="J106" s="187">
        <f t="shared" si="0"/>
        <v>0</v>
      </c>
      <c r="K106" s="187">
        <f t="shared" si="0"/>
        <v>0</v>
      </c>
      <c r="L106" s="187">
        <f t="shared" si="0"/>
        <v>0</v>
      </c>
      <c r="M106" s="187">
        <f t="shared" si="0"/>
        <v>0</v>
      </c>
      <c r="N106" s="187">
        <f t="shared" si="0"/>
        <v>0</v>
      </c>
      <c r="O106" s="187">
        <f t="shared" si="0"/>
        <v>0</v>
      </c>
      <c r="P106" s="187">
        <f t="shared" si="0"/>
        <v>0</v>
      </c>
      <c r="Q106" s="187">
        <f t="shared" si="0"/>
        <v>0</v>
      </c>
      <c r="R106" s="192"/>
      <c r="S106" s="192"/>
      <c r="T106" s="192"/>
      <c r="U106" s="192"/>
    </row>
    <row r="107" spans="1:33">
      <c r="A107" s="186" t="s">
        <v>49</v>
      </c>
      <c r="B107" s="188">
        <f>MAX(B9:B104)</f>
        <v>0</v>
      </c>
      <c r="C107" s="188">
        <f t="shared" ref="C107:Q107" si="1">MAX(C9:C104)</f>
        <v>0</v>
      </c>
      <c r="D107" s="188">
        <f t="shared" si="1"/>
        <v>0</v>
      </c>
      <c r="E107" s="188">
        <f t="shared" si="1"/>
        <v>0</v>
      </c>
      <c r="F107" s="188">
        <f t="shared" si="1"/>
        <v>0</v>
      </c>
      <c r="G107" s="188">
        <f t="shared" si="1"/>
        <v>0</v>
      </c>
      <c r="H107" s="188">
        <f t="shared" si="1"/>
        <v>0</v>
      </c>
      <c r="I107" s="188">
        <f t="shared" si="1"/>
        <v>0</v>
      </c>
      <c r="J107" s="188">
        <f t="shared" si="1"/>
        <v>0</v>
      </c>
      <c r="K107" s="188">
        <f t="shared" si="1"/>
        <v>0</v>
      </c>
      <c r="L107" s="188">
        <f t="shared" si="1"/>
        <v>0</v>
      </c>
      <c r="M107" s="188">
        <f t="shared" si="1"/>
        <v>0</v>
      </c>
      <c r="N107" s="188">
        <f t="shared" si="1"/>
        <v>0</v>
      </c>
      <c r="O107" s="188">
        <f t="shared" si="1"/>
        <v>0</v>
      </c>
      <c r="P107" s="188">
        <f t="shared" si="1"/>
        <v>0</v>
      </c>
      <c r="Q107" s="188">
        <f t="shared" si="1"/>
        <v>0</v>
      </c>
      <c r="R107" s="193"/>
      <c r="S107" s="193"/>
      <c r="T107" s="193"/>
      <c r="U107" s="193"/>
    </row>
    <row r="108" spans="1:33">
      <c r="A108" s="186" t="s">
        <v>50</v>
      </c>
      <c r="B108" s="187" t="e">
        <f>AVERAGE(B9:B104)</f>
        <v>#DIV/0!</v>
      </c>
      <c r="C108" s="187" t="e">
        <f t="shared" ref="C108:Q108" si="2">AVERAGE(C9:C104)</f>
        <v>#DIV/0!</v>
      </c>
      <c r="D108" s="187" t="e">
        <f t="shared" si="2"/>
        <v>#DIV/0!</v>
      </c>
      <c r="E108" s="187" t="e">
        <f t="shared" si="2"/>
        <v>#DIV/0!</v>
      </c>
      <c r="F108" s="187" t="e">
        <f t="shared" si="2"/>
        <v>#DIV/0!</v>
      </c>
      <c r="G108" s="187" t="e">
        <f t="shared" si="2"/>
        <v>#DIV/0!</v>
      </c>
      <c r="H108" s="187" t="e">
        <f t="shared" si="2"/>
        <v>#DIV/0!</v>
      </c>
      <c r="I108" s="187" t="e">
        <f t="shared" si="2"/>
        <v>#DIV/0!</v>
      </c>
      <c r="J108" s="187" t="e">
        <f t="shared" si="2"/>
        <v>#DIV/0!</v>
      </c>
      <c r="K108" s="187" t="e">
        <f t="shared" si="2"/>
        <v>#DIV/0!</v>
      </c>
      <c r="L108" s="187" t="e">
        <f t="shared" si="2"/>
        <v>#DIV/0!</v>
      </c>
      <c r="M108" s="187" t="e">
        <f t="shared" si="2"/>
        <v>#DIV/0!</v>
      </c>
      <c r="N108" s="187" t="e">
        <f t="shared" si="2"/>
        <v>#DIV/0!</v>
      </c>
      <c r="O108" s="187" t="e">
        <f t="shared" si="2"/>
        <v>#DIV/0!</v>
      </c>
      <c r="P108" s="187" t="e">
        <f t="shared" si="2"/>
        <v>#DIV/0!</v>
      </c>
      <c r="Q108" s="187" t="e">
        <f t="shared" si="2"/>
        <v>#DIV/0!</v>
      </c>
      <c r="R108" s="192"/>
      <c r="S108" s="192"/>
      <c r="T108" s="192"/>
      <c r="U108" s="192"/>
    </row>
    <row r="109" spans="1:33">
      <c r="A109" s="186" t="s">
        <v>51</v>
      </c>
      <c r="B109" s="187" t="e">
        <f>STDEV(B9:B104)</f>
        <v>#DIV/0!</v>
      </c>
      <c r="C109" s="187" t="e">
        <f t="shared" ref="C109:Q109" si="3">STDEV(C9:C104)</f>
        <v>#DIV/0!</v>
      </c>
      <c r="D109" s="187" t="e">
        <f t="shared" si="3"/>
        <v>#DIV/0!</v>
      </c>
      <c r="E109" s="187" t="e">
        <f t="shared" si="3"/>
        <v>#DIV/0!</v>
      </c>
      <c r="F109" s="187" t="e">
        <f t="shared" si="3"/>
        <v>#DIV/0!</v>
      </c>
      <c r="G109" s="187" t="e">
        <f t="shared" si="3"/>
        <v>#DIV/0!</v>
      </c>
      <c r="H109" s="187" t="e">
        <f t="shared" si="3"/>
        <v>#DIV/0!</v>
      </c>
      <c r="I109" s="187" t="e">
        <f t="shared" si="3"/>
        <v>#DIV/0!</v>
      </c>
      <c r="J109" s="187" t="e">
        <f t="shared" si="3"/>
        <v>#DIV/0!</v>
      </c>
      <c r="K109" s="187" t="e">
        <f t="shared" si="3"/>
        <v>#DIV/0!</v>
      </c>
      <c r="L109" s="187" t="e">
        <f t="shared" si="3"/>
        <v>#DIV/0!</v>
      </c>
      <c r="M109" s="187" t="e">
        <f t="shared" si="3"/>
        <v>#DIV/0!</v>
      </c>
      <c r="N109" s="187" t="e">
        <f t="shared" si="3"/>
        <v>#DIV/0!</v>
      </c>
      <c r="O109" s="187" t="e">
        <f t="shared" si="3"/>
        <v>#DIV/0!</v>
      </c>
      <c r="P109" s="187" t="e">
        <f t="shared" si="3"/>
        <v>#DIV/0!</v>
      </c>
      <c r="Q109" s="187" t="e">
        <f t="shared" si="3"/>
        <v>#DIV/0!</v>
      </c>
      <c r="R109" s="192"/>
      <c r="S109" s="192"/>
      <c r="T109" s="192"/>
      <c r="U109" s="192"/>
    </row>
    <row r="110" spans="1:33">
      <c r="A110" s="186" t="s">
        <v>52</v>
      </c>
      <c r="B110" s="188">
        <f t="shared" ref="B110:Q110" si="4">COUNT(B9:B104)</f>
        <v>0</v>
      </c>
      <c r="C110" s="188">
        <f t="shared" si="4"/>
        <v>0</v>
      </c>
      <c r="D110" s="188">
        <f t="shared" si="4"/>
        <v>0</v>
      </c>
      <c r="E110" s="188">
        <f t="shared" si="4"/>
        <v>0</v>
      </c>
      <c r="F110" s="188">
        <f t="shared" si="4"/>
        <v>0</v>
      </c>
      <c r="G110" s="188">
        <f t="shared" si="4"/>
        <v>0</v>
      </c>
      <c r="H110" s="188">
        <f t="shared" si="4"/>
        <v>0</v>
      </c>
      <c r="I110" s="188">
        <f t="shared" si="4"/>
        <v>0</v>
      </c>
      <c r="J110" s="188">
        <f t="shared" si="4"/>
        <v>0</v>
      </c>
      <c r="K110" s="188">
        <f t="shared" si="4"/>
        <v>0</v>
      </c>
      <c r="L110" s="188">
        <f t="shared" si="4"/>
        <v>0</v>
      </c>
      <c r="M110" s="188">
        <f t="shared" si="4"/>
        <v>0</v>
      </c>
      <c r="N110" s="188">
        <f t="shared" si="4"/>
        <v>0</v>
      </c>
      <c r="O110" s="188">
        <f t="shared" si="4"/>
        <v>0</v>
      </c>
      <c r="P110" s="188">
        <f t="shared" si="4"/>
        <v>0</v>
      </c>
      <c r="Q110" s="188">
        <f t="shared" si="4"/>
        <v>0</v>
      </c>
      <c r="R110" s="193"/>
      <c r="S110" s="193"/>
      <c r="T110" s="193"/>
      <c r="U110" s="193"/>
      <c r="V110" s="188"/>
    </row>
    <row r="111" spans="1:33">
      <c r="A111" s="153" t="s">
        <v>53</v>
      </c>
      <c r="B111" s="147" t="str">
        <f>IF(B110&gt;=87,"&gt;90%",IF(B110&lt;=87,"&lt;90%"))</f>
        <v>&lt;90%</v>
      </c>
      <c r="C111" s="147" t="str">
        <f t="shared" ref="C111:Q111" si="5">IF(C110&gt;=87,"&gt;90%",IF(C110&lt;=87,"&lt;90%"))</f>
        <v>&lt;90%</v>
      </c>
      <c r="D111" s="147" t="str">
        <f t="shared" si="5"/>
        <v>&lt;90%</v>
      </c>
      <c r="E111" s="147" t="str">
        <f t="shared" si="5"/>
        <v>&lt;90%</v>
      </c>
      <c r="F111" s="147" t="str">
        <f t="shared" si="5"/>
        <v>&lt;90%</v>
      </c>
      <c r="G111" s="147" t="str">
        <f t="shared" si="5"/>
        <v>&lt;90%</v>
      </c>
      <c r="H111" s="147" t="str">
        <f t="shared" si="5"/>
        <v>&lt;90%</v>
      </c>
      <c r="I111" s="147" t="str">
        <f t="shared" si="5"/>
        <v>&lt;90%</v>
      </c>
      <c r="J111" s="147" t="str">
        <f t="shared" si="5"/>
        <v>&lt;90%</v>
      </c>
      <c r="K111" s="147" t="str">
        <f t="shared" si="5"/>
        <v>&lt;90%</v>
      </c>
      <c r="L111" s="147" t="str">
        <f t="shared" si="5"/>
        <v>&lt;90%</v>
      </c>
      <c r="M111" s="147" t="str">
        <f t="shared" si="5"/>
        <v>&lt;90%</v>
      </c>
      <c r="N111" s="147" t="str">
        <f t="shared" si="5"/>
        <v>&lt;90%</v>
      </c>
      <c r="O111" s="147" t="str">
        <f t="shared" si="5"/>
        <v>&lt;90%</v>
      </c>
      <c r="P111" s="147" t="str">
        <f t="shared" si="5"/>
        <v>&lt;90%</v>
      </c>
      <c r="Q111" s="147" t="str">
        <f t="shared" si="5"/>
        <v>&lt;90%</v>
      </c>
      <c r="R111" s="175"/>
      <c r="S111" s="175"/>
      <c r="T111" s="175"/>
      <c r="U111" s="175"/>
    </row>
    <row r="112" spans="1:33">
      <c r="A112" s="153" t="s">
        <v>54</v>
      </c>
      <c r="B112" s="147" t="str">
        <f>IF(B110&gt;=87,"OK",IF(B110&lt;=87,"LESS"))</f>
        <v>LESS</v>
      </c>
      <c r="C112" s="147" t="str">
        <f t="shared" ref="C112:Q112" si="6">IF(C110&gt;=87,"OK",IF(C110&lt;=87,"LESS"))</f>
        <v>LESS</v>
      </c>
      <c r="D112" s="147" t="str">
        <f t="shared" si="6"/>
        <v>LESS</v>
      </c>
      <c r="E112" s="147" t="str">
        <f t="shared" si="6"/>
        <v>LESS</v>
      </c>
      <c r="F112" s="147" t="str">
        <f t="shared" si="6"/>
        <v>LESS</v>
      </c>
      <c r="G112" s="147" t="str">
        <f t="shared" si="6"/>
        <v>LESS</v>
      </c>
      <c r="H112" s="147" t="str">
        <f t="shared" si="6"/>
        <v>LESS</v>
      </c>
      <c r="I112" s="147" t="str">
        <f t="shared" si="6"/>
        <v>LESS</v>
      </c>
      <c r="J112" s="147" t="str">
        <f t="shared" si="6"/>
        <v>LESS</v>
      </c>
      <c r="K112" s="147" t="str">
        <f t="shared" si="6"/>
        <v>LESS</v>
      </c>
      <c r="L112" s="147" t="str">
        <f t="shared" si="6"/>
        <v>LESS</v>
      </c>
      <c r="M112" s="147" t="str">
        <f t="shared" si="6"/>
        <v>LESS</v>
      </c>
      <c r="N112" s="147" t="str">
        <f t="shared" si="6"/>
        <v>LESS</v>
      </c>
      <c r="O112" s="147" t="str">
        <f t="shared" si="6"/>
        <v>LESS</v>
      </c>
      <c r="P112" s="147" t="str">
        <f t="shared" si="6"/>
        <v>LESS</v>
      </c>
      <c r="Q112" s="147" t="str">
        <f t="shared" si="6"/>
        <v>LESS</v>
      </c>
      <c r="R112" s="175"/>
      <c r="S112" s="175"/>
      <c r="T112" s="175"/>
      <c r="U112" s="175"/>
    </row>
    <row r="113" spans="1:21">
      <c r="L113" s="32"/>
      <c r="N113" s="191"/>
      <c r="O113" s="191"/>
      <c r="P113" s="191"/>
      <c r="Q113" s="191"/>
      <c r="R113" s="191"/>
      <c r="S113" s="191"/>
      <c r="T113" s="191"/>
      <c r="U113" s="191"/>
    </row>
    <row r="115" spans="1:21">
      <c r="A115" s="153" t="s">
        <v>55</v>
      </c>
      <c r="B115" s="197" t="s">
        <v>56</v>
      </c>
      <c r="C115" s="197"/>
      <c r="D115" s="197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9" t="s">
        <v>57</v>
      </c>
      <c r="B117" s="198"/>
      <c r="C117" s="198"/>
      <c r="D117" s="198"/>
      <c r="E117" s="198"/>
      <c r="F117" s="198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G117"/>
  <sheetViews>
    <sheetView zoomScale="85" zoomScaleNormal="85" workbookViewId="0">
      <pane xSplit="1" ySplit="8" topLeftCell="B108" activePane="bottomRight" state="frozen"/>
      <selection activeCell="A9" sqref="A9"/>
      <selection pane="topRight" activeCell="A9" sqref="A9"/>
      <selection pane="bottomLeft" activeCell="A9" sqref="A9"/>
      <selection pane="bottomRight" activeCell="A9" sqref="A9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0</v>
      </c>
      <c r="C2" s="196" t="s">
        <v>3</v>
      </c>
      <c r="D2" s="196"/>
      <c r="E2" s="196"/>
      <c r="F2" s="196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2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6" t="s">
        <v>11</v>
      </c>
      <c r="D3" s="196"/>
      <c r="E3" s="196"/>
      <c r="F3" s="196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2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6" t="s">
        <v>18</v>
      </c>
      <c r="D4" s="196"/>
      <c r="E4" s="196"/>
      <c r="F4" s="196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3" t="s">
        <v>43</v>
      </c>
      <c r="M8" s="114" t="s">
        <v>44</v>
      </c>
      <c r="N8" s="114" t="s">
        <v>45</v>
      </c>
      <c r="O8" s="183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80"/>
      <c r="B9" s="181"/>
      <c r="C9" s="181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6"/>
      <c r="S9" s="6"/>
      <c r="T9" s="184"/>
      <c r="U9" s="6"/>
    </row>
    <row r="10" spans="1:21" customFormat="1">
      <c r="A10" s="180"/>
      <c r="B10" s="181"/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6"/>
      <c r="S10" s="6"/>
      <c r="T10" s="184"/>
      <c r="U10" s="6"/>
    </row>
    <row r="11" spans="1:21" customFormat="1">
      <c r="A11" s="180"/>
      <c r="B11" s="181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6"/>
      <c r="S11" s="6"/>
      <c r="T11" s="184"/>
      <c r="U11" s="6"/>
    </row>
    <row r="12" spans="1:21" customFormat="1">
      <c r="A12" s="180"/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6"/>
      <c r="S12" s="6"/>
      <c r="T12" s="184"/>
      <c r="U12" s="6"/>
    </row>
    <row r="13" spans="1:21" customFormat="1">
      <c r="A13" s="180"/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6"/>
      <c r="S13" s="6"/>
      <c r="T13" s="184"/>
      <c r="U13" s="6"/>
    </row>
    <row r="14" spans="1:21" customFormat="1">
      <c r="A14" s="180"/>
      <c r="B14" s="181"/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6"/>
      <c r="S14" s="6"/>
      <c r="T14" s="184"/>
      <c r="U14" s="6"/>
    </row>
    <row r="15" spans="1:21" customFormat="1">
      <c r="A15" s="180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6"/>
      <c r="S15" s="6"/>
      <c r="T15" s="184"/>
      <c r="U15" s="6"/>
    </row>
    <row r="16" spans="1:21" customFormat="1">
      <c r="A16" s="180"/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6"/>
      <c r="S16" s="6"/>
      <c r="T16" s="184"/>
      <c r="U16" s="6"/>
    </row>
    <row r="17" spans="1:21" customFormat="1">
      <c r="A17" s="180"/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6"/>
      <c r="S17" s="6"/>
      <c r="T17" s="184"/>
      <c r="U17" s="6"/>
    </row>
    <row r="18" spans="1:21" customFormat="1">
      <c r="A18" s="180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6"/>
      <c r="S18" s="6"/>
      <c r="T18" s="184"/>
      <c r="U18" s="6"/>
    </row>
    <row r="19" spans="1:21" customFormat="1">
      <c r="A19" s="180"/>
      <c r="B19" s="181"/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6"/>
      <c r="S19" s="6"/>
      <c r="T19" s="184"/>
      <c r="U19" s="6"/>
    </row>
    <row r="20" spans="1:21" customFormat="1">
      <c r="A20" s="180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6"/>
      <c r="S20" s="6"/>
      <c r="T20" s="184"/>
      <c r="U20" s="6"/>
    </row>
    <row r="21" spans="1:21" customFormat="1">
      <c r="A21" s="180"/>
      <c r="B21" s="181"/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6"/>
      <c r="S21" s="6"/>
      <c r="T21" s="184"/>
      <c r="U21" s="6"/>
    </row>
    <row r="22" spans="1:21" customFormat="1">
      <c r="A22" s="180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6"/>
      <c r="S22" s="6"/>
      <c r="T22" s="184"/>
      <c r="U22" s="6"/>
    </row>
    <row r="23" spans="1:21" customFormat="1">
      <c r="A23" s="180"/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6"/>
      <c r="S23" s="6"/>
      <c r="T23" s="184"/>
      <c r="U23" s="6"/>
    </row>
    <row r="24" spans="1:21" customFormat="1">
      <c r="A24" s="180"/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6"/>
      <c r="S24" s="6"/>
      <c r="T24" s="184"/>
      <c r="U24" s="6"/>
    </row>
    <row r="25" spans="1:21" customFormat="1">
      <c r="A25" s="180"/>
      <c r="B25" s="181"/>
      <c r="C25" s="181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6"/>
      <c r="S25" s="6"/>
      <c r="T25" s="184"/>
      <c r="U25" s="6"/>
    </row>
    <row r="26" spans="1:21" customFormat="1">
      <c r="A26" s="180"/>
      <c r="B26" s="181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6"/>
      <c r="S26" s="6"/>
      <c r="T26" s="184"/>
      <c r="U26" s="6"/>
    </row>
    <row r="27" spans="1:21" customFormat="1">
      <c r="A27" s="180"/>
      <c r="B27" s="181"/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6"/>
      <c r="S27" s="6"/>
      <c r="T27" s="184"/>
      <c r="U27" s="6"/>
    </row>
    <row r="28" spans="1:21" customFormat="1">
      <c r="A28" s="180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6"/>
      <c r="S28" s="6"/>
      <c r="T28" s="184"/>
      <c r="U28" s="6"/>
    </row>
    <row r="29" spans="1:21" customFormat="1">
      <c r="A29" s="180"/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6"/>
      <c r="S29" s="6"/>
      <c r="T29" s="184"/>
      <c r="U29" s="6"/>
    </row>
    <row r="30" spans="1:21" customFormat="1">
      <c r="A30" s="180"/>
      <c r="B30" s="181"/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6"/>
      <c r="S30" s="6"/>
      <c r="T30" s="184"/>
      <c r="U30" s="6"/>
    </row>
    <row r="31" spans="1:21" customFormat="1">
      <c r="A31" s="180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6"/>
      <c r="S31" s="6"/>
      <c r="T31" s="184"/>
      <c r="U31" s="6"/>
    </row>
    <row r="32" spans="1:21" customFormat="1">
      <c r="A32" s="180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6"/>
      <c r="S32" s="6"/>
      <c r="T32" s="184"/>
      <c r="U32" s="6"/>
    </row>
    <row r="33" spans="1:21" customFormat="1">
      <c r="A33" s="180"/>
      <c r="B33" s="181"/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6"/>
      <c r="S33" s="6"/>
      <c r="T33" s="184"/>
      <c r="U33" s="6"/>
    </row>
    <row r="34" spans="1:21" customFormat="1">
      <c r="A34" s="180"/>
      <c r="B34" s="181"/>
      <c r="C34" s="181"/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6"/>
      <c r="S34" s="6"/>
      <c r="T34" s="184"/>
      <c r="U34" s="6"/>
    </row>
    <row r="35" spans="1:21" customFormat="1">
      <c r="A35" s="180"/>
      <c r="B35" s="181"/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6"/>
      <c r="S35" s="6"/>
      <c r="T35" s="184"/>
      <c r="U35" s="6"/>
    </row>
    <row r="36" spans="1:21" customFormat="1">
      <c r="A36" s="180"/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6"/>
      <c r="S36" s="6"/>
      <c r="T36" s="184"/>
      <c r="U36" s="6"/>
    </row>
    <row r="37" spans="1:21" customFormat="1">
      <c r="A37" s="180"/>
      <c r="B37" s="181"/>
      <c r="C37" s="181"/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6"/>
      <c r="S37" s="6"/>
      <c r="T37" s="184"/>
      <c r="U37" s="6"/>
    </row>
    <row r="38" spans="1:21" customFormat="1">
      <c r="A38" s="180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6"/>
      <c r="S38" s="6"/>
      <c r="T38" s="184"/>
      <c r="U38" s="6"/>
    </row>
    <row r="39" spans="1:21" customFormat="1">
      <c r="A39" s="180"/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6"/>
      <c r="S39" s="6"/>
      <c r="T39" s="184"/>
      <c r="U39" s="6"/>
    </row>
    <row r="40" spans="1:21" customFormat="1">
      <c r="A40" s="180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6"/>
      <c r="S40" s="6"/>
      <c r="T40" s="184"/>
      <c r="U40" s="6"/>
    </row>
    <row r="41" spans="1:21" customFormat="1">
      <c r="A41" s="180"/>
      <c r="B41" s="181"/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6"/>
      <c r="S41" s="6"/>
      <c r="T41" s="184"/>
      <c r="U41" s="6"/>
    </row>
    <row r="42" spans="1:21" customFormat="1">
      <c r="A42" s="180"/>
      <c r="B42" s="181"/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6"/>
      <c r="S42" s="6"/>
      <c r="T42" s="184"/>
      <c r="U42" s="6"/>
    </row>
    <row r="43" spans="1:21" customFormat="1">
      <c r="A43" s="180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6"/>
      <c r="S43" s="6"/>
      <c r="T43" s="184"/>
      <c r="U43" s="6"/>
    </row>
    <row r="44" spans="1:21" customFormat="1">
      <c r="A44" s="180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6"/>
      <c r="S44" s="6"/>
      <c r="T44" s="184"/>
      <c r="U44" s="6"/>
    </row>
    <row r="45" spans="1:21" customFormat="1">
      <c r="A45" s="180"/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6"/>
      <c r="S45" s="6"/>
      <c r="T45" s="184"/>
      <c r="U45" s="6"/>
    </row>
    <row r="46" spans="1:21" customFormat="1">
      <c r="A46" s="180"/>
      <c r="B46" s="181"/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6"/>
      <c r="S46" s="6"/>
      <c r="T46" s="184"/>
      <c r="U46" s="6"/>
    </row>
    <row r="47" spans="1:21" customFormat="1">
      <c r="A47" s="180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6"/>
      <c r="S47" s="6"/>
      <c r="T47" s="184"/>
      <c r="U47" s="6"/>
    </row>
    <row r="48" spans="1:21" customFormat="1">
      <c r="A48" s="180"/>
      <c r="B48" s="181"/>
      <c r="C48" s="181"/>
      <c r="D48" s="181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6"/>
      <c r="S48" s="6"/>
      <c r="T48" s="184"/>
      <c r="U48" s="6"/>
    </row>
    <row r="49" spans="1:21" customFormat="1">
      <c r="A49" s="180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6"/>
      <c r="S49" s="6"/>
      <c r="T49" s="184"/>
      <c r="U49" s="6"/>
    </row>
    <row r="50" spans="1:21" customFormat="1">
      <c r="A50" s="180"/>
      <c r="B50" s="181"/>
      <c r="C50" s="181"/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6"/>
      <c r="S50" s="6"/>
      <c r="T50" s="184"/>
      <c r="U50" s="6"/>
    </row>
    <row r="51" spans="1:21" customFormat="1">
      <c r="A51" s="180"/>
      <c r="B51" s="181"/>
      <c r="C51" s="181"/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6"/>
      <c r="S51" s="6"/>
      <c r="T51" s="184"/>
      <c r="U51" s="6"/>
    </row>
    <row r="52" spans="1:21" customFormat="1">
      <c r="A52" s="180"/>
      <c r="B52" s="181"/>
      <c r="C52" s="181"/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6"/>
      <c r="S52" s="6"/>
      <c r="T52" s="184"/>
      <c r="U52" s="6"/>
    </row>
    <row r="53" spans="1:21" customFormat="1">
      <c r="A53" s="180"/>
      <c r="B53" s="181"/>
      <c r="C53" s="181"/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6"/>
      <c r="S53" s="6"/>
      <c r="T53" s="184"/>
      <c r="U53" s="6"/>
    </row>
    <row r="54" spans="1:21" customFormat="1">
      <c r="A54" s="180"/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6"/>
      <c r="S54" s="6"/>
      <c r="T54" s="184"/>
      <c r="U54" s="6"/>
    </row>
    <row r="55" spans="1:21" customFormat="1">
      <c r="A55" s="180"/>
      <c r="B55" s="181"/>
      <c r="C55" s="181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6"/>
      <c r="S55" s="6"/>
      <c r="T55" s="184"/>
      <c r="U55" s="6"/>
    </row>
    <row r="56" spans="1:21" customFormat="1">
      <c r="A56" s="180"/>
      <c r="B56" s="181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6"/>
      <c r="S56" s="6"/>
      <c r="T56" s="184"/>
      <c r="U56" s="6"/>
    </row>
    <row r="57" spans="1:21" customFormat="1">
      <c r="A57" s="180"/>
      <c r="B57" s="181"/>
      <c r="C57" s="181"/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6"/>
      <c r="S57" s="6"/>
      <c r="T57" s="184"/>
      <c r="U57" s="6"/>
    </row>
    <row r="58" spans="1:21" customFormat="1">
      <c r="A58" s="180"/>
      <c r="B58" s="181"/>
      <c r="C58" s="181"/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6"/>
      <c r="S58" s="6"/>
      <c r="T58" s="184"/>
      <c r="U58" s="6"/>
    </row>
    <row r="59" spans="1:21" customFormat="1">
      <c r="A59" s="180"/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6"/>
      <c r="S59" s="6"/>
      <c r="T59" s="184"/>
      <c r="U59" s="6"/>
    </row>
    <row r="60" spans="1:21" customFormat="1">
      <c r="A60" s="180"/>
      <c r="B60" s="181"/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6"/>
      <c r="S60" s="6"/>
      <c r="T60" s="184"/>
      <c r="U60" s="6"/>
    </row>
    <row r="61" spans="1:21" customFormat="1">
      <c r="A61" s="180"/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6"/>
      <c r="S61" s="6"/>
      <c r="T61" s="184"/>
      <c r="U61" s="6"/>
    </row>
    <row r="62" spans="1:21" customFormat="1">
      <c r="A62" s="180"/>
      <c r="B62" s="181"/>
      <c r="C62" s="181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6"/>
      <c r="S62" s="6"/>
      <c r="T62" s="184"/>
      <c r="U62" s="6"/>
    </row>
    <row r="63" spans="1:21" customFormat="1">
      <c r="A63" s="180"/>
      <c r="B63" s="181"/>
      <c r="C63" s="181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6"/>
      <c r="S63" s="6"/>
      <c r="T63" s="184"/>
      <c r="U63" s="6"/>
    </row>
    <row r="64" spans="1:21" customFormat="1">
      <c r="A64" s="180"/>
      <c r="B64" s="181"/>
      <c r="C64" s="181"/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6"/>
      <c r="S64" s="6"/>
      <c r="T64" s="184"/>
      <c r="U64" s="6"/>
    </row>
    <row r="65" spans="1:21" customFormat="1">
      <c r="A65" s="180"/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6"/>
      <c r="S65" s="6"/>
      <c r="T65" s="184"/>
      <c r="U65" s="6"/>
    </row>
    <row r="66" spans="1:21" customFormat="1">
      <c r="A66" s="180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6"/>
      <c r="S66" s="6"/>
      <c r="T66" s="184"/>
      <c r="U66" s="6"/>
    </row>
    <row r="67" spans="1:21" customFormat="1">
      <c r="A67" s="180"/>
      <c r="B67" s="181"/>
      <c r="C67" s="181"/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6"/>
      <c r="S67" s="6"/>
      <c r="T67" s="184"/>
      <c r="U67" s="6"/>
    </row>
    <row r="68" spans="1:21" customFormat="1">
      <c r="A68" s="180"/>
      <c r="B68" s="181"/>
      <c r="C68" s="181"/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6"/>
      <c r="S68" s="6"/>
      <c r="T68" s="184"/>
      <c r="U68" s="6"/>
    </row>
    <row r="69" spans="1:21" customFormat="1">
      <c r="A69" s="180"/>
      <c r="B69" s="181"/>
      <c r="C69" s="181"/>
      <c r="D69" s="181"/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6"/>
      <c r="S69" s="6"/>
      <c r="T69" s="184"/>
      <c r="U69" s="6"/>
    </row>
    <row r="70" spans="1:21" customFormat="1">
      <c r="A70" s="180"/>
      <c r="B70" s="181"/>
      <c r="C70" s="181"/>
      <c r="D70" s="181"/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6"/>
      <c r="S70" s="6"/>
      <c r="T70" s="184"/>
      <c r="U70" s="6"/>
    </row>
    <row r="71" spans="1:21" customFormat="1">
      <c r="A71" s="180"/>
      <c r="B71" s="181"/>
      <c r="C71" s="181"/>
      <c r="D71" s="181"/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6"/>
      <c r="S71" s="6"/>
      <c r="T71" s="184"/>
      <c r="U71" s="6"/>
    </row>
    <row r="72" spans="1:21" customFormat="1">
      <c r="A72" s="180"/>
      <c r="B72" s="181"/>
      <c r="C72" s="181"/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6"/>
      <c r="S72" s="6"/>
      <c r="T72" s="184"/>
      <c r="U72" s="6"/>
    </row>
    <row r="73" spans="1:21" customFormat="1">
      <c r="A73" s="180"/>
      <c r="B73" s="181"/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6"/>
      <c r="S73" s="6"/>
      <c r="T73" s="184"/>
      <c r="U73" s="6"/>
    </row>
    <row r="74" spans="1:21" customFormat="1">
      <c r="A74" s="180"/>
      <c r="B74" s="181"/>
      <c r="C74" s="181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6"/>
      <c r="S74" s="6"/>
      <c r="T74" s="184"/>
      <c r="U74" s="6"/>
    </row>
    <row r="75" spans="1:21" customFormat="1">
      <c r="A75" s="180"/>
      <c r="B75" s="181"/>
      <c r="C75" s="181"/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6"/>
      <c r="S75" s="6"/>
      <c r="T75" s="184"/>
      <c r="U75" s="6"/>
    </row>
    <row r="76" spans="1:21" customFormat="1">
      <c r="A76" s="180"/>
      <c r="B76" s="181"/>
      <c r="C76" s="181"/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6"/>
      <c r="S76" s="6"/>
      <c r="T76" s="184"/>
      <c r="U76" s="6"/>
    </row>
    <row r="77" spans="1:21" customFormat="1">
      <c r="A77" s="180"/>
      <c r="B77" s="181"/>
      <c r="C77" s="181"/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6"/>
      <c r="S77" s="6"/>
      <c r="T77" s="184"/>
      <c r="U77" s="6"/>
    </row>
    <row r="78" spans="1:21" customFormat="1">
      <c r="A78" s="180"/>
      <c r="B78" s="181"/>
      <c r="C78" s="181"/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6"/>
      <c r="S78" s="6"/>
      <c r="T78" s="184"/>
      <c r="U78" s="6"/>
    </row>
    <row r="79" spans="1:21" customFormat="1">
      <c r="A79" s="180"/>
      <c r="B79" s="181"/>
      <c r="C79" s="181"/>
      <c r="D79" s="181"/>
      <c r="E79" s="185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6"/>
      <c r="S79" s="6"/>
      <c r="T79" s="184"/>
      <c r="U79" s="6"/>
    </row>
    <row r="80" spans="1:21" customFormat="1">
      <c r="A80" s="180"/>
      <c r="B80" s="181"/>
      <c r="C80" s="181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6"/>
      <c r="S80" s="6"/>
      <c r="T80" s="184"/>
      <c r="U80" s="6"/>
    </row>
    <row r="81" spans="1:26" customFormat="1">
      <c r="A81" s="180"/>
      <c r="B81" s="181"/>
      <c r="C81" s="181"/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6"/>
      <c r="S81" s="6"/>
      <c r="T81" s="184"/>
      <c r="U81" s="6"/>
    </row>
    <row r="82" spans="1:26" customFormat="1">
      <c r="A82" s="180"/>
      <c r="B82" s="181"/>
      <c r="C82" s="181"/>
      <c r="D82" s="181"/>
      <c r="E82" s="181"/>
      <c r="F82" s="181"/>
      <c r="G82" s="181"/>
      <c r="H82" s="181"/>
      <c r="I82" s="181"/>
      <c r="J82" s="190"/>
      <c r="K82" s="181"/>
      <c r="L82" s="181"/>
      <c r="M82" s="181"/>
      <c r="N82" s="181"/>
      <c r="O82" s="181"/>
      <c r="P82" s="181"/>
      <c r="Q82" s="181"/>
      <c r="R82" s="6"/>
      <c r="S82" s="6"/>
      <c r="T82" s="184"/>
      <c r="U82" s="6"/>
    </row>
    <row r="83" spans="1:26" customFormat="1">
      <c r="A83" s="180"/>
      <c r="B83" s="181"/>
      <c r="C83" s="181"/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6"/>
      <c r="S83" s="6"/>
      <c r="T83" s="184"/>
      <c r="U83" s="6"/>
    </row>
    <row r="84" spans="1:26" customFormat="1">
      <c r="A84" s="180"/>
      <c r="B84" s="181"/>
      <c r="C84" s="181"/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6"/>
      <c r="S84" s="6"/>
      <c r="T84" s="184"/>
      <c r="U84" s="6"/>
    </row>
    <row r="85" spans="1:26" customFormat="1">
      <c r="A85" s="180"/>
      <c r="B85" s="181"/>
      <c r="C85" s="181"/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6"/>
      <c r="S85" s="6"/>
      <c r="T85" s="184"/>
      <c r="U85" s="6"/>
    </row>
    <row r="86" spans="1:26" customFormat="1">
      <c r="A86" s="180"/>
      <c r="B86" s="181"/>
      <c r="C86" s="181"/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6"/>
      <c r="S86" s="6"/>
      <c r="T86" s="184"/>
      <c r="U86" s="6"/>
    </row>
    <row r="87" spans="1:26" customFormat="1">
      <c r="A87" s="180"/>
      <c r="B87" s="181"/>
      <c r="C87" s="181"/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6"/>
      <c r="S87" s="6"/>
      <c r="T87" s="184"/>
      <c r="U87" s="6"/>
    </row>
    <row r="88" spans="1:26" customFormat="1">
      <c r="A88" s="180"/>
      <c r="B88" s="181"/>
      <c r="C88" s="181"/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6"/>
      <c r="S88" s="6"/>
      <c r="T88" s="184"/>
      <c r="U88" s="6"/>
    </row>
    <row r="89" spans="1:26" customFormat="1">
      <c r="A89" s="180"/>
      <c r="B89" s="181"/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6"/>
      <c r="S89" s="6"/>
      <c r="T89" s="184"/>
      <c r="U89" s="6"/>
    </row>
    <row r="90" spans="1:26" customFormat="1">
      <c r="A90" s="180"/>
      <c r="B90" s="181"/>
      <c r="C90" s="181"/>
      <c r="D90" s="181"/>
      <c r="E90" s="181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6"/>
      <c r="S90" s="6"/>
      <c r="T90" s="184"/>
      <c r="U90" s="6"/>
    </row>
    <row r="91" spans="1:26" customFormat="1">
      <c r="A91" s="180"/>
      <c r="B91" s="181"/>
      <c r="C91" s="181"/>
      <c r="D91" s="181"/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6"/>
      <c r="S91" s="6"/>
      <c r="T91" s="184"/>
      <c r="U91" s="6"/>
    </row>
    <row r="92" spans="1:26" customFormat="1">
      <c r="A92" s="180"/>
      <c r="B92" s="181"/>
      <c r="C92" s="181"/>
      <c r="D92" s="181"/>
      <c r="E92" s="18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6"/>
      <c r="S92" s="6"/>
      <c r="T92" s="184"/>
      <c r="U92" s="6"/>
    </row>
    <row r="93" spans="1:26" customFormat="1">
      <c r="A93" s="180"/>
      <c r="B93" s="181"/>
      <c r="C93" s="181"/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6"/>
      <c r="S93" s="6"/>
      <c r="T93" s="184"/>
      <c r="U93" s="6"/>
    </row>
    <row r="94" spans="1:26" customFormat="1">
      <c r="A94" s="180"/>
      <c r="B94" s="181"/>
      <c r="C94" s="181"/>
      <c r="D94" s="181"/>
      <c r="E94" s="181"/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6"/>
      <c r="S94" s="6"/>
      <c r="T94" s="184"/>
      <c r="U94" s="6"/>
    </row>
    <row r="95" spans="1:26" customFormat="1">
      <c r="A95" s="180"/>
      <c r="B95" s="181"/>
      <c r="C95" s="181"/>
      <c r="D95" s="181"/>
      <c r="E95" s="181"/>
      <c r="F95" s="181"/>
      <c r="G95" s="181"/>
      <c r="H95" s="181"/>
      <c r="I95" s="181"/>
      <c r="J95" s="181"/>
      <c r="K95" s="181"/>
      <c r="L95" s="181"/>
      <c r="M95" s="181"/>
      <c r="N95" s="181"/>
      <c r="O95" s="181"/>
      <c r="P95" s="181"/>
      <c r="Q95" s="181"/>
      <c r="R95" s="6"/>
      <c r="S95" s="6"/>
      <c r="T95" s="184"/>
      <c r="U95" s="6"/>
    </row>
    <row r="96" spans="1:26" customFormat="1">
      <c r="A96" s="180"/>
      <c r="B96" s="181"/>
      <c r="C96" s="181"/>
      <c r="D96" s="181"/>
      <c r="E96" s="181"/>
      <c r="F96" s="181"/>
      <c r="G96" s="181"/>
      <c r="H96" s="181"/>
      <c r="I96" s="181"/>
      <c r="J96" s="181"/>
      <c r="K96" s="181"/>
      <c r="L96" s="181"/>
      <c r="M96" s="181"/>
      <c r="N96" s="181"/>
      <c r="O96" s="181"/>
      <c r="P96" s="181"/>
      <c r="Q96" s="181"/>
      <c r="R96" s="6"/>
      <c r="S96" s="6"/>
      <c r="T96" s="184"/>
      <c r="U96" s="6"/>
      <c r="Z96" s="194"/>
    </row>
    <row r="97" spans="1:33" customFormat="1">
      <c r="A97" s="180"/>
      <c r="B97" s="181"/>
      <c r="C97" s="181"/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6"/>
      <c r="S97" s="6"/>
      <c r="T97" s="184"/>
      <c r="U97" s="6"/>
    </row>
    <row r="98" spans="1:33" customFormat="1">
      <c r="A98" s="180"/>
      <c r="B98" s="181"/>
      <c r="C98" s="181"/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6"/>
      <c r="S98" s="6"/>
      <c r="T98" s="184"/>
      <c r="U98" s="6"/>
    </row>
    <row r="99" spans="1:33" customFormat="1">
      <c r="A99" s="180"/>
      <c r="B99" s="181"/>
      <c r="C99" s="181"/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6"/>
      <c r="S99" s="6"/>
      <c r="T99" s="184"/>
      <c r="U99" s="6"/>
    </row>
    <row r="100" spans="1:33" customFormat="1">
      <c r="A100" s="180"/>
      <c r="B100" s="181"/>
      <c r="C100" s="181"/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6"/>
      <c r="S100" s="6"/>
      <c r="T100" s="184"/>
      <c r="U100" s="6"/>
      <c r="AB100" s="195"/>
      <c r="AG100" s="194"/>
    </row>
    <row r="101" spans="1:33" customFormat="1">
      <c r="A101" s="180"/>
      <c r="B101" s="181"/>
      <c r="C101" s="181"/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6"/>
      <c r="S101" s="6"/>
      <c r="T101" s="184"/>
      <c r="U101" s="6"/>
    </row>
    <row r="102" spans="1:33" customFormat="1">
      <c r="A102" s="180"/>
      <c r="B102" s="181"/>
      <c r="C102" s="181"/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6"/>
      <c r="S102" s="6"/>
      <c r="T102" s="184"/>
      <c r="U102" s="6"/>
    </row>
    <row r="103" spans="1:33" customFormat="1">
      <c r="A103" s="180"/>
      <c r="B103" s="181"/>
      <c r="C103" s="181"/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6"/>
      <c r="S103" s="6"/>
      <c r="T103" s="184"/>
      <c r="U103" s="6"/>
    </row>
    <row r="104" spans="1:33" customFormat="1">
      <c r="A104" s="180"/>
      <c r="B104" s="181"/>
      <c r="C104" s="181"/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6"/>
      <c r="S104" s="6"/>
      <c r="T104" s="184"/>
      <c r="U104" s="6"/>
    </row>
    <row r="105" spans="1:33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33">
      <c r="A106" s="186" t="s">
        <v>48</v>
      </c>
      <c r="B106" s="187">
        <f>MIN(B9:B104)</f>
        <v>0</v>
      </c>
      <c r="C106" s="187">
        <f>MIN(C9:C104)</f>
        <v>0</v>
      </c>
      <c r="D106" s="187">
        <f t="shared" ref="D106:Q106" si="0">MIN(D9:D104)</f>
        <v>0</v>
      </c>
      <c r="E106" s="187">
        <f t="shared" si="0"/>
        <v>0</v>
      </c>
      <c r="F106" s="187">
        <f t="shared" si="0"/>
        <v>0</v>
      </c>
      <c r="G106" s="187">
        <f t="shared" si="0"/>
        <v>0</v>
      </c>
      <c r="H106" s="187">
        <f t="shared" si="0"/>
        <v>0</v>
      </c>
      <c r="I106" s="187">
        <f t="shared" si="0"/>
        <v>0</v>
      </c>
      <c r="J106" s="187">
        <f t="shared" si="0"/>
        <v>0</v>
      </c>
      <c r="K106" s="187">
        <f t="shared" si="0"/>
        <v>0</v>
      </c>
      <c r="L106" s="187">
        <f t="shared" si="0"/>
        <v>0</v>
      </c>
      <c r="M106" s="187">
        <f t="shared" si="0"/>
        <v>0</v>
      </c>
      <c r="N106" s="187">
        <f t="shared" si="0"/>
        <v>0</v>
      </c>
      <c r="O106" s="187">
        <f t="shared" si="0"/>
        <v>0</v>
      </c>
      <c r="P106" s="187">
        <f t="shared" si="0"/>
        <v>0</v>
      </c>
      <c r="Q106" s="187">
        <f t="shared" si="0"/>
        <v>0</v>
      </c>
      <c r="R106" s="192"/>
      <c r="S106" s="192"/>
      <c r="T106" s="192"/>
      <c r="U106" s="192"/>
    </row>
    <row r="107" spans="1:33">
      <c r="A107" s="186" t="s">
        <v>49</v>
      </c>
      <c r="B107" s="188">
        <f>MAX(B9:B104)</f>
        <v>0</v>
      </c>
      <c r="C107" s="188">
        <f t="shared" ref="C107:Q107" si="1">MAX(C9:C104)</f>
        <v>0</v>
      </c>
      <c r="D107" s="188">
        <f t="shared" si="1"/>
        <v>0</v>
      </c>
      <c r="E107" s="188">
        <f t="shared" si="1"/>
        <v>0</v>
      </c>
      <c r="F107" s="188">
        <f t="shared" si="1"/>
        <v>0</v>
      </c>
      <c r="G107" s="188">
        <f t="shared" si="1"/>
        <v>0</v>
      </c>
      <c r="H107" s="188">
        <f t="shared" si="1"/>
        <v>0</v>
      </c>
      <c r="I107" s="188">
        <f t="shared" si="1"/>
        <v>0</v>
      </c>
      <c r="J107" s="188">
        <f t="shared" si="1"/>
        <v>0</v>
      </c>
      <c r="K107" s="188">
        <f t="shared" si="1"/>
        <v>0</v>
      </c>
      <c r="L107" s="188">
        <f t="shared" si="1"/>
        <v>0</v>
      </c>
      <c r="M107" s="188">
        <f t="shared" si="1"/>
        <v>0</v>
      </c>
      <c r="N107" s="188">
        <f t="shared" si="1"/>
        <v>0</v>
      </c>
      <c r="O107" s="188">
        <f t="shared" si="1"/>
        <v>0</v>
      </c>
      <c r="P107" s="188">
        <f t="shared" si="1"/>
        <v>0</v>
      </c>
      <c r="Q107" s="188">
        <f t="shared" si="1"/>
        <v>0</v>
      </c>
      <c r="R107" s="193"/>
      <c r="S107" s="193"/>
      <c r="T107" s="193"/>
      <c r="U107" s="193"/>
    </row>
    <row r="108" spans="1:33">
      <c r="A108" s="186" t="s">
        <v>50</v>
      </c>
      <c r="B108" s="187" t="e">
        <f>AVERAGE(B9:B104)</f>
        <v>#DIV/0!</v>
      </c>
      <c r="C108" s="187" t="e">
        <f t="shared" ref="C108:Q108" si="2">AVERAGE(C9:C104)</f>
        <v>#DIV/0!</v>
      </c>
      <c r="D108" s="187" t="e">
        <f t="shared" si="2"/>
        <v>#DIV/0!</v>
      </c>
      <c r="E108" s="187" t="e">
        <f t="shared" si="2"/>
        <v>#DIV/0!</v>
      </c>
      <c r="F108" s="187" t="e">
        <f t="shared" si="2"/>
        <v>#DIV/0!</v>
      </c>
      <c r="G108" s="187" t="e">
        <f t="shared" si="2"/>
        <v>#DIV/0!</v>
      </c>
      <c r="H108" s="187" t="e">
        <f t="shared" si="2"/>
        <v>#DIV/0!</v>
      </c>
      <c r="I108" s="187" t="e">
        <f t="shared" si="2"/>
        <v>#DIV/0!</v>
      </c>
      <c r="J108" s="187" t="e">
        <f t="shared" si="2"/>
        <v>#DIV/0!</v>
      </c>
      <c r="K108" s="187" t="e">
        <f t="shared" si="2"/>
        <v>#DIV/0!</v>
      </c>
      <c r="L108" s="187" t="e">
        <f t="shared" si="2"/>
        <v>#DIV/0!</v>
      </c>
      <c r="M108" s="187" t="e">
        <f t="shared" si="2"/>
        <v>#DIV/0!</v>
      </c>
      <c r="N108" s="187" t="e">
        <f t="shared" si="2"/>
        <v>#DIV/0!</v>
      </c>
      <c r="O108" s="187" t="e">
        <f t="shared" si="2"/>
        <v>#DIV/0!</v>
      </c>
      <c r="P108" s="187" t="e">
        <f t="shared" si="2"/>
        <v>#DIV/0!</v>
      </c>
      <c r="Q108" s="187" t="e">
        <f t="shared" si="2"/>
        <v>#DIV/0!</v>
      </c>
      <c r="R108" s="192"/>
      <c r="S108" s="192"/>
      <c r="T108" s="192"/>
      <c r="U108" s="192"/>
    </row>
    <row r="109" spans="1:33">
      <c r="A109" s="186" t="s">
        <v>51</v>
      </c>
      <c r="B109" s="187" t="e">
        <f>STDEV(B9:B104)</f>
        <v>#DIV/0!</v>
      </c>
      <c r="C109" s="187" t="e">
        <f t="shared" ref="C109:Q109" si="3">STDEV(C9:C104)</f>
        <v>#DIV/0!</v>
      </c>
      <c r="D109" s="187" t="e">
        <f t="shared" si="3"/>
        <v>#DIV/0!</v>
      </c>
      <c r="E109" s="187" t="e">
        <f t="shared" si="3"/>
        <v>#DIV/0!</v>
      </c>
      <c r="F109" s="187" t="e">
        <f t="shared" si="3"/>
        <v>#DIV/0!</v>
      </c>
      <c r="G109" s="187" t="e">
        <f t="shared" si="3"/>
        <v>#DIV/0!</v>
      </c>
      <c r="H109" s="187" t="e">
        <f t="shared" si="3"/>
        <v>#DIV/0!</v>
      </c>
      <c r="I109" s="187" t="e">
        <f t="shared" si="3"/>
        <v>#DIV/0!</v>
      </c>
      <c r="J109" s="187" t="e">
        <f t="shared" si="3"/>
        <v>#DIV/0!</v>
      </c>
      <c r="K109" s="187" t="e">
        <f t="shared" si="3"/>
        <v>#DIV/0!</v>
      </c>
      <c r="L109" s="187" t="e">
        <f t="shared" si="3"/>
        <v>#DIV/0!</v>
      </c>
      <c r="M109" s="187" t="e">
        <f t="shared" si="3"/>
        <v>#DIV/0!</v>
      </c>
      <c r="N109" s="187" t="e">
        <f t="shared" si="3"/>
        <v>#DIV/0!</v>
      </c>
      <c r="O109" s="187" t="e">
        <f t="shared" si="3"/>
        <v>#DIV/0!</v>
      </c>
      <c r="P109" s="187" t="e">
        <f t="shared" si="3"/>
        <v>#DIV/0!</v>
      </c>
      <c r="Q109" s="187" t="e">
        <f t="shared" si="3"/>
        <v>#DIV/0!</v>
      </c>
      <c r="R109" s="192"/>
      <c r="S109" s="192"/>
      <c r="T109" s="192"/>
      <c r="U109" s="192"/>
    </row>
    <row r="110" spans="1:33">
      <c r="A110" s="186" t="s">
        <v>52</v>
      </c>
      <c r="B110" s="188">
        <f t="shared" ref="B110:Q110" si="4">COUNT(B9:B104)</f>
        <v>0</v>
      </c>
      <c r="C110" s="188">
        <f t="shared" si="4"/>
        <v>0</v>
      </c>
      <c r="D110" s="188">
        <f t="shared" si="4"/>
        <v>0</v>
      </c>
      <c r="E110" s="188">
        <f t="shared" si="4"/>
        <v>0</v>
      </c>
      <c r="F110" s="188">
        <f t="shared" si="4"/>
        <v>0</v>
      </c>
      <c r="G110" s="188">
        <f t="shared" si="4"/>
        <v>0</v>
      </c>
      <c r="H110" s="188">
        <f t="shared" si="4"/>
        <v>0</v>
      </c>
      <c r="I110" s="188">
        <f t="shared" si="4"/>
        <v>0</v>
      </c>
      <c r="J110" s="188">
        <f t="shared" si="4"/>
        <v>0</v>
      </c>
      <c r="K110" s="188">
        <f t="shared" si="4"/>
        <v>0</v>
      </c>
      <c r="L110" s="188">
        <f t="shared" si="4"/>
        <v>0</v>
      </c>
      <c r="M110" s="188">
        <f t="shared" si="4"/>
        <v>0</v>
      </c>
      <c r="N110" s="188">
        <f t="shared" si="4"/>
        <v>0</v>
      </c>
      <c r="O110" s="188">
        <f t="shared" si="4"/>
        <v>0</v>
      </c>
      <c r="P110" s="188">
        <f t="shared" si="4"/>
        <v>0</v>
      </c>
      <c r="Q110" s="188">
        <f t="shared" si="4"/>
        <v>0</v>
      </c>
      <c r="R110" s="193"/>
      <c r="S110" s="193"/>
      <c r="T110" s="193"/>
      <c r="U110" s="193"/>
      <c r="V110" s="188"/>
    </row>
    <row r="111" spans="1:33">
      <c r="A111" s="153" t="s">
        <v>53</v>
      </c>
      <c r="B111" s="147" t="str">
        <f>IF(B110&gt;=87,"&gt;90%",IF(B110&lt;=87,"&lt;90%"))</f>
        <v>&lt;90%</v>
      </c>
      <c r="C111" s="147" t="str">
        <f t="shared" ref="C111:Q111" si="5">IF(C110&gt;=87,"&gt;90%",IF(C110&lt;=87,"&lt;90%"))</f>
        <v>&lt;90%</v>
      </c>
      <c r="D111" s="147" t="str">
        <f t="shared" si="5"/>
        <v>&lt;90%</v>
      </c>
      <c r="E111" s="147" t="str">
        <f t="shared" si="5"/>
        <v>&lt;90%</v>
      </c>
      <c r="F111" s="147" t="str">
        <f t="shared" si="5"/>
        <v>&lt;90%</v>
      </c>
      <c r="G111" s="147" t="str">
        <f t="shared" si="5"/>
        <v>&lt;90%</v>
      </c>
      <c r="H111" s="147" t="str">
        <f t="shared" si="5"/>
        <v>&lt;90%</v>
      </c>
      <c r="I111" s="147" t="str">
        <f t="shared" si="5"/>
        <v>&lt;90%</v>
      </c>
      <c r="J111" s="147" t="str">
        <f t="shared" si="5"/>
        <v>&lt;90%</v>
      </c>
      <c r="K111" s="147" t="str">
        <f t="shared" si="5"/>
        <v>&lt;90%</v>
      </c>
      <c r="L111" s="147" t="str">
        <f t="shared" si="5"/>
        <v>&lt;90%</v>
      </c>
      <c r="M111" s="147" t="str">
        <f t="shared" si="5"/>
        <v>&lt;90%</v>
      </c>
      <c r="N111" s="147" t="str">
        <f t="shared" si="5"/>
        <v>&lt;90%</v>
      </c>
      <c r="O111" s="147" t="str">
        <f t="shared" si="5"/>
        <v>&lt;90%</v>
      </c>
      <c r="P111" s="147" t="str">
        <f t="shared" si="5"/>
        <v>&lt;90%</v>
      </c>
      <c r="Q111" s="147" t="str">
        <f t="shared" si="5"/>
        <v>&lt;90%</v>
      </c>
      <c r="R111" s="175"/>
      <c r="S111" s="175"/>
      <c r="T111" s="175"/>
      <c r="U111" s="175"/>
    </row>
    <row r="112" spans="1:33">
      <c r="A112" s="153" t="s">
        <v>54</v>
      </c>
      <c r="B112" s="147" t="str">
        <f>IF(B110&gt;=87,"OK",IF(B110&lt;=87,"LESS"))</f>
        <v>LESS</v>
      </c>
      <c r="C112" s="147" t="str">
        <f t="shared" ref="C112:Q112" si="6">IF(C110&gt;=87,"OK",IF(C110&lt;=87,"LESS"))</f>
        <v>LESS</v>
      </c>
      <c r="D112" s="147" t="str">
        <f t="shared" si="6"/>
        <v>LESS</v>
      </c>
      <c r="E112" s="147" t="str">
        <f t="shared" si="6"/>
        <v>LESS</v>
      </c>
      <c r="F112" s="147" t="str">
        <f t="shared" si="6"/>
        <v>LESS</v>
      </c>
      <c r="G112" s="147" t="str">
        <f t="shared" si="6"/>
        <v>LESS</v>
      </c>
      <c r="H112" s="147" t="str">
        <f t="shared" si="6"/>
        <v>LESS</v>
      </c>
      <c r="I112" s="147" t="str">
        <f t="shared" si="6"/>
        <v>LESS</v>
      </c>
      <c r="J112" s="147" t="str">
        <f t="shared" si="6"/>
        <v>LESS</v>
      </c>
      <c r="K112" s="147" t="str">
        <f t="shared" si="6"/>
        <v>LESS</v>
      </c>
      <c r="L112" s="147" t="str">
        <f t="shared" si="6"/>
        <v>LESS</v>
      </c>
      <c r="M112" s="147" t="str">
        <f t="shared" si="6"/>
        <v>LESS</v>
      </c>
      <c r="N112" s="147" t="str">
        <f t="shared" si="6"/>
        <v>LESS</v>
      </c>
      <c r="O112" s="147" t="str">
        <f t="shared" si="6"/>
        <v>LESS</v>
      </c>
      <c r="P112" s="147" t="str">
        <f t="shared" si="6"/>
        <v>LESS</v>
      </c>
      <c r="Q112" s="147" t="str">
        <f t="shared" si="6"/>
        <v>LESS</v>
      </c>
      <c r="R112" s="175"/>
      <c r="S112" s="175"/>
      <c r="T112" s="175"/>
      <c r="U112" s="175"/>
    </row>
    <row r="113" spans="1:21">
      <c r="L113" s="32"/>
      <c r="N113" s="191"/>
      <c r="O113" s="191"/>
      <c r="P113" s="191"/>
      <c r="Q113" s="191"/>
      <c r="R113" s="191"/>
      <c r="S113" s="191"/>
      <c r="T113" s="191"/>
      <c r="U113" s="191"/>
    </row>
    <row r="115" spans="1:21">
      <c r="A115" s="153" t="s">
        <v>55</v>
      </c>
      <c r="B115" s="197" t="s">
        <v>56</v>
      </c>
      <c r="C115" s="197"/>
      <c r="D115" s="197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9" t="s">
        <v>57</v>
      </c>
      <c r="B117" s="198"/>
      <c r="C117" s="198"/>
      <c r="D117" s="198"/>
      <c r="E117" s="198"/>
      <c r="F117" s="198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G117"/>
  <sheetViews>
    <sheetView zoomScale="85" zoomScaleNormal="85" workbookViewId="0">
      <pane xSplit="1" ySplit="8" topLeftCell="B84" activePane="bottomRight" state="frozen"/>
      <selection activeCell="A9" sqref="A9"/>
      <selection pane="topRight" activeCell="A9" sqref="A9"/>
      <selection pane="bottomLeft" activeCell="A9" sqref="A9"/>
      <selection pane="bottomRight" activeCell="A9" sqref="A9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0</v>
      </c>
      <c r="C2" s="196" t="s">
        <v>3</v>
      </c>
      <c r="D2" s="196"/>
      <c r="E2" s="196"/>
      <c r="F2" s="196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2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6" t="s">
        <v>11</v>
      </c>
      <c r="D3" s="196"/>
      <c r="E3" s="196"/>
      <c r="F3" s="196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2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6" t="s">
        <v>18</v>
      </c>
      <c r="D4" s="196"/>
      <c r="E4" s="196"/>
      <c r="F4" s="196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3" t="s">
        <v>43</v>
      </c>
      <c r="M8" s="114" t="s">
        <v>44</v>
      </c>
      <c r="N8" s="114" t="s">
        <v>45</v>
      </c>
      <c r="O8" s="183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80"/>
      <c r="B9" s="181"/>
      <c r="C9" s="181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6"/>
      <c r="S9" s="6"/>
      <c r="T9" s="184"/>
      <c r="U9" s="6"/>
    </row>
    <row r="10" spans="1:21" customFormat="1">
      <c r="A10" s="180"/>
      <c r="B10" s="181"/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6"/>
      <c r="S10" s="6"/>
      <c r="T10" s="184"/>
      <c r="U10" s="6"/>
    </row>
    <row r="11" spans="1:21" customFormat="1">
      <c r="A11" s="180"/>
      <c r="B11" s="181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6"/>
      <c r="S11" s="6"/>
      <c r="T11" s="184"/>
      <c r="U11" s="6"/>
    </row>
    <row r="12" spans="1:21" customFormat="1">
      <c r="A12" s="180"/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6"/>
      <c r="S12" s="6"/>
      <c r="T12" s="184"/>
      <c r="U12" s="6"/>
    </row>
    <row r="13" spans="1:21" customFormat="1">
      <c r="A13" s="180"/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6"/>
      <c r="S13" s="6"/>
      <c r="T13" s="184"/>
      <c r="U13" s="6"/>
    </row>
    <row r="14" spans="1:21" customFormat="1">
      <c r="A14" s="180"/>
      <c r="B14" s="181"/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6"/>
      <c r="S14" s="6"/>
      <c r="T14" s="184"/>
      <c r="U14" s="6"/>
    </row>
    <row r="15" spans="1:21" customFormat="1">
      <c r="A15" s="180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6"/>
      <c r="S15" s="6"/>
      <c r="T15" s="184"/>
      <c r="U15" s="6"/>
    </row>
    <row r="16" spans="1:21" customFormat="1">
      <c r="A16" s="180"/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6"/>
      <c r="S16" s="6"/>
      <c r="T16" s="184"/>
      <c r="U16" s="6"/>
    </row>
    <row r="17" spans="1:21" customFormat="1">
      <c r="A17" s="180"/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6"/>
      <c r="S17" s="6"/>
      <c r="T17" s="184"/>
      <c r="U17" s="6"/>
    </row>
    <row r="18" spans="1:21" customFormat="1">
      <c r="A18" s="180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6"/>
      <c r="S18" s="6"/>
      <c r="T18" s="184"/>
      <c r="U18" s="6"/>
    </row>
    <row r="19" spans="1:21" customFormat="1">
      <c r="A19" s="180"/>
      <c r="B19" s="181"/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6"/>
      <c r="S19" s="6"/>
      <c r="T19" s="184"/>
      <c r="U19" s="6"/>
    </row>
    <row r="20" spans="1:21" customFormat="1">
      <c r="A20" s="180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6"/>
      <c r="S20" s="6"/>
      <c r="T20" s="184"/>
      <c r="U20" s="6"/>
    </row>
    <row r="21" spans="1:21" customFormat="1">
      <c r="A21" s="180"/>
      <c r="B21" s="181"/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6"/>
      <c r="S21" s="6"/>
      <c r="T21" s="184"/>
      <c r="U21" s="6"/>
    </row>
    <row r="22" spans="1:21" customFormat="1">
      <c r="A22" s="180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6"/>
      <c r="S22" s="6"/>
      <c r="T22" s="184"/>
      <c r="U22" s="6"/>
    </row>
    <row r="23" spans="1:21" customFormat="1">
      <c r="A23" s="180"/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6"/>
      <c r="S23" s="6"/>
      <c r="T23" s="184"/>
      <c r="U23" s="6"/>
    </row>
    <row r="24" spans="1:21" customFormat="1">
      <c r="A24" s="180"/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6"/>
      <c r="S24" s="6"/>
      <c r="T24" s="184"/>
      <c r="U24" s="6"/>
    </row>
    <row r="25" spans="1:21" customFormat="1">
      <c r="A25" s="180"/>
      <c r="B25" s="181"/>
      <c r="C25" s="181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6"/>
      <c r="S25" s="6"/>
      <c r="T25" s="184"/>
      <c r="U25" s="6"/>
    </row>
    <row r="26" spans="1:21" customFormat="1">
      <c r="A26" s="180"/>
      <c r="B26" s="181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6"/>
      <c r="S26" s="6"/>
      <c r="T26" s="184"/>
      <c r="U26" s="6"/>
    </row>
    <row r="27" spans="1:21" customFormat="1">
      <c r="A27" s="180"/>
      <c r="B27" s="181"/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6"/>
      <c r="S27" s="6"/>
      <c r="T27" s="184"/>
      <c r="U27" s="6"/>
    </row>
    <row r="28" spans="1:21" customFormat="1">
      <c r="A28" s="180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6"/>
      <c r="S28" s="6"/>
      <c r="T28" s="184"/>
      <c r="U28" s="6"/>
    </row>
    <row r="29" spans="1:21" customFormat="1">
      <c r="A29" s="180"/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6"/>
      <c r="S29" s="6"/>
      <c r="T29" s="184"/>
      <c r="U29" s="6"/>
    </row>
    <row r="30" spans="1:21" customFormat="1">
      <c r="A30" s="180"/>
      <c r="B30" s="181"/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6"/>
      <c r="S30" s="6"/>
      <c r="T30" s="184"/>
      <c r="U30" s="6"/>
    </row>
    <row r="31" spans="1:21" customFormat="1">
      <c r="A31" s="180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6"/>
      <c r="S31" s="6"/>
      <c r="T31" s="184"/>
      <c r="U31" s="6"/>
    </row>
    <row r="32" spans="1:21" customFormat="1">
      <c r="A32" s="180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6"/>
      <c r="S32" s="6"/>
      <c r="T32" s="184"/>
      <c r="U32" s="6"/>
    </row>
    <row r="33" spans="1:21" customFormat="1">
      <c r="A33" s="180"/>
      <c r="B33" s="181"/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6"/>
      <c r="S33" s="6"/>
      <c r="T33" s="184"/>
      <c r="U33" s="6"/>
    </row>
    <row r="34" spans="1:21" customFormat="1">
      <c r="A34" s="180"/>
      <c r="B34" s="181"/>
      <c r="C34" s="181"/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6"/>
      <c r="S34" s="6"/>
      <c r="T34" s="184"/>
      <c r="U34" s="6"/>
    </row>
    <row r="35" spans="1:21" customFormat="1">
      <c r="A35" s="180"/>
      <c r="B35" s="181"/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6"/>
      <c r="S35" s="6"/>
      <c r="T35" s="184"/>
      <c r="U35" s="6"/>
    </row>
    <row r="36" spans="1:21" customFormat="1">
      <c r="A36" s="180"/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6"/>
      <c r="S36" s="6"/>
      <c r="T36" s="184"/>
      <c r="U36" s="6"/>
    </row>
    <row r="37" spans="1:21" customFormat="1">
      <c r="A37" s="180"/>
      <c r="B37" s="181"/>
      <c r="C37" s="181"/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6"/>
      <c r="S37" s="6"/>
      <c r="T37" s="184"/>
      <c r="U37" s="6"/>
    </row>
    <row r="38" spans="1:21" customFormat="1">
      <c r="A38" s="180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6"/>
      <c r="S38" s="6"/>
      <c r="T38" s="184"/>
      <c r="U38" s="6"/>
    </row>
    <row r="39" spans="1:21" customFormat="1">
      <c r="A39" s="180"/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6"/>
      <c r="S39" s="6"/>
      <c r="T39" s="184"/>
      <c r="U39" s="6"/>
    </row>
    <row r="40" spans="1:21" customFormat="1">
      <c r="A40" s="180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6"/>
      <c r="S40" s="6"/>
      <c r="T40" s="184"/>
      <c r="U40" s="6"/>
    </row>
    <row r="41" spans="1:21" customFormat="1">
      <c r="A41" s="180"/>
      <c r="B41" s="181"/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6"/>
      <c r="S41" s="6"/>
      <c r="T41" s="184"/>
      <c r="U41" s="6"/>
    </row>
    <row r="42" spans="1:21" customFormat="1">
      <c r="A42" s="180"/>
      <c r="B42" s="181"/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6"/>
      <c r="S42" s="6"/>
      <c r="T42" s="184"/>
      <c r="U42" s="6"/>
    </row>
    <row r="43" spans="1:21" customFormat="1">
      <c r="A43" s="180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6"/>
      <c r="S43" s="6"/>
      <c r="T43" s="184"/>
      <c r="U43" s="6"/>
    </row>
    <row r="44" spans="1:21" customFormat="1">
      <c r="A44" s="180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6"/>
      <c r="S44" s="6"/>
      <c r="T44" s="184"/>
      <c r="U44" s="6"/>
    </row>
    <row r="45" spans="1:21" customFormat="1">
      <c r="A45" s="180"/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6"/>
      <c r="S45" s="6"/>
      <c r="T45" s="184"/>
      <c r="U45" s="6"/>
    </row>
    <row r="46" spans="1:21" customFormat="1">
      <c r="A46" s="180"/>
      <c r="B46" s="181"/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6"/>
      <c r="S46" s="6"/>
      <c r="T46" s="184"/>
      <c r="U46" s="6"/>
    </row>
    <row r="47" spans="1:21" customFormat="1">
      <c r="A47" s="180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6"/>
      <c r="S47" s="6"/>
      <c r="T47" s="184"/>
      <c r="U47" s="6"/>
    </row>
    <row r="48" spans="1:21" customFormat="1">
      <c r="A48" s="180"/>
      <c r="B48" s="181"/>
      <c r="C48" s="181"/>
      <c r="D48" s="181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6"/>
      <c r="S48" s="6"/>
      <c r="T48" s="184"/>
      <c r="U48" s="6"/>
    </row>
    <row r="49" spans="1:21" customFormat="1">
      <c r="A49" s="180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6"/>
      <c r="S49" s="6"/>
      <c r="T49" s="184"/>
      <c r="U49" s="6"/>
    </row>
    <row r="50" spans="1:21" customFormat="1">
      <c r="A50" s="180"/>
      <c r="B50" s="181"/>
      <c r="C50" s="181"/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6"/>
      <c r="S50" s="6"/>
      <c r="T50" s="184"/>
      <c r="U50" s="6"/>
    </row>
    <row r="51" spans="1:21" customFormat="1">
      <c r="A51" s="180"/>
      <c r="B51" s="181"/>
      <c r="C51" s="181"/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6"/>
      <c r="S51" s="6"/>
      <c r="T51" s="184"/>
      <c r="U51" s="6"/>
    </row>
    <row r="52" spans="1:21" customFormat="1">
      <c r="A52" s="180"/>
      <c r="B52" s="181"/>
      <c r="C52" s="181"/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6"/>
      <c r="S52" s="6"/>
      <c r="T52" s="184"/>
      <c r="U52" s="6"/>
    </row>
    <row r="53" spans="1:21" customFormat="1">
      <c r="A53" s="180"/>
      <c r="B53" s="181"/>
      <c r="C53" s="181"/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6"/>
      <c r="S53" s="6"/>
      <c r="T53" s="184"/>
      <c r="U53" s="6"/>
    </row>
    <row r="54" spans="1:21" customFormat="1">
      <c r="A54" s="180"/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6"/>
      <c r="S54" s="6"/>
      <c r="T54" s="184"/>
      <c r="U54" s="6"/>
    </row>
    <row r="55" spans="1:21" customFormat="1">
      <c r="A55" s="180"/>
      <c r="B55" s="181"/>
      <c r="C55" s="181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6"/>
      <c r="S55" s="6"/>
      <c r="T55" s="184"/>
      <c r="U55" s="6"/>
    </row>
    <row r="56" spans="1:21" customFormat="1">
      <c r="A56" s="180"/>
      <c r="B56" s="181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6"/>
      <c r="S56" s="6"/>
      <c r="T56" s="184"/>
      <c r="U56" s="6"/>
    </row>
    <row r="57" spans="1:21" customFormat="1">
      <c r="A57" s="180"/>
      <c r="B57" s="181"/>
      <c r="C57" s="181"/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6"/>
      <c r="S57" s="6"/>
      <c r="T57" s="184"/>
      <c r="U57" s="6"/>
    </row>
    <row r="58" spans="1:21" customFormat="1">
      <c r="A58" s="180"/>
      <c r="B58" s="181"/>
      <c r="C58" s="181"/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6"/>
      <c r="S58" s="6"/>
      <c r="T58" s="184"/>
      <c r="U58" s="6"/>
    </row>
    <row r="59" spans="1:21" customFormat="1">
      <c r="A59" s="180"/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6"/>
      <c r="S59" s="6"/>
      <c r="T59" s="184"/>
      <c r="U59" s="6"/>
    </row>
    <row r="60" spans="1:21" customFormat="1">
      <c r="A60" s="180"/>
      <c r="B60" s="181"/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6"/>
      <c r="S60" s="6"/>
      <c r="T60" s="184"/>
      <c r="U60" s="6"/>
    </row>
    <row r="61" spans="1:21" customFormat="1">
      <c r="A61" s="180"/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6"/>
      <c r="S61" s="6"/>
      <c r="T61" s="184"/>
      <c r="U61" s="6"/>
    </row>
    <row r="62" spans="1:21" customFormat="1">
      <c r="A62" s="180"/>
      <c r="B62" s="181"/>
      <c r="C62" s="181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6"/>
      <c r="S62" s="6"/>
      <c r="T62" s="184"/>
      <c r="U62" s="6"/>
    </row>
    <row r="63" spans="1:21" customFormat="1">
      <c r="A63" s="180"/>
      <c r="B63" s="181"/>
      <c r="C63" s="181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6"/>
      <c r="S63" s="6"/>
      <c r="T63" s="184"/>
      <c r="U63" s="6"/>
    </row>
    <row r="64" spans="1:21" customFormat="1">
      <c r="A64" s="180"/>
      <c r="B64" s="181"/>
      <c r="C64" s="181"/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6"/>
      <c r="S64" s="6"/>
      <c r="T64" s="184"/>
      <c r="U64" s="6"/>
    </row>
    <row r="65" spans="1:21" customFormat="1">
      <c r="A65" s="180"/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6"/>
      <c r="S65" s="6"/>
      <c r="T65" s="184"/>
      <c r="U65" s="6"/>
    </row>
    <row r="66" spans="1:21" customFormat="1">
      <c r="A66" s="180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6"/>
      <c r="S66" s="6"/>
      <c r="T66" s="184"/>
      <c r="U66" s="6"/>
    </row>
    <row r="67" spans="1:21" customFormat="1">
      <c r="A67" s="180"/>
      <c r="B67" s="181"/>
      <c r="C67" s="181"/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6"/>
      <c r="S67" s="6"/>
      <c r="T67" s="184"/>
      <c r="U67" s="6"/>
    </row>
    <row r="68" spans="1:21" customFormat="1">
      <c r="A68" s="180"/>
      <c r="B68" s="181"/>
      <c r="C68" s="181"/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6"/>
      <c r="S68" s="6"/>
      <c r="T68" s="184"/>
      <c r="U68" s="6"/>
    </row>
    <row r="69" spans="1:21" customFormat="1">
      <c r="A69" s="180"/>
      <c r="B69" s="181"/>
      <c r="C69" s="181"/>
      <c r="D69" s="181"/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6"/>
      <c r="S69" s="6"/>
      <c r="T69" s="184"/>
      <c r="U69" s="6"/>
    </row>
    <row r="70" spans="1:21" customFormat="1">
      <c r="A70" s="180"/>
      <c r="B70" s="181"/>
      <c r="C70" s="181"/>
      <c r="D70" s="181"/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6"/>
      <c r="S70" s="6"/>
      <c r="T70" s="184"/>
      <c r="U70" s="6"/>
    </row>
    <row r="71" spans="1:21" customFormat="1">
      <c r="A71" s="180"/>
      <c r="B71" s="181"/>
      <c r="C71" s="181"/>
      <c r="D71" s="181"/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6"/>
      <c r="S71" s="6"/>
      <c r="T71" s="184"/>
      <c r="U71" s="6"/>
    </row>
    <row r="72" spans="1:21" customFormat="1">
      <c r="A72" s="180"/>
      <c r="B72" s="181"/>
      <c r="C72" s="181"/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6"/>
      <c r="S72" s="6"/>
      <c r="T72" s="184"/>
      <c r="U72" s="6"/>
    </row>
    <row r="73" spans="1:21" customFormat="1">
      <c r="A73" s="180"/>
      <c r="B73" s="181"/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6"/>
      <c r="S73" s="6"/>
      <c r="T73" s="184"/>
      <c r="U73" s="6"/>
    </row>
    <row r="74" spans="1:21" customFormat="1">
      <c r="A74" s="180"/>
      <c r="B74" s="181"/>
      <c r="C74" s="181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6"/>
      <c r="S74" s="6"/>
      <c r="T74" s="184"/>
      <c r="U74" s="6"/>
    </row>
    <row r="75" spans="1:21" customFormat="1">
      <c r="A75" s="180"/>
      <c r="B75" s="181"/>
      <c r="C75" s="181"/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6"/>
      <c r="S75" s="6"/>
      <c r="T75" s="184"/>
      <c r="U75" s="6"/>
    </row>
    <row r="76" spans="1:21" customFormat="1">
      <c r="A76" s="180"/>
      <c r="B76" s="181"/>
      <c r="C76" s="181"/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6"/>
      <c r="S76" s="6"/>
      <c r="T76" s="184"/>
      <c r="U76" s="6"/>
    </row>
    <row r="77" spans="1:21" customFormat="1">
      <c r="A77" s="180"/>
      <c r="B77" s="181"/>
      <c r="C77" s="181"/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6"/>
      <c r="S77" s="6"/>
      <c r="T77" s="184"/>
      <c r="U77" s="6"/>
    </row>
    <row r="78" spans="1:21" customFormat="1">
      <c r="A78" s="180"/>
      <c r="B78" s="181"/>
      <c r="C78" s="181"/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6"/>
      <c r="S78" s="6"/>
      <c r="T78" s="184"/>
      <c r="U78" s="6"/>
    </row>
    <row r="79" spans="1:21" customFormat="1">
      <c r="A79" s="180"/>
      <c r="B79" s="181"/>
      <c r="C79" s="181"/>
      <c r="D79" s="181"/>
      <c r="E79" s="185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6"/>
      <c r="S79" s="6"/>
      <c r="T79" s="184"/>
      <c r="U79" s="6"/>
    </row>
    <row r="80" spans="1:21" customFormat="1">
      <c r="A80" s="180"/>
      <c r="B80" s="181"/>
      <c r="C80" s="181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6"/>
      <c r="S80" s="6"/>
      <c r="T80" s="184"/>
      <c r="U80" s="6"/>
    </row>
    <row r="81" spans="1:26" customFormat="1">
      <c r="A81" s="180"/>
      <c r="B81" s="181"/>
      <c r="C81" s="181"/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6"/>
      <c r="S81" s="6"/>
      <c r="T81" s="184"/>
      <c r="U81" s="6"/>
    </row>
    <row r="82" spans="1:26" customFormat="1">
      <c r="A82" s="180"/>
      <c r="B82" s="181"/>
      <c r="C82" s="181"/>
      <c r="D82" s="181"/>
      <c r="E82" s="181"/>
      <c r="F82" s="181"/>
      <c r="G82" s="181"/>
      <c r="H82" s="181"/>
      <c r="I82" s="181"/>
      <c r="J82" s="190"/>
      <c r="K82" s="181"/>
      <c r="L82" s="181"/>
      <c r="M82" s="181"/>
      <c r="N82" s="181"/>
      <c r="O82" s="181"/>
      <c r="P82" s="181"/>
      <c r="Q82" s="181"/>
      <c r="R82" s="6"/>
      <c r="S82" s="6"/>
      <c r="T82" s="184"/>
      <c r="U82" s="6"/>
    </row>
    <row r="83" spans="1:26" customFormat="1">
      <c r="A83" s="180"/>
      <c r="B83" s="181"/>
      <c r="C83" s="181"/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6"/>
      <c r="S83" s="6"/>
      <c r="T83" s="184"/>
      <c r="U83" s="6"/>
    </row>
    <row r="84" spans="1:26" customFormat="1">
      <c r="A84" s="180"/>
      <c r="B84" s="181"/>
      <c r="C84" s="181"/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6"/>
      <c r="S84" s="6"/>
      <c r="T84" s="184"/>
      <c r="U84" s="6"/>
    </row>
    <row r="85" spans="1:26" customFormat="1">
      <c r="A85" s="180"/>
      <c r="B85" s="181"/>
      <c r="C85" s="181"/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6"/>
      <c r="S85" s="6"/>
      <c r="T85" s="184"/>
      <c r="U85" s="6"/>
    </row>
    <row r="86" spans="1:26" customFormat="1">
      <c r="A86" s="180"/>
      <c r="B86" s="181"/>
      <c r="C86" s="181"/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6"/>
      <c r="S86" s="6"/>
      <c r="T86" s="184"/>
      <c r="U86" s="6"/>
    </row>
    <row r="87" spans="1:26" customFormat="1">
      <c r="A87" s="180"/>
      <c r="B87" s="181"/>
      <c r="C87" s="181"/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6"/>
      <c r="S87" s="6"/>
      <c r="T87" s="184"/>
      <c r="U87" s="6"/>
    </row>
    <row r="88" spans="1:26" customFormat="1">
      <c r="A88" s="180"/>
      <c r="B88" s="181"/>
      <c r="C88" s="181"/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6"/>
      <c r="S88" s="6"/>
      <c r="T88" s="184"/>
      <c r="U88" s="6"/>
    </row>
    <row r="89" spans="1:26" customFormat="1">
      <c r="A89" s="180"/>
      <c r="B89" s="181"/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6"/>
      <c r="S89" s="6"/>
      <c r="T89" s="184"/>
      <c r="U89" s="6"/>
    </row>
    <row r="90" spans="1:26" customFormat="1">
      <c r="A90" s="180"/>
      <c r="B90" s="181"/>
      <c r="C90" s="181"/>
      <c r="D90" s="181"/>
      <c r="E90" s="181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6"/>
      <c r="S90" s="6"/>
      <c r="T90" s="184"/>
      <c r="U90" s="6"/>
    </row>
    <row r="91" spans="1:26" customFormat="1">
      <c r="A91" s="180"/>
      <c r="B91" s="181"/>
      <c r="C91" s="181"/>
      <c r="D91" s="181"/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6"/>
      <c r="S91" s="6"/>
      <c r="T91" s="184"/>
      <c r="U91" s="6"/>
    </row>
    <row r="92" spans="1:26" customFormat="1">
      <c r="A92" s="180"/>
      <c r="B92" s="181"/>
      <c r="C92" s="181"/>
      <c r="D92" s="181"/>
      <c r="E92" s="18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6"/>
      <c r="S92" s="6"/>
      <c r="T92" s="184"/>
      <c r="U92" s="6"/>
    </row>
    <row r="93" spans="1:26" customFormat="1">
      <c r="A93" s="180"/>
      <c r="B93" s="181"/>
      <c r="C93" s="181"/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6"/>
      <c r="S93" s="6"/>
      <c r="T93" s="184"/>
      <c r="U93" s="6"/>
    </row>
    <row r="94" spans="1:26" customFormat="1">
      <c r="A94" s="180"/>
      <c r="B94" s="181"/>
      <c r="C94" s="181"/>
      <c r="D94" s="181"/>
      <c r="E94" s="181"/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6"/>
      <c r="S94" s="6"/>
      <c r="T94" s="184"/>
      <c r="U94" s="6"/>
    </row>
    <row r="95" spans="1:26" customFormat="1">
      <c r="A95" s="180"/>
      <c r="B95" s="181"/>
      <c r="C95" s="181"/>
      <c r="D95" s="181"/>
      <c r="E95" s="181"/>
      <c r="F95" s="181"/>
      <c r="G95" s="181"/>
      <c r="H95" s="181"/>
      <c r="I95" s="181"/>
      <c r="J95" s="181"/>
      <c r="K95" s="181"/>
      <c r="L95" s="181"/>
      <c r="M95" s="181"/>
      <c r="N95" s="181"/>
      <c r="O95" s="181"/>
      <c r="P95" s="181"/>
      <c r="Q95" s="181"/>
      <c r="R95" s="6"/>
      <c r="S95" s="6"/>
      <c r="T95" s="184"/>
      <c r="U95" s="6"/>
    </row>
    <row r="96" spans="1:26" customFormat="1">
      <c r="A96" s="180"/>
      <c r="B96" s="181"/>
      <c r="C96" s="181"/>
      <c r="D96" s="181"/>
      <c r="E96" s="181"/>
      <c r="F96" s="181"/>
      <c r="G96" s="181"/>
      <c r="H96" s="181"/>
      <c r="I96" s="181"/>
      <c r="J96" s="181"/>
      <c r="K96" s="181"/>
      <c r="L96" s="181"/>
      <c r="M96" s="181"/>
      <c r="N96" s="181"/>
      <c r="O96" s="181"/>
      <c r="P96" s="181"/>
      <c r="Q96" s="181"/>
      <c r="R96" s="6"/>
      <c r="S96" s="6"/>
      <c r="T96" s="184"/>
      <c r="U96" s="6"/>
      <c r="Z96" s="194"/>
    </row>
    <row r="97" spans="1:33" customFormat="1">
      <c r="A97" s="180"/>
      <c r="B97" s="181"/>
      <c r="C97" s="181"/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6"/>
      <c r="S97" s="6"/>
      <c r="T97" s="184"/>
      <c r="U97" s="6"/>
    </row>
    <row r="98" spans="1:33" customFormat="1">
      <c r="A98" s="180"/>
      <c r="B98" s="181"/>
      <c r="C98" s="181"/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6"/>
      <c r="S98" s="6"/>
      <c r="T98" s="184"/>
      <c r="U98" s="6"/>
    </row>
    <row r="99" spans="1:33" customFormat="1">
      <c r="A99" s="180"/>
      <c r="B99" s="181"/>
      <c r="C99" s="181"/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6"/>
      <c r="S99" s="6"/>
      <c r="T99" s="184"/>
      <c r="U99" s="6"/>
    </row>
    <row r="100" spans="1:33" customFormat="1">
      <c r="A100" s="180"/>
      <c r="B100" s="181"/>
      <c r="C100" s="181"/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6"/>
      <c r="S100" s="6"/>
      <c r="T100" s="184"/>
      <c r="U100" s="6"/>
      <c r="AB100" s="195"/>
      <c r="AG100" s="194"/>
    </row>
    <row r="101" spans="1:33" customFormat="1">
      <c r="A101" s="180"/>
      <c r="B101" s="181"/>
      <c r="C101" s="181"/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6"/>
      <c r="S101" s="6"/>
      <c r="T101" s="184"/>
      <c r="U101" s="6"/>
    </row>
    <row r="102" spans="1:33" customFormat="1">
      <c r="A102" s="180"/>
      <c r="B102" s="181"/>
      <c r="C102" s="181"/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6"/>
      <c r="S102" s="6"/>
      <c r="T102" s="184"/>
      <c r="U102" s="6"/>
    </row>
    <row r="103" spans="1:33" customFormat="1">
      <c r="A103" s="180"/>
      <c r="B103" s="181"/>
      <c r="C103" s="181"/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6"/>
      <c r="S103" s="6"/>
      <c r="T103" s="184"/>
      <c r="U103" s="6"/>
    </row>
    <row r="104" spans="1:33" customFormat="1">
      <c r="A104" s="180"/>
      <c r="B104" s="181"/>
      <c r="C104" s="181"/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6"/>
      <c r="S104" s="6"/>
      <c r="T104" s="184"/>
      <c r="U104" s="6"/>
    </row>
    <row r="105" spans="1:33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33">
      <c r="A106" s="186" t="s">
        <v>48</v>
      </c>
      <c r="B106" s="187">
        <f>MIN(B9:B104)</f>
        <v>0</v>
      </c>
      <c r="C106" s="187">
        <f>MIN(C9:C104)</f>
        <v>0</v>
      </c>
      <c r="D106" s="187">
        <f t="shared" ref="D106:Q106" si="0">MIN(D9:D104)</f>
        <v>0</v>
      </c>
      <c r="E106" s="187">
        <f t="shared" si="0"/>
        <v>0</v>
      </c>
      <c r="F106" s="187">
        <f t="shared" si="0"/>
        <v>0</v>
      </c>
      <c r="G106" s="187">
        <f t="shared" si="0"/>
        <v>0</v>
      </c>
      <c r="H106" s="187">
        <f t="shared" si="0"/>
        <v>0</v>
      </c>
      <c r="I106" s="187">
        <f t="shared" si="0"/>
        <v>0</v>
      </c>
      <c r="J106" s="187">
        <f t="shared" si="0"/>
        <v>0</v>
      </c>
      <c r="K106" s="187">
        <f t="shared" si="0"/>
        <v>0</v>
      </c>
      <c r="L106" s="187">
        <f t="shared" si="0"/>
        <v>0</v>
      </c>
      <c r="M106" s="187">
        <f t="shared" si="0"/>
        <v>0</v>
      </c>
      <c r="N106" s="187">
        <f t="shared" si="0"/>
        <v>0</v>
      </c>
      <c r="O106" s="187">
        <f t="shared" si="0"/>
        <v>0</v>
      </c>
      <c r="P106" s="187">
        <f t="shared" si="0"/>
        <v>0</v>
      </c>
      <c r="Q106" s="187">
        <f t="shared" si="0"/>
        <v>0</v>
      </c>
      <c r="R106" s="192"/>
      <c r="S106" s="192"/>
      <c r="T106" s="192"/>
      <c r="U106" s="192"/>
    </row>
    <row r="107" spans="1:33">
      <c r="A107" s="186" t="s">
        <v>49</v>
      </c>
      <c r="B107" s="188">
        <f>MAX(B9:B104)</f>
        <v>0</v>
      </c>
      <c r="C107" s="188">
        <f t="shared" ref="C107:Q107" si="1">MAX(C9:C104)</f>
        <v>0</v>
      </c>
      <c r="D107" s="188">
        <f t="shared" si="1"/>
        <v>0</v>
      </c>
      <c r="E107" s="188">
        <f t="shared" si="1"/>
        <v>0</v>
      </c>
      <c r="F107" s="188">
        <f t="shared" si="1"/>
        <v>0</v>
      </c>
      <c r="G107" s="188">
        <f t="shared" si="1"/>
        <v>0</v>
      </c>
      <c r="H107" s="188">
        <f t="shared" si="1"/>
        <v>0</v>
      </c>
      <c r="I107" s="188">
        <f t="shared" si="1"/>
        <v>0</v>
      </c>
      <c r="J107" s="188">
        <f t="shared" si="1"/>
        <v>0</v>
      </c>
      <c r="K107" s="188">
        <f t="shared" si="1"/>
        <v>0</v>
      </c>
      <c r="L107" s="188">
        <f t="shared" si="1"/>
        <v>0</v>
      </c>
      <c r="M107" s="188">
        <f t="shared" si="1"/>
        <v>0</v>
      </c>
      <c r="N107" s="188">
        <f t="shared" si="1"/>
        <v>0</v>
      </c>
      <c r="O107" s="188">
        <f t="shared" si="1"/>
        <v>0</v>
      </c>
      <c r="P107" s="188">
        <f t="shared" si="1"/>
        <v>0</v>
      </c>
      <c r="Q107" s="188">
        <f t="shared" si="1"/>
        <v>0</v>
      </c>
      <c r="R107" s="193"/>
      <c r="S107" s="193"/>
      <c r="T107" s="193"/>
      <c r="U107" s="193"/>
    </row>
    <row r="108" spans="1:33">
      <c r="A108" s="186" t="s">
        <v>50</v>
      </c>
      <c r="B108" s="187" t="e">
        <f>AVERAGE(B9:B104)</f>
        <v>#DIV/0!</v>
      </c>
      <c r="C108" s="187" t="e">
        <f t="shared" ref="C108:Q108" si="2">AVERAGE(C9:C104)</f>
        <v>#DIV/0!</v>
      </c>
      <c r="D108" s="187" t="e">
        <f t="shared" si="2"/>
        <v>#DIV/0!</v>
      </c>
      <c r="E108" s="187" t="e">
        <f t="shared" si="2"/>
        <v>#DIV/0!</v>
      </c>
      <c r="F108" s="187" t="e">
        <f t="shared" si="2"/>
        <v>#DIV/0!</v>
      </c>
      <c r="G108" s="187" t="e">
        <f t="shared" si="2"/>
        <v>#DIV/0!</v>
      </c>
      <c r="H108" s="187" t="e">
        <f t="shared" si="2"/>
        <v>#DIV/0!</v>
      </c>
      <c r="I108" s="187" t="e">
        <f t="shared" si="2"/>
        <v>#DIV/0!</v>
      </c>
      <c r="J108" s="187" t="e">
        <f t="shared" si="2"/>
        <v>#DIV/0!</v>
      </c>
      <c r="K108" s="187" t="e">
        <f t="shared" si="2"/>
        <v>#DIV/0!</v>
      </c>
      <c r="L108" s="187" t="e">
        <f t="shared" si="2"/>
        <v>#DIV/0!</v>
      </c>
      <c r="M108" s="187" t="e">
        <f t="shared" si="2"/>
        <v>#DIV/0!</v>
      </c>
      <c r="N108" s="187" t="e">
        <f t="shared" si="2"/>
        <v>#DIV/0!</v>
      </c>
      <c r="O108" s="187" t="e">
        <f t="shared" si="2"/>
        <v>#DIV/0!</v>
      </c>
      <c r="P108" s="187" t="e">
        <f t="shared" si="2"/>
        <v>#DIV/0!</v>
      </c>
      <c r="Q108" s="187" t="e">
        <f t="shared" si="2"/>
        <v>#DIV/0!</v>
      </c>
      <c r="R108" s="192"/>
      <c r="S108" s="192"/>
      <c r="T108" s="192"/>
      <c r="U108" s="192"/>
    </row>
    <row r="109" spans="1:33">
      <c r="A109" s="186" t="s">
        <v>51</v>
      </c>
      <c r="B109" s="187" t="e">
        <f>STDEV(B9:B104)</f>
        <v>#DIV/0!</v>
      </c>
      <c r="C109" s="187" t="e">
        <f t="shared" ref="C109:Q109" si="3">STDEV(C9:C104)</f>
        <v>#DIV/0!</v>
      </c>
      <c r="D109" s="187" t="e">
        <f t="shared" si="3"/>
        <v>#DIV/0!</v>
      </c>
      <c r="E109" s="187" t="e">
        <f t="shared" si="3"/>
        <v>#DIV/0!</v>
      </c>
      <c r="F109" s="187" t="e">
        <f t="shared" si="3"/>
        <v>#DIV/0!</v>
      </c>
      <c r="G109" s="187" t="e">
        <f t="shared" si="3"/>
        <v>#DIV/0!</v>
      </c>
      <c r="H109" s="187" t="e">
        <f t="shared" si="3"/>
        <v>#DIV/0!</v>
      </c>
      <c r="I109" s="187" t="e">
        <f t="shared" si="3"/>
        <v>#DIV/0!</v>
      </c>
      <c r="J109" s="187" t="e">
        <f t="shared" si="3"/>
        <v>#DIV/0!</v>
      </c>
      <c r="K109" s="187" t="e">
        <f t="shared" si="3"/>
        <v>#DIV/0!</v>
      </c>
      <c r="L109" s="187" t="e">
        <f t="shared" si="3"/>
        <v>#DIV/0!</v>
      </c>
      <c r="M109" s="187" t="e">
        <f t="shared" si="3"/>
        <v>#DIV/0!</v>
      </c>
      <c r="N109" s="187" t="e">
        <f t="shared" si="3"/>
        <v>#DIV/0!</v>
      </c>
      <c r="O109" s="187" t="e">
        <f t="shared" si="3"/>
        <v>#DIV/0!</v>
      </c>
      <c r="P109" s="187" t="e">
        <f t="shared" si="3"/>
        <v>#DIV/0!</v>
      </c>
      <c r="Q109" s="187" t="e">
        <f t="shared" si="3"/>
        <v>#DIV/0!</v>
      </c>
      <c r="R109" s="192"/>
      <c r="S109" s="192"/>
      <c r="T109" s="192"/>
      <c r="U109" s="192"/>
    </row>
    <row r="110" spans="1:33">
      <c r="A110" s="186" t="s">
        <v>52</v>
      </c>
      <c r="B110" s="188">
        <f t="shared" ref="B110:Q110" si="4">COUNT(B9:B104)</f>
        <v>0</v>
      </c>
      <c r="C110" s="188">
        <f t="shared" si="4"/>
        <v>0</v>
      </c>
      <c r="D110" s="188">
        <f t="shared" si="4"/>
        <v>0</v>
      </c>
      <c r="E110" s="188">
        <f t="shared" si="4"/>
        <v>0</v>
      </c>
      <c r="F110" s="188">
        <f t="shared" si="4"/>
        <v>0</v>
      </c>
      <c r="G110" s="188">
        <f t="shared" si="4"/>
        <v>0</v>
      </c>
      <c r="H110" s="188">
        <f t="shared" si="4"/>
        <v>0</v>
      </c>
      <c r="I110" s="188">
        <f t="shared" si="4"/>
        <v>0</v>
      </c>
      <c r="J110" s="188">
        <f t="shared" si="4"/>
        <v>0</v>
      </c>
      <c r="K110" s="188">
        <f t="shared" si="4"/>
        <v>0</v>
      </c>
      <c r="L110" s="188">
        <f t="shared" si="4"/>
        <v>0</v>
      </c>
      <c r="M110" s="188">
        <f t="shared" si="4"/>
        <v>0</v>
      </c>
      <c r="N110" s="188">
        <f t="shared" si="4"/>
        <v>0</v>
      </c>
      <c r="O110" s="188">
        <f t="shared" si="4"/>
        <v>0</v>
      </c>
      <c r="P110" s="188">
        <f t="shared" si="4"/>
        <v>0</v>
      </c>
      <c r="Q110" s="188">
        <f t="shared" si="4"/>
        <v>0</v>
      </c>
      <c r="R110" s="193"/>
      <c r="S110" s="193"/>
      <c r="T110" s="193"/>
      <c r="U110" s="193"/>
      <c r="V110" s="188"/>
    </row>
    <row r="111" spans="1:33">
      <c r="A111" s="153" t="s">
        <v>53</v>
      </c>
      <c r="B111" s="147" t="str">
        <f>IF(B110&gt;=87,"&gt;90%",IF(B110&lt;=87,"&lt;90%"))</f>
        <v>&lt;90%</v>
      </c>
      <c r="C111" s="147" t="str">
        <f t="shared" ref="C111:Q111" si="5">IF(C110&gt;=87,"&gt;90%",IF(C110&lt;=87,"&lt;90%"))</f>
        <v>&lt;90%</v>
      </c>
      <c r="D111" s="147" t="str">
        <f t="shared" si="5"/>
        <v>&lt;90%</v>
      </c>
      <c r="E111" s="147" t="str">
        <f t="shared" si="5"/>
        <v>&lt;90%</v>
      </c>
      <c r="F111" s="147" t="str">
        <f t="shared" si="5"/>
        <v>&lt;90%</v>
      </c>
      <c r="G111" s="147" t="str">
        <f t="shared" si="5"/>
        <v>&lt;90%</v>
      </c>
      <c r="H111" s="147" t="str">
        <f t="shared" si="5"/>
        <v>&lt;90%</v>
      </c>
      <c r="I111" s="147" t="str">
        <f t="shared" si="5"/>
        <v>&lt;90%</v>
      </c>
      <c r="J111" s="147" t="str">
        <f t="shared" si="5"/>
        <v>&lt;90%</v>
      </c>
      <c r="K111" s="147" t="str">
        <f t="shared" si="5"/>
        <v>&lt;90%</v>
      </c>
      <c r="L111" s="147" t="str">
        <f t="shared" si="5"/>
        <v>&lt;90%</v>
      </c>
      <c r="M111" s="147" t="str">
        <f t="shared" si="5"/>
        <v>&lt;90%</v>
      </c>
      <c r="N111" s="147" t="str">
        <f t="shared" si="5"/>
        <v>&lt;90%</v>
      </c>
      <c r="O111" s="147" t="str">
        <f t="shared" si="5"/>
        <v>&lt;90%</v>
      </c>
      <c r="P111" s="147" t="str">
        <f t="shared" si="5"/>
        <v>&lt;90%</v>
      </c>
      <c r="Q111" s="147" t="str">
        <f t="shared" si="5"/>
        <v>&lt;90%</v>
      </c>
      <c r="R111" s="175"/>
      <c r="S111" s="175"/>
      <c r="T111" s="175"/>
      <c r="U111" s="175"/>
    </row>
    <row r="112" spans="1:33">
      <c r="A112" s="153" t="s">
        <v>54</v>
      </c>
      <c r="B112" s="147" t="str">
        <f>IF(B110&gt;=87,"OK",IF(B110&lt;=87,"LESS"))</f>
        <v>LESS</v>
      </c>
      <c r="C112" s="147" t="str">
        <f t="shared" ref="C112:Q112" si="6">IF(C110&gt;=87,"OK",IF(C110&lt;=87,"LESS"))</f>
        <v>LESS</v>
      </c>
      <c r="D112" s="147" t="str">
        <f t="shared" si="6"/>
        <v>LESS</v>
      </c>
      <c r="E112" s="147" t="str">
        <f t="shared" si="6"/>
        <v>LESS</v>
      </c>
      <c r="F112" s="147" t="str">
        <f t="shared" si="6"/>
        <v>LESS</v>
      </c>
      <c r="G112" s="147" t="str">
        <f t="shared" si="6"/>
        <v>LESS</v>
      </c>
      <c r="H112" s="147" t="str">
        <f t="shared" si="6"/>
        <v>LESS</v>
      </c>
      <c r="I112" s="147" t="str">
        <f t="shared" si="6"/>
        <v>LESS</v>
      </c>
      <c r="J112" s="147" t="str">
        <f t="shared" si="6"/>
        <v>LESS</v>
      </c>
      <c r="K112" s="147" t="str">
        <f t="shared" si="6"/>
        <v>LESS</v>
      </c>
      <c r="L112" s="147" t="str">
        <f t="shared" si="6"/>
        <v>LESS</v>
      </c>
      <c r="M112" s="147" t="str">
        <f t="shared" si="6"/>
        <v>LESS</v>
      </c>
      <c r="N112" s="147" t="str">
        <f t="shared" si="6"/>
        <v>LESS</v>
      </c>
      <c r="O112" s="147" t="str">
        <f t="shared" si="6"/>
        <v>LESS</v>
      </c>
      <c r="P112" s="147" t="str">
        <f t="shared" si="6"/>
        <v>LESS</v>
      </c>
      <c r="Q112" s="147" t="str">
        <f t="shared" si="6"/>
        <v>LESS</v>
      </c>
      <c r="R112" s="175"/>
      <c r="S112" s="175"/>
      <c r="T112" s="175"/>
      <c r="U112" s="175"/>
    </row>
    <row r="113" spans="1:21">
      <c r="L113" s="32"/>
      <c r="N113" s="191"/>
      <c r="O113" s="191"/>
      <c r="P113" s="191"/>
      <c r="Q113" s="191"/>
      <c r="R113" s="191"/>
      <c r="S113" s="191"/>
      <c r="T113" s="191"/>
      <c r="U113" s="191"/>
    </row>
    <row r="115" spans="1:21">
      <c r="A115" s="153" t="s">
        <v>55</v>
      </c>
      <c r="B115" s="197" t="s">
        <v>56</v>
      </c>
      <c r="C115" s="197"/>
      <c r="D115" s="197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9" t="s">
        <v>57</v>
      </c>
      <c r="B117" s="198"/>
      <c r="C117" s="198"/>
      <c r="D117" s="198"/>
      <c r="E117" s="198"/>
      <c r="F117" s="198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G117"/>
  <sheetViews>
    <sheetView zoomScale="85" zoomScaleNormal="85" workbookViewId="0">
      <pane xSplit="1" ySplit="8" topLeftCell="B98" activePane="bottomRight" state="frozen"/>
      <selection activeCell="A9" sqref="A9"/>
      <selection pane="topRight" activeCell="A9" sqref="A9"/>
      <selection pane="bottomLeft" activeCell="A9" sqref="A9"/>
      <selection pane="bottomRight" activeCell="A9" sqref="A9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0</v>
      </c>
      <c r="C2" s="196" t="s">
        <v>3</v>
      </c>
      <c r="D2" s="196"/>
      <c r="E2" s="196"/>
      <c r="F2" s="196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2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6" t="s">
        <v>11</v>
      </c>
      <c r="D3" s="196"/>
      <c r="E3" s="196"/>
      <c r="F3" s="196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2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6" t="s">
        <v>18</v>
      </c>
      <c r="D4" s="196"/>
      <c r="E4" s="196"/>
      <c r="F4" s="196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3" t="s">
        <v>43</v>
      </c>
      <c r="M8" s="114" t="s">
        <v>44</v>
      </c>
      <c r="N8" s="114" t="s">
        <v>45</v>
      </c>
      <c r="O8" s="183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80"/>
      <c r="B9" s="181"/>
      <c r="C9" s="181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6"/>
      <c r="S9" s="6"/>
      <c r="T9" s="184"/>
      <c r="U9" s="6"/>
    </row>
    <row r="10" spans="1:21" customFormat="1">
      <c r="A10" s="180"/>
      <c r="B10" s="181"/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6"/>
      <c r="S10" s="6"/>
      <c r="T10" s="184"/>
      <c r="U10" s="6"/>
    </row>
    <row r="11" spans="1:21" customFormat="1">
      <c r="A11" s="180"/>
      <c r="B11" s="181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6"/>
      <c r="S11" s="6"/>
      <c r="T11" s="184"/>
      <c r="U11" s="6"/>
    </row>
    <row r="12" spans="1:21" customFormat="1">
      <c r="A12" s="180"/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6"/>
      <c r="S12" s="6"/>
      <c r="T12" s="184"/>
      <c r="U12" s="6"/>
    </row>
    <row r="13" spans="1:21" customFormat="1">
      <c r="A13" s="180"/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6"/>
      <c r="S13" s="6"/>
      <c r="T13" s="184"/>
      <c r="U13" s="6"/>
    </row>
    <row r="14" spans="1:21" customFormat="1">
      <c r="A14" s="180"/>
      <c r="B14" s="181"/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6"/>
      <c r="S14" s="6"/>
      <c r="T14" s="184"/>
      <c r="U14" s="6"/>
    </row>
    <row r="15" spans="1:21" customFormat="1">
      <c r="A15" s="180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6"/>
      <c r="S15" s="6"/>
      <c r="T15" s="184"/>
      <c r="U15" s="6"/>
    </row>
    <row r="16" spans="1:21" customFormat="1">
      <c r="A16" s="180"/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6"/>
      <c r="S16" s="6"/>
      <c r="T16" s="184"/>
      <c r="U16" s="6"/>
    </row>
    <row r="17" spans="1:21" customFormat="1">
      <c r="A17" s="180"/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6"/>
      <c r="S17" s="6"/>
      <c r="T17" s="184"/>
      <c r="U17" s="6"/>
    </row>
    <row r="18" spans="1:21" customFormat="1">
      <c r="A18" s="180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6"/>
      <c r="S18" s="6"/>
      <c r="T18" s="184"/>
      <c r="U18" s="6"/>
    </row>
    <row r="19" spans="1:21" customFormat="1">
      <c r="A19" s="180"/>
      <c r="B19" s="181"/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6"/>
      <c r="S19" s="6"/>
      <c r="T19" s="184"/>
      <c r="U19" s="6"/>
    </row>
    <row r="20" spans="1:21" customFormat="1">
      <c r="A20" s="180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6"/>
      <c r="S20" s="6"/>
      <c r="T20" s="184"/>
      <c r="U20" s="6"/>
    </row>
    <row r="21" spans="1:21" customFormat="1">
      <c r="A21" s="180"/>
      <c r="B21" s="181"/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6"/>
      <c r="S21" s="6"/>
      <c r="T21" s="184"/>
      <c r="U21" s="6"/>
    </row>
    <row r="22" spans="1:21" customFormat="1">
      <c r="A22" s="180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6"/>
      <c r="S22" s="6"/>
      <c r="T22" s="184"/>
      <c r="U22" s="6"/>
    </row>
    <row r="23" spans="1:21" customFormat="1">
      <c r="A23" s="180"/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6"/>
      <c r="S23" s="6"/>
      <c r="T23" s="184"/>
      <c r="U23" s="6"/>
    </row>
    <row r="24" spans="1:21" customFormat="1">
      <c r="A24" s="180"/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6"/>
      <c r="S24" s="6"/>
      <c r="T24" s="184"/>
      <c r="U24" s="6"/>
    </row>
    <row r="25" spans="1:21" customFormat="1">
      <c r="A25" s="180"/>
      <c r="B25" s="181"/>
      <c r="C25" s="181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6"/>
      <c r="S25" s="6"/>
      <c r="T25" s="184"/>
      <c r="U25" s="6"/>
    </row>
    <row r="26" spans="1:21" customFormat="1">
      <c r="A26" s="180"/>
      <c r="B26" s="181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6"/>
      <c r="S26" s="6"/>
      <c r="T26" s="184"/>
      <c r="U26" s="6"/>
    </row>
    <row r="27" spans="1:21" customFormat="1">
      <c r="A27" s="180"/>
      <c r="B27" s="181"/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6"/>
      <c r="S27" s="6"/>
      <c r="T27" s="184"/>
      <c r="U27" s="6"/>
    </row>
    <row r="28" spans="1:21" customFormat="1">
      <c r="A28" s="180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6"/>
      <c r="S28" s="6"/>
      <c r="T28" s="184"/>
      <c r="U28" s="6"/>
    </row>
    <row r="29" spans="1:21" customFormat="1">
      <c r="A29" s="180"/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6"/>
      <c r="S29" s="6"/>
      <c r="T29" s="184"/>
      <c r="U29" s="6"/>
    </row>
    <row r="30" spans="1:21" customFormat="1">
      <c r="A30" s="180"/>
      <c r="B30" s="181"/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6"/>
      <c r="S30" s="6"/>
      <c r="T30" s="184"/>
      <c r="U30" s="6"/>
    </row>
    <row r="31" spans="1:21" customFormat="1">
      <c r="A31" s="180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6"/>
      <c r="S31" s="6"/>
      <c r="T31" s="184"/>
      <c r="U31" s="6"/>
    </row>
    <row r="32" spans="1:21" customFormat="1">
      <c r="A32" s="180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6"/>
      <c r="S32" s="6"/>
      <c r="T32" s="184"/>
      <c r="U32" s="6"/>
    </row>
    <row r="33" spans="1:21" customFormat="1">
      <c r="A33" s="180"/>
      <c r="B33" s="181"/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6"/>
      <c r="S33" s="6"/>
      <c r="T33" s="184"/>
      <c r="U33" s="6"/>
    </row>
    <row r="34" spans="1:21" customFormat="1">
      <c r="A34" s="180"/>
      <c r="B34" s="181"/>
      <c r="C34" s="181"/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6"/>
      <c r="S34" s="6"/>
      <c r="T34" s="184"/>
      <c r="U34" s="6"/>
    </row>
    <row r="35" spans="1:21" customFormat="1">
      <c r="A35" s="180"/>
      <c r="B35" s="181"/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6"/>
      <c r="S35" s="6"/>
      <c r="T35" s="184"/>
      <c r="U35" s="6"/>
    </row>
    <row r="36" spans="1:21" customFormat="1">
      <c r="A36" s="180"/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6"/>
      <c r="S36" s="6"/>
      <c r="T36" s="184"/>
      <c r="U36" s="6"/>
    </row>
    <row r="37" spans="1:21" customFormat="1">
      <c r="A37" s="180"/>
      <c r="B37" s="181"/>
      <c r="C37" s="181"/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6"/>
      <c r="S37" s="6"/>
      <c r="T37" s="184"/>
      <c r="U37" s="6"/>
    </row>
    <row r="38" spans="1:21" customFormat="1">
      <c r="A38" s="180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6"/>
      <c r="S38" s="6"/>
      <c r="T38" s="184"/>
      <c r="U38" s="6"/>
    </row>
    <row r="39" spans="1:21" customFormat="1">
      <c r="A39" s="180"/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6"/>
      <c r="S39" s="6"/>
      <c r="T39" s="184"/>
      <c r="U39" s="6"/>
    </row>
    <row r="40" spans="1:21" customFormat="1">
      <c r="A40" s="180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6"/>
      <c r="S40" s="6"/>
      <c r="T40" s="184"/>
      <c r="U40" s="6"/>
    </row>
    <row r="41" spans="1:21" customFormat="1">
      <c r="A41" s="180"/>
      <c r="B41" s="181"/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6"/>
      <c r="S41" s="6"/>
      <c r="T41" s="184"/>
      <c r="U41" s="6"/>
    </row>
    <row r="42" spans="1:21" customFormat="1">
      <c r="A42" s="180"/>
      <c r="B42" s="181"/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6"/>
      <c r="S42" s="6"/>
      <c r="T42" s="184"/>
      <c r="U42" s="6"/>
    </row>
    <row r="43" spans="1:21" customFormat="1">
      <c r="A43" s="180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6"/>
      <c r="S43" s="6"/>
      <c r="T43" s="184"/>
      <c r="U43" s="6"/>
    </row>
    <row r="44" spans="1:21" customFormat="1">
      <c r="A44" s="180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6"/>
      <c r="S44" s="6"/>
      <c r="T44" s="184"/>
      <c r="U44" s="6"/>
    </row>
    <row r="45" spans="1:21" customFormat="1">
      <c r="A45" s="180"/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6"/>
      <c r="S45" s="6"/>
      <c r="T45" s="184"/>
      <c r="U45" s="6"/>
    </row>
    <row r="46" spans="1:21" customFormat="1">
      <c r="A46" s="180"/>
      <c r="B46" s="181"/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6"/>
      <c r="S46" s="6"/>
      <c r="T46" s="184"/>
      <c r="U46" s="6"/>
    </row>
    <row r="47" spans="1:21" customFormat="1">
      <c r="A47" s="180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6"/>
      <c r="S47" s="6"/>
      <c r="T47" s="184"/>
      <c r="U47" s="6"/>
    </row>
    <row r="48" spans="1:21" customFormat="1">
      <c r="A48" s="180"/>
      <c r="B48" s="181"/>
      <c r="C48" s="181"/>
      <c r="D48" s="181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6"/>
      <c r="S48" s="6"/>
      <c r="T48" s="184"/>
      <c r="U48" s="6"/>
    </row>
    <row r="49" spans="1:21" customFormat="1">
      <c r="A49" s="180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6"/>
      <c r="S49" s="6"/>
      <c r="T49" s="184"/>
      <c r="U49" s="6"/>
    </row>
    <row r="50" spans="1:21" customFormat="1">
      <c r="A50" s="180"/>
      <c r="B50" s="181"/>
      <c r="C50" s="181"/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6"/>
      <c r="S50" s="6"/>
      <c r="T50" s="184"/>
      <c r="U50" s="6"/>
    </row>
    <row r="51" spans="1:21" customFormat="1">
      <c r="A51" s="180"/>
      <c r="B51" s="181"/>
      <c r="C51" s="181"/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6"/>
      <c r="S51" s="6"/>
      <c r="T51" s="184"/>
      <c r="U51" s="6"/>
    </row>
    <row r="52" spans="1:21" customFormat="1">
      <c r="A52" s="180"/>
      <c r="B52" s="181"/>
      <c r="C52" s="181"/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6"/>
      <c r="S52" s="6"/>
      <c r="T52" s="184"/>
      <c r="U52" s="6"/>
    </row>
    <row r="53" spans="1:21" customFormat="1">
      <c r="A53" s="180"/>
      <c r="B53" s="181"/>
      <c r="C53" s="181"/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6"/>
      <c r="S53" s="6"/>
      <c r="T53" s="184"/>
      <c r="U53" s="6"/>
    </row>
    <row r="54" spans="1:21" customFormat="1">
      <c r="A54" s="180"/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6"/>
      <c r="S54" s="6"/>
      <c r="T54" s="184"/>
      <c r="U54" s="6"/>
    </row>
    <row r="55" spans="1:21" customFormat="1">
      <c r="A55" s="180"/>
      <c r="B55" s="181"/>
      <c r="C55" s="181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6"/>
      <c r="S55" s="6"/>
      <c r="T55" s="184"/>
      <c r="U55" s="6"/>
    </row>
    <row r="56" spans="1:21" customFormat="1">
      <c r="A56" s="180"/>
      <c r="B56" s="181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6"/>
      <c r="S56" s="6"/>
      <c r="T56" s="184"/>
      <c r="U56" s="6"/>
    </row>
    <row r="57" spans="1:21" customFormat="1">
      <c r="A57" s="180"/>
      <c r="B57" s="181"/>
      <c r="C57" s="181"/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6"/>
      <c r="S57" s="6"/>
      <c r="T57" s="184"/>
      <c r="U57" s="6"/>
    </row>
    <row r="58" spans="1:21" customFormat="1">
      <c r="A58" s="180"/>
      <c r="B58" s="181"/>
      <c r="C58" s="181"/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6"/>
      <c r="S58" s="6"/>
      <c r="T58" s="184"/>
      <c r="U58" s="6"/>
    </row>
    <row r="59" spans="1:21" customFormat="1">
      <c r="A59" s="180"/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6"/>
      <c r="S59" s="6"/>
      <c r="T59" s="184"/>
      <c r="U59" s="6"/>
    </row>
    <row r="60" spans="1:21" customFormat="1">
      <c r="A60" s="180"/>
      <c r="B60" s="181"/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6"/>
      <c r="S60" s="6"/>
      <c r="T60" s="184"/>
      <c r="U60" s="6"/>
    </row>
    <row r="61" spans="1:21" customFormat="1">
      <c r="A61" s="180"/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6"/>
      <c r="S61" s="6"/>
      <c r="T61" s="184"/>
      <c r="U61" s="6"/>
    </row>
    <row r="62" spans="1:21" customFormat="1">
      <c r="A62" s="180"/>
      <c r="B62" s="181"/>
      <c r="C62" s="181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6"/>
      <c r="S62" s="6"/>
      <c r="T62" s="184"/>
      <c r="U62" s="6"/>
    </row>
    <row r="63" spans="1:21" customFormat="1">
      <c r="A63" s="180"/>
      <c r="B63" s="181"/>
      <c r="C63" s="181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6"/>
      <c r="S63" s="6"/>
      <c r="T63" s="184"/>
      <c r="U63" s="6"/>
    </row>
    <row r="64" spans="1:21" customFormat="1">
      <c r="A64" s="180"/>
      <c r="B64" s="181"/>
      <c r="C64" s="181"/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6"/>
      <c r="S64" s="6"/>
      <c r="T64" s="184"/>
      <c r="U64" s="6"/>
    </row>
    <row r="65" spans="1:21" customFormat="1">
      <c r="A65" s="180"/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6"/>
      <c r="S65" s="6"/>
      <c r="T65" s="184"/>
      <c r="U65" s="6"/>
    </row>
    <row r="66" spans="1:21" customFormat="1">
      <c r="A66" s="180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6"/>
      <c r="S66" s="6"/>
      <c r="T66" s="184"/>
      <c r="U66" s="6"/>
    </row>
    <row r="67" spans="1:21" customFormat="1">
      <c r="A67" s="180"/>
      <c r="B67" s="181"/>
      <c r="C67" s="181"/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6"/>
      <c r="S67" s="6"/>
      <c r="T67" s="184"/>
      <c r="U67" s="6"/>
    </row>
    <row r="68" spans="1:21" customFormat="1">
      <c r="A68" s="180"/>
      <c r="B68" s="181"/>
      <c r="C68" s="181"/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6"/>
      <c r="S68" s="6"/>
      <c r="T68" s="184"/>
      <c r="U68" s="6"/>
    </row>
    <row r="69" spans="1:21" customFormat="1">
      <c r="A69" s="180"/>
      <c r="B69" s="181"/>
      <c r="C69" s="181"/>
      <c r="D69" s="181"/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6"/>
      <c r="S69" s="6"/>
      <c r="T69" s="184"/>
      <c r="U69" s="6"/>
    </row>
    <row r="70" spans="1:21" customFormat="1">
      <c r="A70" s="180"/>
      <c r="B70" s="181"/>
      <c r="C70" s="181"/>
      <c r="D70" s="181"/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6"/>
      <c r="S70" s="6"/>
      <c r="T70" s="184"/>
      <c r="U70" s="6"/>
    </row>
    <row r="71" spans="1:21" customFormat="1">
      <c r="A71" s="180"/>
      <c r="B71" s="181"/>
      <c r="C71" s="181"/>
      <c r="D71" s="181"/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6"/>
      <c r="S71" s="6"/>
      <c r="T71" s="184"/>
      <c r="U71" s="6"/>
    </row>
    <row r="72" spans="1:21" customFormat="1">
      <c r="A72" s="180"/>
      <c r="B72" s="181"/>
      <c r="C72" s="181"/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6"/>
      <c r="S72" s="6"/>
      <c r="T72" s="184"/>
      <c r="U72" s="6"/>
    </row>
    <row r="73" spans="1:21" customFormat="1">
      <c r="A73" s="180"/>
      <c r="B73" s="181"/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6"/>
      <c r="S73" s="6"/>
      <c r="T73" s="184"/>
      <c r="U73" s="6"/>
    </row>
    <row r="74" spans="1:21" customFormat="1">
      <c r="A74" s="180"/>
      <c r="B74" s="181"/>
      <c r="C74" s="181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6"/>
      <c r="S74" s="6"/>
      <c r="T74" s="184"/>
      <c r="U74" s="6"/>
    </row>
    <row r="75" spans="1:21" customFormat="1">
      <c r="A75" s="180"/>
      <c r="B75" s="181"/>
      <c r="C75" s="181"/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6"/>
      <c r="S75" s="6"/>
      <c r="T75" s="184"/>
      <c r="U75" s="6"/>
    </row>
    <row r="76" spans="1:21" customFormat="1">
      <c r="A76" s="180"/>
      <c r="B76" s="181"/>
      <c r="C76" s="181"/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6"/>
      <c r="S76" s="6"/>
      <c r="T76" s="184"/>
      <c r="U76" s="6"/>
    </row>
    <row r="77" spans="1:21" customFormat="1">
      <c r="A77" s="180"/>
      <c r="B77" s="181"/>
      <c r="C77" s="181"/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6"/>
      <c r="S77" s="6"/>
      <c r="T77" s="184"/>
      <c r="U77" s="6"/>
    </row>
    <row r="78" spans="1:21" customFormat="1">
      <c r="A78" s="180"/>
      <c r="B78" s="181"/>
      <c r="C78" s="181"/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6"/>
      <c r="S78" s="6"/>
      <c r="T78" s="184"/>
      <c r="U78" s="6"/>
    </row>
    <row r="79" spans="1:21" customFormat="1">
      <c r="A79" s="180"/>
      <c r="B79" s="181"/>
      <c r="C79" s="181"/>
      <c r="D79" s="181"/>
      <c r="E79" s="185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6"/>
      <c r="S79" s="6"/>
      <c r="T79" s="184"/>
      <c r="U79" s="6"/>
    </row>
    <row r="80" spans="1:21" customFormat="1">
      <c r="A80" s="180"/>
      <c r="B80" s="181"/>
      <c r="C80" s="181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6"/>
      <c r="S80" s="6"/>
      <c r="T80" s="184"/>
      <c r="U80" s="6"/>
    </row>
    <row r="81" spans="1:26" customFormat="1">
      <c r="A81" s="180"/>
      <c r="B81" s="181"/>
      <c r="C81" s="181"/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6"/>
      <c r="S81" s="6"/>
      <c r="T81" s="184"/>
      <c r="U81" s="6"/>
    </row>
    <row r="82" spans="1:26" customFormat="1">
      <c r="A82" s="180"/>
      <c r="B82" s="181"/>
      <c r="C82" s="181"/>
      <c r="D82" s="181"/>
      <c r="E82" s="181"/>
      <c r="F82" s="181"/>
      <c r="G82" s="181"/>
      <c r="H82" s="181"/>
      <c r="I82" s="181"/>
      <c r="J82" s="190"/>
      <c r="K82" s="181"/>
      <c r="L82" s="181"/>
      <c r="M82" s="181"/>
      <c r="N82" s="181"/>
      <c r="O82" s="181"/>
      <c r="P82" s="181"/>
      <c r="Q82" s="181"/>
      <c r="R82" s="6"/>
      <c r="S82" s="6"/>
      <c r="T82" s="184"/>
      <c r="U82" s="6"/>
    </row>
    <row r="83" spans="1:26" customFormat="1">
      <c r="A83" s="180"/>
      <c r="B83" s="181"/>
      <c r="C83" s="181"/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6"/>
      <c r="S83" s="6"/>
      <c r="T83" s="184"/>
      <c r="U83" s="6"/>
    </row>
    <row r="84" spans="1:26" customFormat="1">
      <c r="A84" s="180"/>
      <c r="B84" s="181"/>
      <c r="C84" s="181"/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6"/>
      <c r="S84" s="6"/>
      <c r="T84" s="184"/>
      <c r="U84" s="6"/>
    </row>
    <row r="85" spans="1:26" customFormat="1">
      <c r="A85" s="180"/>
      <c r="B85" s="181"/>
      <c r="C85" s="181"/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6"/>
      <c r="S85" s="6"/>
      <c r="T85" s="184"/>
      <c r="U85" s="6"/>
    </row>
    <row r="86" spans="1:26" customFormat="1">
      <c r="A86" s="180"/>
      <c r="B86" s="181"/>
      <c r="C86" s="181"/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6"/>
      <c r="S86" s="6"/>
      <c r="T86" s="184"/>
      <c r="U86" s="6"/>
    </row>
    <row r="87" spans="1:26" customFormat="1">
      <c r="A87" s="180"/>
      <c r="B87" s="181"/>
      <c r="C87" s="181"/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6"/>
      <c r="S87" s="6"/>
      <c r="T87" s="184"/>
      <c r="U87" s="6"/>
    </row>
    <row r="88" spans="1:26" customFormat="1">
      <c r="A88" s="180"/>
      <c r="B88" s="181"/>
      <c r="C88" s="181"/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6"/>
      <c r="S88" s="6"/>
      <c r="T88" s="184"/>
      <c r="U88" s="6"/>
    </row>
    <row r="89" spans="1:26" customFormat="1">
      <c r="A89" s="180"/>
      <c r="B89" s="181"/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6"/>
      <c r="S89" s="6"/>
      <c r="T89" s="184"/>
      <c r="U89" s="6"/>
    </row>
    <row r="90" spans="1:26" customFormat="1">
      <c r="A90" s="180"/>
      <c r="B90" s="181"/>
      <c r="C90" s="181"/>
      <c r="D90" s="181"/>
      <c r="E90" s="181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6"/>
      <c r="S90" s="6"/>
      <c r="T90" s="184"/>
      <c r="U90" s="6"/>
    </row>
    <row r="91" spans="1:26" customFormat="1">
      <c r="A91" s="180"/>
      <c r="B91" s="181"/>
      <c r="C91" s="181"/>
      <c r="D91" s="181"/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6"/>
      <c r="S91" s="6"/>
      <c r="T91" s="184"/>
      <c r="U91" s="6"/>
    </row>
    <row r="92" spans="1:26" customFormat="1">
      <c r="A92" s="180"/>
      <c r="B92" s="181"/>
      <c r="C92" s="181"/>
      <c r="D92" s="181"/>
      <c r="E92" s="18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6"/>
      <c r="S92" s="6"/>
      <c r="T92" s="184"/>
      <c r="U92" s="6"/>
    </row>
    <row r="93" spans="1:26" customFormat="1">
      <c r="A93" s="180"/>
      <c r="B93" s="181"/>
      <c r="C93" s="181"/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6"/>
      <c r="S93" s="6"/>
      <c r="T93" s="184"/>
      <c r="U93" s="6"/>
    </row>
    <row r="94" spans="1:26" customFormat="1">
      <c r="A94" s="180"/>
      <c r="B94" s="181"/>
      <c r="C94" s="181"/>
      <c r="D94" s="181"/>
      <c r="E94" s="181"/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6"/>
      <c r="S94" s="6"/>
      <c r="T94" s="184"/>
      <c r="U94" s="6"/>
    </row>
    <row r="95" spans="1:26" customFormat="1">
      <c r="A95" s="180"/>
      <c r="B95" s="181"/>
      <c r="C95" s="181"/>
      <c r="D95" s="181"/>
      <c r="E95" s="181"/>
      <c r="F95" s="181"/>
      <c r="G95" s="181"/>
      <c r="H95" s="181"/>
      <c r="I95" s="181"/>
      <c r="J95" s="181"/>
      <c r="K95" s="181"/>
      <c r="L95" s="181"/>
      <c r="M95" s="181"/>
      <c r="N95" s="181"/>
      <c r="O95" s="181"/>
      <c r="P95" s="181"/>
      <c r="Q95" s="181"/>
      <c r="R95" s="6"/>
      <c r="S95" s="6"/>
      <c r="T95" s="184"/>
      <c r="U95" s="6"/>
    </row>
    <row r="96" spans="1:26" customFormat="1">
      <c r="A96" s="180"/>
      <c r="B96" s="181"/>
      <c r="C96" s="181"/>
      <c r="D96" s="181"/>
      <c r="E96" s="181"/>
      <c r="F96" s="181"/>
      <c r="G96" s="181"/>
      <c r="H96" s="181"/>
      <c r="I96" s="181"/>
      <c r="J96" s="181"/>
      <c r="K96" s="181"/>
      <c r="L96" s="181"/>
      <c r="M96" s="181"/>
      <c r="N96" s="181"/>
      <c r="O96" s="181"/>
      <c r="P96" s="181"/>
      <c r="Q96" s="181"/>
      <c r="R96" s="6"/>
      <c r="S96" s="6"/>
      <c r="T96" s="184"/>
      <c r="U96" s="6"/>
      <c r="Z96" s="194"/>
    </row>
    <row r="97" spans="1:33" customFormat="1">
      <c r="A97" s="180"/>
      <c r="B97" s="181"/>
      <c r="C97" s="181"/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6"/>
      <c r="S97" s="6"/>
      <c r="T97" s="184"/>
      <c r="U97" s="6"/>
    </row>
    <row r="98" spans="1:33" customFormat="1">
      <c r="A98" s="180"/>
      <c r="B98" s="181"/>
      <c r="C98" s="181"/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6"/>
      <c r="S98" s="6"/>
      <c r="T98" s="184"/>
      <c r="U98" s="6"/>
    </row>
    <row r="99" spans="1:33" customFormat="1">
      <c r="A99" s="180"/>
      <c r="B99" s="181"/>
      <c r="C99" s="181"/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6"/>
      <c r="S99" s="6"/>
      <c r="T99" s="184"/>
      <c r="U99" s="6"/>
    </row>
    <row r="100" spans="1:33" customFormat="1">
      <c r="A100" s="180"/>
      <c r="B100" s="181"/>
      <c r="C100" s="181"/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6"/>
      <c r="S100" s="6"/>
      <c r="T100" s="184"/>
      <c r="U100" s="6"/>
      <c r="AB100" s="195"/>
      <c r="AG100" s="194"/>
    </row>
    <row r="101" spans="1:33" customFormat="1">
      <c r="A101" s="180"/>
      <c r="B101" s="181"/>
      <c r="C101" s="181"/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6"/>
      <c r="S101" s="6"/>
      <c r="T101" s="184"/>
      <c r="U101" s="6"/>
    </row>
    <row r="102" spans="1:33" customFormat="1">
      <c r="A102" s="180"/>
      <c r="B102" s="181"/>
      <c r="C102" s="181"/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6"/>
      <c r="S102" s="6"/>
      <c r="T102" s="184"/>
      <c r="U102" s="6"/>
    </row>
    <row r="103" spans="1:33" customFormat="1">
      <c r="A103" s="180"/>
      <c r="B103" s="181"/>
      <c r="C103" s="181"/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6"/>
      <c r="S103" s="6"/>
      <c r="T103" s="184"/>
      <c r="U103" s="6"/>
    </row>
    <row r="104" spans="1:33" customFormat="1">
      <c r="A104" s="180"/>
      <c r="B104" s="181"/>
      <c r="C104" s="181"/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6"/>
      <c r="S104" s="6"/>
      <c r="T104" s="184"/>
      <c r="U104" s="6"/>
    </row>
    <row r="105" spans="1:33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33">
      <c r="A106" s="186" t="s">
        <v>48</v>
      </c>
      <c r="B106" s="187">
        <f>MIN(B9:B104)</f>
        <v>0</v>
      </c>
      <c r="C106" s="187">
        <f>MIN(C9:C104)</f>
        <v>0</v>
      </c>
      <c r="D106" s="187">
        <f t="shared" ref="D106:Q106" si="0">MIN(D9:D104)</f>
        <v>0</v>
      </c>
      <c r="E106" s="187">
        <f t="shared" si="0"/>
        <v>0</v>
      </c>
      <c r="F106" s="187">
        <f t="shared" si="0"/>
        <v>0</v>
      </c>
      <c r="G106" s="187">
        <f t="shared" si="0"/>
        <v>0</v>
      </c>
      <c r="H106" s="187">
        <f t="shared" si="0"/>
        <v>0</v>
      </c>
      <c r="I106" s="187">
        <f t="shared" si="0"/>
        <v>0</v>
      </c>
      <c r="J106" s="187">
        <f t="shared" si="0"/>
        <v>0</v>
      </c>
      <c r="K106" s="187">
        <f t="shared" si="0"/>
        <v>0</v>
      </c>
      <c r="L106" s="187">
        <f t="shared" si="0"/>
        <v>0</v>
      </c>
      <c r="M106" s="187">
        <f t="shared" si="0"/>
        <v>0</v>
      </c>
      <c r="N106" s="187">
        <f t="shared" si="0"/>
        <v>0</v>
      </c>
      <c r="O106" s="187">
        <f t="shared" si="0"/>
        <v>0</v>
      </c>
      <c r="P106" s="187">
        <f t="shared" si="0"/>
        <v>0</v>
      </c>
      <c r="Q106" s="187">
        <f t="shared" si="0"/>
        <v>0</v>
      </c>
      <c r="R106" s="192"/>
      <c r="S106" s="192"/>
      <c r="T106" s="192"/>
      <c r="U106" s="192"/>
    </row>
    <row r="107" spans="1:33">
      <c r="A107" s="186" t="s">
        <v>49</v>
      </c>
      <c r="B107" s="188">
        <f>MAX(B9:B104)</f>
        <v>0</v>
      </c>
      <c r="C107" s="188">
        <f t="shared" ref="C107:Q107" si="1">MAX(C9:C104)</f>
        <v>0</v>
      </c>
      <c r="D107" s="188">
        <f t="shared" si="1"/>
        <v>0</v>
      </c>
      <c r="E107" s="188">
        <f t="shared" si="1"/>
        <v>0</v>
      </c>
      <c r="F107" s="188">
        <f t="shared" si="1"/>
        <v>0</v>
      </c>
      <c r="G107" s="188">
        <f t="shared" si="1"/>
        <v>0</v>
      </c>
      <c r="H107" s="188">
        <f t="shared" si="1"/>
        <v>0</v>
      </c>
      <c r="I107" s="188">
        <f t="shared" si="1"/>
        <v>0</v>
      </c>
      <c r="J107" s="188">
        <f t="shared" si="1"/>
        <v>0</v>
      </c>
      <c r="K107" s="188">
        <f t="shared" si="1"/>
        <v>0</v>
      </c>
      <c r="L107" s="188">
        <f t="shared" si="1"/>
        <v>0</v>
      </c>
      <c r="M107" s="188">
        <f t="shared" si="1"/>
        <v>0</v>
      </c>
      <c r="N107" s="188">
        <f t="shared" si="1"/>
        <v>0</v>
      </c>
      <c r="O107" s="188">
        <f t="shared" si="1"/>
        <v>0</v>
      </c>
      <c r="P107" s="188">
        <f t="shared" si="1"/>
        <v>0</v>
      </c>
      <c r="Q107" s="188">
        <f t="shared" si="1"/>
        <v>0</v>
      </c>
      <c r="R107" s="193"/>
      <c r="S107" s="193"/>
      <c r="T107" s="193"/>
      <c r="U107" s="193"/>
    </row>
    <row r="108" spans="1:33">
      <c r="A108" s="186" t="s">
        <v>50</v>
      </c>
      <c r="B108" s="187" t="e">
        <f>AVERAGE(B9:B104)</f>
        <v>#DIV/0!</v>
      </c>
      <c r="C108" s="187" t="e">
        <f t="shared" ref="C108:Q108" si="2">AVERAGE(C9:C104)</f>
        <v>#DIV/0!</v>
      </c>
      <c r="D108" s="187" t="e">
        <f t="shared" si="2"/>
        <v>#DIV/0!</v>
      </c>
      <c r="E108" s="187" t="e">
        <f t="shared" si="2"/>
        <v>#DIV/0!</v>
      </c>
      <c r="F108" s="187" t="e">
        <f t="shared" si="2"/>
        <v>#DIV/0!</v>
      </c>
      <c r="G108" s="187" t="e">
        <f t="shared" si="2"/>
        <v>#DIV/0!</v>
      </c>
      <c r="H108" s="187" t="e">
        <f t="shared" si="2"/>
        <v>#DIV/0!</v>
      </c>
      <c r="I108" s="187" t="e">
        <f t="shared" si="2"/>
        <v>#DIV/0!</v>
      </c>
      <c r="J108" s="187" t="e">
        <f t="shared" si="2"/>
        <v>#DIV/0!</v>
      </c>
      <c r="K108" s="187" t="e">
        <f t="shared" si="2"/>
        <v>#DIV/0!</v>
      </c>
      <c r="L108" s="187" t="e">
        <f t="shared" si="2"/>
        <v>#DIV/0!</v>
      </c>
      <c r="M108" s="187" t="e">
        <f t="shared" si="2"/>
        <v>#DIV/0!</v>
      </c>
      <c r="N108" s="187" t="e">
        <f t="shared" si="2"/>
        <v>#DIV/0!</v>
      </c>
      <c r="O108" s="187" t="e">
        <f t="shared" si="2"/>
        <v>#DIV/0!</v>
      </c>
      <c r="P108" s="187" t="e">
        <f t="shared" si="2"/>
        <v>#DIV/0!</v>
      </c>
      <c r="Q108" s="187" t="e">
        <f t="shared" si="2"/>
        <v>#DIV/0!</v>
      </c>
      <c r="R108" s="192"/>
      <c r="S108" s="192"/>
      <c r="T108" s="192"/>
      <c r="U108" s="192"/>
    </row>
    <row r="109" spans="1:33">
      <c r="A109" s="186" t="s">
        <v>51</v>
      </c>
      <c r="B109" s="187" t="e">
        <f>STDEV(B9:B104)</f>
        <v>#DIV/0!</v>
      </c>
      <c r="C109" s="187" t="e">
        <f t="shared" ref="C109:Q109" si="3">STDEV(C9:C104)</f>
        <v>#DIV/0!</v>
      </c>
      <c r="D109" s="187" t="e">
        <f t="shared" si="3"/>
        <v>#DIV/0!</v>
      </c>
      <c r="E109" s="187" t="e">
        <f t="shared" si="3"/>
        <v>#DIV/0!</v>
      </c>
      <c r="F109" s="187" t="e">
        <f t="shared" si="3"/>
        <v>#DIV/0!</v>
      </c>
      <c r="G109" s="187" t="e">
        <f t="shared" si="3"/>
        <v>#DIV/0!</v>
      </c>
      <c r="H109" s="187" t="e">
        <f t="shared" si="3"/>
        <v>#DIV/0!</v>
      </c>
      <c r="I109" s="187" t="e">
        <f t="shared" si="3"/>
        <v>#DIV/0!</v>
      </c>
      <c r="J109" s="187" t="e">
        <f t="shared" si="3"/>
        <v>#DIV/0!</v>
      </c>
      <c r="K109" s="187" t="e">
        <f t="shared" si="3"/>
        <v>#DIV/0!</v>
      </c>
      <c r="L109" s="187" t="e">
        <f t="shared" si="3"/>
        <v>#DIV/0!</v>
      </c>
      <c r="M109" s="187" t="e">
        <f t="shared" si="3"/>
        <v>#DIV/0!</v>
      </c>
      <c r="N109" s="187" t="e">
        <f t="shared" si="3"/>
        <v>#DIV/0!</v>
      </c>
      <c r="O109" s="187" t="e">
        <f t="shared" si="3"/>
        <v>#DIV/0!</v>
      </c>
      <c r="P109" s="187" t="e">
        <f t="shared" si="3"/>
        <v>#DIV/0!</v>
      </c>
      <c r="Q109" s="187" t="e">
        <f t="shared" si="3"/>
        <v>#DIV/0!</v>
      </c>
      <c r="R109" s="192"/>
      <c r="S109" s="192"/>
      <c r="T109" s="192"/>
      <c r="U109" s="192"/>
    </row>
    <row r="110" spans="1:33">
      <c r="A110" s="186" t="s">
        <v>52</v>
      </c>
      <c r="B110" s="188">
        <f t="shared" ref="B110:Q110" si="4">COUNT(B9:B104)</f>
        <v>0</v>
      </c>
      <c r="C110" s="188">
        <f t="shared" si="4"/>
        <v>0</v>
      </c>
      <c r="D110" s="188">
        <f t="shared" si="4"/>
        <v>0</v>
      </c>
      <c r="E110" s="188">
        <f t="shared" si="4"/>
        <v>0</v>
      </c>
      <c r="F110" s="188">
        <f t="shared" si="4"/>
        <v>0</v>
      </c>
      <c r="G110" s="188">
        <f t="shared" si="4"/>
        <v>0</v>
      </c>
      <c r="H110" s="188">
        <f t="shared" si="4"/>
        <v>0</v>
      </c>
      <c r="I110" s="188">
        <f t="shared" si="4"/>
        <v>0</v>
      </c>
      <c r="J110" s="188">
        <f t="shared" si="4"/>
        <v>0</v>
      </c>
      <c r="K110" s="188">
        <f t="shared" si="4"/>
        <v>0</v>
      </c>
      <c r="L110" s="188">
        <f t="shared" si="4"/>
        <v>0</v>
      </c>
      <c r="M110" s="188">
        <f t="shared" si="4"/>
        <v>0</v>
      </c>
      <c r="N110" s="188">
        <f t="shared" si="4"/>
        <v>0</v>
      </c>
      <c r="O110" s="188">
        <f t="shared" si="4"/>
        <v>0</v>
      </c>
      <c r="P110" s="188">
        <f t="shared" si="4"/>
        <v>0</v>
      </c>
      <c r="Q110" s="188">
        <f t="shared" si="4"/>
        <v>0</v>
      </c>
      <c r="R110" s="193"/>
      <c r="S110" s="193"/>
      <c r="T110" s="193"/>
      <c r="U110" s="193"/>
      <c r="V110" s="188"/>
    </row>
    <row r="111" spans="1:33">
      <c r="A111" s="153" t="s">
        <v>53</v>
      </c>
      <c r="B111" s="147" t="str">
        <f>IF(B110&gt;=87,"&gt;90%",IF(B110&lt;=87,"&lt;90%"))</f>
        <v>&lt;90%</v>
      </c>
      <c r="C111" s="147" t="str">
        <f t="shared" ref="C111:Q111" si="5">IF(C110&gt;=87,"&gt;90%",IF(C110&lt;=87,"&lt;90%"))</f>
        <v>&lt;90%</v>
      </c>
      <c r="D111" s="147" t="str">
        <f t="shared" si="5"/>
        <v>&lt;90%</v>
      </c>
      <c r="E111" s="147" t="str">
        <f t="shared" si="5"/>
        <v>&lt;90%</v>
      </c>
      <c r="F111" s="147" t="str">
        <f t="shared" si="5"/>
        <v>&lt;90%</v>
      </c>
      <c r="G111" s="147" t="str">
        <f t="shared" si="5"/>
        <v>&lt;90%</v>
      </c>
      <c r="H111" s="147" t="str">
        <f t="shared" si="5"/>
        <v>&lt;90%</v>
      </c>
      <c r="I111" s="147" t="str">
        <f t="shared" si="5"/>
        <v>&lt;90%</v>
      </c>
      <c r="J111" s="147" t="str">
        <f t="shared" si="5"/>
        <v>&lt;90%</v>
      </c>
      <c r="K111" s="147" t="str">
        <f t="shared" si="5"/>
        <v>&lt;90%</v>
      </c>
      <c r="L111" s="147" t="str">
        <f t="shared" si="5"/>
        <v>&lt;90%</v>
      </c>
      <c r="M111" s="147" t="str">
        <f t="shared" si="5"/>
        <v>&lt;90%</v>
      </c>
      <c r="N111" s="147" t="str">
        <f t="shared" si="5"/>
        <v>&lt;90%</v>
      </c>
      <c r="O111" s="147" t="str">
        <f t="shared" si="5"/>
        <v>&lt;90%</v>
      </c>
      <c r="P111" s="147" t="str">
        <f t="shared" si="5"/>
        <v>&lt;90%</v>
      </c>
      <c r="Q111" s="147" t="str">
        <f t="shared" si="5"/>
        <v>&lt;90%</v>
      </c>
      <c r="R111" s="175"/>
      <c r="S111" s="175"/>
      <c r="T111" s="175"/>
      <c r="U111" s="175"/>
    </row>
    <row r="112" spans="1:33">
      <c r="A112" s="153" t="s">
        <v>54</v>
      </c>
      <c r="B112" s="147" t="str">
        <f>IF(B110&gt;=87,"OK",IF(B110&lt;=87,"LESS"))</f>
        <v>LESS</v>
      </c>
      <c r="C112" s="147" t="str">
        <f t="shared" ref="C112:Q112" si="6">IF(C110&gt;=87,"OK",IF(C110&lt;=87,"LESS"))</f>
        <v>LESS</v>
      </c>
      <c r="D112" s="147" t="str">
        <f t="shared" si="6"/>
        <v>LESS</v>
      </c>
      <c r="E112" s="147" t="str">
        <f t="shared" si="6"/>
        <v>LESS</v>
      </c>
      <c r="F112" s="147" t="str">
        <f t="shared" si="6"/>
        <v>LESS</v>
      </c>
      <c r="G112" s="147" t="str">
        <f t="shared" si="6"/>
        <v>LESS</v>
      </c>
      <c r="H112" s="147" t="str">
        <f t="shared" si="6"/>
        <v>LESS</v>
      </c>
      <c r="I112" s="147" t="str">
        <f t="shared" si="6"/>
        <v>LESS</v>
      </c>
      <c r="J112" s="147" t="str">
        <f t="shared" si="6"/>
        <v>LESS</v>
      </c>
      <c r="K112" s="147" t="str">
        <f t="shared" si="6"/>
        <v>LESS</v>
      </c>
      <c r="L112" s="147" t="str">
        <f t="shared" si="6"/>
        <v>LESS</v>
      </c>
      <c r="M112" s="147" t="str">
        <f t="shared" si="6"/>
        <v>LESS</v>
      </c>
      <c r="N112" s="147" t="str">
        <f t="shared" si="6"/>
        <v>LESS</v>
      </c>
      <c r="O112" s="147" t="str">
        <f t="shared" si="6"/>
        <v>LESS</v>
      </c>
      <c r="P112" s="147" t="str">
        <f t="shared" si="6"/>
        <v>LESS</v>
      </c>
      <c r="Q112" s="147" t="str">
        <f t="shared" si="6"/>
        <v>LESS</v>
      </c>
      <c r="R112" s="175"/>
      <c r="S112" s="175"/>
      <c r="T112" s="175"/>
      <c r="U112" s="175"/>
    </row>
    <row r="113" spans="1:21">
      <c r="L113" s="32"/>
      <c r="N113" s="191"/>
      <c r="O113" s="191"/>
      <c r="P113" s="191"/>
      <c r="Q113" s="191"/>
      <c r="R113" s="191"/>
      <c r="S113" s="191"/>
      <c r="T113" s="191"/>
      <c r="U113" s="191"/>
    </row>
    <row r="115" spans="1:21">
      <c r="A115" s="153" t="s">
        <v>55</v>
      </c>
      <c r="B115" s="197" t="s">
        <v>56</v>
      </c>
      <c r="C115" s="197"/>
      <c r="D115" s="197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9" t="s">
        <v>57</v>
      </c>
      <c r="B117" s="198"/>
      <c r="C117" s="198"/>
      <c r="D117" s="198"/>
      <c r="E117" s="198"/>
      <c r="F117" s="198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G117"/>
  <sheetViews>
    <sheetView zoomScale="85" zoomScaleNormal="85" workbookViewId="0">
      <pane xSplit="1" ySplit="8" topLeftCell="B93" activePane="bottomRight" state="frozen"/>
      <selection activeCell="A9" sqref="A9"/>
      <selection pane="topRight" activeCell="A9" sqref="A9"/>
      <selection pane="bottomLeft" activeCell="A9" sqref="A9"/>
      <selection pane="bottomRight" activeCell="A9" sqref="A9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0</v>
      </c>
      <c r="C2" s="196" t="s">
        <v>3</v>
      </c>
      <c r="D2" s="196"/>
      <c r="E2" s="196"/>
      <c r="F2" s="196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2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6" t="s">
        <v>11</v>
      </c>
      <c r="D3" s="196"/>
      <c r="E3" s="196"/>
      <c r="F3" s="196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2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6" t="s">
        <v>18</v>
      </c>
      <c r="D4" s="196"/>
      <c r="E4" s="196"/>
      <c r="F4" s="196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3" t="s">
        <v>43</v>
      </c>
      <c r="M8" s="114" t="s">
        <v>44</v>
      </c>
      <c r="N8" s="114" t="s">
        <v>45</v>
      </c>
      <c r="O8" s="183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80"/>
      <c r="B9" s="181"/>
      <c r="C9" s="181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6"/>
      <c r="S9" s="6"/>
      <c r="T9" s="184"/>
      <c r="U9" s="6"/>
    </row>
    <row r="10" spans="1:21" customFormat="1">
      <c r="A10" s="180"/>
      <c r="B10" s="181"/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6"/>
      <c r="S10" s="6"/>
      <c r="T10" s="184"/>
      <c r="U10" s="6"/>
    </row>
    <row r="11" spans="1:21" customFormat="1">
      <c r="A11" s="180"/>
      <c r="B11" s="181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6"/>
      <c r="S11" s="6"/>
      <c r="T11" s="184"/>
      <c r="U11" s="6"/>
    </row>
    <row r="12" spans="1:21" customFormat="1">
      <c r="A12" s="180"/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6"/>
      <c r="S12" s="6"/>
      <c r="T12" s="184"/>
      <c r="U12" s="6"/>
    </row>
    <row r="13" spans="1:21" customFormat="1">
      <c r="A13" s="180"/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6"/>
      <c r="S13" s="6"/>
      <c r="T13" s="184"/>
      <c r="U13" s="6"/>
    </row>
    <row r="14" spans="1:21" customFormat="1">
      <c r="A14" s="180"/>
      <c r="B14" s="181"/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6"/>
      <c r="S14" s="6"/>
      <c r="T14" s="184"/>
      <c r="U14" s="6"/>
    </row>
    <row r="15" spans="1:21" customFormat="1">
      <c r="A15" s="180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6"/>
      <c r="S15" s="6"/>
      <c r="T15" s="184"/>
      <c r="U15" s="6"/>
    </row>
    <row r="16" spans="1:21" customFormat="1">
      <c r="A16" s="180"/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6"/>
      <c r="S16" s="6"/>
      <c r="T16" s="184"/>
      <c r="U16" s="6"/>
    </row>
    <row r="17" spans="1:21" customFormat="1">
      <c r="A17" s="180"/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6"/>
      <c r="S17" s="6"/>
      <c r="T17" s="184"/>
      <c r="U17" s="6"/>
    </row>
    <row r="18" spans="1:21" customFormat="1">
      <c r="A18" s="180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6"/>
      <c r="S18" s="6"/>
      <c r="T18" s="184"/>
      <c r="U18" s="6"/>
    </row>
    <row r="19" spans="1:21" customFormat="1">
      <c r="A19" s="180"/>
      <c r="B19" s="181"/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6"/>
      <c r="S19" s="6"/>
      <c r="T19" s="184"/>
      <c r="U19" s="6"/>
    </row>
    <row r="20" spans="1:21" customFormat="1">
      <c r="A20" s="180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6"/>
      <c r="S20" s="6"/>
      <c r="T20" s="184"/>
      <c r="U20" s="6"/>
    </row>
    <row r="21" spans="1:21" customFormat="1">
      <c r="A21" s="180"/>
      <c r="B21" s="181"/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6"/>
      <c r="S21" s="6"/>
      <c r="T21" s="184"/>
      <c r="U21" s="6"/>
    </row>
    <row r="22" spans="1:21" customFormat="1">
      <c r="A22" s="180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6"/>
      <c r="S22" s="6"/>
      <c r="T22" s="184"/>
      <c r="U22" s="6"/>
    </row>
    <row r="23" spans="1:21" customFormat="1">
      <c r="A23" s="180"/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6"/>
      <c r="S23" s="6"/>
      <c r="T23" s="184"/>
      <c r="U23" s="6"/>
    </row>
    <row r="24" spans="1:21" customFormat="1">
      <c r="A24" s="180"/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6"/>
      <c r="S24" s="6"/>
      <c r="T24" s="184"/>
      <c r="U24" s="6"/>
    </row>
    <row r="25" spans="1:21" customFormat="1">
      <c r="A25" s="180"/>
      <c r="B25" s="181"/>
      <c r="C25" s="181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6"/>
      <c r="S25" s="6"/>
      <c r="T25" s="184"/>
      <c r="U25" s="6"/>
    </row>
    <row r="26" spans="1:21" customFormat="1">
      <c r="A26" s="180"/>
      <c r="B26" s="181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6"/>
      <c r="S26" s="6"/>
      <c r="T26" s="184"/>
      <c r="U26" s="6"/>
    </row>
    <row r="27" spans="1:21" customFormat="1">
      <c r="A27" s="180"/>
      <c r="B27" s="181"/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6"/>
      <c r="S27" s="6"/>
      <c r="T27" s="184"/>
      <c r="U27" s="6"/>
    </row>
    <row r="28" spans="1:21" customFormat="1">
      <c r="A28" s="180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6"/>
      <c r="S28" s="6"/>
      <c r="T28" s="184"/>
      <c r="U28" s="6"/>
    </row>
    <row r="29" spans="1:21" customFormat="1">
      <c r="A29" s="180"/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6"/>
      <c r="S29" s="6"/>
      <c r="T29" s="184"/>
      <c r="U29" s="6"/>
    </row>
    <row r="30" spans="1:21" customFormat="1">
      <c r="A30" s="180"/>
      <c r="B30" s="181"/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6"/>
      <c r="S30" s="6"/>
      <c r="T30" s="184"/>
      <c r="U30" s="6"/>
    </row>
    <row r="31" spans="1:21" customFormat="1">
      <c r="A31" s="180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6"/>
      <c r="S31" s="6"/>
      <c r="T31" s="184"/>
      <c r="U31" s="6"/>
    </row>
    <row r="32" spans="1:21" customFormat="1">
      <c r="A32" s="180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6"/>
      <c r="S32" s="6"/>
      <c r="T32" s="184"/>
      <c r="U32" s="6"/>
    </row>
    <row r="33" spans="1:21" customFormat="1">
      <c r="A33" s="180"/>
      <c r="B33" s="181"/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6"/>
      <c r="S33" s="6"/>
      <c r="T33" s="184"/>
      <c r="U33" s="6"/>
    </row>
    <row r="34" spans="1:21" customFormat="1">
      <c r="A34" s="180"/>
      <c r="B34" s="181"/>
      <c r="C34" s="181"/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6"/>
      <c r="S34" s="6"/>
      <c r="T34" s="184"/>
      <c r="U34" s="6"/>
    </row>
    <row r="35" spans="1:21" customFormat="1">
      <c r="A35" s="180"/>
      <c r="B35" s="181"/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6"/>
      <c r="S35" s="6"/>
      <c r="T35" s="184"/>
      <c r="U35" s="6"/>
    </row>
    <row r="36" spans="1:21" customFormat="1">
      <c r="A36" s="180"/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6"/>
      <c r="S36" s="6"/>
      <c r="T36" s="184"/>
      <c r="U36" s="6"/>
    </row>
    <row r="37" spans="1:21" customFormat="1">
      <c r="A37" s="180"/>
      <c r="B37" s="181"/>
      <c r="C37" s="181"/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6"/>
      <c r="S37" s="6"/>
      <c r="T37" s="184"/>
      <c r="U37" s="6"/>
    </row>
    <row r="38" spans="1:21" customFormat="1">
      <c r="A38" s="180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6"/>
      <c r="S38" s="6"/>
      <c r="T38" s="184"/>
      <c r="U38" s="6"/>
    </row>
    <row r="39" spans="1:21" customFormat="1">
      <c r="A39" s="180"/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6"/>
      <c r="S39" s="6"/>
      <c r="T39" s="184"/>
      <c r="U39" s="6"/>
    </row>
    <row r="40" spans="1:21" customFormat="1">
      <c r="A40" s="180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6"/>
      <c r="S40" s="6"/>
      <c r="T40" s="184"/>
      <c r="U40" s="6"/>
    </row>
    <row r="41" spans="1:21" customFormat="1">
      <c r="A41" s="180"/>
      <c r="B41" s="181"/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6"/>
      <c r="S41" s="6"/>
      <c r="T41" s="184"/>
      <c r="U41" s="6"/>
    </row>
    <row r="42" spans="1:21" customFormat="1">
      <c r="A42" s="180"/>
      <c r="B42" s="181"/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6"/>
      <c r="S42" s="6"/>
      <c r="T42" s="184"/>
      <c r="U42" s="6"/>
    </row>
    <row r="43" spans="1:21" customFormat="1">
      <c r="A43" s="180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6"/>
      <c r="S43" s="6"/>
      <c r="T43" s="184"/>
      <c r="U43" s="6"/>
    </row>
    <row r="44" spans="1:21" customFormat="1">
      <c r="A44" s="180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6"/>
      <c r="S44" s="6"/>
      <c r="T44" s="184"/>
      <c r="U44" s="6"/>
    </row>
    <row r="45" spans="1:21" customFormat="1">
      <c r="A45" s="180"/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6"/>
      <c r="S45" s="6"/>
      <c r="T45" s="184"/>
      <c r="U45" s="6"/>
    </row>
    <row r="46" spans="1:21" customFormat="1">
      <c r="A46" s="180"/>
      <c r="B46" s="181"/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6"/>
      <c r="S46" s="6"/>
      <c r="T46" s="184"/>
      <c r="U46" s="6"/>
    </row>
    <row r="47" spans="1:21" customFormat="1">
      <c r="A47" s="180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6"/>
      <c r="S47" s="6"/>
      <c r="T47" s="184"/>
      <c r="U47" s="6"/>
    </row>
    <row r="48" spans="1:21" customFormat="1">
      <c r="A48" s="180"/>
      <c r="B48" s="181"/>
      <c r="C48" s="181"/>
      <c r="D48" s="181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6"/>
      <c r="S48" s="6"/>
      <c r="T48" s="184"/>
      <c r="U48" s="6"/>
    </row>
    <row r="49" spans="1:21" customFormat="1">
      <c r="A49" s="180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6"/>
      <c r="S49" s="6"/>
      <c r="T49" s="184"/>
      <c r="U49" s="6"/>
    </row>
    <row r="50" spans="1:21" customFormat="1">
      <c r="A50" s="180"/>
      <c r="B50" s="181"/>
      <c r="C50" s="181"/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6"/>
      <c r="S50" s="6"/>
      <c r="T50" s="184"/>
      <c r="U50" s="6"/>
    </row>
    <row r="51" spans="1:21" customFormat="1">
      <c r="A51" s="180"/>
      <c r="B51" s="181"/>
      <c r="C51" s="181"/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6"/>
      <c r="S51" s="6"/>
      <c r="T51" s="184"/>
      <c r="U51" s="6"/>
    </row>
    <row r="52" spans="1:21" customFormat="1">
      <c r="A52" s="180"/>
      <c r="B52" s="181"/>
      <c r="C52" s="181"/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6"/>
      <c r="S52" s="6"/>
      <c r="T52" s="184"/>
      <c r="U52" s="6"/>
    </row>
    <row r="53" spans="1:21" customFormat="1">
      <c r="A53" s="180"/>
      <c r="B53" s="181"/>
      <c r="C53" s="181"/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6"/>
      <c r="S53" s="6"/>
      <c r="T53" s="184"/>
      <c r="U53" s="6"/>
    </row>
    <row r="54" spans="1:21" customFormat="1">
      <c r="A54" s="180"/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6"/>
      <c r="S54" s="6"/>
      <c r="T54" s="184"/>
      <c r="U54" s="6"/>
    </row>
    <row r="55" spans="1:21" customFormat="1">
      <c r="A55" s="180"/>
      <c r="B55" s="181"/>
      <c r="C55" s="181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6"/>
      <c r="S55" s="6"/>
      <c r="T55" s="184"/>
      <c r="U55" s="6"/>
    </row>
    <row r="56" spans="1:21" customFormat="1">
      <c r="A56" s="180"/>
      <c r="B56" s="181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6"/>
      <c r="S56" s="6"/>
      <c r="T56" s="184"/>
      <c r="U56" s="6"/>
    </row>
    <row r="57" spans="1:21" customFormat="1">
      <c r="A57" s="180"/>
      <c r="B57" s="181"/>
      <c r="C57" s="181"/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6"/>
      <c r="S57" s="6"/>
      <c r="T57" s="184"/>
      <c r="U57" s="6"/>
    </row>
    <row r="58" spans="1:21" customFormat="1">
      <c r="A58" s="180"/>
      <c r="B58" s="181"/>
      <c r="C58" s="181"/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6"/>
      <c r="S58" s="6"/>
      <c r="T58" s="184"/>
      <c r="U58" s="6"/>
    </row>
    <row r="59" spans="1:21" customFormat="1">
      <c r="A59" s="180"/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6"/>
      <c r="S59" s="6"/>
      <c r="T59" s="184"/>
      <c r="U59" s="6"/>
    </row>
    <row r="60" spans="1:21" customFormat="1">
      <c r="A60" s="180"/>
      <c r="B60" s="181"/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6"/>
      <c r="S60" s="6"/>
      <c r="T60" s="184"/>
      <c r="U60" s="6"/>
    </row>
    <row r="61" spans="1:21" customFormat="1">
      <c r="A61" s="180"/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6"/>
      <c r="S61" s="6"/>
      <c r="T61" s="184"/>
      <c r="U61" s="6"/>
    </row>
    <row r="62" spans="1:21" customFormat="1">
      <c r="A62" s="180"/>
      <c r="B62" s="181"/>
      <c r="C62" s="181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6"/>
      <c r="S62" s="6"/>
      <c r="T62" s="184"/>
      <c r="U62" s="6"/>
    </row>
    <row r="63" spans="1:21" customFormat="1">
      <c r="A63" s="180"/>
      <c r="B63" s="181"/>
      <c r="C63" s="181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6"/>
      <c r="S63" s="6"/>
      <c r="T63" s="184"/>
      <c r="U63" s="6"/>
    </row>
    <row r="64" spans="1:21" customFormat="1">
      <c r="A64" s="180"/>
      <c r="B64" s="181"/>
      <c r="C64" s="181"/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6"/>
      <c r="S64" s="6"/>
      <c r="T64" s="184"/>
      <c r="U64" s="6"/>
    </row>
    <row r="65" spans="1:21" customFormat="1">
      <c r="A65" s="180"/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6"/>
      <c r="S65" s="6"/>
      <c r="T65" s="184"/>
      <c r="U65" s="6"/>
    </row>
    <row r="66" spans="1:21" customFormat="1">
      <c r="A66" s="180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6"/>
      <c r="S66" s="6"/>
      <c r="T66" s="184"/>
      <c r="U66" s="6"/>
    </row>
    <row r="67" spans="1:21" customFormat="1">
      <c r="A67" s="180"/>
      <c r="B67" s="181"/>
      <c r="C67" s="181"/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6"/>
      <c r="S67" s="6"/>
      <c r="T67" s="184"/>
      <c r="U67" s="6"/>
    </row>
    <row r="68" spans="1:21" customFormat="1">
      <c r="A68" s="180"/>
      <c r="B68" s="181"/>
      <c r="C68" s="181"/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6"/>
      <c r="S68" s="6"/>
      <c r="T68" s="184"/>
      <c r="U68" s="6"/>
    </row>
    <row r="69" spans="1:21" customFormat="1">
      <c r="A69" s="180"/>
      <c r="B69" s="181"/>
      <c r="C69" s="181"/>
      <c r="D69" s="181"/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6"/>
      <c r="S69" s="6"/>
      <c r="T69" s="184"/>
      <c r="U69" s="6"/>
    </row>
    <row r="70" spans="1:21" customFormat="1">
      <c r="A70" s="180"/>
      <c r="B70" s="181"/>
      <c r="C70" s="181"/>
      <c r="D70" s="181"/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6"/>
      <c r="S70" s="6"/>
      <c r="T70" s="184"/>
      <c r="U70" s="6"/>
    </row>
    <row r="71" spans="1:21" customFormat="1">
      <c r="A71" s="180"/>
      <c r="B71" s="181"/>
      <c r="C71" s="181"/>
      <c r="D71" s="181"/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6"/>
      <c r="S71" s="6"/>
      <c r="T71" s="184"/>
      <c r="U71" s="6"/>
    </row>
    <row r="72" spans="1:21" customFormat="1">
      <c r="A72" s="180"/>
      <c r="B72" s="181"/>
      <c r="C72" s="181"/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6"/>
      <c r="S72" s="6"/>
      <c r="T72" s="184"/>
      <c r="U72" s="6"/>
    </row>
    <row r="73" spans="1:21" customFormat="1">
      <c r="A73" s="180"/>
      <c r="B73" s="181"/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6"/>
      <c r="S73" s="6"/>
      <c r="T73" s="184"/>
      <c r="U73" s="6"/>
    </row>
    <row r="74" spans="1:21" customFormat="1">
      <c r="A74" s="180"/>
      <c r="B74" s="181"/>
      <c r="C74" s="181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6"/>
      <c r="S74" s="6"/>
      <c r="T74" s="184"/>
      <c r="U74" s="6"/>
    </row>
    <row r="75" spans="1:21" customFormat="1">
      <c r="A75" s="180"/>
      <c r="B75" s="181"/>
      <c r="C75" s="181"/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6"/>
      <c r="S75" s="6"/>
      <c r="T75" s="184"/>
      <c r="U75" s="6"/>
    </row>
    <row r="76" spans="1:21" customFormat="1">
      <c r="A76" s="180"/>
      <c r="B76" s="181"/>
      <c r="C76" s="181"/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6"/>
      <c r="S76" s="6"/>
      <c r="T76" s="184"/>
      <c r="U76" s="6"/>
    </row>
    <row r="77" spans="1:21" customFormat="1">
      <c r="A77" s="180"/>
      <c r="B77" s="181"/>
      <c r="C77" s="181"/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6"/>
      <c r="S77" s="6"/>
      <c r="T77" s="184"/>
      <c r="U77" s="6"/>
    </row>
    <row r="78" spans="1:21" customFormat="1">
      <c r="A78" s="180"/>
      <c r="B78" s="181"/>
      <c r="C78" s="181"/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6"/>
      <c r="S78" s="6"/>
      <c r="T78" s="184"/>
      <c r="U78" s="6"/>
    </row>
    <row r="79" spans="1:21" customFormat="1">
      <c r="A79" s="180"/>
      <c r="B79" s="181"/>
      <c r="C79" s="181"/>
      <c r="D79" s="181"/>
      <c r="E79" s="185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6"/>
      <c r="S79" s="6"/>
      <c r="T79" s="184"/>
      <c r="U79" s="6"/>
    </row>
    <row r="80" spans="1:21" customFormat="1">
      <c r="A80" s="180"/>
      <c r="B80" s="181"/>
      <c r="C80" s="181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6"/>
      <c r="S80" s="6"/>
      <c r="T80" s="184"/>
      <c r="U80" s="6"/>
    </row>
    <row r="81" spans="1:26" customFormat="1">
      <c r="A81" s="180"/>
      <c r="B81" s="181"/>
      <c r="C81" s="181"/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6"/>
      <c r="S81" s="6"/>
      <c r="T81" s="184"/>
      <c r="U81" s="6"/>
    </row>
    <row r="82" spans="1:26" customFormat="1">
      <c r="A82" s="180"/>
      <c r="B82" s="181"/>
      <c r="C82" s="181"/>
      <c r="D82" s="181"/>
      <c r="E82" s="181"/>
      <c r="F82" s="181"/>
      <c r="G82" s="181"/>
      <c r="H82" s="181"/>
      <c r="I82" s="181"/>
      <c r="J82" s="190"/>
      <c r="K82" s="181"/>
      <c r="L82" s="181"/>
      <c r="M82" s="181"/>
      <c r="N82" s="181"/>
      <c r="O82" s="181"/>
      <c r="P82" s="181"/>
      <c r="Q82" s="181"/>
      <c r="R82" s="6"/>
      <c r="S82" s="6"/>
      <c r="T82" s="184"/>
      <c r="U82" s="6"/>
    </row>
    <row r="83" spans="1:26" customFormat="1">
      <c r="A83" s="180"/>
      <c r="B83" s="181"/>
      <c r="C83" s="181"/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6"/>
      <c r="S83" s="6"/>
      <c r="T83" s="184"/>
      <c r="U83" s="6"/>
    </row>
    <row r="84" spans="1:26" customFormat="1">
      <c r="A84" s="180"/>
      <c r="B84" s="181"/>
      <c r="C84" s="181"/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6"/>
      <c r="S84" s="6"/>
      <c r="T84" s="184"/>
      <c r="U84" s="6"/>
    </row>
    <row r="85" spans="1:26" customFormat="1">
      <c r="A85" s="180"/>
      <c r="B85" s="181"/>
      <c r="C85" s="181"/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6"/>
      <c r="S85" s="6"/>
      <c r="T85" s="184"/>
      <c r="U85" s="6"/>
    </row>
    <row r="86" spans="1:26" customFormat="1">
      <c r="A86" s="180"/>
      <c r="B86" s="181"/>
      <c r="C86" s="181"/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6"/>
      <c r="S86" s="6"/>
      <c r="T86" s="184"/>
      <c r="U86" s="6"/>
    </row>
    <row r="87" spans="1:26" customFormat="1">
      <c r="A87" s="180"/>
      <c r="B87" s="181"/>
      <c r="C87" s="181"/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6"/>
      <c r="S87" s="6"/>
      <c r="T87" s="184"/>
      <c r="U87" s="6"/>
    </row>
    <row r="88" spans="1:26" customFormat="1">
      <c r="A88" s="180"/>
      <c r="B88" s="181"/>
      <c r="C88" s="181"/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6"/>
      <c r="S88" s="6"/>
      <c r="T88" s="184"/>
      <c r="U88" s="6"/>
    </row>
    <row r="89" spans="1:26" customFormat="1">
      <c r="A89" s="180"/>
      <c r="B89" s="181"/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6"/>
      <c r="S89" s="6"/>
      <c r="T89" s="184"/>
      <c r="U89" s="6"/>
    </row>
    <row r="90" spans="1:26" customFormat="1">
      <c r="A90" s="180"/>
      <c r="B90" s="181"/>
      <c r="C90" s="181"/>
      <c r="D90" s="181"/>
      <c r="E90" s="181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6"/>
      <c r="S90" s="6"/>
      <c r="T90" s="184"/>
      <c r="U90" s="6"/>
    </row>
    <row r="91" spans="1:26" customFormat="1">
      <c r="A91" s="180"/>
      <c r="B91" s="181"/>
      <c r="C91" s="181"/>
      <c r="D91" s="181"/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6"/>
      <c r="S91" s="6"/>
      <c r="T91" s="184"/>
      <c r="U91" s="6"/>
    </row>
    <row r="92" spans="1:26" customFormat="1">
      <c r="A92" s="180"/>
      <c r="B92" s="181"/>
      <c r="C92" s="181"/>
      <c r="D92" s="181"/>
      <c r="E92" s="18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6"/>
      <c r="S92" s="6"/>
      <c r="T92" s="184"/>
      <c r="U92" s="6"/>
    </row>
    <row r="93" spans="1:26" customFormat="1">
      <c r="A93" s="180"/>
      <c r="B93" s="181"/>
      <c r="C93" s="181"/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6"/>
      <c r="S93" s="6"/>
      <c r="T93" s="184"/>
      <c r="U93" s="6"/>
    </row>
    <row r="94" spans="1:26" customFormat="1">
      <c r="A94" s="180"/>
      <c r="B94" s="181"/>
      <c r="C94" s="181"/>
      <c r="D94" s="181"/>
      <c r="E94" s="181"/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6"/>
      <c r="S94" s="6"/>
      <c r="T94" s="184"/>
      <c r="U94" s="6"/>
    </row>
    <row r="95" spans="1:26" customFormat="1">
      <c r="A95" s="180"/>
      <c r="B95" s="181"/>
      <c r="C95" s="181"/>
      <c r="D95" s="181"/>
      <c r="E95" s="181"/>
      <c r="F95" s="181"/>
      <c r="G95" s="181"/>
      <c r="H95" s="181"/>
      <c r="I95" s="181"/>
      <c r="J95" s="181"/>
      <c r="K95" s="181"/>
      <c r="L95" s="181"/>
      <c r="M95" s="181"/>
      <c r="N95" s="181"/>
      <c r="O95" s="181"/>
      <c r="P95" s="181"/>
      <c r="Q95" s="181"/>
      <c r="R95" s="6"/>
      <c r="S95" s="6"/>
      <c r="T95" s="184"/>
      <c r="U95" s="6"/>
    </row>
    <row r="96" spans="1:26" customFormat="1">
      <c r="A96" s="180"/>
      <c r="B96" s="181"/>
      <c r="C96" s="181"/>
      <c r="D96" s="181"/>
      <c r="E96" s="181"/>
      <c r="F96" s="181"/>
      <c r="G96" s="181"/>
      <c r="H96" s="181"/>
      <c r="I96" s="181"/>
      <c r="J96" s="181"/>
      <c r="K96" s="181"/>
      <c r="L96" s="181"/>
      <c r="M96" s="181"/>
      <c r="N96" s="181"/>
      <c r="O96" s="181"/>
      <c r="P96" s="181"/>
      <c r="Q96" s="181"/>
      <c r="R96" s="6"/>
      <c r="S96" s="6"/>
      <c r="T96" s="184"/>
      <c r="U96" s="6"/>
      <c r="Z96" s="194"/>
    </row>
    <row r="97" spans="1:33" customFormat="1">
      <c r="A97" s="180"/>
      <c r="B97" s="181"/>
      <c r="C97" s="181"/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6"/>
      <c r="S97" s="6"/>
      <c r="T97" s="184"/>
      <c r="U97" s="6"/>
    </row>
    <row r="98" spans="1:33" customFormat="1">
      <c r="A98" s="180"/>
      <c r="B98" s="181"/>
      <c r="C98" s="181"/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6"/>
      <c r="S98" s="6"/>
      <c r="T98" s="184"/>
      <c r="U98" s="6"/>
    </row>
    <row r="99" spans="1:33" customFormat="1">
      <c r="A99" s="180"/>
      <c r="B99" s="181"/>
      <c r="C99" s="181"/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6"/>
      <c r="S99" s="6"/>
      <c r="T99" s="184"/>
      <c r="U99" s="6"/>
    </row>
    <row r="100" spans="1:33" customFormat="1">
      <c r="A100" s="180"/>
      <c r="B100" s="181"/>
      <c r="C100" s="181"/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6"/>
      <c r="S100" s="6"/>
      <c r="T100" s="184"/>
      <c r="U100" s="6"/>
      <c r="AB100" s="195"/>
      <c r="AG100" s="194"/>
    </row>
    <row r="101" spans="1:33" customFormat="1">
      <c r="A101" s="180"/>
      <c r="B101" s="181"/>
      <c r="C101" s="181"/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6"/>
      <c r="S101" s="6"/>
      <c r="T101" s="184"/>
      <c r="U101" s="6"/>
    </row>
    <row r="102" spans="1:33" customFormat="1">
      <c r="A102" s="180"/>
      <c r="B102" s="181"/>
      <c r="C102" s="181"/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6"/>
      <c r="S102" s="6"/>
      <c r="T102" s="184"/>
      <c r="U102" s="6"/>
    </row>
    <row r="103" spans="1:33" customFormat="1">
      <c r="A103" s="180"/>
      <c r="B103" s="181"/>
      <c r="C103" s="181"/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6"/>
      <c r="S103" s="6"/>
      <c r="T103" s="184"/>
      <c r="U103" s="6"/>
    </row>
    <row r="104" spans="1:33" customFormat="1">
      <c r="A104" s="180"/>
      <c r="B104" s="181"/>
      <c r="C104" s="181"/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6"/>
      <c r="S104" s="6"/>
      <c r="T104" s="184"/>
      <c r="U104" s="6"/>
    </row>
    <row r="105" spans="1:33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33">
      <c r="A106" s="186" t="s">
        <v>48</v>
      </c>
      <c r="B106" s="187">
        <f>MIN(B9:B104)</f>
        <v>0</v>
      </c>
      <c r="C106" s="187">
        <f>MIN(C9:C104)</f>
        <v>0</v>
      </c>
      <c r="D106" s="187">
        <f t="shared" ref="D106:Q106" si="0">MIN(D9:D104)</f>
        <v>0</v>
      </c>
      <c r="E106" s="187">
        <f t="shared" si="0"/>
        <v>0</v>
      </c>
      <c r="F106" s="187">
        <f t="shared" si="0"/>
        <v>0</v>
      </c>
      <c r="G106" s="187">
        <f t="shared" si="0"/>
        <v>0</v>
      </c>
      <c r="H106" s="187">
        <f t="shared" si="0"/>
        <v>0</v>
      </c>
      <c r="I106" s="187">
        <f t="shared" si="0"/>
        <v>0</v>
      </c>
      <c r="J106" s="187">
        <f t="shared" si="0"/>
        <v>0</v>
      </c>
      <c r="K106" s="187">
        <f t="shared" si="0"/>
        <v>0</v>
      </c>
      <c r="L106" s="187">
        <f t="shared" si="0"/>
        <v>0</v>
      </c>
      <c r="M106" s="187">
        <f t="shared" si="0"/>
        <v>0</v>
      </c>
      <c r="N106" s="187">
        <f t="shared" si="0"/>
        <v>0</v>
      </c>
      <c r="O106" s="187">
        <f t="shared" si="0"/>
        <v>0</v>
      </c>
      <c r="P106" s="187">
        <f t="shared" si="0"/>
        <v>0</v>
      </c>
      <c r="Q106" s="187">
        <f t="shared" si="0"/>
        <v>0</v>
      </c>
      <c r="R106" s="192"/>
      <c r="S106" s="192"/>
      <c r="T106" s="192"/>
      <c r="U106" s="192"/>
    </row>
    <row r="107" spans="1:33">
      <c r="A107" s="186" t="s">
        <v>49</v>
      </c>
      <c r="B107" s="188">
        <f>MAX(B9:B104)</f>
        <v>0</v>
      </c>
      <c r="C107" s="188">
        <f t="shared" ref="C107:Q107" si="1">MAX(C9:C104)</f>
        <v>0</v>
      </c>
      <c r="D107" s="188">
        <f t="shared" si="1"/>
        <v>0</v>
      </c>
      <c r="E107" s="188">
        <f t="shared" si="1"/>
        <v>0</v>
      </c>
      <c r="F107" s="188">
        <f t="shared" si="1"/>
        <v>0</v>
      </c>
      <c r="G107" s="188">
        <f t="shared" si="1"/>
        <v>0</v>
      </c>
      <c r="H107" s="188">
        <f t="shared" si="1"/>
        <v>0</v>
      </c>
      <c r="I107" s="188">
        <f t="shared" si="1"/>
        <v>0</v>
      </c>
      <c r="J107" s="188">
        <f t="shared" si="1"/>
        <v>0</v>
      </c>
      <c r="K107" s="188">
        <f t="shared" si="1"/>
        <v>0</v>
      </c>
      <c r="L107" s="188">
        <f t="shared" si="1"/>
        <v>0</v>
      </c>
      <c r="M107" s="188">
        <f t="shared" si="1"/>
        <v>0</v>
      </c>
      <c r="N107" s="188">
        <f t="shared" si="1"/>
        <v>0</v>
      </c>
      <c r="O107" s="188">
        <f t="shared" si="1"/>
        <v>0</v>
      </c>
      <c r="P107" s="188">
        <f t="shared" si="1"/>
        <v>0</v>
      </c>
      <c r="Q107" s="188">
        <f t="shared" si="1"/>
        <v>0</v>
      </c>
      <c r="R107" s="193"/>
      <c r="S107" s="193"/>
      <c r="T107" s="193"/>
      <c r="U107" s="193"/>
    </row>
    <row r="108" spans="1:33">
      <c r="A108" s="186" t="s">
        <v>50</v>
      </c>
      <c r="B108" s="187" t="e">
        <f>AVERAGE(B9:B104)</f>
        <v>#DIV/0!</v>
      </c>
      <c r="C108" s="187" t="e">
        <f t="shared" ref="C108:Q108" si="2">AVERAGE(C9:C104)</f>
        <v>#DIV/0!</v>
      </c>
      <c r="D108" s="187" t="e">
        <f t="shared" si="2"/>
        <v>#DIV/0!</v>
      </c>
      <c r="E108" s="187" t="e">
        <f t="shared" si="2"/>
        <v>#DIV/0!</v>
      </c>
      <c r="F108" s="187" t="e">
        <f t="shared" si="2"/>
        <v>#DIV/0!</v>
      </c>
      <c r="G108" s="187" t="e">
        <f t="shared" si="2"/>
        <v>#DIV/0!</v>
      </c>
      <c r="H108" s="187" t="e">
        <f t="shared" si="2"/>
        <v>#DIV/0!</v>
      </c>
      <c r="I108" s="187" t="e">
        <f t="shared" si="2"/>
        <v>#DIV/0!</v>
      </c>
      <c r="J108" s="187" t="e">
        <f t="shared" si="2"/>
        <v>#DIV/0!</v>
      </c>
      <c r="K108" s="187" t="e">
        <f t="shared" si="2"/>
        <v>#DIV/0!</v>
      </c>
      <c r="L108" s="187" t="e">
        <f t="shared" si="2"/>
        <v>#DIV/0!</v>
      </c>
      <c r="M108" s="187" t="e">
        <f t="shared" si="2"/>
        <v>#DIV/0!</v>
      </c>
      <c r="N108" s="187" t="e">
        <f t="shared" si="2"/>
        <v>#DIV/0!</v>
      </c>
      <c r="O108" s="187" t="e">
        <f t="shared" si="2"/>
        <v>#DIV/0!</v>
      </c>
      <c r="P108" s="187" t="e">
        <f t="shared" si="2"/>
        <v>#DIV/0!</v>
      </c>
      <c r="Q108" s="187" t="e">
        <f t="shared" si="2"/>
        <v>#DIV/0!</v>
      </c>
      <c r="R108" s="192"/>
      <c r="S108" s="192"/>
      <c r="T108" s="192"/>
      <c r="U108" s="192"/>
    </row>
    <row r="109" spans="1:33">
      <c r="A109" s="186" t="s">
        <v>51</v>
      </c>
      <c r="B109" s="187" t="e">
        <f>STDEV(B9:B104)</f>
        <v>#DIV/0!</v>
      </c>
      <c r="C109" s="187" t="e">
        <f t="shared" ref="C109:Q109" si="3">STDEV(C9:C104)</f>
        <v>#DIV/0!</v>
      </c>
      <c r="D109" s="187" t="e">
        <f t="shared" si="3"/>
        <v>#DIV/0!</v>
      </c>
      <c r="E109" s="187" t="e">
        <f t="shared" si="3"/>
        <v>#DIV/0!</v>
      </c>
      <c r="F109" s="187" t="e">
        <f t="shared" si="3"/>
        <v>#DIV/0!</v>
      </c>
      <c r="G109" s="187" t="e">
        <f t="shared" si="3"/>
        <v>#DIV/0!</v>
      </c>
      <c r="H109" s="187" t="e">
        <f t="shared" si="3"/>
        <v>#DIV/0!</v>
      </c>
      <c r="I109" s="187" t="e">
        <f t="shared" si="3"/>
        <v>#DIV/0!</v>
      </c>
      <c r="J109" s="187" t="e">
        <f t="shared" si="3"/>
        <v>#DIV/0!</v>
      </c>
      <c r="K109" s="187" t="e">
        <f t="shared" si="3"/>
        <v>#DIV/0!</v>
      </c>
      <c r="L109" s="187" t="e">
        <f t="shared" si="3"/>
        <v>#DIV/0!</v>
      </c>
      <c r="M109" s="187" t="e">
        <f t="shared" si="3"/>
        <v>#DIV/0!</v>
      </c>
      <c r="N109" s="187" t="e">
        <f t="shared" si="3"/>
        <v>#DIV/0!</v>
      </c>
      <c r="O109" s="187" t="e">
        <f t="shared" si="3"/>
        <v>#DIV/0!</v>
      </c>
      <c r="P109" s="187" t="e">
        <f t="shared" si="3"/>
        <v>#DIV/0!</v>
      </c>
      <c r="Q109" s="187" t="e">
        <f t="shared" si="3"/>
        <v>#DIV/0!</v>
      </c>
      <c r="R109" s="192"/>
      <c r="S109" s="192"/>
      <c r="T109" s="192"/>
      <c r="U109" s="192"/>
    </row>
    <row r="110" spans="1:33">
      <c r="A110" s="186" t="s">
        <v>52</v>
      </c>
      <c r="B110" s="188">
        <f t="shared" ref="B110:Q110" si="4">COUNT(B9:B104)</f>
        <v>0</v>
      </c>
      <c r="C110" s="188">
        <f t="shared" si="4"/>
        <v>0</v>
      </c>
      <c r="D110" s="188">
        <f t="shared" si="4"/>
        <v>0</v>
      </c>
      <c r="E110" s="188">
        <f t="shared" si="4"/>
        <v>0</v>
      </c>
      <c r="F110" s="188">
        <f t="shared" si="4"/>
        <v>0</v>
      </c>
      <c r="G110" s="188">
        <f t="shared" si="4"/>
        <v>0</v>
      </c>
      <c r="H110" s="188">
        <f t="shared" si="4"/>
        <v>0</v>
      </c>
      <c r="I110" s="188">
        <f t="shared" si="4"/>
        <v>0</v>
      </c>
      <c r="J110" s="188">
        <f t="shared" si="4"/>
        <v>0</v>
      </c>
      <c r="K110" s="188">
        <f t="shared" si="4"/>
        <v>0</v>
      </c>
      <c r="L110" s="188">
        <f t="shared" si="4"/>
        <v>0</v>
      </c>
      <c r="M110" s="188">
        <f t="shared" si="4"/>
        <v>0</v>
      </c>
      <c r="N110" s="188">
        <f t="shared" si="4"/>
        <v>0</v>
      </c>
      <c r="O110" s="188">
        <f t="shared" si="4"/>
        <v>0</v>
      </c>
      <c r="P110" s="188">
        <f t="shared" si="4"/>
        <v>0</v>
      </c>
      <c r="Q110" s="188">
        <f t="shared" si="4"/>
        <v>0</v>
      </c>
      <c r="R110" s="193"/>
      <c r="S110" s="193"/>
      <c r="T110" s="193"/>
      <c r="U110" s="193"/>
      <c r="V110" s="188"/>
    </row>
    <row r="111" spans="1:33">
      <c r="A111" s="153" t="s">
        <v>53</v>
      </c>
      <c r="B111" s="147" t="str">
        <f>IF(B110&gt;=87,"&gt;90%",IF(B110&lt;=87,"&lt;90%"))</f>
        <v>&lt;90%</v>
      </c>
      <c r="C111" s="147" t="str">
        <f t="shared" ref="C111:Q111" si="5">IF(C110&gt;=87,"&gt;90%",IF(C110&lt;=87,"&lt;90%"))</f>
        <v>&lt;90%</v>
      </c>
      <c r="D111" s="147" t="str">
        <f t="shared" si="5"/>
        <v>&lt;90%</v>
      </c>
      <c r="E111" s="147" t="str">
        <f t="shared" si="5"/>
        <v>&lt;90%</v>
      </c>
      <c r="F111" s="147" t="str">
        <f t="shared" si="5"/>
        <v>&lt;90%</v>
      </c>
      <c r="G111" s="147" t="str">
        <f t="shared" si="5"/>
        <v>&lt;90%</v>
      </c>
      <c r="H111" s="147" t="str">
        <f t="shared" si="5"/>
        <v>&lt;90%</v>
      </c>
      <c r="I111" s="147" t="str">
        <f t="shared" si="5"/>
        <v>&lt;90%</v>
      </c>
      <c r="J111" s="147" t="str">
        <f t="shared" si="5"/>
        <v>&lt;90%</v>
      </c>
      <c r="K111" s="147" t="str">
        <f t="shared" si="5"/>
        <v>&lt;90%</v>
      </c>
      <c r="L111" s="147" t="str">
        <f t="shared" si="5"/>
        <v>&lt;90%</v>
      </c>
      <c r="M111" s="147" t="str">
        <f t="shared" si="5"/>
        <v>&lt;90%</v>
      </c>
      <c r="N111" s="147" t="str">
        <f t="shared" si="5"/>
        <v>&lt;90%</v>
      </c>
      <c r="O111" s="147" t="str">
        <f t="shared" si="5"/>
        <v>&lt;90%</v>
      </c>
      <c r="P111" s="147" t="str">
        <f t="shared" si="5"/>
        <v>&lt;90%</v>
      </c>
      <c r="Q111" s="147" t="str">
        <f t="shared" si="5"/>
        <v>&lt;90%</v>
      </c>
      <c r="R111" s="175"/>
      <c r="S111" s="175"/>
      <c r="T111" s="175"/>
      <c r="U111" s="175"/>
    </row>
    <row r="112" spans="1:33">
      <c r="A112" s="153" t="s">
        <v>54</v>
      </c>
      <c r="B112" s="147" t="str">
        <f>IF(B110&gt;=87,"OK",IF(B110&lt;=87,"LESS"))</f>
        <v>LESS</v>
      </c>
      <c r="C112" s="147" t="str">
        <f t="shared" ref="C112:Q112" si="6">IF(C110&gt;=87,"OK",IF(C110&lt;=87,"LESS"))</f>
        <v>LESS</v>
      </c>
      <c r="D112" s="147" t="str">
        <f t="shared" si="6"/>
        <v>LESS</v>
      </c>
      <c r="E112" s="147" t="str">
        <f t="shared" si="6"/>
        <v>LESS</v>
      </c>
      <c r="F112" s="147" t="str">
        <f t="shared" si="6"/>
        <v>LESS</v>
      </c>
      <c r="G112" s="147" t="str">
        <f t="shared" si="6"/>
        <v>LESS</v>
      </c>
      <c r="H112" s="147" t="str">
        <f t="shared" si="6"/>
        <v>LESS</v>
      </c>
      <c r="I112" s="147" t="str">
        <f t="shared" si="6"/>
        <v>LESS</v>
      </c>
      <c r="J112" s="147" t="str">
        <f t="shared" si="6"/>
        <v>LESS</v>
      </c>
      <c r="K112" s="147" t="str">
        <f t="shared" si="6"/>
        <v>LESS</v>
      </c>
      <c r="L112" s="147" t="str">
        <f t="shared" si="6"/>
        <v>LESS</v>
      </c>
      <c r="M112" s="147" t="str">
        <f t="shared" si="6"/>
        <v>LESS</v>
      </c>
      <c r="N112" s="147" t="str">
        <f t="shared" si="6"/>
        <v>LESS</v>
      </c>
      <c r="O112" s="147" t="str">
        <f t="shared" si="6"/>
        <v>LESS</v>
      </c>
      <c r="P112" s="147" t="str">
        <f t="shared" si="6"/>
        <v>LESS</v>
      </c>
      <c r="Q112" s="147" t="str">
        <f t="shared" si="6"/>
        <v>LESS</v>
      </c>
      <c r="R112" s="175"/>
      <c r="S112" s="175"/>
      <c r="T112" s="175"/>
      <c r="U112" s="175"/>
    </row>
    <row r="113" spans="1:21">
      <c r="L113" s="32"/>
      <c r="N113" s="191"/>
      <c r="O113" s="191"/>
      <c r="P113" s="191"/>
      <c r="Q113" s="191"/>
      <c r="R113" s="191"/>
      <c r="S113" s="191"/>
      <c r="T113" s="191"/>
      <c r="U113" s="191"/>
    </row>
    <row r="115" spans="1:21">
      <c r="A115" s="153" t="s">
        <v>55</v>
      </c>
      <c r="B115" s="197" t="s">
        <v>56</v>
      </c>
      <c r="C115" s="197"/>
      <c r="D115" s="197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9" t="s">
        <v>57</v>
      </c>
      <c r="B117" s="198"/>
      <c r="C117" s="198"/>
      <c r="D117" s="198"/>
      <c r="E117" s="198"/>
      <c r="F117" s="198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17"/>
  <sheetViews>
    <sheetView workbookViewId="0">
      <selection activeCell="A9" sqref="A9"/>
    </sheetView>
  </sheetViews>
  <sheetFormatPr defaultColWidth="9" defaultRowHeight="15"/>
  <cols>
    <col min="1" max="1" width="14.7109375" customWidth="1"/>
    <col min="2" max="2" width="14.140625" customWidth="1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0</v>
      </c>
      <c r="C2" s="196" t="s">
        <v>3</v>
      </c>
      <c r="D2" s="196"/>
      <c r="E2" s="196"/>
      <c r="F2" s="196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2" t="s">
        <v>7</v>
      </c>
      <c r="O2" s="166"/>
      <c r="P2" s="172" t="s">
        <v>8</v>
      </c>
      <c r="Q2" s="166"/>
      <c r="R2" s="2"/>
    </row>
    <row r="3" spans="1:21">
      <c r="A3" s="153" t="s">
        <v>9</v>
      </c>
      <c r="B3" s="147" t="s">
        <v>10</v>
      </c>
      <c r="C3" s="196" t="s">
        <v>11</v>
      </c>
      <c r="D3" s="196"/>
      <c r="E3" s="196"/>
      <c r="F3" s="196"/>
      <c r="G3" s="151" t="s">
        <v>12</v>
      </c>
      <c r="H3" s="150"/>
      <c r="I3" s="150"/>
      <c r="J3" s="48" t="s">
        <v>13</v>
      </c>
      <c r="L3" s="167" t="s">
        <v>14</v>
      </c>
      <c r="M3" s="147"/>
      <c r="N3" s="182" t="s">
        <v>15</v>
      </c>
      <c r="O3" s="147"/>
      <c r="P3" s="173" t="s">
        <v>15</v>
      </c>
      <c r="Q3" s="147"/>
      <c r="R3" s="2"/>
    </row>
    <row r="4" spans="1:21">
      <c r="A4" s="153" t="s">
        <v>16</v>
      </c>
      <c r="B4" s="147" t="s">
        <v>17</v>
      </c>
      <c r="C4" s="196" t="s">
        <v>18</v>
      </c>
      <c r="D4" s="196"/>
      <c r="E4" s="196"/>
      <c r="F4" s="196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N4" s="2"/>
      <c r="O4" s="147"/>
      <c r="P4" s="147"/>
      <c r="Q4" s="147"/>
      <c r="R4" s="147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3" t="s">
        <v>43</v>
      </c>
      <c r="M8" s="114" t="s">
        <v>44</v>
      </c>
      <c r="N8" s="114" t="s">
        <v>45</v>
      </c>
      <c r="O8" s="183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>
      <c r="A9" s="180"/>
      <c r="B9" s="181"/>
      <c r="C9" s="181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6"/>
      <c r="S9" s="6"/>
      <c r="T9" s="184"/>
      <c r="U9" s="6"/>
    </row>
    <row r="10" spans="1:21">
      <c r="A10" s="180"/>
      <c r="B10" s="181"/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6"/>
      <c r="S10" s="6"/>
      <c r="T10" s="184"/>
      <c r="U10" s="6"/>
    </row>
    <row r="11" spans="1:21">
      <c r="A11" s="180"/>
      <c r="B11" s="181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6"/>
      <c r="S11" s="6"/>
      <c r="T11" s="184"/>
      <c r="U11" s="6"/>
    </row>
    <row r="12" spans="1:21">
      <c r="A12" s="180"/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6"/>
      <c r="S12" s="6"/>
      <c r="T12" s="184"/>
      <c r="U12" s="6"/>
    </row>
    <row r="13" spans="1:21">
      <c r="A13" s="180"/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6"/>
      <c r="S13" s="6"/>
      <c r="T13" s="184"/>
      <c r="U13" s="6"/>
    </row>
    <row r="14" spans="1:21">
      <c r="A14" s="180"/>
      <c r="B14" s="181"/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6"/>
      <c r="S14" s="6"/>
      <c r="T14" s="184"/>
      <c r="U14" s="6"/>
    </row>
    <row r="15" spans="1:21">
      <c r="A15" s="180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6"/>
      <c r="S15" s="6"/>
      <c r="T15" s="184"/>
      <c r="U15" s="6"/>
    </row>
    <row r="16" spans="1:21">
      <c r="A16" s="180"/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6"/>
      <c r="S16" s="6"/>
      <c r="T16" s="184"/>
      <c r="U16" s="6"/>
    </row>
    <row r="17" spans="1:21">
      <c r="A17" s="180"/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6"/>
      <c r="S17" s="6"/>
      <c r="T17" s="184"/>
      <c r="U17" s="6"/>
    </row>
    <row r="18" spans="1:21">
      <c r="A18" s="180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6"/>
      <c r="S18" s="6"/>
      <c r="T18" s="184"/>
      <c r="U18" s="6"/>
    </row>
    <row r="19" spans="1:21">
      <c r="A19" s="180"/>
      <c r="B19" s="181"/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6"/>
      <c r="S19" s="6"/>
      <c r="T19" s="184"/>
      <c r="U19" s="6"/>
    </row>
    <row r="20" spans="1:21">
      <c r="A20" s="180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6"/>
      <c r="S20" s="6"/>
      <c r="T20" s="184"/>
      <c r="U20" s="6"/>
    </row>
    <row r="21" spans="1:21">
      <c r="A21" s="180"/>
      <c r="B21" s="181"/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6"/>
      <c r="S21" s="6"/>
      <c r="T21" s="184"/>
      <c r="U21" s="6"/>
    </row>
    <row r="22" spans="1:21">
      <c r="A22" s="180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6"/>
      <c r="S22" s="6"/>
      <c r="T22" s="184"/>
      <c r="U22" s="6"/>
    </row>
    <row r="23" spans="1:21">
      <c r="A23" s="180"/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6"/>
      <c r="S23" s="6"/>
      <c r="T23" s="184"/>
      <c r="U23" s="6"/>
    </row>
    <row r="24" spans="1:21">
      <c r="A24" s="180"/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6"/>
      <c r="S24" s="6"/>
      <c r="T24" s="184"/>
      <c r="U24" s="6"/>
    </row>
    <row r="25" spans="1:21">
      <c r="A25" s="180"/>
      <c r="B25" s="181"/>
      <c r="C25" s="181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6"/>
      <c r="S25" s="6"/>
      <c r="T25" s="184"/>
      <c r="U25" s="6"/>
    </row>
    <row r="26" spans="1:21">
      <c r="A26" s="180"/>
      <c r="B26" s="181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6"/>
      <c r="S26" s="6"/>
      <c r="T26" s="184"/>
      <c r="U26" s="6"/>
    </row>
    <row r="27" spans="1:21">
      <c r="A27" s="180"/>
      <c r="B27" s="181"/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6"/>
      <c r="S27" s="6"/>
      <c r="T27" s="184"/>
      <c r="U27" s="6"/>
    </row>
    <row r="28" spans="1:21">
      <c r="A28" s="180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6"/>
      <c r="S28" s="6"/>
      <c r="T28" s="184"/>
      <c r="U28" s="6"/>
    </row>
    <row r="29" spans="1:21">
      <c r="A29" s="180"/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6"/>
      <c r="S29" s="6"/>
      <c r="T29" s="184"/>
      <c r="U29" s="6"/>
    </row>
    <row r="30" spans="1:21">
      <c r="A30" s="180"/>
      <c r="B30" s="181"/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6"/>
      <c r="S30" s="6"/>
      <c r="T30" s="184"/>
      <c r="U30" s="6"/>
    </row>
    <row r="31" spans="1:21">
      <c r="A31" s="180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6"/>
      <c r="S31" s="6"/>
      <c r="T31" s="184"/>
      <c r="U31" s="6"/>
    </row>
    <row r="32" spans="1:21">
      <c r="A32" s="180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6"/>
      <c r="S32" s="6"/>
      <c r="T32" s="184"/>
      <c r="U32" s="6"/>
    </row>
    <row r="33" spans="1:21">
      <c r="A33" s="180"/>
      <c r="B33" s="181"/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6"/>
      <c r="S33" s="6"/>
      <c r="T33" s="184"/>
      <c r="U33" s="6"/>
    </row>
    <row r="34" spans="1:21">
      <c r="A34" s="180"/>
      <c r="B34" s="181"/>
      <c r="C34" s="181"/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6"/>
      <c r="S34" s="6"/>
      <c r="T34" s="184"/>
      <c r="U34" s="6"/>
    </row>
    <row r="35" spans="1:21">
      <c r="A35" s="180"/>
      <c r="B35" s="181"/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6"/>
      <c r="S35" s="6"/>
      <c r="T35" s="184"/>
      <c r="U35" s="6"/>
    </row>
    <row r="36" spans="1:21">
      <c r="A36" s="180"/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6"/>
      <c r="S36" s="6"/>
      <c r="T36" s="184"/>
      <c r="U36" s="6"/>
    </row>
    <row r="37" spans="1:21">
      <c r="A37" s="180"/>
      <c r="B37" s="181"/>
      <c r="C37" s="181"/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6"/>
      <c r="S37" s="6"/>
      <c r="T37" s="184"/>
      <c r="U37" s="6"/>
    </row>
    <row r="38" spans="1:21">
      <c r="A38" s="180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6"/>
      <c r="S38" s="6"/>
      <c r="T38" s="184"/>
      <c r="U38" s="6"/>
    </row>
    <row r="39" spans="1:21">
      <c r="A39" s="180"/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6"/>
      <c r="S39" s="6"/>
      <c r="T39" s="184"/>
      <c r="U39" s="6"/>
    </row>
    <row r="40" spans="1:21">
      <c r="A40" s="180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6"/>
      <c r="S40" s="6"/>
      <c r="T40" s="184"/>
      <c r="U40" s="6"/>
    </row>
    <row r="41" spans="1:21">
      <c r="A41" s="180"/>
      <c r="B41" s="181"/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6"/>
      <c r="S41" s="6"/>
      <c r="T41" s="184"/>
      <c r="U41" s="6"/>
    </row>
    <row r="42" spans="1:21">
      <c r="A42" s="180"/>
      <c r="B42" s="181"/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6"/>
      <c r="S42" s="6"/>
      <c r="T42" s="184"/>
      <c r="U42" s="6"/>
    </row>
    <row r="43" spans="1:21">
      <c r="A43" s="180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6"/>
      <c r="S43" s="6"/>
      <c r="T43" s="184"/>
      <c r="U43" s="6"/>
    </row>
    <row r="44" spans="1:21">
      <c r="A44" s="180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6"/>
      <c r="S44" s="6"/>
      <c r="T44" s="184"/>
      <c r="U44" s="6"/>
    </row>
    <row r="45" spans="1:21">
      <c r="A45" s="180"/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6"/>
      <c r="S45" s="6"/>
      <c r="T45" s="184"/>
      <c r="U45" s="6"/>
    </row>
    <row r="46" spans="1:21">
      <c r="A46" s="180"/>
      <c r="B46" s="181"/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6"/>
      <c r="S46" s="6"/>
      <c r="T46" s="184"/>
      <c r="U46" s="6"/>
    </row>
    <row r="47" spans="1:21">
      <c r="A47" s="180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6"/>
      <c r="S47" s="6"/>
      <c r="T47" s="184"/>
      <c r="U47" s="6"/>
    </row>
    <row r="48" spans="1:21">
      <c r="A48" s="180"/>
      <c r="B48" s="181"/>
      <c r="C48" s="181"/>
      <c r="D48" s="181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6"/>
      <c r="S48" s="6"/>
      <c r="T48" s="184"/>
      <c r="U48" s="6"/>
    </row>
    <row r="49" spans="1:21">
      <c r="A49" s="180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6"/>
      <c r="S49" s="6"/>
      <c r="T49" s="184"/>
      <c r="U49" s="6"/>
    </row>
    <row r="50" spans="1:21">
      <c r="A50" s="180"/>
      <c r="B50" s="181"/>
      <c r="C50" s="181"/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6"/>
      <c r="S50" s="6"/>
      <c r="T50" s="184"/>
      <c r="U50" s="6"/>
    </row>
    <row r="51" spans="1:21">
      <c r="A51" s="180"/>
      <c r="B51" s="181"/>
      <c r="C51" s="181"/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6"/>
      <c r="S51" s="6"/>
      <c r="T51" s="184"/>
      <c r="U51" s="6"/>
    </row>
    <row r="52" spans="1:21">
      <c r="A52" s="180"/>
      <c r="B52" s="181"/>
      <c r="C52" s="181"/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6"/>
      <c r="S52" s="6"/>
      <c r="T52" s="184"/>
      <c r="U52" s="6"/>
    </row>
    <row r="53" spans="1:21">
      <c r="A53" s="180"/>
      <c r="B53" s="181"/>
      <c r="C53" s="181"/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6"/>
      <c r="S53" s="6"/>
      <c r="T53" s="184"/>
      <c r="U53" s="6"/>
    </row>
    <row r="54" spans="1:21">
      <c r="A54" s="180"/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6"/>
      <c r="S54" s="6"/>
      <c r="T54" s="184"/>
      <c r="U54" s="6"/>
    </row>
    <row r="55" spans="1:21">
      <c r="A55" s="180"/>
      <c r="B55" s="181"/>
      <c r="C55" s="181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6"/>
      <c r="S55" s="6"/>
      <c r="T55" s="184"/>
      <c r="U55" s="6"/>
    </row>
    <row r="56" spans="1:21">
      <c r="A56" s="180"/>
      <c r="B56" s="181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6"/>
      <c r="S56" s="6"/>
      <c r="T56" s="184"/>
      <c r="U56" s="6"/>
    </row>
    <row r="57" spans="1:21">
      <c r="A57" s="180"/>
      <c r="B57" s="181"/>
      <c r="C57" s="181"/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6"/>
      <c r="S57" s="6"/>
      <c r="T57" s="184"/>
      <c r="U57" s="6"/>
    </row>
    <row r="58" spans="1:21">
      <c r="A58" s="180"/>
      <c r="B58" s="181"/>
      <c r="C58" s="181"/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6"/>
      <c r="S58" s="6"/>
      <c r="T58" s="184"/>
      <c r="U58" s="6"/>
    </row>
    <row r="59" spans="1:21">
      <c r="A59" s="180"/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6"/>
      <c r="S59" s="6"/>
      <c r="T59" s="184"/>
      <c r="U59" s="6"/>
    </row>
    <row r="60" spans="1:21">
      <c r="A60" s="180"/>
      <c r="B60" s="181"/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6"/>
      <c r="S60" s="6"/>
      <c r="T60" s="184"/>
      <c r="U60" s="6"/>
    </row>
    <row r="61" spans="1:21">
      <c r="A61" s="180"/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6"/>
      <c r="S61" s="6"/>
      <c r="T61" s="184"/>
      <c r="U61" s="6"/>
    </row>
    <row r="62" spans="1:21">
      <c r="A62" s="180"/>
      <c r="B62" s="181"/>
      <c r="C62" s="181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6"/>
      <c r="S62" s="6"/>
      <c r="T62" s="184"/>
      <c r="U62" s="6"/>
    </row>
    <row r="63" spans="1:21">
      <c r="A63" s="180"/>
      <c r="B63" s="181"/>
      <c r="C63" s="181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6"/>
      <c r="S63" s="6"/>
      <c r="T63" s="184"/>
      <c r="U63" s="6"/>
    </row>
    <row r="64" spans="1:21">
      <c r="A64" s="180"/>
      <c r="B64" s="181"/>
      <c r="C64" s="181"/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6"/>
      <c r="S64" s="6"/>
      <c r="T64" s="184"/>
      <c r="U64" s="6"/>
    </row>
    <row r="65" spans="1:21">
      <c r="A65" s="180"/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6"/>
      <c r="S65" s="6"/>
      <c r="T65" s="184"/>
      <c r="U65" s="6"/>
    </row>
    <row r="66" spans="1:21">
      <c r="A66" s="180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6"/>
      <c r="S66" s="6"/>
      <c r="T66" s="184"/>
      <c r="U66" s="6"/>
    </row>
    <row r="67" spans="1:21">
      <c r="A67" s="180"/>
      <c r="B67" s="181"/>
      <c r="C67" s="181"/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6"/>
      <c r="S67" s="6"/>
      <c r="T67" s="184"/>
      <c r="U67" s="6"/>
    </row>
    <row r="68" spans="1:21">
      <c r="A68" s="180"/>
      <c r="B68" s="181"/>
      <c r="C68" s="181"/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6"/>
      <c r="S68" s="6"/>
      <c r="T68" s="184"/>
      <c r="U68" s="6"/>
    </row>
    <row r="69" spans="1:21">
      <c r="A69" s="180"/>
      <c r="B69" s="181"/>
      <c r="C69" s="181"/>
      <c r="D69" s="181"/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6"/>
      <c r="S69" s="6"/>
      <c r="T69" s="184"/>
      <c r="U69" s="6"/>
    </row>
    <row r="70" spans="1:21">
      <c r="A70" s="180"/>
      <c r="B70" s="181"/>
      <c r="C70" s="181"/>
      <c r="D70" s="181"/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6"/>
      <c r="S70" s="6"/>
      <c r="T70" s="184"/>
      <c r="U70" s="6"/>
    </row>
    <row r="71" spans="1:21">
      <c r="A71" s="180"/>
      <c r="B71" s="181"/>
      <c r="C71" s="181"/>
      <c r="D71" s="181"/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6"/>
      <c r="S71" s="6"/>
      <c r="T71" s="184"/>
      <c r="U71" s="6"/>
    </row>
    <row r="72" spans="1:21">
      <c r="A72" s="180"/>
      <c r="B72" s="181"/>
      <c r="C72" s="181"/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6"/>
      <c r="S72" s="6"/>
      <c r="T72" s="184"/>
      <c r="U72" s="6"/>
    </row>
    <row r="73" spans="1:21">
      <c r="A73" s="180"/>
      <c r="B73" s="181"/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6"/>
      <c r="S73" s="6"/>
      <c r="T73" s="184"/>
      <c r="U73" s="6"/>
    </row>
    <row r="74" spans="1:21">
      <c r="A74" s="180"/>
      <c r="B74" s="181"/>
      <c r="C74" s="181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6"/>
      <c r="S74" s="6"/>
      <c r="T74" s="184"/>
      <c r="U74" s="6"/>
    </row>
    <row r="75" spans="1:21">
      <c r="A75" s="180"/>
      <c r="B75" s="181"/>
      <c r="C75" s="181"/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6"/>
      <c r="S75" s="6"/>
      <c r="T75" s="184"/>
      <c r="U75" s="6"/>
    </row>
    <row r="76" spans="1:21">
      <c r="A76" s="180"/>
      <c r="B76" s="181"/>
      <c r="C76" s="181"/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6"/>
      <c r="S76" s="6"/>
      <c r="T76" s="184"/>
      <c r="U76" s="6"/>
    </row>
    <row r="77" spans="1:21">
      <c r="A77" s="180"/>
      <c r="B77" s="181"/>
      <c r="C77" s="181"/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6"/>
      <c r="S77" s="6"/>
      <c r="T77" s="184"/>
      <c r="U77" s="6"/>
    </row>
    <row r="78" spans="1:21">
      <c r="A78" s="180"/>
      <c r="B78" s="181"/>
      <c r="C78" s="181"/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6"/>
      <c r="S78" s="6"/>
      <c r="T78" s="184"/>
      <c r="U78" s="6"/>
    </row>
    <row r="79" spans="1:21">
      <c r="A79" s="180"/>
      <c r="B79" s="181"/>
      <c r="C79" s="181"/>
      <c r="D79" s="181"/>
      <c r="E79" s="185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6"/>
      <c r="S79" s="6"/>
      <c r="T79" s="184"/>
      <c r="U79" s="6"/>
    </row>
    <row r="80" spans="1:21">
      <c r="A80" s="180"/>
      <c r="B80" s="181"/>
      <c r="C80" s="181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6"/>
      <c r="S80" s="6"/>
      <c r="T80" s="184"/>
      <c r="U80" s="6"/>
    </row>
    <row r="81" spans="1:21">
      <c r="A81" s="180"/>
      <c r="B81" s="181"/>
      <c r="C81" s="181"/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6"/>
      <c r="S81" s="6"/>
      <c r="T81" s="184"/>
      <c r="U81" s="6"/>
    </row>
    <row r="82" spans="1:21">
      <c r="A82" s="180"/>
      <c r="B82" s="181"/>
      <c r="C82" s="181"/>
      <c r="D82" s="181"/>
      <c r="E82" s="181"/>
      <c r="F82" s="181"/>
      <c r="G82" s="181"/>
      <c r="H82" s="181"/>
      <c r="I82" s="181"/>
      <c r="J82" s="190"/>
      <c r="K82" s="181"/>
      <c r="L82" s="181"/>
      <c r="M82" s="181"/>
      <c r="N82" s="181"/>
      <c r="O82" s="181"/>
      <c r="P82" s="181"/>
      <c r="Q82" s="181"/>
      <c r="R82" s="6"/>
      <c r="S82" s="6"/>
      <c r="T82" s="184"/>
      <c r="U82" s="6"/>
    </row>
    <row r="83" spans="1:21">
      <c r="A83" s="180"/>
      <c r="B83" s="181"/>
      <c r="C83" s="181"/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6"/>
      <c r="S83" s="6"/>
      <c r="T83" s="184"/>
      <c r="U83" s="6"/>
    </row>
    <row r="84" spans="1:21">
      <c r="A84" s="180"/>
      <c r="B84" s="181"/>
      <c r="C84" s="181"/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6"/>
      <c r="S84" s="6"/>
      <c r="T84" s="184"/>
      <c r="U84" s="6"/>
    </row>
    <row r="85" spans="1:21">
      <c r="A85" s="180"/>
      <c r="B85" s="181"/>
      <c r="C85" s="181"/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6"/>
      <c r="S85" s="6"/>
      <c r="T85" s="184"/>
      <c r="U85" s="6"/>
    </row>
    <row r="86" spans="1:21">
      <c r="A86" s="180"/>
      <c r="B86" s="181"/>
      <c r="C86" s="181"/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6"/>
      <c r="S86" s="6"/>
      <c r="T86" s="184"/>
      <c r="U86" s="6"/>
    </row>
    <row r="87" spans="1:21">
      <c r="A87" s="180"/>
      <c r="B87" s="181"/>
      <c r="C87" s="181"/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6"/>
      <c r="S87" s="6"/>
      <c r="T87" s="184"/>
      <c r="U87" s="6"/>
    </row>
    <row r="88" spans="1:21">
      <c r="A88" s="180"/>
      <c r="B88" s="181"/>
      <c r="C88" s="181"/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6"/>
      <c r="S88" s="6"/>
      <c r="T88" s="184"/>
      <c r="U88" s="6"/>
    </row>
    <row r="89" spans="1:21">
      <c r="A89" s="180"/>
      <c r="B89" s="181"/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6"/>
      <c r="S89" s="6"/>
      <c r="T89" s="184"/>
      <c r="U89" s="6"/>
    </row>
    <row r="90" spans="1:21">
      <c r="A90" s="180"/>
      <c r="B90" s="181"/>
      <c r="C90" s="181"/>
      <c r="D90" s="181"/>
      <c r="E90" s="181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6"/>
      <c r="S90" s="6"/>
      <c r="T90" s="184"/>
      <c r="U90" s="6"/>
    </row>
    <row r="91" spans="1:21">
      <c r="A91" s="180"/>
      <c r="B91" s="181"/>
      <c r="C91" s="181"/>
      <c r="D91" s="181"/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6"/>
      <c r="S91" s="6"/>
      <c r="T91" s="184"/>
      <c r="U91" s="6"/>
    </row>
    <row r="92" spans="1:21">
      <c r="A92" s="180"/>
      <c r="B92" s="181"/>
      <c r="C92" s="181"/>
      <c r="D92" s="181"/>
      <c r="E92" s="18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6"/>
      <c r="S92" s="6"/>
      <c r="T92" s="184"/>
      <c r="U92" s="6"/>
    </row>
    <row r="93" spans="1:21">
      <c r="A93" s="180"/>
      <c r="B93" s="181"/>
      <c r="C93" s="181"/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6"/>
      <c r="S93" s="6"/>
      <c r="T93" s="184"/>
      <c r="U93" s="6"/>
    </row>
    <row r="94" spans="1:21">
      <c r="A94" s="180"/>
      <c r="B94" s="181"/>
      <c r="C94" s="181"/>
      <c r="D94" s="181"/>
      <c r="E94" s="181"/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6"/>
      <c r="S94" s="6"/>
      <c r="T94" s="184"/>
      <c r="U94" s="6"/>
    </row>
    <row r="95" spans="1:21">
      <c r="A95" s="180"/>
      <c r="B95" s="181"/>
      <c r="C95" s="181"/>
      <c r="D95" s="181"/>
      <c r="E95" s="181"/>
      <c r="F95" s="181"/>
      <c r="G95" s="181"/>
      <c r="H95" s="181"/>
      <c r="I95" s="181"/>
      <c r="J95" s="181"/>
      <c r="K95" s="181"/>
      <c r="L95" s="181"/>
      <c r="M95" s="181"/>
      <c r="N95" s="181"/>
      <c r="O95" s="181"/>
      <c r="P95" s="181"/>
      <c r="Q95" s="181"/>
      <c r="R95" s="6"/>
      <c r="S95" s="6"/>
      <c r="T95" s="184"/>
      <c r="U95" s="6"/>
    </row>
    <row r="96" spans="1:21">
      <c r="A96" s="180"/>
      <c r="B96" s="181"/>
      <c r="C96" s="181"/>
      <c r="D96" s="181"/>
      <c r="E96" s="181"/>
      <c r="F96" s="181"/>
      <c r="G96" s="181"/>
      <c r="H96" s="181"/>
      <c r="I96" s="181"/>
      <c r="J96" s="181"/>
      <c r="K96" s="181"/>
      <c r="L96" s="181"/>
      <c r="M96" s="181"/>
      <c r="N96" s="181"/>
      <c r="O96" s="181"/>
      <c r="P96" s="181"/>
      <c r="Q96" s="181"/>
      <c r="R96" s="6"/>
      <c r="S96" s="6"/>
      <c r="T96" s="184"/>
      <c r="U96" s="6"/>
    </row>
    <row r="97" spans="1:21">
      <c r="A97" s="180"/>
      <c r="B97" s="181"/>
      <c r="C97" s="181"/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6"/>
      <c r="S97" s="6"/>
      <c r="T97" s="184"/>
      <c r="U97" s="6"/>
    </row>
    <row r="98" spans="1:21">
      <c r="A98" s="180"/>
      <c r="B98" s="181"/>
      <c r="C98" s="181"/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6"/>
      <c r="S98" s="6"/>
      <c r="T98" s="184"/>
      <c r="U98" s="6"/>
    </row>
    <row r="99" spans="1:21">
      <c r="A99" s="180"/>
      <c r="B99" s="181"/>
      <c r="C99" s="181"/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6"/>
      <c r="S99" s="6"/>
      <c r="T99" s="184"/>
      <c r="U99" s="6"/>
    </row>
    <row r="100" spans="1:21">
      <c r="A100" s="180"/>
      <c r="B100" s="181"/>
      <c r="C100" s="181"/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6"/>
      <c r="S100" s="6"/>
      <c r="T100" s="184"/>
      <c r="U100" s="6"/>
    </row>
    <row r="101" spans="1:21">
      <c r="A101" s="180"/>
      <c r="B101" s="181"/>
      <c r="C101" s="181"/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6"/>
      <c r="S101" s="6"/>
      <c r="T101" s="184"/>
      <c r="U101" s="6"/>
    </row>
    <row r="102" spans="1:21">
      <c r="A102" s="180"/>
      <c r="B102" s="181"/>
      <c r="C102" s="181"/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6"/>
      <c r="S102" s="6"/>
      <c r="T102" s="184"/>
      <c r="U102" s="6"/>
    </row>
    <row r="103" spans="1:21">
      <c r="A103" s="180"/>
      <c r="B103" s="181"/>
      <c r="C103" s="181"/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6"/>
      <c r="S103" s="6"/>
      <c r="T103" s="184"/>
      <c r="U103" s="6"/>
    </row>
    <row r="104" spans="1:21">
      <c r="A104" s="180"/>
      <c r="B104" s="181"/>
      <c r="C104" s="181"/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6"/>
      <c r="S104" s="6"/>
      <c r="T104" s="184"/>
      <c r="U104" s="6"/>
    </row>
    <row r="105" spans="1:21">
      <c r="A105" s="32"/>
      <c r="B105" s="2"/>
      <c r="C105" s="2"/>
      <c r="D105" s="2"/>
      <c r="E105" s="2"/>
      <c r="F105" s="2"/>
      <c r="G105" s="32"/>
      <c r="H105" s="32"/>
      <c r="I105" s="32"/>
      <c r="J105" s="2"/>
      <c r="K105" s="2"/>
      <c r="L105" s="32"/>
      <c r="M105" s="32"/>
      <c r="N105" s="32"/>
      <c r="O105" s="32"/>
      <c r="P105" s="32"/>
      <c r="Q105" s="2"/>
      <c r="R105" s="11"/>
      <c r="S105" s="11"/>
      <c r="T105" s="11"/>
      <c r="U105" s="11"/>
    </row>
    <row r="106" spans="1:21">
      <c r="A106" s="186" t="s">
        <v>48</v>
      </c>
      <c r="B106" s="187">
        <f>MIN(B9:B104)</f>
        <v>0</v>
      </c>
      <c r="C106" s="187">
        <f>MIN(C9:C104)</f>
        <v>0</v>
      </c>
      <c r="D106" s="187">
        <f t="shared" ref="D106:Q106" si="0">MIN(D9:D104)</f>
        <v>0</v>
      </c>
      <c r="E106" s="187">
        <f t="shared" si="0"/>
        <v>0</v>
      </c>
      <c r="F106" s="187">
        <f t="shared" si="0"/>
        <v>0</v>
      </c>
      <c r="G106" s="187">
        <f t="shared" si="0"/>
        <v>0</v>
      </c>
      <c r="H106" s="187">
        <f t="shared" si="0"/>
        <v>0</v>
      </c>
      <c r="I106" s="187">
        <f t="shared" si="0"/>
        <v>0</v>
      </c>
      <c r="J106" s="187">
        <f t="shared" si="0"/>
        <v>0</v>
      </c>
      <c r="K106" s="187">
        <f t="shared" si="0"/>
        <v>0</v>
      </c>
      <c r="L106" s="187">
        <f t="shared" si="0"/>
        <v>0</v>
      </c>
      <c r="M106" s="187">
        <f t="shared" si="0"/>
        <v>0</v>
      </c>
      <c r="N106" s="187">
        <f t="shared" si="0"/>
        <v>0</v>
      </c>
      <c r="O106" s="187">
        <f t="shared" si="0"/>
        <v>0</v>
      </c>
      <c r="P106" s="187">
        <f t="shared" si="0"/>
        <v>0</v>
      </c>
      <c r="Q106" s="187">
        <f t="shared" si="0"/>
        <v>0</v>
      </c>
      <c r="R106" s="192"/>
      <c r="S106" s="192"/>
      <c r="T106" s="192"/>
      <c r="U106" s="192"/>
    </row>
    <row r="107" spans="1:21">
      <c r="A107" s="186" t="s">
        <v>49</v>
      </c>
      <c r="B107" s="188">
        <f>MAX(B9:B104)</f>
        <v>0</v>
      </c>
      <c r="C107" s="188">
        <f t="shared" ref="C107:Q107" si="1">MAX(C9:C104)</f>
        <v>0</v>
      </c>
      <c r="D107" s="188">
        <f t="shared" si="1"/>
        <v>0</v>
      </c>
      <c r="E107" s="188">
        <f t="shared" si="1"/>
        <v>0</v>
      </c>
      <c r="F107" s="188">
        <f t="shared" si="1"/>
        <v>0</v>
      </c>
      <c r="G107" s="188">
        <f t="shared" si="1"/>
        <v>0</v>
      </c>
      <c r="H107" s="188">
        <f t="shared" si="1"/>
        <v>0</v>
      </c>
      <c r="I107" s="188">
        <f t="shared" si="1"/>
        <v>0</v>
      </c>
      <c r="J107" s="188">
        <f t="shared" si="1"/>
        <v>0</v>
      </c>
      <c r="K107" s="188">
        <f t="shared" si="1"/>
        <v>0</v>
      </c>
      <c r="L107" s="188">
        <f t="shared" si="1"/>
        <v>0</v>
      </c>
      <c r="M107" s="188">
        <f t="shared" si="1"/>
        <v>0</v>
      </c>
      <c r="N107" s="188">
        <f t="shared" si="1"/>
        <v>0</v>
      </c>
      <c r="O107" s="188">
        <f t="shared" si="1"/>
        <v>0</v>
      </c>
      <c r="P107" s="188">
        <f t="shared" si="1"/>
        <v>0</v>
      </c>
      <c r="Q107" s="188">
        <f t="shared" si="1"/>
        <v>0</v>
      </c>
      <c r="R107" s="193"/>
      <c r="S107" s="193"/>
      <c r="T107" s="193"/>
      <c r="U107" s="193"/>
    </row>
    <row r="108" spans="1:21">
      <c r="A108" s="186" t="s">
        <v>50</v>
      </c>
      <c r="B108" s="187" t="e">
        <f>AVERAGE(B9:B104)</f>
        <v>#DIV/0!</v>
      </c>
      <c r="C108" s="187" t="e">
        <f t="shared" ref="C108:Q108" si="2">AVERAGE(C9:C104)</f>
        <v>#DIV/0!</v>
      </c>
      <c r="D108" s="187" t="e">
        <f t="shared" si="2"/>
        <v>#DIV/0!</v>
      </c>
      <c r="E108" s="187" t="e">
        <f t="shared" si="2"/>
        <v>#DIV/0!</v>
      </c>
      <c r="F108" s="187" t="e">
        <f t="shared" si="2"/>
        <v>#DIV/0!</v>
      </c>
      <c r="G108" s="187" t="e">
        <f t="shared" si="2"/>
        <v>#DIV/0!</v>
      </c>
      <c r="H108" s="187" t="e">
        <f t="shared" si="2"/>
        <v>#DIV/0!</v>
      </c>
      <c r="I108" s="187" t="e">
        <f t="shared" si="2"/>
        <v>#DIV/0!</v>
      </c>
      <c r="J108" s="187" t="e">
        <f t="shared" si="2"/>
        <v>#DIV/0!</v>
      </c>
      <c r="K108" s="187" t="e">
        <f t="shared" si="2"/>
        <v>#DIV/0!</v>
      </c>
      <c r="L108" s="187" t="e">
        <f t="shared" si="2"/>
        <v>#DIV/0!</v>
      </c>
      <c r="M108" s="187" t="e">
        <f t="shared" si="2"/>
        <v>#DIV/0!</v>
      </c>
      <c r="N108" s="187" t="e">
        <f t="shared" si="2"/>
        <v>#DIV/0!</v>
      </c>
      <c r="O108" s="187" t="e">
        <f t="shared" si="2"/>
        <v>#DIV/0!</v>
      </c>
      <c r="P108" s="187" t="e">
        <f t="shared" si="2"/>
        <v>#DIV/0!</v>
      </c>
      <c r="Q108" s="187" t="e">
        <f t="shared" si="2"/>
        <v>#DIV/0!</v>
      </c>
      <c r="R108" s="192"/>
      <c r="S108" s="192"/>
      <c r="T108" s="192"/>
      <c r="U108" s="192"/>
    </row>
    <row r="109" spans="1:21">
      <c r="A109" s="186" t="s">
        <v>51</v>
      </c>
      <c r="B109" s="187" t="e">
        <f>STDEV(B9:B104)</f>
        <v>#DIV/0!</v>
      </c>
      <c r="C109" s="187" t="e">
        <f t="shared" ref="C109:Q109" si="3">STDEV(C9:C104)</f>
        <v>#DIV/0!</v>
      </c>
      <c r="D109" s="187" t="e">
        <f t="shared" si="3"/>
        <v>#DIV/0!</v>
      </c>
      <c r="E109" s="187" t="e">
        <f t="shared" si="3"/>
        <v>#DIV/0!</v>
      </c>
      <c r="F109" s="187" t="e">
        <f t="shared" si="3"/>
        <v>#DIV/0!</v>
      </c>
      <c r="G109" s="187" t="e">
        <f t="shared" si="3"/>
        <v>#DIV/0!</v>
      </c>
      <c r="H109" s="187" t="e">
        <f t="shared" si="3"/>
        <v>#DIV/0!</v>
      </c>
      <c r="I109" s="187" t="e">
        <f t="shared" si="3"/>
        <v>#DIV/0!</v>
      </c>
      <c r="J109" s="187" t="e">
        <f t="shared" si="3"/>
        <v>#DIV/0!</v>
      </c>
      <c r="K109" s="187" t="e">
        <f t="shared" si="3"/>
        <v>#DIV/0!</v>
      </c>
      <c r="L109" s="187" t="e">
        <f t="shared" si="3"/>
        <v>#DIV/0!</v>
      </c>
      <c r="M109" s="187" t="e">
        <f t="shared" si="3"/>
        <v>#DIV/0!</v>
      </c>
      <c r="N109" s="187" t="e">
        <f t="shared" si="3"/>
        <v>#DIV/0!</v>
      </c>
      <c r="O109" s="187" t="e">
        <f t="shared" si="3"/>
        <v>#DIV/0!</v>
      </c>
      <c r="P109" s="187" t="e">
        <f t="shared" si="3"/>
        <v>#DIV/0!</v>
      </c>
      <c r="Q109" s="187" t="e">
        <f t="shared" si="3"/>
        <v>#DIV/0!</v>
      </c>
      <c r="R109" s="192"/>
      <c r="S109" s="192"/>
      <c r="T109" s="192"/>
      <c r="U109" s="192"/>
    </row>
    <row r="110" spans="1:21">
      <c r="A110" s="186" t="s">
        <v>52</v>
      </c>
      <c r="B110" s="188">
        <f t="shared" ref="B110:Q110" si="4">COUNT(B9:B104)</f>
        <v>0</v>
      </c>
      <c r="C110" s="188">
        <f t="shared" si="4"/>
        <v>0</v>
      </c>
      <c r="D110" s="188">
        <f t="shared" si="4"/>
        <v>0</v>
      </c>
      <c r="E110" s="188">
        <f t="shared" si="4"/>
        <v>0</v>
      </c>
      <c r="F110" s="188">
        <f t="shared" si="4"/>
        <v>0</v>
      </c>
      <c r="G110" s="188">
        <f t="shared" si="4"/>
        <v>0</v>
      </c>
      <c r="H110" s="188">
        <f t="shared" si="4"/>
        <v>0</v>
      </c>
      <c r="I110" s="188">
        <f t="shared" si="4"/>
        <v>0</v>
      </c>
      <c r="J110" s="188">
        <f t="shared" si="4"/>
        <v>0</v>
      </c>
      <c r="K110" s="188">
        <f t="shared" si="4"/>
        <v>0</v>
      </c>
      <c r="L110" s="188">
        <f t="shared" si="4"/>
        <v>0</v>
      </c>
      <c r="M110" s="188">
        <f t="shared" si="4"/>
        <v>0</v>
      </c>
      <c r="N110" s="188">
        <f t="shared" si="4"/>
        <v>0</v>
      </c>
      <c r="O110" s="188">
        <f t="shared" si="4"/>
        <v>0</v>
      </c>
      <c r="P110" s="188">
        <f t="shared" si="4"/>
        <v>0</v>
      </c>
      <c r="Q110" s="188">
        <f t="shared" si="4"/>
        <v>0</v>
      </c>
      <c r="R110" s="193"/>
      <c r="S110" s="193"/>
      <c r="T110" s="193"/>
      <c r="U110" s="193"/>
    </row>
    <row r="111" spans="1:21">
      <c r="A111" s="153" t="s">
        <v>53</v>
      </c>
      <c r="B111" s="147" t="str">
        <f>IF(B110&gt;=87,"&gt;90%",IF(B110&lt;=87,"&lt;90%"))</f>
        <v>&lt;90%</v>
      </c>
      <c r="C111" s="147" t="str">
        <f t="shared" ref="C111:Q111" si="5">IF(C110&gt;=87,"&gt;90%",IF(C110&lt;=87,"&lt;90%"))</f>
        <v>&lt;90%</v>
      </c>
      <c r="D111" s="147" t="str">
        <f t="shared" si="5"/>
        <v>&lt;90%</v>
      </c>
      <c r="E111" s="147" t="str">
        <f t="shared" si="5"/>
        <v>&lt;90%</v>
      </c>
      <c r="F111" s="147" t="str">
        <f t="shared" si="5"/>
        <v>&lt;90%</v>
      </c>
      <c r="G111" s="147" t="str">
        <f t="shared" si="5"/>
        <v>&lt;90%</v>
      </c>
      <c r="H111" s="147" t="str">
        <f t="shared" si="5"/>
        <v>&lt;90%</v>
      </c>
      <c r="I111" s="147" t="str">
        <f t="shared" si="5"/>
        <v>&lt;90%</v>
      </c>
      <c r="J111" s="147" t="str">
        <f t="shared" si="5"/>
        <v>&lt;90%</v>
      </c>
      <c r="K111" s="147" t="str">
        <f t="shared" si="5"/>
        <v>&lt;90%</v>
      </c>
      <c r="L111" s="147" t="str">
        <f t="shared" si="5"/>
        <v>&lt;90%</v>
      </c>
      <c r="M111" s="147" t="str">
        <f t="shared" si="5"/>
        <v>&lt;90%</v>
      </c>
      <c r="N111" s="147" t="str">
        <f t="shared" si="5"/>
        <v>&lt;90%</v>
      </c>
      <c r="O111" s="147" t="str">
        <f t="shared" si="5"/>
        <v>&lt;90%</v>
      </c>
      <c r="P111" s="147" t="str">
        <f t="shared" si="5"/>
        <v>&lt;90%</v>
      </c>
      <c r="Q111" s="147" t="str">
        <f t="shared" si="5"/>
        <v>&lt;90%</v>
      </c>
      <c r="R111" s="175"/>
      <c r="S111" s="175"/>
      <c r="T111" s="175"/>
      <c r="U111" s="175"/>
    </row>
    <row r="112" spans="1:21">
      <c r="A112" s="153" t="s">
        <v>54</v>
      </c>
      <c r="B112" s="147" t="str">
        <f>IF(B110&gt;=87,"OK",IF(B110&lt;=87,"LESS"))</f>
        <v>LESS</v>
      </c>
      <c r="C112" s="147" t="str">
        <f t="shared" ref="C112:Q112" si="6">IF(C110&gt;=87,"OK",IF(C110&lt;=87,"LESS"))</f>
        <v>LESS</v>
      </c>
      <c r="D112" s="147" t="str">
        <f t="shared" si="6"/>
        <v>LESS</v>
      </c>
      <c r="E112" s="147" t="str">
        <f t="shared" si="6"/>
        <v>LESS</v>
      </c>
      <c r="F112" s="147" t="str">
        <f t="shared" si="6"/>
        <v>LESS</v>
      </c>
      <c r="G112" s="147" t="str">
        <f t="shared" si="6"/>
        <v>LESS</v>
      </c>
      <c r="H112" s="147" t="str">
        <f t="shared" si="6"/>
        <v>LESS</v>
      </c>
      <c r="I112" s="147" t="str">
        <f t="shared" si="6"/>
        <v>LESS</v>
      </c>
      <c r="J112" s="147" t="str">
        <f t="shared" si="6"/>
        <v>LESS</v>
      </c>
      <c r="K112" s="147" t="str">
        <f t="shared" si="6"/>
        <v>LESS</v>
      </c>
      <c r="L112" s="147" t="str">
        <f t="shared" si="6"/>
        <v>LESS</v>
      </c>
      <c r="M112" s="147" t="str">
        <f t="shared" si="6"/>
        <v>LESS</v>
      </c>
      <c r="N112" s="147" t="str">
        <f t="shared" si="6"/>
        <v>LESS</v>
      </c>
      <c r="O112" s="147" t="str">
        <f t="shared" si="6"/>
        <v>LESS</v>
      </c>
      <c r="P112" s="147" t="str">
        <f t="shared" si="6"/>
        <v>LESS</v>
      </c>
      <c r="Q112" s="147" t="str">
        <f t="shared" si="6"/>
        <v>LESS</v>
      </c>
      <c r="R112" s="175"/>
      <c r="S112" s="175"/>
      <c r="T112" s="175"/>
      <c r="U112" s="175"/>
    </row>
    <row r="113" spans="1:21">
      <c r="A113" s="3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32"/>
      <c r="M113" s="2"/>
      <c r="N113" s="191"/>
      <c r="O113" s="191"/>
      <c r="P113" s="191"/>
      <c r="Q113" s="191"/>
      <c r="R113" s="191"/>
      <c r="S113" s="191"/>
      <c r="T113" s="191"/>
      <c r="U113" s="191"/>
    </row>
    <row r="114" spans="1:21">
      <c r="A114" s="3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153" t="s">
        <v>55</v>
      </c>
      <c r="B115" s="197" t="s">
        <v>56</v>
      </c>
      <c r="C115" s="197"/>
      <c r="D115" s="197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32"/>
      <c r="B116" s="2"/>
      <c r="C116" s="2"/>
      <c r="D116" s="163"/>
      <c r="E116" s="163"/>
      <c r="F116" s="163"/>
      <c r="G116" s="163"/>
      <c r="H116" s="163"/>
      <c r="I116" s="16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5.75">
      <c r="A117" s="189" t="s">
        <v>57</v>
      </c>
      <c r="B117" s="198"/>
      <c r="C117" s="198"/>
      <c r="D117" s="198"/>
      <c r="E117" s="198"/>
      <c r="F117" s="198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G117"/>
  <sheetViews>
    <sheetView zoomScale="85" zoomScaleNormal="85" workbookViewId="0">
      <pane ySplit="1" topLeftCell="A104" activePane="bottomLeft" state="frozen"/>
      <selection activeCell="A9" sqref="A9"/>
      <selection pane="bottomLeft" activeCell="A9" sqref="A9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0</v>
      </c>
      <c r="C2" s="196" t="s">
        <v>3</v>
      </c>
      <c r="D2" s="196"/>
      <c r="E2" s="196"/>
      <c r="F2" s="196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2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6" t="s">
        <v>11</v>
      </c>
      <c r="D3" s="196"/>
      <c r="E3" s="196"/>
      <c r="F3" s="196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2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6" t="s">
        <v>18</v>
      </c>
      <c r="D4" s="196"/>
      <c r="E4" s="196"/>
      <c r="F4" s="196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3" t="s">
        <v>43</v>
      </c>
      <c r="M8" s="114" t="s">
        <v>44</v>
      </c>
      <c r="N8" s="114" t="s">
        <v>45</v>
      </c>
      <c r="O8" s="183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80"/>
      <c r="B9" s="181"/>
      <c r="C9" s="181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6"/>
      <c r="S9" s="6"/>
      <c r="T9" s="184"/>
      <c r="U9" s="6"/>
    </row>
    <row r="10" spans="1:21" customFormat="1">
      <c r="A10" s="180"/>
      <c r="B10" s="181"/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6"/>
      <c r="S10" s="6"/>
      <c r="T10" s="184"/>
      <c r="U10" s="6"/>
    </row>
    <row r="11" spans="1:21" customFormat="1">
      <c r="A11" s="180"/>
      <c r="B11" s="181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6"/>
      <c r="S11" s="6"/>
      <c r="T11" s="184"/>
      <c r="U11" s="6"/>
    </row>
    <row r="12" spans="1:21" customFormat="1">
      <c r="A12" s="180"/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6"/>
      <c r="S12" s="6"/>
      <c r="T12" s="184"/>
      <c r="U12" s="6"/>
    </row>
    <row r="13" spans="1:21" customFormat="1">
      <c r="A13" s="180"/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6"/>
      <c r="S13" s="6"/>
      <c r="T13" s="184"/>
      <c r="U13" s="6"/>
    </row>
    <row r="14" spans="1:21" customFormat="1">
      <c r="A14" s="180"/>
      <c r="B14" s="181"/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6"/>
      <c r="S14" s="6"/>
      <c r="T14" s="184"/>
      <c r="U14" s="6"/>
    </row>
    <row r="15" spans="1:21" customFormat="1">
      <c r="A15" s="180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6"/>
      <c r="S15" s="6"/>
      <c r="T15" s="184"/>
      <c r="U15" s="6"/>
    </row>
    <row r="16" spans="1:21" customFormat="1">
      <c r="A16" s="180"/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6"/>
      <c r="S16" s="6"/>
      <c r="T16" s="184"/>
      <c r="U16" s="6"/>
    </row>
    <row r="17" spans="1:21" customFormat="1">
      <c r="A17" s="180"/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6"/>
      <c r="S17" s="6"/>
      <c r="T17" s="184"/>
      <c r="U17" s="6"/>
    </row>
    <row r="18" spans="1:21" customFormat="1">
      <c r="A18" s="180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6"/>
      <c r="S18" s="6"/>
      <c r="T18" s="184"/>
      <c r="U18" s="6"/>
    </row>
    <row r="19" spans="1:21" customFormat="1">
      <c r="A19" s="180"/>
      <c r="B19" s="181"/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6"/>
      <c r="S19" s="6"/>
      <c r="T19" s="184"/>
      <c r="U19" s="6"/>
    </row>
    <row r="20" spans="1:21" customFormat="1">
      <c r="A20" s="180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6"/>
      <c r="S20" s="6"/>
      <c r="T20" s="184"/>
      <c r="U20" s="6"/>
    </row>
    <row r="21" spans="1:21" customFormat="1">
      <c r="A21" s="180"/>
      <c r="B21" s="181"/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6"/>
      <c r="S21" s="6"/>
      <c r="T21" s="184"/>
      <c r="U21" s="6"/>
    </row>
    <row r="22" spans="1:21" customFormat="1">
      <c r="A22" s="180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6"/>
      <c r="S22" s="6"/>
      <c r="T22" s="184"/>
      <c r="U22" s="6"/>
    </row>
    <row r="23" spans="1:21" customFormat="1">
      <c r="A23" s="180"/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6"/>
      <c r="S23" s="6"/>
      <c r="T23" s="184"/>
      <c r="U23" s="6"/>
    </row>
    <row r="24" spans="1:21" customFormat="1">
      <c r="A24" s="180"/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6"/>
      <c r="S24" s="6"/>
      <c r="T24" s="184"/>
      <c r="U24" s="6"/>
    </row>
    <row r="25" spans="1:21" customFormat="1">
      <c r="A25" s="180"/>
      <c r="B25" s="181"/>
      <c r="C25" s="181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6"/>
      <c r="S25" s="6"/>
      <c r="T25" s="184"/>
      <c r="U25" s="6"/>
    </row>
    <row r="26" spans="1:21" customFormat="1">
      <c r="A26" s="180"/>
      <c r="B26" s="181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6"/>
      <c r="S26" s="6"/>
      <c r="T26" s="184"/>
      <c r="U26" s="6"/>
    </row>
    <row r="27" spans="1:21" customFormat="1">
      <c r="A27" s="180"/>
      <c r="B27" s="181"/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6"/>
      <c r="S27" s="6"/>
      <c r="T27" s="184"/>
      <c r="U27" s="6"/>
    </row>
    <row r="28" spans="1:21" customFormat="1">
      <c r="A28" s="180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6"/>
      <c r="S28" s="6"/>
      <c r="T28" s="184"/>
      <c r="U28" s="6"/>
    </row>
    <row r="29" spans="1:21" customFormat="1">
      <c r="A29" s="180"/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6"/>
      <c r="S29" s="6"/>
      <c r="T29" s="184"/>
      <c r="U29" s="6"/>
    </row>
    <row r="30" spans="1:21" customFormat="1">
      <c r="A30" s="180"/>
      <c r="B30" s="181"/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6"/>
      <c r="S30" s="6"/>
      <c r="T30" s="184"/>
      <c r="U30" s="6"/>
    </row>
    <row r="31" spans="1:21" customFormat="1">
      <c r="A31" s="180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6"/>
      <c r="S31" s="6"/>
      <c r="T31" s="184"/>
      <c r="U31" s="6"/>
    </row>
    <row r="32" spans="1:21" customFormat="1">
      <c r="A32" s="180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6"/>
      <c r="S32" s="6"/>
      <c r="T32" s="184"/>
      <c r="U32" s="6"/>
    </row>
    <row r="33" spans="1:21" customFormat="1">
      <c r="A33" s="180"/>
      <c r="B33" s="181"/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6"/>
      <c r="S33" s="6"/>
      <c r="T33" s="184"/>
      <c r="U33" s="6"/>
    </row>
    <row r="34" spans="1:21" customFormat="1">
      <c r="A34" s="180"/>
      <c r="B34" s="181"/>
      <c r="C34" s="181"/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6"/>
      <c r="S34" s="6"/>
      <c r="T34" s="184"/>
      <c r="U34" s="6"/>
    </row>
    <row r="35" spans="1:21" customFormat="1">
      <c r="A35" s="180"/>
      <c r="B35" s="181"/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6"/>
      <c r="S35" s="6"/>
      <c r="T35" s="184"/>
      <c r="U35" s="6"/>
    </row>
    <row r="36" spans="1:21" customFormat="1">
      <c r="A36" s="180"/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6"/>
      <c r="S36" s="6"/>
      <c r="T36" s="184"/>
      <c r="U36" s="6"/>
    </row>
    <row r="37" spans="1:21" customFormat="1">
      <c r="A37" s="180"/>
      <c r="B37" s="181"/>
      <c r="C37" s="181"/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6"/>
      <c r="S37" s="6"/>
      <c r="T37" s="184"/>
      <c r="U37" s="6"/>
    </row>
    <row r="38" spans="1:21" customFormat="1">
      <c r="A38" s="180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6"/>
      <c r="S38" s="6"/>
      <c r="T38" s="184"/>
      <c r="U38" s="6"/>
    </row>
    <row r="39" spans="1:21" customFormat="1">
      <c r="A39" s="180"/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6"/>
      <c r="S39" s="6"/>
      <c r="T39" s="184"/>
      <c r="U39" s="6"/>
    </row>
    <row r="40" spans="1:21" customFormat="1">
      <c r="A40" s="180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6"/>
      <c r="S40" s="6"/>
      <c r="T40" s="184"/>
      <c r="U40" s="6"/>
    </row>
    <row r="41" spans="1:21" customFormat="1">
      <c r="A41" s="180"/>
      <c r="B41" s="181"/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6"/>
      <c r="S41" s="6"/>
      <c r="T41" s="184"/>
      <c r="U41" s="6"/>
    </row>
    <row r="42" spans="1:21" customFormat="1">
      <c r="A42" s="180"/>
      <c r="B42" s="181"/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6"/>
      <c r="S42" s="6"/>
      <c r="T42" s="184"/>
      <c r="U42" s="6"/>
    </row>
    <row r="43" spans="1:21" customFormat="1">
      <c r="A43" s="180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6"/>
      <c r="S43" s="6"/>
      <c r="T43" s="184"/>
      <c r="U43" s="6"/>
    </row>
    <row r="44" spans="1:21" customFormat="1">
      <c r="A44" s="180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6"/>
      <c r="S44" s="6"/>
      <c r="T44" s="184"/>
      <c r="U44" s="6"/>
    </row>
    <row r="45" spans="1:21" customFormat="1">
      <c r="A45" s="180"/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6"/>
      <c r="S45" s="6"/>
      <c r="T45" s="184"/>
      <c r="U45" s="6"/>
    </row>
    <row r="46" spans="1:21" customFormat="1">
      <c r="A46" s="180"/>
      <c r="B46" s="181"/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6"/>
      <c r="S46" s="6"/>
      <c r="T46" s="184"/>
      <c r="U46" s="6"/>
    </row>
    <row r="47" spans="1:21" customFormat="1">
      <c r="A47" s="180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6"/>
      <c r="S47" s="6"/>
      <c r="T47" s="184"/>
      <c r="U47" s="6"/>
    </row>
    <row r="48" spans="1:21" customFormat="1">
      <c r="A48" s="180"/>
      <c r="B48" s="181"/>
      <c r="C48" s="181"/>
      <c r="D48" s="181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6"/>
      <c r="S48" s="6"/>
      <c r="T48" s="184"/>
      <c r="U48" s="6"/>
    </row>
    <row r="49" spans="1:21" customFormat="1">
      <c r="A49" s="180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6"/>
      <c r="S49" s="6"/>
      <c r="T49" s="184"/>
      <c r="U49" s="6"/>
    </row>
    <row r="50" spans="1:21" customFormat="1">
      <c r="A50" s="180"/>
      <c r="B50" s="181"/>
      <c r="C50" s="181"/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6"/>
      <c r="S50" s="6"/>
      <c r="T50" s="184"/>
      <c r="U50" s="6"/>
    </row>
    <row r="51" spans="1:21" customFormat="1">
      <c r="A51" s="180"/>
      <c r="B51" s="181"/>
      <c r="C51" s="181"/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6"/>
      <c r="S51" s="6"/>
      <c r="T51" s="184"/>
      <c r="U51" s="6"/>
    </row>
    <row r="52" spans="1:21" customFormat="1">
      <c r="A52" s="180"/>
      <c r="B52" s="181"/>
      <c r="C52" s="181"/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6"/>
      <c r="S52" s="6"/>
      <c r="T52" s="184"/>
      <c r="U52" s="6"/>
    </row>
    <row r="53" spans="1:21" customFormat="1">
      <c r="A53" s="180"/>
      <c r="B53" s="181"/>
      <c r="C53" s="181"/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6"/>
      <c r="S53" s="6"/>
      <c r="T53" s="184"/>
      <c r="U53" s="6"/>
    </row>
    <row r="54" spans="1:21" customFormat="1">
      <c r="A54" s="180"/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6"/>
      <c r="S54" s="6"/>
      <c r="T54" s="184"/>
      <c r="U54" s="6"/>
    </row>
    <row r="55" spans="1:21" customFormat="1">
      <c r="A55" s="180"/>
      <c r="B55" s="181"/>
      <c r="C55" s="181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6"/>
      <c r="S55" s="6"/>
      <c r="T55" s="184"/>
      <c r="U55" s="6"/>
    </row>
    <row r="56" spans="1:21" customFormat="1">
      <c r="A56" s="180"/>
      <c r="B56" s="181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6"/>
      <c r="S56" s="6"/>
      <c r="T56" s="184"/>
      <c r="U56" s="6"/>
    </row>
    <row r="57" spans="1:21" customFormat="1">
      <c r="A57" s="180"/>
      <c r="B57" s="181"/>
      <c r="C57" s="181"/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6"/>
      <c r="S57" s="6"/>
      <c r="T57" s="184"/>
      <c r="U57" s="6"/>
    </row>
    <row r="58" spans="1:21" customFormat="1">
      <c r="A58" s="180"/>
      <c r="B58" s="181"/>
      <c r="C58" s="181"/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6"/>
      <c r="S58" s="6"/>
      <c r="T58" s="184"/>
      <c r="U58" s="6"/>
    </row>
    <row r="59" spans="1:21" customFormat="1">
      <c r="A59" s="180"/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6"/>
      <c r="S59" s="6"/>
      <c r="T59" s="184"/>
      <c r="U59" s="6"/>
    </row>
    <row r="60" spans="1:21" customFormat="1">
      <c r="A60" s="180"/>
      <c r="B60" s="181"/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6"/>
      <c r="S60" s="6"/>
      <c r="T60" s="184"/>
      <c r="U60" s="6"/>
    </row>
    <row r="61" spans="1:21" customFormat="1">
      <c r="A61" s="180"/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6"/>
      <c r="S61" s="6"/>
      <c r="T61" s="184"/>
      <c r="U61" s="6"/>
    </row>
    <row r="62" spans="1:21" customFormat="1">
      <c r="A62" s="180"/>
      <c r="B62" s="181"/>
      <c r="C62" s="181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6"/>
      <c r="S62" s="6"/>
      <c r="T62" s="184"/>
      <c r="U62" s="6"/>
    </row>
    <row r="63" spans="1:21" customFormat="1">
      <c r="A63" s="180"/>
      <c r="B63" s="181"/>
      <c r="C63" s="181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6"/>
      <c r="S63" s="6"/>
      <c r="T63" s="184"/>
      <c r="U63" s="6"/>
    </row>
    <row r="64" spans="1:21" customFormat="1">
      <c r="A64" s="180"/>
      <c r="B64" s="181"/>
      <c r="C64" s="181"/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6"/>
      <c r="S64" s="6"/>
      <c r="T64" s="184"/>
      <c r="U64" s="6"/>
    </row>
    <row r="65" spans="1:21" customFormat="1">
      <c r="A65" s="180"/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6"/>
      <c r="S65" s="6"/>
      <c r="T65" s="184"/>
      <c r="U65" s="6"/>
    </row>
    <row r="66" spans="1:21" customFormat="1">
      <c r="A66" s="180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6"/>
      <c r="S66" s="6"/>
      <c r="T66" s="184"/>
      <c r="U66" s="6"/>
    </row>
    <row r="67" spans="1:21" customFormat="1">
      <c r="A67" s="180"/>
      <c r="B67" s="181"/>
      <c r="C67" s="181"/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6"/>
      <c r="S67" s="6"/>
      <c r="T67" s="184"/>
      <c r="U67" s="6"/>
    </row>
    <row r="68" spans="1:21" customFormat="1">
      <c r="A68" s="180"/>
      <c r="B68" s="181"/>
      <c r="C68" s="181"/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6"/>
      <c r="S68" s="6"/>
      <c r="T68" s="184"/>
      <c r="U68" s="6"/>
    </row>
    <row r="69" spans="1:21" customFormat="1">
      <c r="A69" s="180"/>
      <c r="B69" s="181"/>
      <c r="C69" s="181"/>
      <c r="D69" s="181"/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6"/>
      <c r="S69" s="6"/>
      <c r="T69" s="184"/>
      <c r="U69" s="6"/>
    </row>
    <row r="70" spans="1:21" customFormat="1">
      <c r="A70" s="180"/>
      <c r="B70" s="181"/>
      <c r="C70" s="181"/>
      <c r="D70" s="181"/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6"/>
      <c r="S70" s="6"/>
      <c r="T70" s="184"/>
      <c r="U70" s="6"/>
    </row>
    <row r="71" spans="1:21" customFormat="1">
      <c r="A71" s="180"/>
      <c r="B71" s="181"/>
      <c r="C71" s="181"/>
      <c r="D71" s="181"/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6"/>
      <c r="S71" s="6"/>
      <c r="T71" s="184"/>
      <c r="U71" s="6"/>
    </row>
    <row r="72" spans="1:21" customFormat="1">
      <c r="A72" s="180"/>
      <c r="B72" s="181"/>
      <c r="C72" s="181"/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6"/>
      <c r="S72" s="6"/>
      <c r="T72" s="184"/>
      <c r="U72" s="6"/>
    </row>
    <row r="73" spans="1:21" customFormat="1">
      <c r="A73" s="180"/>
      <c r="B73" s="181"/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6"/>
      <c r="S73" s="6"/>
      <c r="T73" s="184"/>
      <c r="U73" s="6"/>
    </row>
    <row r="74" spans="1:21" customFormat="1">
      <c r="A74" s="180"/>
      <c r="B74" s="181"/>
      <c r="C74" s="181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6"/>
      <c r="S74" s="6"/>
      <c r="T74" s="184"/>
      <c r="U74" s="6"/>
    </row>
    <row r="75" spans="1:21" customFormat="1">
      <c r="A75" s="180"/>
      <c r="B75" s="181"/>
      <c r="C75" s="181"/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6"/>
      <c r="S75" s="6"/>
      <c r="T75" s="184"/>
      <c r="U75" s="6"/>
    </row>
    <row r="76" spans="1:21" customFormat="1">
      <c r="A76" s="180"/>
      <c r="B76" s="181"/>
      <c r="C76" s="181"/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6"/>
      <c r="S76" s="6"/>
      <c r="T76" s="184"/>
      <c r="U76" s="6"/>
    </row>
    <row r="77" spans="1:21" customFormat="1">
      <c r="A77" s="180"/>
      <c r="B77" s="181"/>
      <c r="C77" s="181"/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6"/>
      <c r="S77" s="6"/>
      <c r="T77" s="184"/>
      <c r="U77" s="6"/>
    </row>
    <row r="78" spans="1:21" customFormat="1">
      <c r="A78" s="180"/>
      <c r="B78" s="181"/>
      <c r="C78" s="181"/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6"/>
      <c r="S78" s="6"/>
      <c r="T78" s="184"/>
      <c r="U78" s="6"/>
    </row>
    <row r="79" spans="1:21" customFormat="1">
      <c r="A79" s="180"/>
      <c r="B79" s="181"/>
      <c r="C79" s="181"/>
      <c r="D79" s="181"/>
      <c r="E79" s="185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6"/>
      <c r="S79" s="6"/>
      <c r="T79" s="184"/>
      <c r="U79" s="6"/>
    </row>
    <row r="80" spans="1:21" customFormat="1">
      <c r="A80" s="180"/>
      <c r="B80" s="181"/>
      <c r="C80" s="181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6"/>
      <c r="S80" s="6"/>
      <c r="T80" s="184"/>
      <c r="U80" s="6"/>
    </row>
    <row r="81" spans="1:26" customFormat="1">
      <c r="A81" s="180"/>
      <c r="B81" s="181"/>
      <c r="C81" s="181"/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6"/>
      <c r="S81" s="6"/>
      <c r="T81" s="184"/>
      <c r="U81" s="6"/>
    </row>
    <row r="82" spans="1:26" customFormat="1">
      <c r="A82" s="180"/>
      <c r="B82" s="181"/>
      <c r="C82" s="181"/>
      <c r="D82" s="181"/>
      <c r="E82" s="181"/>
      <c r="F82" s="181"/>
      <c r="G82" s="181"/>
      <c r="H82" s="181"/>
      <c r="I82" s="181"/>
      <c r="J82" s="190"/>
      <c r="K82" s="181"/>
      <c r="L82" s="181"/>
      <c r="M82" s="181"/>
      <c r="N82" s="181"/>
      <c r="O82" s="181"/>
      <c r="P82" s="181"/>
      <c r="Q82" s="181"/>
      <c r="R82" s="6"/>
      <c r="S82" s="6"/>
      <c r="T82" s="184"/>
      <c r="U82" s="6"/>
    </row>
    <row r="83" spans="1:26" customFormat="1">
      <c r="A83" s="180"/>
      <c r="B83" s="181"/>
      <c r="C83" s="181"/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6"/>
      <c r="S83" s="6"/>
      <c r="T83" s="184"/>
      <c r="U83" s="6"/>
    </row>
    <row r="84" spans="1:26" customFormat="1">
      <c r="A84" s="180"/>
      <c r="B84" s="181"/>
      <c r="C84" s="181"/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6"/>
      <c r="S84" s="6"/>
      <c r="T84" s="184"/>
      <c r="U84" s="6"/>
    </row>
    <row r="85" spans="1:26" customFormat="1">
      <c r="A85" s="180"/>
      <c r="B85" s="181"/>
      <c r="C85" s="181"/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6"/>
      <c r="S85" s="6"/>
      <c r="T85" s="184"/>
      <c r="U85" s="6"/>
    </row>
    <row r="86" spans="1:26" customFormat="1">
      <c r="A86" s="180"/>
      <c r="B86" s="181"/>
      <c r="C86" s="181"/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6"/>
      <c r="S86" s="6"/>
      <c r="T86" s="184"/>
      <c r="U86" s="6"/>
    </row>
    <row r="87" spans="1:26" customFormat="1">
      <c r="A87" s="180"/>
      <c r="B87" s="181"/>
      <c r="C87" s="181"/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6"/>
      <c r="S87" s="6"/>
      <c r="T87" s="184"/>
      <c r="U87" s="6"/>
    </row>
    <row r="88" spans="1:26" customFormat="1">
      <c r="A88" s="180"/>
      <c r="B88" s="181"/>
      <c r="C88" s="181"/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6"/>
      <c r="S88" s="6"/>
      <c r="T88" s="184"/>
      <c r="U88" s="6"/>
    </row>
    <row r="89" spans="1:26" customFormat="1">
      <c r="A89" s="180"/>
      <c r="B89" s="181"/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6"/>
      <c r="S89" s="6"/>
      <c r="T89" s="184"/>
      <c r="U89" s="6"/>
    </row>
    <row r="90" spans="1:26" customFormat="1">
      <c r="A90" s="180"/>
      <c r="B90" s="181"/>
      <c r="C90" s="181"/>
      <c r="D90" s="181"/>
      <c r="E90" s="181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6"/>
      <c r="S90" s="6"/>
      <c r="T90" s="184"/>
      <c r="U90" s="6"/>
    </row>
    <row r="91" spans="1:26" customFormat="1">
      <c r="A91" s="180"/>
      <c r="B91" s="181"/>
      <c r="C91" s="181"/>
      <c r="D91" s="181"/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6"/>
      <c r="S91" s="6"/>
      <c r="T91" s="184"/>
      <c r="U91" s="6"/>
    </row>
    <row r="92" spans="1:26" customFormat="1">
      <c r="A92" s="180"/>
      <c r="B92" s="181"/>
      <c r="C92" s="181"/>
      <c r="D92" s="181"/>
      <c r="E92" s="18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6"/>
      <c r="S92" s="6"/>
      <c r="T92" s="184"/>
      <c r="U92" s="6"/>
    </row>
    <row r="93" spans="1:26" customFormat="1">
      <c r="A93" s="180"/>
      <c r="B93" s="181"/>
      <c r="C93" s="181"/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6"/>
      <c r="S93" s="6"/>
      <c r="T93" s="184"/>
      <c r="U93" s="6"/>
    </row>
    <row r="94" spans="1:26" customFormat="1">
      <c r="A94" s="180"/>
      <c r="B94" s="181"/>
      <c r="C94" s="181"/>
      <c r="D94" s="181"/>
      <c r="E94" s="181"/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6"/>
      <c r="S94" s="6"/>
      <c r="T94" s="184"/>
      <c r="U94" s="6"/>
    </row>
    <row r="95" spans="1:26" customFormat="1">
      <c r="A95" s="180"/>
      <c r="B95" s="181"/>
      <c r="C95" s="181"/>
      <c r="D95" s="181"/>
      <c r="E95" s="181"/>
      <c r="F95" s="181"/>
      <c r="G95" s="181"/>
      <c r="H95" s="181"/>
      <c r="I95" s="181"/>
      <c r="J95" s="181"/>
      <c r="K95" s="181"/>
      <c r="L95" s="181"/>
      <c r="M95" s="181"/>
      <c r="N95" s="181"/>
      <c r="O95" s="181"/>
      <c r="P95" s="181"/>
      <c r="Q95" s="181"/>
      <c r="R95" s="6"/>
      <c r="S95" s="6"/>
      <c r="T95" s="184"/>
      <c r="U95" s="6"/>
    </row>
    <row r="96" spans="1:26" customFormat="1">
      <c r="A96" s="180"/>
      <c r="B96" s="181"/>
      <c r="C96" s="181"/>
      <c r="D96" s="181"/>
      <c r="E96" s="181"/>
      <c r="F96" s="181"/>
      <c r="G96" s="181"/>
      <c r="H96" s="181"/>
      <c r="I96" s="181"/>
      <c r="J96" s="181"/>
      <c r="K96" s="181"/>
      <c r="L96" s="181"/>
      <c r="M96" s="181"/>
      <c r="N96" s="181"/>
      <c r="O96" s="181"/>
      <c r="P96" s="181"/>
      <c r="Q96" s="181"/>
      <c r="R96" s="6"/>
      <c r="S96" s="6"/>
      <c r="T96" s="184"/>
      <c r="U96" s="6"/>
      <c r="Z96" s="194"/>
    </row>
    <row r="97" spans="1:33" customFormat="1">
      <c r="A97" s="180"/>
      <c r="B97" s="181"/>
      <c r="C97" s="181"/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6"/>
      <c r="S97" s="6"/>
      <c r="T97" s="184"/>
      <c r="U97" s="6"/>
    </row>
    <row r="98" spans="1:33" customFormat="1">
      <c r="A98" s="180"/>
      <c r="B98" s="181"/>
      <c r="C98" s="181"/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6"/>
      <c r="S98" s="6"/>
      <c r="T98" s="184"/>
      <c r="U98" s="6"/>
    </row>
    <row r="99" spans="1:33" customFormat="1">
      <c r="A99" s="180"/>
      <c r="B99" s="181"/>
      <c r="C99" s="181"/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6"/>
      <c r="S99" s="6"/>
      <c r="T99" s="184"/>
      <c r="U99" s="6"/>
    </row>
    <row r="100" spans="1:33" customFormat="1">
      <c r="A100" s="180"/>
      <c r="B100" s="181"/>
      <c r="C100" s="181"/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6"/>
      <c r="S100" s="6"/>
      <c r="T100" s="184"/>
      <c r="U100" s="6"/>
      <c r="AB100" s="195"/>
      <c r="AG100" s="194"/>
    </row>
    <row r="101" spans="1:33" customFormat="1">
      <c r="A101" s="180"/>
      <c r="B101" s="181"/>
      <c r="C101" s="181"/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6"/>
      <c r="S101" s="6"/>
      <c r="T101" s="184"/>
      <c r="U101" s="6"/>
    </row>
    <row r="102" spans="1:33" customFormat="1">
      <c r="A102" s="180"/>
      <c r="B102" s="181"/>
      <c r="C102" s="181"/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6"/>
      <c r="S102" s="6"/>
      <c r="T102" s="184"/>
      <c r="U102" s="6"/>
    </row>
    <row r="103" spans="1:33" customFormat="1">
      <c r="A103" s="180"/>
      <c r="B103" s="181"/>
      <c r="C103" s="181"/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6"/>
      <c r="S103" s="6"/>
      <c r="T103" s="184"/>
      <c r="U103" s="6"/>
    </row>
    <row r="104" spans="1:33" customFormat="1">
      <c r="A104" s="180"/>
      <c r="B104" s="181"/>
      <c r="C104" s="181"/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6"/>
      <c r="S104" s="6"/>
      <c r="T104" s="184"/>
      <c r="U104" s="6"/>
    </row>
    <row r="105" spans="1:33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33">
      <c r="A106" s="186" t="s">
        <v>48</v>
      </c>
      <c r="B106" s="187">
        <f>MIN(B9:B104)</f>
        <v>0</v>
      </c>
      <c r="C106" s="187">
        <f>MIN(C9:C104)</f>
        <v>0</v>
      </c>
      <c r="D106" s="187">
        <f t="shared" ref="D106:Q106" si="0">MIN(D9:D104)</f>
        <v>0</v>
      </c>
      <c r="E106" s="187">
        <f t="shared" si="0"/>
        <v>0</v>
      </c>
      <c r="F106" s="187">
        <f t="shared" si="0"/>
        <v>0</v>
      </c>
      <c r="G106" s="187">
        <f t="shared" si="0"/>
        <v>0</v>
      </c>
      <c r="H106" s="187">
        <f t="shared" si="0"/>
        <v>0</v>
      </c>
      <c r="I106" s="187">
        <f t="shared" si="0"/>
        <v>0</v>
      </c>
      <c r="J106" s="187">
        <f t="shared" si="0"/>
        <v>0</v>
      </c>
      <c r="K106" s="187">
        <f t="shared" si="0"/>
        <v>0</v>
      </c>
      <c r="L106" s="187">
        <f t="shared" si="0"/>
        <v>0</v>
      </c>
      <c r="M106" s="187">
        <f t="shared" si="0"/>
        <v>0</v>
      </c>
      <c r="N106" s="187">
        <f t="shared" si="0"/>
        <v>0</v>
      </c>
      <c r="O106" s="187">
        <f t="shared" si="0"/>
        <v>0</v>
      </c>
      <c r="P106" s="187">
        <f t="shared" si="0"/>
        <v>0</v>
      </c>
      <c r="Q106" s="187">
        <f t="shared" si="0"/>
        <v>0</v>
      </c>
      <c r="R106" s="192"/>
      <c r="S106" s="192"/>
      <c r="T106" s="192"/>
      <c r="U106" s="192"/>
    </row>
    <row r="107" spans="1:33">
      <c r="A107" s="186" t="s">
        <v>49</v>
      </c>
      <c r="B107" s="188">
        <f>MAX(B9:B104)</f>
        <v>0</v>
      </c>
      <c r="C107" s="188">
        <f t="shared" ref="C107:Q107" si="1">MAX(C9:C104)</f>
        <v>0</v>
      </c>
      <c r="D107" s="188">
        <f t="shared" si="1"/>
        <v>0</v>
      </c>
      <c r="E107" s="188">
        <f t="shared" si="1"/>
        <v>0</v>
      </c>
      <c r="F107" s="188">
        <f t="shared" si="1"/>
        <v>0</v>
      </c>
      <c r="G107" s="188">
        <f t="shared" si="1"/>
        <v>0</v>
      </c>
      <c r="H107" s="188">
        <f t="shared" si="1"/>
        <v>0</v>
      </c>
      <c r="I107" s="188">
        <f t="shared" si="1"/>
        <v>0</v>
      </c>
      <c r="J107" s="188">
        <f t="shared" si="1"/>
        <v>0</v>
      </c>
      <c r="K107" s="188">
        <f t="shared" si="1"/>
        <v>0</v>
      </c>
      <c r="L107" s="188">
        <f t="shared" si="1"/>
        <v>0</v>
      </c>
      <c r="M107" s="188">
        <f t="shared" si="1"/>
        <v>0</v>
      </c>
      <c r="N107" s="188">
        <f t="shared" si="1"/>
        <v>0</v>
      </c>
      <c r="O107" s="188">
        <f t="shared" si="1"/>
        <v>0</v>
      </c>
      <c r="P107" s="188">
        <f t="shared" si="1"/>
        <v>0</v>
      </c>
      <c r="Q107" s="188">
        <f t="shared" si="1"/>
        <v>0</v>
      </c>
      <c r="R107" s="193"/>
      <c r="S107" s="193"/>
      <c r="T107" s="193"/>
      <c r="U107" s="193"/>
    </row>
    <row r="108" spans="1:33">
      <c r="A108" s="186" t="s">
        <v>50</v>
      </c>
      <c r="B108" s="187" t="e">
        <f>AVERAGE(B9:B104)</f>
        <v>#DIV/0!</v>
      </c>
      <c r="C108" s="187" t="e">
        <f t="shared" ref="C108:Q108" si="2">AVERAGE(C9:C104)</f>
        <v>#DIV/0!</v>
      </c>
      <c r="D108" s="187" t="e">
        <f t="shared" si="2"/>
        <v>#DIV/0!</v>
      </c>
      <c r="E108" s="187" t="e">
        <f t="shared" si="2"/>
        <v>#DIV/0!</v>
      </c>
      <c r="F108" s="187" t="e">
        <f t="shared" si="2"/>
        <v>#DIV/0!</v>
      </c>
      <c r="G108" s="187" t="e">
        <f t="shared" si="2"/>
        <v>#DIV/0!</v>
      </c>
      <c r="H108" s="187" t="e">
        <f t="shared" si="2"/>
        <v>#DIV/0!</v>
      </c>
      <c r="I108" s="187" t="e">
        <f t="shared" si="2"/>
        <v>#DIV/0!</v>
      </c>
      <c r="J108" s="187" t="e">
        <f t="shared" si="2"/>
        <v>#DIV/0!</v>
      </c>
      <c r="K108" s="187" t="e">
        <f t="shared" si="2"/>
        <v>#DIV/0!</v>
      </c>
      <c r="L108" s="187" t="e">
        <f t="shared" si="2"/>
        <v>#DIV/0!</v>
      </c>
      <c r="M108" s="187" t="e">
        <f t="shared" si="2"/>
        <v>#DIV/0!</v>
      </c>
      <c r="N108" s="187" t="e">
        <f t="shared" si="2"/>
        <v>#DIV/0!</v>
      </c>
      <c r="O108" s="187" t="e">
        <f t="shared" si="2"/>
        <v>#DIV/0!</v>
      </c>
      <c r="P108" s="187" t="e">
        <f t="shared" si="2"/>
        <v>#DIV/0!</v>
      </c>
      <c r="Q108" s="187" t="e">
        <f t="shared" si="2"/>
        <v>#DIV/0!</v>
      </c>
      <c r="R108" s="192"/>
      <c r="S108" s="192"/>
      <c r="T108" s="192"/>
      <c r="U108" s="192"/>
    </row>
    <row r="109" spans="1:33">
      <c r="A109" s="186" t="s">
        <v>51</v>
      </c>
      <c r="B109" s="187" t="e">
        <f>STDEV(B9:B104)</f>
        <v>#DIV/0!</v>
      </c>
      <c r="C109" s="187" t="e">
        <f t="shared" ref="C109:Q109" si="3">STDEV(C9:C104)</f>
        <v>#DIV/0!</v>
      </c>
      <c r="D109" s="187" t="e">
        <f t="shared" si="3"/>
        <v>#DIV/0!</v>
      </c>
      <c r="E109" s="187" t="e">
        <f t="shared" si="3"/>
        <v>#DIV/0!</v>
      </c>
      <c r="F109" s="187" t="e">
        <f t="shared" si="3"/>
        <v>#DIV/0!</v>
      </c>
      <c r="G109" s="187" t="e">
        <f t="shared" si="3"/>
        <v>#DIV/0!</v>
      </c>
      <c r="H109" s="187" t="e">
        <f t="shared" si="3"/>
        <v>#DIV/0!</v>
      </c>
      <c r="I109" s="187" t="e">
        <f t="shared" si="3"/>
        <v>#DIV/0!</v>
      </c>
      <c r="J109" s="187" t="e">
        <f t="shared" si="3"/>
        <v>#DIV/0!</v>
      </c>
      <c r="K109" s="187" t="e">
        <f t="shared" si="3"/>
        <v>#DIV/0!</v>
      </c>
      <c r="L109" s="187" t="e">
        <f t="shared" si="3"/>
        <v>#DIV/0!</v>
      </c>
      <c r="M109" s="187" t="e">
        <f t="shared" si="3"/>
        <v>#DIV/0!</v>
      </c>
      <c r="N109" s="187" t="e">
        <f t="shared" si="3"/>
        <v>#DIV/0!</v>
      </c>
      <c r="O109" s="187" t="e">
        <f t="shared" si="3"/>
        <v>#DIV/0!</v>
      </c>
      <c r="P109" s="187" t="e">
        <f t="shared" si="3"/>
        <v>#DIV/0!</v>
      </c>
      <c r="Q109" s="187" t="e">
        <f t="shared" si="3"/>
        <v>#DIV/0!</v>
      </c>
      <c r="R109" s="192"/>
      <c r="S109" s="192"/>
      <c r="T109" s="192"/>
      <c r="U109" s="192"/>
    </row>
    <row r="110" spans="1:33">
      <c r="A110" s="186" t="s">
        <v>52</v>
      </c>
      <c r="B110" s="188">
        <f t="shared" ref="B110:Q110" si="4">COUNT(B9:B104)</f>
        <v>0</v>
      </c>
      <c r="C110" s="188">
        <f t="shared" si="4"/>
        <v>0</v>
      </c>
      <c r="D110" s="188">
        <f t="shared" si="4"/>
        <v>0</v>
      </c>
      <c r="E110" s="188">
        <f t="shared" si="4"/>
        <v>0</v>
      </c>
      <c r="F110" s="188">
        <f t="shared" si="4"/>
        <v>0</v>
      </c>
      <c r="G110" s="188">
        <f t="shared" si="4"/>
        <v>0</v>
      </c>
      <c r="H110" s="188">
        <f t="shared" si="4"/>
        <v>0</v>
      </c>
      <c r="I110" s="188">
        <f t="shared" si="4"/>
        <v>0</v>
      </c>
      <c r="J110" s="188">
        <f t="shared" si="4"/>
        <v>0</v>
      </c>
      <c r="K110" s="188">
        <f t="shared" si="4"/>
        <v>0</v>
      </c>
      <c r="L110" s="188">
        <f t="shared" si="4"/>
        <v>0</v>
      </c>
      <c r="M110" s="188">
        <f t="shared" si="4"/>
        <v>0</v>
      </c>
      <c r="N110" s="188">
        <f t="shared" si="4"/>
        <v>0</v>
      </c>
      <c r="O110" s="188">
        <f t="shared" si="4"/>
        <v>0</v>
      </c>
      <c r="P110" s="188">
        <f t="shared" si="4"/>
        <v>0</v>
      </c>
      <c r="Q110" s="188">
        <f t="shared" si="4"/>
        <v>0</v>
      </c>
      <c r="R110" s="193"/>
      <c r="S110" s="193"/>
      <c r="T110" s="193"/>
      <c r="U110" s="193"/>
      <c r="V110" s="188"/>
    </row>
    <row r="111" spans="1:33">
      <c r="A111" s="153" t="s">
        <v>53</v>
      </c>
      <c r="B111" s="147" t="str">
        <f>IF(B110&gt;=87,"&gt;90%",IF(B110&lt;=87,"&lt;90%"))</f>
        <v>&lt;90%</v>
      </c>
      <c r="C111" s="147" t="str">
        <f t="shared" ref="C111:Q111" si="5">IF(C110&gt;=87,"&gt;90%",IF(C110&lt;=87,"&lt;90%"))</f>
        <v>&lt;90%</v>
      </c>
      <c r="D111" s="147" t="str">
        <f t="shared" si="5"/>
        <v>&lt;90%</v>
      </c>
      <c r="E111" s="147" t="str">
        <f t="shared" si="5"/>
        <v>&lt;90%</v>
      </c>
      <c r="F111" s="147" t="str">
        <f t="shared" si="5"/>
        <v>&lt;90%</v>
      </c>
      <c r="G111" s="147" t="str">
        <f t="shared" si="5"/>
        <v>&lt;90%</v>
      </c>
      <c r="H111" s="147" t="str">
        <f t="shared" si="5"/>
        <v>&lt;90%</v>
      </c>
      <c r="I111" s="147" t="str">
        <f t="shared" si="5"/>
        <v>&lt;90%</v>
      </c>
      <c r="J111" s="147" t="str">
        <f t="shared" si="5"/>
        <v>&lt;90%</v>
      </c>
      <c r="K111" s="147" t="str">
        <f t="shared" si="5"/>
        <v>&lt;90%</v>
      </c>
      <c r="L111" s="147" t="str">
        <f t="shared" si="5"/>
        <v>&lt;90%</v>
      </c>
      <c r="M111" s="147" t="str">
        <f t="shared" si="5"/>
        <v>&lt;90%</v>
      </c>
      <c r="N111" s="147" t="str">
        <f t="shared" si="5"/>
        <v>&lt;90%</v>
      </c>
      <c r="O111" s="147" t="str">
        <f t="shared" si="5"/>
        <v>&lt;90%</v>
      </c>
      <c r="P111" s="147" t="str">
        <f t="shared" si="5"/>
        <v>&lt;90%</v>
      </c>
      <c r="Q111" s="147" t="str">
        <f t="shared" si="5"/>
        <v>&lt;90%</v>
      </c>
      <c r="R111" s="175"/>
      <c r="S111" s="175"/>
      <c r="T111" s="175"/>
      <c r="U111" s="175"/>
    </row>
    <row r="112" spans="1:33">
      <c r="A112" s="153" t="s">
        <v>54</v>
      </c>
      <c r="B112" s="147" t="str">
        <f>IF(B110&gt;=87,"OK",IF(B110&lt;=87,"LESS"))</f>
        <v>LESS</v>
      </c>
      <c r="C112" s="147" t="str">
        <f t="shared" ref="C112:Q112" si="6">IF(C110&gt;=87,"OK",IF(C110&lt;=87,"LESS"))</f>
        <v>LESS</v>
      </c>
      <c r="D112" s="147" t="str">
        <f t="shared" si="6"/>
        <v>LESS</v>
      </c>
      <c r="E112" s="147" t="str">
        <f t="shared" si="6"/>
        <v>LESS</v>
      </c>
      <c r="F112" s="147" t="str">
        <f t="shared" si="6"/>
        <v>LESS</v>
      </c>
      <c r="G112" s="147" t="str">
        <f t="shared" si="6"/>
        <v>LESS</v>
      </c>
      <c r="H112" s="147" t="str">
        <f t="shared" si="6"/>
        <v>LESS</v>
      </c>
      <c r="I112" s="147" t="str">
        <f t="shared" si="6"/>
        <v>LESS</v>
      </c>
      <c r="J112" s="147" t="str">
        <f t="shared" si="6"/>
        <v>LESS</v>
      </c>
      <c r="K112" s="147" t="str">
        <f t="shared" si="6"/>
        <v>LESS</v>
      </c>
      <c r="L112" s="147" t="str">
        <f t="shared" si="6"/>
        <v>LESS</v>
      </c>
      <c r="M112" s="147" t="str">
        <f t="shared" si="6"/>
        <v>LESS</v>
      </c>
      <c r="N112" s="147" t="str">
        <f t="shared" si="6"/>
        <v>LESS</v>
      </c>
      <c r="O112" s="147" t="str">
        <f t="shared" si="6"/>
        <v>LESS</v>
      </c>
      <c r="P112" s="147" t="str">
        <f t="shared" si="6"/>
        <v>LESS</v>
      </c>
      <c r="Q112" s="147" t="str">
        <f t="shared" si="6"/>
        <v>LESS</v>
      </c>
      <c r="R112" s="175"/>
      <c r="S112" s="175"/>
      <c r="T112" s="175"/>
      <c r="U112" s="175"/>
    </row>
    <row r="113" spans="1:21">
      <c r="L113" s="32"/>
      <c r="N113" s="191"/>
      <c r="O113" s="191"/>
      <c r="P113" s="191"/>
      <c r="Q113" s="191"/>
      <c r="R113" s="191"/>
      <c r="S113" s="191"/>
      <c r="T113" s="191"/>
      <c r="U113" s="191"/>
    </row>
    <row r="115" spans="1:21">
      <c r="A115" s="153" t="s">
        <v>55</v>
      </c>
      <c r="B115" s="197" t="s">
        <v>56</v>
      </c>
      <c r="C115" s="197"/>
      <c r="D115" s="197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9" t="s">
        <v>57</v>
      </c>
      <c r="B117" s="198"/>
      <c r="C117" s="198"/>
      <c r="D117" s="198"/>
      <c r="E117" s="198"/>
      <c r="F117" s="198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G117"/>
  <sheetViews>
    <sheetView zoomScale="85" zoomScaleNormal="85" workbookViewId="0">
      <pane ySplit="8" topLeftCell="A66" activePane="bottomLeft" state="frozen"/>
      <selection activeCell="A9" sqref="A9"/>
      <selection pane="bottomLeft" activeCell="A9" sqref="A9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0</v>
      </c>
      <c r="C2" s="196" t="s">
        <v>3</v>
      </c>
      <c r="D2" s="196"/>
      <c r="E2" s="196"/>
      <c r="F2" s="196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2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6" t="s">
        <v>11</v>
      </c>
      <c r="D3" s="196"/>
      <c r="E3" s="196"/>
      <c r="F3" s="196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2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6" t="s">
        <v>18</v>
      </c>
      <c r="D4" s="196"/>
      <c r="E4" s="196"/>
      <c r="F4" s="196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3" t="s">
        <v>43</v>
      </c>
      <c r="M8" s="114" t="s">
        <v>44</v>
      </c>
      <c r="N8" s="114" t="s">
        <v>45</v>
      </c>
      <c r="O8" s="183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80"/>
      <c r="B9" s="181"/>
      <c r="C9" s="181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6"/>
      <c r="S9" s="6"/>
      <c r="T9" s="184"/>
      <c r="U9" s="6"/>
    </row>
    <row r="10" spans="1:21" customFormat="1">
      <c r="A10" s="180"/>
      <c r="B10" s="181"/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6"/>
      <c r="S10" s="6"/>
      <c r="T10" s="184"/>
      <c r="U10" s="6"/>
    </row>
    <row r="11" spans="1:21" customFormat="1">
      <c r="A11" s="180"/>
      <c r="B11" s="181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6"/>
      <c r="S11" s="6"/>
      <c r="T11" s="184"/>
      <c r="U11" s="6"/>
    </row>
    <row r="12" spans="1:21" customFormat="1">
      <c r="A12" s="180"/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6"/>
      <c r="S12" s="6"/>
      <c r="T12" s="184"/>
      <c r="U12" s="6"/>
    </row>
    <row r="13" spans="1:21" customFormat="1">
      <c r="A13" s="180"/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6"/>
      <c r="S13" s="6"/>
      <c r="T13" s="184"/>
      <c r="U13" s="6"/>
    </row>
    <row r="14" spans="1:21" customFormat="1">
      <c r="A14" s="180"/>
      <c r="B14" s="181"/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6"/>
      <c r="S14" s="6"/>
      <c r="T14" s="184"/>
      <c r="U14" s="6"/>
    </row>
    <row r="15" spans="1:21" customFormat="1">
      <c r="A15" s="180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6"/>
      <c r="S15" s="6"/>
      <c r="T15" s="184"/>
      <c r="U15" s="6"/>
    </row>
    <row r="16" spans="1:21" customFormat="1">
      <c r="A16" s="180"/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6"/>
      <c r="S16" s="6"/>
      <c r="T16" s="184"/>
      <c r="U16" s="6"/>
    </row>
    <row r="17" spans="1:21" customFormat="1">
      <c r="A17" s="180"/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6"/>
      <c r="S17" s="6"/>
      <c r="T17" s="184"/>
      <c r="U17" s="6"/>
    </row>
    <row r="18" spans="1:21" customFormat="1">
      <c r="A18" s="180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6"/>
      <c r="S18" s="6"/>
      <c r="T18" s="184"/>
      <c r="U18" s="6"/>
    </row>
    <row r="19" spans="1:21" customFormat="1">
      <c r="A19" s="180"/>
      <c r="B19" s="181"/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6"/>
      <c r="S19" s="6"/>
      <c r="T19" s="184"/>
      <c r="U19" s="6"/>
    </row>
    <row r="20" spans="1:21" customFormat="1">
      <c r="A20" s="180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6"/>
      <c r="S20" s="6"/>
      <c r="T20" s="184"/>
      <c r="U20" s="6"/>
    </row>
    <row r="21" spans="1:21" customFormat="1">
      <c r="A21" s="180"/>
      <c r="B21" s="181"/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6"/>
      <c r="S21" s="6"/>
      <c r="T21" s="184"/>
      <c r="U21" s="6"/>
    </row>
    <row r="22" spans="1:21" customFormat="1">
      <c r="A22" s="180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6"/>
      <c r="S22" s="6"/>
      <c r="T22" s="184"/>
      <c r="U22" s="6"/>
    </row>
    <row r="23" spans="1:21" customFormat="1">
      <c r="A23" s="180"/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6"/>
      <c r="S23" s="6"/>
      <c r="T23" s="184"/>
      <c r="U23" s="6"/>
    </row>
    <row r="24" spans="1:21" customFormat="1">
      <c r="A24" s="180"/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6"/>
      <c r="S24" s="6"/>
      <c r="T24" s="184"/>
      <c r="U24" s="6"/>
    </row>
    <row r="25" spans="1:21" customFormat="1">
      <c r="A25" s="180"/>
      <c r="B25" s="181"/>
      <c r="C25" s="181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6"/>
      <c r="S25" s="6"/>
      <c r="T25" s="184"/>
      <c r="U25" s="6"/>
    </row>
    <row r="26" spans="1:21" customFormat="1">
      <c r="A26" s="180"/>
      <c r="B26" s="181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6"/>
      <c r="S26" s="6"/>
      <c r="T26" s="184"/>
      <c r="U26" s="6"/>
    </row>
    <row r="27" spans="1:21" customFormat="1">
      <c r="A27" s="180"/>
      <c r="B27" s="181"/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6"/>
      <c r="S27" s="6"/>
      <c r="T27" s="184"/>
      <c r="U27" s="6"/>
    </row>
    <row r="28" spans="1:21" customFormat="1">
      <c r="A28" s="180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6"/>
      <c r="S28" s="6"/>
      <c r="T28" s="184"/>
      <c r="U28" s="6"/>
    </row>
    <row r="29" spans="1:21" customFormat="1">
      <c r="A29" s="180"/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6"/>
      <c r="S29" s="6"/>
      <c r="T29" s="184"/>
      <c r="U29" s="6"/>
    </row>
    <row r="30" spans="1:21" customFormat="1">
      <c r="A30" s="180"/>
      <c r="B30" s="181"/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6"/>
      <c r="S30" s="6"/>
      <c r="T30" s="184"/>
      <c r="U30" s="6"/>
    </row>
    <row r="31" spans="1:21" customFormat="1">
      <c r="A31" s="180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6"/>
      <c r="S31" s="6"/>
      <c r="T31" s="184"/>
      <c r="U31" s="6"/>
    </row>
    <row r="32" spans="1:21" customFormat="1">
      <c r="A32" s="180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6"/>
      <c r="S32" s="6"/>
      <c r="T32" s="184"/>
      <c r="U32" s="6"/>
    </row>
    <row r="33" spans="1:21" customFormat="1">
      <c r="A33" s="180"/>
      <c r="B33" s="181"/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6"/>
      <c r="S33" s="6"/>
      <c r="T33" s="184"/>
      <c r="U33" s="6"/>
    </row>
    <row r="34" spans="1:21" customFormat="1">
      <c r="A34" s="180"/>
      <c r="B34" s="181"/>
      <c r="C34" s="181"/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6"/>
      <c r="S34" s="6"/>
      <c r="T34" s="184"/>
      <c r="U34" s="6"/>
    </row>
    <row r="35" spans="1:21" customFormat="1">
      <c r="A35" s="180"/>
      <c r="B35" s="181"/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6"/>
      <c r="S35" s="6"/>
      <c r="T35" s="184"/>
      <c r="U35" s="6"/>
    </row>
    <row r="36" spans="1:21" customFormat="1">
      <c r="A36" s="180"/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6"/>
      <c r="S36" s="6"/>
      <c r="T36" s="184"/>
      <c r="U36" s="6"/>
    </row>
    <row r="37" spans="1:21" customFormat="1">
      <c r="A37" s="180"/>
      <c r="B37" s="181"/>
      <c r="C37" s="181"/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6"/>
      <c r="S37" s="6"/>
      <c r="T37" s="184"/>
      <c r="U37" s="6"/>
    </row>
    <row r="38" spans="1:21" customFormat="1">
      <c r="A38" s="180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6"/>
      <c r="S38" s="6"/>
      <c r="T38" s="184"/>
      <c r="U38" s="6"/>
    </row>
    <row r="39" spans="1:21" customFormat="1">
      <c r="A39" s="180"/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6"/>
      <c r="S39" s="6"/>
      <c r="T39" s="184"/>
      <c r="U39" s="6"/>
    </row>
    <row r="40" spans="1:21" customFormat="1">
      <c r="A40" s="180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6"/>
      <c r="S40" s="6"/>
      <c r="T40" s="184"/>
      <c r="U40" s="6"/>
    </row>
    <row r="41" spans="1:21" customFormat="1">
      <c r="A41" s="180"/>
      <c r="B41" s="181"/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6"/>
      <c r="S41" s="6"/>
      <c r="T41" s="184"/>
      <c r="U41" s="6"/>
    </row>
    <row r="42" spans="1:21" customFormat="1">
      <c r="A42" s="180"/>
      <c r="B42" s="181"/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6"/>
      <c r="S42" s="6"/>
      <c r="T42" s="184"/>
      <c r="U42" s="6"/>
    </row>
    <row r="43" spans="1:21" customFormat="1">
      <c r="A43" s="180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6"/>
      <c r="S43" s="6"/>
      <c r="T43" s="184"/>
      <c r="U43" s="6"/>
    </row>
    <row r="44" spans="1:21" customFormat="1">
      <c r="A44" s="180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6"/>
      <c r="S44" s="6"/>
      <c r="T44" s="184"/>
      <c r="U44" s="6"/>
    </row>
    <row r="45" spans="1:21" customFormat="1">
      <c r="A45" s="180"/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6"/>
      <c r="S45" s="6"/>
      <c r="T45" s="184"/>
      <c r="U45" s="6"/>
    </row>
    <row r="46" spans="1:21" customFormat="1">
      <c r="A46" s="180"/>
      <c r="B46" s="181"/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6"/>
      <c r="S46" s="6"/>
      <c r="T46" s="184"/>
      <c r="U46" s="6"/>
    </row>
    <row r="47" spans="1:21" customFormat="1">
      <c r="A47" s="180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6"/>
      <c r="S47" s="6"/>
      <c r="T47" s="184"/>
      <c r="U47" s="6"/>
    </row>
    <row r="48" spans="1:21" customFormat="1">
      <c r="A48" s="180"/>
      <c r="B48" s="181"/>
      <c r="C48" s="181"/>
      <c r="D48" s="181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6"/>
      <c r="S48" s="6"/>
      <c r="T48" s="184"/>
      <c r="U48" s="6"/>
    </row>
    <row r="49" spans="1:21" customFormat="1">
      <c r="A49" s="180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6"/>
      <c r="S49" s="6"/>
      <c r="T49" s="184"/>
      <c r="U49" s="6"/>
    </row>
    <row r="50" spans="1:21" customFormat="1">
      <c r="A50" s="180"/>
      <c r="B50" s="181"/>
      <c r="C50" s="181"/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6"/>
      <c r="S50" s="6"/>
      <c r="T50" s="184"/>
      <c r="U50" s="6"/>
    </row>
    <row r="51" spans="1:21" customFormat="1">
      <c r="A51" s="180"/>
      <c r="B51" s="181"/>
      <c r="C51" s="181"/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6"/>
      <c r="S51" s="6"/>
      <c r="T51" s="184"/>
      <c r="U51" s="6"/>
    </row>
    <row r="52" spans="1:21" customFormat="1">
      <c r="A52" s="180"/>
      <c r="B52" s="181"/>
      <c r="C52" s="181"/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6"/>
      <c r="S52" s="6"/>
      <c r="T52" s="184"/>
      <c r="U52" s="6"/>
    </row>
    <row r="53" spans="1:21" customFormat="1">
      <c r="A53" s="180"/>
      <c r="B53" s="181"/>
      <c r="C53" s="181"/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6"/>
      <c r="S53" s="6"/>
      <c r="T53" s="184"/>
      <c r="U53" s="6"/>
    </row>
    <row r="54" spans="1:21" customFormat="1">
      <c r="A54" s="180"/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6"/>
      <c r="S54" s="6"/>
      <c r="T54" s="184"/>
      <c r="U54" s="6"/>
    </row>
    <row r="55" spans="1:21" customFormat="1">
      <c r="A55" s="180"/>
      <c r="B55" s="181"/>
      <c r="C55" s="181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6"/>
      <c r="S55" s="6"/>
      <c r="T55" s="184"/>
      <c r="U55" s="6"/>
    </row>
    <row r="56" spans="1:21" customFormat="1">
      <c r="A56" s="180"/>
      <c r="B56" s="181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6"/>
      <c r="S56" s="6"/>
      <c r="T56" s="184"/>
      <c r="U56" s="6"/>
    </row>
    <row r="57" spans="1:21" customFormat="1">
      <c r="A57" s="180"/>
      <c r="B57" s="181"/>
      <c r="C57" s="181"/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6"/>
      <c r="S57" s="6"/>
      <c r="T57" s="184"/>
      <c r="U57" s="6"/>
    </row>
    <row r="58" spans="1:21" customFormat="1">
      <c r="A58" s="180"/>
      <c r="B58" s="181"/>
      <c r="C58" s="181"/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6"/>
      <c r="S58" s="6"/>
      <c r="T58" s="184"/>
      <c r="U58" s="6"/>
    </row>
    <row r="59" spans="1:21" customFormat="1">
      <c r="A59" s="180"/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6"/>
      <c r="S59" s="6"/>
      <c r="T59" s="184"/>
      <c r="U59" s="6"/>
    </row>
    <row r="60" spans="1:21" customFormat="1">
      <c r="A60" s="180"/>
      <c r="B60" s="181"/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6"/>
      <c r="S60" s="6"/>
      <c r="T60" s="184"/>
      <c r="U60" s="6"/>
    </row>
    <row r="61" spans="1:21" customFormat="1">
      <c r="A61" s="180"/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6"/>
      <c r="S61" s="6"/>
      <c r="T61" s="184"/>
      <c r="U61" s="6"/>
    </row>
    <row r="62" spans="1:21" customFormat="1">
      <c r="A62" s="180"/>
      <c r="B62" s="181"/>
      <c r="C62" s="181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6"/>
      <c r="S62" s="6"/>
      <c r="T62" s="184"/>
      <c r="U62" s="6"/>
    </row>
    <row r="63" spans="1:21" customFormat="1">
      <c r="A63" s="180"/>
      <c r="B63" s="181"/>
      <c r="C63" s="181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6"/>
      <c r="S63" s="6"/>
      <c r="T63" s="184"/>
      <c r="U63" s="6"/>
    </row>
    <row r="64" spans="1:21" customFormat="1">
      <c r="A64" s="180"/>
      <c r="B64" s="181"/>
      <c r="C64" s="181"/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6"/>
      <c r="S64" s="6"/>
      <c r="T64" s="184"/>
      <c r="U64" s="6"/>
    </row>
    <row r="65" spans="1:21" customFormat="1">
      <c r="A65" s="180"/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6"/>
      <c r="S65" s="6"/>
      <c r="T65" s="184"/>
      <c r="U65" s="6"/>
    </row>
    <row r="66" spans="1:21" customFormat="1">
      <c r="A66" s="180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6"/>
      <c r="S66" s="6"/>
      <c r="T66" s="184"/>
      <c r="U66" s="6"/>
    </row>
    <row r="67" spans="1:21" customFormat="1">
      <c r="A67" s="180"/>
      <c r="B67" s="181"/>
      <c r="C67" s="181"/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6"/>
      <c r="S67" s="6"/>
      <c r="T67" s="184"/>
      <c r="U67" s="6"/>
    </row>
    <row r="68" spans="1:21" customFormat="1">
      <c r="A68" s="180"/>
      <c r="B68" s="181"/>
      <c r="C68" s="181"/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6"/>
      <c r="S68" s="6"/>
      <c r="T68" s="184"/>
      <c r="U68" s="6"/>
    </row>
    <row r="69" spans="1:21" customFormat="1">
      <c r="A69" s="180"/>
      <c r="B69" s="181"/>
      <c r="C69" s="181"/>
      <c r="D69" s="181"/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6"/>
      <c r="S69" s="6"/>
      <c r="T69" s="184"/>
      <c r="U69" s="6"/>
    </row>
    <row r="70" spans="1:21" customFormat="1">
      <c r="A70" s="180"/>
      <c r="B70" s="181"/>
      <c r="C70" s="181"/>
      <c r="D70" s="181"/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6"/>
      <c r="S70" s="6"/>
      <c r="T70" s="184"/>
      <c r="U70" s="6"/>
    </row>
    <row r="71" spans="1:21" customFormat="1">
      <c r="A71" s="180"/>
      <c r="B71" s="181"/>
      <c r="C71" s="181"/>
      <c r="D71" s="181"/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6"/>
      <c r="S71" s="6"/>
      <c r="T71" s="184"/>
      <c r="U71" s="6"/>
    </row>
    <row r="72" spans="1:21" customFormat="1">
      <c r="A72" s="180"/>
      <c r="B72" s="181"/>
      <c r="C72" s="181"/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6"/>
      <c r="S72" s="6"/>
      <c r="T72" s="184"/>
      <c r="U72" s="6"/>
    </row>
    <row r="73" spans="1:21" customFormat="1">
      <c r="A73" s="180"/>
      <c r="B73" s="181"/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6"/>
      <c r="S73" s="6"/>
      <c r="T73" s="184"/>
      <c r="U73" s="6"/>
    </row>
    <row r="74" spans="1:21" customFormat="1">
      <c r="A74" s="180"/>
      <c r="B74" s="181"/>
      <c r="C74" s="181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6"/>
      <c r="S74" s="6"/>
      <c r="T74" s="184"/>
      <c r="U74" s="6"/>
    </row>
    <row r="75" spans="1:21" customFormat="1">
      <c r="A75" s="180"/>
      <c r="B75" s="181"/>
      <c r="C75" s="181"/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6"/>
      <c r="S75" s="6"/>
      <c r="T75" s="184"/>
      <c r="U75" s="6"/>
    </row>
    <row r="76" spans="1:21" customFormat="1">
      <c r="A76" s="180"/>
      <c r="B76" s="181"/>
      <c r="C76" s="181"/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6"/>
      <c r="S76" s="6"/>
      <c r="T76" s="184"/>
      <c r="U76" s="6"/>
    </row>
    <row r="77" spans="1:21" customFormat="1">
      <c r="A77" s="180"/>
      <c r="B77" s="181"/>
      <c r="C77" s="181"/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6"/>
      <c r="S77" s="6"/>
      <c r="T77" s="184"/>
      <c r="U77" s="6"/>
    </row>
    <row r="78" spans="1:21" customFormat="1">
      <c r="A78" s="180"/>
      <c r="B78" s="181"/>
      <c r="C78" s="181"/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6"/>
      <c r="S78" s="6"/>
      <c r="T78" s="184"/>
      <c r="U78" s="6"/>
    </row>
    <row r="79" spans="1:21" customFormat="1">
      <c r="A79" s="180"/>
      <c r="B79" s="181"/>
      <c r="C79" s="181"/>
      <c r="D79" s="181"/>
      <c r="E79" s="185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6"/>
      <c r="S79" s="6"/>
      <c r="T79" s="184"/>
      <c r="U79" s="6"/>
    </row>
    <row r="80" spans="1:21" customFormat="1">
      <c r="A80" s="180"/>
      <c r="B80" s="181"/>
      <c r="C80" s="181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6"/>
      <c r="S80" s="6"/>
      <c r="T80" s="184"/>
      <c r="U80" s="6"/>
    </row>
    <row r="81" spans="1:26" customFormat="1">
      <c r="A81" s="180"/>
      <c r="B81" s="181"/>
      <c r="C81" s="181"/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6"/>
      <c r="S81" s="6"/>
      <c r="T81" s="184"/>
      <c r="U81" s="6"/>
    </row>
    <row r="82" spans="1:26" customFormat="1">
      <c r="A82" s="180"/>
      <c r="B82" s="181"/>
      <c r="C82" s="181"/>
      <c r="D82" s="181"/>
      <c r="E82" s="181"/>
      <c r="F82" s="181"/>
      <c r="G82" s="181"/>
      <c r="H82" s="181"/>
      <c r="I82" s="181"/>
      <c r="J82" s="190"/>
      <c r="K82" s="181"/>
      <c r="L82" s="181"/>
      <c r="M82" s="181"/>
      <c r="N82" s="181"/>
      <c r="O82" s="181"/>
      <c r="P82" s="181"/>
      <c r="Q82" s="181"/>
      <c r="R82" s="6"/>
      <c r="S82" s="6"/>
      <c r="T82" s="184"/>
      <c r="U82" s="6"/>
    </row>
    <row r="83" spans="1:26" customFormat="1">
      <c r="A83" s="180"/>
      <c r="B83" s="181"/>
      <c r="C83" s="181"/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6"/>
      <c r="S83" s="6"/>
      <c r="T83" s="184"/>
      <c r="U83" s="6"/>
    </row>
    <row r="84" spans="1:26" customFormat="1">
      <c r="A84" s="180"/>
      <c r="B84" s="181"/>
      <c r="C84" s="181"/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6"/>
      <c r="S84" s="6"/>
      <c r="T84" s="184"/>
      <c r="U84" s="6"/>
    </row>
    <row r="85" spans="1:26" customFormat="1">
      <c r="A85" s="180"/>
      <c r="B85" s="181"/>
      <c r="C85" s="181"/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6"/>
      <c r="S85" s="6"/>
      <c r="T85" s="184"/>
      <c r="U85" s="6"/>
    </row>
    <row r="86" spans="1:26" customFormat="1">
      <c r="A86" s="180"/>
      <c r="B86" s="181"/>
      <c r="C86" s="181"/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6"/>
      <c r="S86" s="6"/>
      <c r="T86" s="184"/>
      <c r="U86" s="6"/>
    </row>
    <row r="87" spans="1:26" customFormat="1">
      <c r="A87" s="180"/>
      <c r="B87" s="181"/>
      <c r="C87" s="181"/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6"/>
      <c r="S87" s="6"/>
      <c r="T87" s="184"/>
      <c r="U87" s="6"/>
    </row>
    <row r="88" spans="1:26" customFormat="1">
      <c r="A88" s="180"/>
      <c r="B88" s="181"/>
      <c r="C88" s="181"/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6"/>
      <c r="S88" s="6"/>
      <c r="T88" s="184"/>
      <c r="U88" s="6"/>
    </row>
    <row r="89" spans="1:26" customFormat="1">
      <c r="A89" s="180"/>
      <c r="B89" s="181"/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6"/>
      <c r="S89" s="6"/>
      <c r="T89" s="184"/>
      <c r="U89" s="6"/>
    </row>
    <row r="90" spans="1:26" customFormat="1">
      <c r="A90" s="180"/>
      <c r="B90" s="181"/>
      <c r="C90" s="181"/>
      <c r="D90" s="181"/>
      <c r="E90" s="181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6"/>
      <c r="S90" s="6"/>
      <c r="T90" s="184"/>
      <c r="U90" s="6"/>
    </row>
    <row r="91" spans="1:26" customFormat="1">
      <c r="A91" s="180"/>
      <c r="B91" s="181"/>
      <c r="C91" s="181"/>
      <c r="D91" s="181"/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6"/>
      <c r="S91" s="6"/>
      <c r="T91" s="184"/>
      <c r="U91" s="6"/>
    </row>
    <row r="92" spans="1:26" customFormat="1">
      <c r="A92" s="180"/>
      <c r="B92" s="181"/>
      <c r="C92" s="181"/>
      <c r="D92" s="181"/>
      <c r="E92" s="18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6"/>
      <c r="S92" s="6"/>
      <c r="T92" s="184"/>
      <c r="U92" s="6"/>
    </row>
    <row r="93" spans="1:26" customFormat="1">
      <c r="A93" s="180"/>
      <c r="B93" s="181"/>
      <c r="C93" s="181"/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6"/>
      <c r="S93" s="6"/>
      <c r="T93" s="184"/>
      <c r="U93" s="6"/>
    </row>
    <row r="94" spans="1:26" customFormat="1">
      <c r="A94" s="180"/>
      <c r="B94" s="181"/>
      <c r="C94" s="181"/>
      <c r="D94" s="181"/>
      <c r="E94" s="181"/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6"/>
      <c r="S94" s="6"/>
      <c r="T94" s="184"/>
      <c r="U94" s="6"/>
    </row>
    <row r="95" spans="1:26" customFormat="1">
      <c r="A95" s="180"/>
      <c r="B95" s="181"/>
      <c r="C95" s="181"/>
      <c r="D95" s="181"/>
      <c r="E95" s="181"/>
      <c r="F95" s="181"/>
      <c r="G95" s="181"/>
      <c r="H95" s="181"/>
      <c r="I95" s="181"/>
      <c r="J95" s="181"/>
      <c r="K95" s="181"/>
      <c r="L95" s="181"/>
      <c r="M95" s="181"/>
      <c r="N95" s="181"/>
      <c r="O95" s="181"/>
      <c r="P95" s="181"/>
      <c r="Q95" s="181"/>
      <c r="R95" s="6"/>
      <c r="S95" s="6"/>
      <c r="T95" s="184"/>
      <c r="U95" s="6"/>
    </row>
    <row r="96" spans="1:26" customFormat="1">
      <c r="A96" s="180"/>
      <c r="B96" s="181"/>
      <c r="C96" s="181"/>
      <c r="D96" s="181"/>
      <c r="E96" s="181"/>
      <c r="F96" s="181"/>
      <c r="G96" s="181"/>
      <c r="H96" s="181"/>
      <c r="I96" s="181"/>
      <c r="J96" s="181"/>
      <c r="K96" s="181"/>
      <c r="L96" s="181"/>
      <c r="M96" s="181"/>
      <c r="N96" s="181"/>
      <c r="O96" s="181"/>
      <c r="P96" s="181"/>
      <c r="Q96" s="181"/>
      <c r="R96" s="6"/>
      <c r="S96" s="6"/>
      <c r="T96" s="184"/>
      <c r="U96" s="6"/>
      <c r="Z96" s="194"/>
    </row>
    <row r="97" spans="1:33" customFormat="1">
      <c r="A97" s="180"/>
      <c r="B97" s="181"/>
      <c r="C97" s="181"/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6"/>
      <c r="S97" s="6"/>
      <c r="T97" s="184"/>
      <c r="U97" s="6"/>
    </row>
    <row r="98" spans="1:33" customFormat="1">
      <c r="A98" s="180"/>
      <c r="B98" s="181"/>
      <c r="C98" s="181"/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6"/>
      <c r="S98" s="6"/>
      <c r="T98" s="184"/>
      <c r="U98" s="6"/>
    </row>
    <row r="99" spans="1:33" customFormat="1">
      <c r="A99" s="180"/>
      <c r="B99" s="181"/>
      <c r="C99" s="181"/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6"/>
      <c r="S99" s="6"/>
      <c r="T99" s="184"/>
      <c r="U99" s="6"/>
    </row>
    <row r="100" spans="1:33" customFormat="1">
      <c r="A100" s="180"/>
      <c r="B100" s="181"/>
      <c r="C100" s="181"/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6"/>
      <c r="S100" s="6"/>
      <c r="T100" s="184"/>
      <c r="U100" s="6"/>
      <c r="AB100" s="195"/>
      <c r="AG100" s="194"/>
    </row>
    <row r="101" spans="1:33" customFormat="1">
      <c r="A101" s="180"/>
      <c r="B101" s="181"/>
      <c r="C101" s="181"/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6"/>
      <c r="S101" s="6"/>
      <c r="T101" s="184"/>
      <c r="U101" s="6"/>
    </row>
    <row r="102" spans="1:33" customFormat="1">
      <c r="A102" s="180"/>
      <c r="B102" s="181"/>
      <c r="C102" s="181"/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6"/>
      <c r="S102" s="6"/>
      <c r="T102" s="184"/>
      <c r="U102" s="6"/>
    </row>
    <row r="103" spans="1:33" customFormat="1">
      <c r="A103" s="180"/>
      <c r="B103" s="181"/>
      <c r="C103" s="181"/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6"/>
      <c r="S103" s="6"/>
      <c r="T103" s="184"/>
      <c r="U103" s="6"/>
    </row>
    <row r="104" spans="1:33" customFormat="1">
      <c r="A104" s="180"/>
      <c r="B104" s="181"/>
      <c r="C104" s="181"/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6"/>
      <c r="S104" s="6"/>
      <c r="T104" s="184"/>
      <c r="U104" s="6"/>
    </row>
    <row r="105" spans="1:33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33">
      <c r="A106" s="186" t="s">
        <v>48</v>
      </c>
      <c r="B106" s="187">
        <f>MIN(B9:B104)</f>
        <v>0</v>
      </c>
      <c r="C106" s="187">
        <f>MIN(C9:C104)</f>
        <v>0</v>
      </c>
      <c r="D106" s="187">
        <f t="shared" ref="D106:Q106" si="0">MIN(D9:D104)</f>
        <v>0</v>
      </c>
      <c r="E106" s="187">
        <f t="shared" si="0"/>
        <v>0</v>
      </c>
      <c r="F106" s="187">
        <f t="shared" si="0"/>
        <v>0</v>
      </c>
      <c r="G106" s="187">
        <f t="shared" si="0"/>
        <v>0</v>
      </c>
      <c r="H106" s="187">
        <f t="shared" si="0"/>
        <v>0</v>
      </c>
      <c r="I106" s="187">
        <f t="shared" si="0"/>
        <v>0</v>
      </c>
      <c r="J106" s="187">
        <f t="shared" si="0"/>
        <v>0</v>
      </c>
      <c r="K106" s="187">
        <f t="shared" si="0"/>
        <v>0</v>
      </c>
      <c r="L106" s="187">
        <f t="shared" si="0"/>
        <v>0</v>
      </c>
      <c r="M106" s="187">
        <f t="shared" si="0"/>
        <v>0</v>
      </c>
      <c r="N106" s="187">
        <f t="shared" si="0"/>
        <v>0</v>
      </c>
      <c r="O106" s="187">
        <f t="shared" si="0"/>
        <v>0</v>
      </c>
      <c r="P106" s="187">
        <f t="shared" si="0"/>
        <v>0</v>
      </c>
      <c r="Q106" s="187">
        <f t="shared" si="0"/>
        <v>0</v>
      </c>
      <c r="R106" s="192"/>
      <c r="S106" s="192"/>
      <c r="T106" s="192"/>
      <c r="U106" s="192"/>
    </row>
    <row r="107" spans="1:33">
      <c r="A107" s="186" t="s">
        <v>49</v>
      </c>
      <c r="B107" s="188">
        <f>MAX(B9:B104)</f>
        <v>0</v>
      </c>
      <c r="C107" s="188">
        <f t="shared" ref="C107:Q107" si="1">MAX(C9:C104)</f>
        <v>0</v>
      </c>
      <c r="D107" s="188">
        <f t="shared" si="1"/>
        <v>0</v>
      </c>
      <c r="E107" s="188">
        <f t="shared" si="1"/>
        <v>0</v>
      </c>
      <c r="F107" s="188">
        <f t="shared" si="1"/>
        <v>0</v>
      </c>
      <c r="G107" s="188">
        <f t="shared" si="1"/>
        <v>0</v>
      </c>
      <c r="H107" s="188">
        <f t="shared" si="1"/>
        <v>0</v>
      </c>
      <c r="I107" s="188">
        <f t="shared" si="1"/>
        <v>0</v>
      </c>
      <c r="J107" s="188">
        <f t="shared" si="1"/>
        <v>0</v>
      </c>
      <c r="K107" s="188">
        <f t="shared" si="1"/>
        <v>0</v>
      </c>
      <c r="L107" s="188">
        <f t="shared" si="1"/>
        <v>0</v>
      </c>
      <c r="M107" s="188">
        <f t="shared" si="1"/>
        <v>0</v>
      </c>
      <c r="N107" s="188">
        <f t="shared" si="1"/>
        <v>0</v>
      </c>
      <c r="O107" s="188">
        <f t="shared" si="1"/>
        <v>0</v>
      </c>
      <c r="P107" s="188">
        <f t="shared" si="1"/>
        <v>0</v>
      </c>
      <c r="Q107" s="188">
        <f t="shared" si="1"/>
        <v>0</v>
      </c>
      <c r="R107" s="193"/>
      <c r="S107" s="193"/>
      <c r="T107" s="193"/>
      <c r="U107" s="193"/>
    </row>
    <row r="108" spans="1:33">
      <c r="A108" s="186" t="s">
        <v>50</v>
      </c>
      <c r="B108" s="187" t="e">
        <f>AVERAGE(B9:B104)</f>
        <v>#DIV/0!</v>
      </c>
      <c r="C108" s="187" t="e">
        <f t="shared" ref="C108:Q108" si="2">AVERAGE(C9:C104)</f>
        <v>#DIV/0!</v>
      </c>
      <c r="D108" s="187" t="e">
        <f t="shared" si="2"/>
        <v>#DIV/0!</v>
      </c>
      <c r="E108" s="187" t="e">
        <f t="shared" si="2"/>
        <v>#DIV/0!</v>
      </c>
      <c r="F108" s="187" t="e">
        <f t="shared" si="2"/>
        <v>#DIV/0!</v>
      </c>
      <c r="G108" s="187" t="e">
        <f t="shared" si="2"/>
        <v>#DIV/0!</v>
      </c>
      <c r="H108" s="187" t="e">
        <f t="shared" si="2"/>
        <v>#DIV/0!</v>
      </c>
      <c r="I108" s="187" t="e">
        <f t="shared" si="2"/>
        <v>#DIV/0!</v>
      </c>
      <c r="J108" s="187" t="e">
        <f t="shared" si="2"/>
        <v>#DIV/0!</v>
      </c>
      <c r="K108" s="187" t="e">
        <f t="shared" si="2"/>
        <v>#DIV/0!</v>
      </c>
      <c r="L108" s="187" t="e">
        <f t="shared" si="2"/>
        <v>#DIV/0!</v>
      </c>
      <c r="M108" s="187" t="e">
        <f t="shared" si="2"/>
        <v>#DIV/0!</v>
      </c>
      <c r="N108" s="187" t="e">
        <f t="shared" si="2"/>
        <v>#DIV/0!</v>
      </c>
      <c r="O108" s="187" t="e">
        <f t="shared" si="2"/>
        <v>#DIV/0!</v>
      </c>
      <c r="P108" s="187" t="e">
        <f t="shared" si="2"/>
        <v>#DIV/0!</v>
      </c>
      <c r="Q108" s="187" t="e">
        <f t="shared" si="2"/>
        <v>#DIV/0!</v>
      </c>
      <c r="R108" s="192"/>
      <c r="S108" s="192"/>
      <c r="T108" s="192"/>
      <c r="U108" s="192"/>
    </row>
    <row r="109" spans="1:33">
      <c r="A109" s="186" t="s">
        <v>51</v>
      </c>
      <c r="B109" s="187" t="e">
        <f>STDEV(B9:B104)</f>
        <v>#DIV/0!</v>
      </c>
      <c r="C109" s="187" t="e">
        <f t="shared" ref="C109:Q109" si="3">STDEV(C9:C104)</f>
        <v>#DIV/0!</v>
      </c>
      <c r="D109" s="187" t="e">
        <f t="shared" si="3"/>
        <v>#DIV/0!</v>
      </c>
      <c r="E109" s="187" t="e">
        <f t="shared" si="3"/>
        <v>#DIV/0!</v>
      </c>
      <c r="F109" s="187" t="e">
        <f t="shared" si="3"/>
        <v>#DIV/0!</v>
      </c>
      <c r="G109" s="187" t="e">
        <f t="shared" si="3"/>
        <v>#DIV/0!</v>
      </c>
      <c r="H109" s="187" t="e">
        <f t="shared" si="3"/>
        <v>#DIV/0!</v>
      </c>
      <c r="I109" s="187" t="e">
        <f t="shared" si="3"/>
        <v>#DIV/0!</v>
      </c>
      <c r="J109" s="187" t="e">
        <f t="shared" si="3"/>
        <v>#DIV/0!</v>
      </c>
      <c r="K109" s="187" t="e">
        <f t="shared" si="3"/>
        <v>#DIV/0!</v>
      </c>
      <c r="L109" s="187" t="e">
        <f t="shared" si="3"/>
        <v>#DIV/0!</v>
      </c>
      <c r="M109" s="187" t="e">
        <f t="shared" si="3"/>
        <v>#DIV/0!</v>
      </c>
      <c r="N109" s="187" t="e">
        <f t="shared" si="3"/>
        <v>#DIV/0!</v>
      </c>
      <c r="O109" s="187" t="e">
        <f t="shared" si="3"/>
        <v>#DIV/0!</v>
      </c>
      <c r="P109" s="187" t="e">
        <f t="shared" si="3"/>
        <v>#DIV/0!</v>
      </c>
      <c r="Q109" s="187" t="e">
        <f t="shared" si="3"/>
        <v>#DIV/0!</v>
      </c>
      <c r="R109" s="192"/>
      <c r="S109" s="192"/>
      <c r="T109" s="192"/>
      <c r="U109" s="192"/>
    </row>
    <row r="110" spans="1:33">
      <c r="A110" s="186" t="s">
        <v>52</v>
      </c>
      <c r="B110" s="188">
        <f t="shared" ref="B110:Q110" si="4">COUNT(B9:B104)</f>
        <v>0</v>
      </c>
      <c r="C110" s="188">
        <f t="shared" si="4"/>
        <v>0</v>
      </c>
      <c r="D110" s="188">
        <f t="shared" si="4"/>
        <v>0</v>
      </c>
      <c r="E110" s="188">
        <f t="shared" si="4"/>
        <v>0</v>
      </c>
      <c r="F110" s="188">
        <f t="shared" si="4"/>
        <v>0</v>
      </c>
      <c r="G110" s="188">
        <f t="shared" si="4"/>
        <v>0</v>
      </c>
      <c r="H110" s="188">
        <f t="shared" si="4"/>
        <v>0</v>
      </c>
      <c r="I110" s="188">
        <f t="shared" si="4"/>
        <v>0</v>
      </c>
      <c r="J110" s="188">
        <f t="shared" si="4"/>
        <v>0</v>
      </c>
      <c r="K110" s="188">
        <f t="shared" si="4"/>
        <v>0</v>
      </c>
      <c r="L110" s="188">
        <f t="shared" si="4"/>
        <v>0</v>
      </c>
      <c r="M110" s="188">
        <f t="shared" si="4"/>
        <v>0</v>
      </c>
      <c r="N110" s="188">
        <f t="shared" si="4"/>
        <v>0</v>
      </c>
      <c r="O110" s="188">
        <f t="shared" si="4"/>
        <v>0</v>
      </c>
      <c r="P110" s="188">
        <f t="shared" si="4"/>
        <v>0</v>
      </c>
      <c r="Q110" s="188">
        <f t="shared" si="4"/>
        <v>0</v>
      </c>
      <c r="R110" s="193"/>
      <c r="S110" s="193"/>
      <c r="T110" s="193"/>
      <c r="U110" s="193"/>
      <c r="V110" s="188"/>
    </row>
    <row r="111" spans="1:33">
      <c r="A111" s="153" t="s">
        <v>53</v>
      </c>
      <c r="B111" s="147" t="str">
        <f>IF(B110&gt;=87,"&gt;90%",IF(B110&lt;=87,"&lt;90%"))</f>
        <v>&lt;90%</v>
      </c>
      <c r="C111" s="147" t="str">
        <f t="shared" ref="C111:Q111" si="5">IF(C110&gt;=87,"&gt;90%",IF(C110&lt;=87,"&lt;90%"))</f>
        <v>&lt;90%</v>
      </c>
      <c r="D111" s="147" t="str">
        <f t="shared" si="5"/>
        <v>&lt;90%</v>
      </c>
      <c r="E111" s="147" t="str">
        <f t="shared" si="5"/>
        <v>&lt;90%</v>
      </c>
      <c r="F111" s="147" t="str">
        <f t="shared" si="5"/>
        <v>&lt;90%</v>
      </c>
      <c r="G111" s="147" t="str">
        <f t="shared" si="5"/>
        <v>&lt;90%</v>
      </c>
      <c r="H111" s="147" t="str">
        <f t="shared" si="5"/>
        <v>&lt;90%</v>
      </c>
      <c r="I111" s="147" t="str">
        <f t="shared" si="5"/>
        <v>&lt;90%</v>
      </c>
      <c r="J111" s="147" t="str">
        <f t="shared" si="5"/>
        <v>&lt;90%</v>
      </c>
      <c r="K111" s="147" t="str">
        <f t="shared" si="5"/>
        <v>&lt;90%</v>
      </c>
      <c r="L111" s="147" t="str">
        <f t="shared" si="5"/>
        <v>&lt;90%</v>
      </c>
      <c r="M111" s="147" t="str">
        <f t="shared" si="5"/>
        <v>&lt;90%</v>
      </c>
      <c r="N111" s="147" t="str">
        <f t="shared" si="5"/>
        <v>&lt;90%</v>
      </c>
      <c r="O111" s="147" t="str">
        <f t="shared" si="5"/>
        <v>&lt;90%</v>
      </c>
      <c r="P111" s="147" t="str">
        <f t="shared" si="5"/>
        <v>&lt;90%</v>
      </c>
      <c r="Q111" s="147" t="str">
        <f t="shared" si="5"/>
        <v>&lt;90%</v>
      </c>
      <c r="R111" s="175"/>
      <c r="S111" s="175"/>
      <c r="T111" s="175"/>
      <c r="U111" s="175"/>
    </row>
    <row r="112" spans="1:33">
      <c r="A112" s="153" t="s">
        <v>54</v>
      </c>
      <c r="B112" s="147" t="str">
        <f>IF(B110&gt;=87,"OK",IF(B110&lt;=87,"LESS"))</f>
        <v>LESS</v>
      </c>
      <c r="C112" s="147" t="str">
        <f t="shared" ref="C112:Q112" si="6">IF(C110&gt;=87,"OK",IF(C110&lt;=87,"LESS"))</f>
        <v>LESS</v>
      </c>
      <c r="D112" s="147" t="str">
        <f t="shared" si="6"/>
        <v>LESS</v>
      </c>
      <c r="E112" s="147" t="str">
        <f t="shared" si="6"/>
        <v>LESS</v>
      </c>
      <c r="F112" s="147" t="str">
        <f t="shared" si="6"/>
        <v>LESS</v>
      </c>
      <c r="G112" s="147" t="str">
        <f t="shared" si="6"/>
        <v>LESS</v>
      </c>
      <c r="H112" s="147" t="str">
        <f t="shared" si="6"/>
        <v>LESS</v>
      </c>
      <c r="I112" s="147" t="str">
        <f t="shared" si="6"/>
        <v>LESS</v>
      </c>
      <c r="J112" s="147" t="str">
        <f t="shared" si="6"/>
        <v>LESS</v>
      </c>
      <c r="K112" s="147" t="str">
        <f t="shared" si="6"/>
        <v>LESS</v>
      </c>
      <c r="L112" s="147" t="str">
        <f t="shared" si="6"/>
        <v>LESS</v>
      </c>
      <c r="M112" s="147" t="str">
        <f t="shared" si="6"/>
        <v>LESS</v>
      </c>
      <c r="N112" s="147" t="str">
        <f t="shared" si="6"/>
        <v>LESS</v>
      </c>
      <c r="O112" s="147" t="str">
        <f t="shared" si="6"/>
        <v>LESS</v>
      </c>
      <c r="P112" s="147" t="str">
        <f t="shared" si="6"/>
        <v>LESS</v>
      </c>
      <c r="Q112" s="147" t="str">
        <f t="shared" si="6"/>
        <v>LESS</v>
      </c>
      <c r="R112" s="175"/>
      <c r="S112" s="175"/>
      <c r="T112" s="175"/>
      <c r="U112" s="175"/>
    </row>
    <row r="113" spans="1:21">
      <c r="L113" s="32"/>
      <c r="N113" s="191"/>
      <c r="O113" s="191"/>
      <c r="P113" s="191"/>
      <c r="Q113" s="191"/>
      <c r="R113" s="191"/>
      <c r="S113" s="191"/>
      <c r="T113" s="191"/>
      <c r="U113" s="191"/>
    </row>
    <row r="115" spans="1:21">
      <c r="A115" s="153" t="s">
        <v>55</v>
      </c>
      <c r="B115" s="197" t="s">
        <v>56</v>
      </c>
      <c r="C115" s="197"/>
      <c r="D115" s="197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9" t="s">
        <v>57</v>
      </c>
      <c r="B117" s="198"/>
      <c r="C117" s="198"/>
      <c r="D117" s="198"/>
      <c r="E117" s="198"/>
      <c r="F117" s="198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55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E36" sqref="E36"/>
    </sheetView>
  </sheetViews>
  <sheetFormatPr defaultColWidth="8.85546875" defaultRowHeight="15"/>
  <cols>
    <col min="1" max="1" width="15.85546875" style="143" customWidth="1"/>
    <col min="2" max="2" width="14.140625" customWidth="1"/>
    <col min="3" max="3" width="9.85546875" customWidth="1"/>
    <col min="4" max="4" width="10.28515625" customWidth="1"/>
    <col min="5" max="5" width="10.5703125" customWidth="1"/>
    <col min="7" max="7" width="10.7109375" customWidth="1"/>
    <col min="8" max="8" width="12.28515625" customWidth="1"/>
    <col min="9" max="9" width="10.42578125" customWidth="1"/>
    <col min="11" max="11" width="9.5703125" customWidth="1"/>
    <col min="12" max="12" width="10.42578125" customWidth="1"/>
    <col min="13" max="13" width="10" customWidth="1"/>
    <col min="17" max="17" width="9.7109375" customWidth="1"/>
    <col min="20" max="20" width="10.28515625" customWidth="1"/>
  </cols>
  <sheetData>
    <row r="1" spans="1:21" s="2" customFormat="1">
      <c r="A1" s="144" t="s">
        <v>0</v>
      </c>
      <c r="B1" s="145" t="s">
        <v>58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 s="2" customFormat="1">
      <c r="A2" s="144" t="s">
        <v>2</v>
      </c>
      <c r="B2" s="148">
        <f>$A$9</f>
        <v>45352.010416666664</v>
      </c>
      <c r="C2"/>
      <c r="D2" s="48" t="s">
        <v>3</v>
      </c>
      <c r="E2" s="48"/>
      <c r="F2" s="48"/>
      <c r="G2" s="149" t="s">
        <v>4</v>
      </c>
      <c r="H2" s="150"/>
      <c r="I2" s="150"/>
      <c r="J2" s="150"/>
      <c r="K2" s="147"/>
      <c r="L2" s="48" t="s">
        <v>5</v>
      </c>
      <c r="M2" s="147"/>
      <c r="N2" s="165" t="s">
        <v>6</v>
      </c>
      <c r="P2" s="166" t="s">
        <v>7</v>
      </c>
      <c r="Q2" s="147"/>
      <c r="R2" s="172" t="s">
        <v>8</v>
      </c>
      <c r="S2"/>
      <c r="T2"/>
      <c r="U2"/>
    </row>
    <row r="3" spans="1:21" s="2" customFormat="1">
      <c r="A3" s="144" t="s">
        <v>9</v>
      </c>
      <c r="B3" s="147" t="s">
        <v>10</v>
      </c>
      <c r="C3"/>
      <c r="D3" s="48" t="s">
        <v>11</v>
      </c>
      <c r="E3" s="48"/>
      <c r="F3" s="48"/>
      <c r="G3" s="151" t="s">
        <v>12</v>
      </c>
      <c r="H3" s="150"/>
      <c r="I3" s="144"/>
      <c r="J3" s="150"/>
      <c r="K3"/>
      <c r="L3" s="48" t="s">
        <v>13</v>
      </c>
      <c r="M3" s="147"/>
      <c r="N3" s="167" t="s">
        <v>14</v>
      </c>
      <c r="O3" s="147"/>
      <c r="P3" s="168" t="s">
        <v>15</v>
      </c>
      <c r="Q3" s="147"/>
      <c r="R3" s="173" t="s">
        <v>15</v>
      </c>
      <c r="S3"/>
      <c r="T3"/>
      <c r="U3"/>
    </row>
    <row r="4" spans="1:21" s="2" customFormat="1">
      <c r="A4" s="144" t="s">
        <v>16</v>
      </c>
      <c r="B4" s="147" t="s">
        <v>59</v>
      </c>
      <c r="C4"/>
      <c r="D4" s="48" t="s">
        <v>18</v>
      </c>
      <c r="E4" s="48"/>
      <c r="F4" s="48"/>
      <c r="G4" s="152" t="s">
        <v>19</v>
      </c>
      <c r="H4" s="150"/>
      <c r="I4" s="144"/>
      <c r="J4" s="150"/>
      <c r="K4" s="169"/>
      <c r="L4" s="48" t="s">
        <v>20</v>
      </c>
      <c r="M4" s="147"/>
      <c r="N4" s="170" t="s">
        <v>21</v>
      </c>
      <c r="O4" s="147"/>
      <c r="P4" s="147"/>
      <c r="Q4" s="147"/>
      <c r="R4" s="147"/>
      <c r="S4"/>
      <c r="T4"/>
      <c r="U4"/>
    </row>
    <row r="5" spans="1:21" s="2" customFormat="1">
      <c r="A5" s="144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 s="2" customFormat="1">
      <c r="A6" s="144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 s="2" customFormat="1">
      <c r="A7" s="154" t="s">
        <v>22</v>
      </c>
      <c r="B7" s="155" t="s">
        <v>23</v>
      </c>
      <c r="C7" s="155" t="s">
        <v>24</v>
      </c>
      <c r="D7" s="155" t="s">
        <v>25</v>
      </c>
      <c r="E7" s="155" t="s">
        <v>26</v>
      </c>
      <c r="F7" s="155" t="s">
        <v>27</v>
      </c>
      <c r="G7" s="155" t="s">
        <v>28</v>
      </c>
      <c r="H7" s="155" t="s">
        <v>29</v>
      </c>
      <c r="I7" s="155" t="s">
        <v>30</v>
      </c>
      <c r="J7" s="155" t="s">
        <v>31</v>
      </c>
      <c r="K7" s="155" t="s">
        <v>32</v>
      </c>
      <c r="L7" s="155" t="s">
        <v>33</v>
      </c>
      <c r="M7" s="155" t="s">
        <v>34</v>
      </c>
      <c r="N7" s="155" t="s">
        <v>35</v>
      </c>
      <c r="O7" s="155" t="s">
        <v>36</v>
      </c>
      <c r="P7" s="155" t="s">
        <v>37</v>
      </c>
      <c r="Q7" s="155" t="s">
        <v>38</v>
      </c>
      <c r="R7" s="174"/>
      <c r="S7" s="175"/>
      <c r="T7" s="174"/>
      <c r="U7" s="174"/>
    </row>
    <row r="8" spans="1:21" s="2" customFormat="1">
      <c r="A8" s="154"/>
      <c r="B8" s="156" t="s">
        <v>39</v>
      </c>
      <c r="C8" s="156" t="s">
        <v>39</v>
      </c>
      <c r="D8" s="156" t="s">
        <v>40</v>
      </c>
      <c r="E8" s="156" t="s">
        <v>39</v>
      </c>
      <c r="F8" s="156" t="s">
        <v>39</v>
      </c>
      <c r="G8" s="156" t="s">
        <v>39</v>
      </c>
      <c r="H8" s="156" t="s">
        <v>39</v>
      </c>
      <c r="I8" s="156" t="s">
        <v>39</v>
      </c>
      <c r="J8" s="156" t="s">
        <v>41</v>
      </c>
      <c r="K8" s="156" t="s">
        <v>42</v>
      </c>
      <c r="L8" s="171" t="s">
        <v>43</v>
      </c>
      <c r="M8" s="156" t="s">
        <v>44</v>
      </c>
      <c r="N8" s="156" t="s">
        <v>45</v>
      </c>
      <c r="O8" s="171" t="s">
        <v>46</v>
      </c>
      <c r="P8" s="156" t="s">
        <v>47</v>
      </c>
      <c r="Q8" s="114" t="s">
        <v>39</v>
      </c>
      <c r="R8" s="174"/>
      <c r="S8" s="175"/>
      <c r="T8" s="174"/>
      <c r="U8" s="174"/>
    </row>
    <row r="9" spans="1:21">
      <c r="A9" s="157">
        <f>'01'!$B$2</f>
        <v>45352.010416666664</v>
      </c>
      <c r="B9" s="95">
        <f>'01'!B108</f>
        <v>18.33583333333333</v>
      </c>
      <c r="C9" s="95">
        <f>'01'!C108</f>
        <v>19.73510416666667</v>
      </c>
      <c r="D9" s="95">
        <f>'01'!D108</f>
        <v>26.365729166666672</v>
      </c>
      <c r="E9" s="95">
        <f>'01'!E108</f>
        <v>10.931354166666665</v>
      </c>
      <c r="F9" s="95">
        <f>'01'!F108</f>
        <v>6.7460416666666676</v>
      </c>
      <c r="G9" s="95">
        <f>'01'!G108</f>
        <v>79.656875000000042</v>
      </c>
      <c r="H9" s="95">
        <f>'01'!H108</f>
        <v>29.239374999999992</v>
      </c>
      <c r="I9" s="95">
        <f>'01'!I108</f>
        <v>7.1284374999999995</v>
      </c>
      <c r="J9" s="95">
        <f>'01'!J108</f>
        <v>0.3754166666666669</v>
      </c>
      <c r="K9" s="95">
        <f>'01'!K108</f>
        <v>163.80552083333336</v>
      </c>
      <c r="L9" s="95">
        <f>'01'!L108</f>
        <v>26.492708333333336</v>
      </c>
      <c r="M9" s="95">
        <f>'01'!M108</f>
        <v>44.813645833333339</v>
      </c>
      <c r="N9" s="95">
        <f>'01'!N108</f>
        <v>162.58958333333334</v>
      </c>
      <c r="O9" s="95">
        <f>'01'!O108</f>
        <v>0</v>
      </c>
      <c r="P9" s="95">
        <f>'01'!P108</f>
        <v>0.71489583333333329</v>
      </c>
      <c r="Q9" s="95">
        <f>'01'!Q108</f>
        <v>4.7670833333333347</v>
      </c>
      <c r="R9" s="160"/>
      <c r="S9" s="160"/>
      <c r="T9" s="160"/>
      <c r="U9" s="160"/>
    </row>
    <row r="10" spans="1:21">
      <c r="A10" s="157">
        <f>'02'!$B$2</f>
        <v>45353.010416666664</v>
      </c>
      <c r="B10" s="95">
        <f>'02'!B108</f>
        <v>9.1182291666666693</v>
      </c>
      <c r="C10" s="95">
        <f>'02'!C108</f>
        <v>20.649479166666655</v>
      </c>
      <c r="D10" s="95">
        <f>'02'!D108</f>
        <v>19.451770833333324</v>
      </c>
      <c r="E10" s="95">
        <f>'02'!E108</f>
        <v>12.315416666666664</v>
      </c>
      <c r="F10" s="95">
        <f>'02'!F108</f>
        <v>11.000104166666667</v>
      </c>
      <c r="G10" s="95">
        <f>'02'!G108</f>
        <v>73.136629213483133</v>
      </c>
      <c r="H10" s="95">
        <f>'02'!H108</f>
        <v>24.934823529411776</v>
      </c>
      <c r="I10" s="95">
        <f>'02'!I108</f>
        <v>7.0403125000000024</v>
      </c>
      <c r="J10" s="95">
        <f>'02'!J108</f>
        <v>0.64406249999999987</v>
      </c>
      <c r="K10" s="95">
        <f>'02'!K108</f>
        <v>183.99364583333332</v>
      </c>
      <c r="L10" s="95">
        <f>'02'!L108</f>
        <v>26.425312500000015</v>
      </c>
      <c r="M10" s="95">
        <f>'02'!M108</f>
        <v>49.497395833333321</v>
      </c>
      <c r="N10" s="95">
        <f>'02'!N108</f>
        <v>144.52395833333333</v>
      </c>
      <c r="O10" s="95">
        <f>'02'!O108</f>
        <v>0</v>
      </c>
      <c r="P10" s="95">
        <f>'02'!P108</f>
        <v>0.67302083333333329</v>
      </c>
      <c r="Q10" s="95">
        <f>'02'!Q108</f>
        <v>4.709687500000002</v>
      </c>
      <c r="R10" s="160"/>
      <c r="S10" s="160"/>
      <c r="T10" s="160"/>
      <c r="U10" s="160"/>
    </row>
    <row r="11" spans="1:21">
      <c r="A11" s="157">
        <f>'03'!$B$2</f>
        <v>45354.010416666664</v>
      </c>
      <c r="B11" s="95">
        <f>'03'!B108</f>
        <v>7.7883333333333304</v>
      </c>
      <c r="C11" s="95">
        <f>'03'!C108</f>
        <v>19.351250000000004</v>
      </c>
      <c r="D11" s="95">
        <f>'03'!D108</f>
        <v>17.707708333333333</v>
      </c>
      <c r="E11" s="95">
        <f>'03'!E108</f>
        <v>10.046874999999998</v>
      </c>
      <c r="F11" s="95">
        <f>'03'!F108</f>
        <v>11.114791666666667</v>
      </c>
      <c r="G11" s="95">
        <f>'03'!G108</f>
        <v>73.725729166666682</v>
      </c>
      <c r="H11" s="95">
        <f>'03'!H108</f>
        <v>29.439062499999991</v>
      </c>
      <c r="I11" s="95">
        <f>'03'!I108</f>
        <v>6.3490624999999996</v>
      </c>
      <c r="J11" s="95">
        <f>'03'!J108</f>
        <v>0.48791666666666678</v>
      </c>
      <c r="K11" s="95">
        <f>'03'!K108</f>
        <v>189.99145833333333</v>
      </c>
      <c r="L11" s="95">
        <f>'03'!L108</f>
        <v>27.381562499999998</v>
      </c>
      <c r="M11" s="95">
        <f>'03'!M108</f>
        <v>50.907916666666665</v>
      </c>
      <c r="N11" s="95">
        <f>'03'!N108</f>
        <v>125.80416666666666</v>
      </c>
      <c r="O11" s="95">
        <f>'03'!O108</f>
        <v>0</v>
      </c>
      <c r="P11" s="95">
        <f>'03'!P108</f>
        <v>0.59302083333333322</v>
      </c>
      <c r="Q11" s="95">
        <f>'03'!Q108</f>
        <v>4.7109374999999973</v>
      </c>
      <c r="R11" s="160"/>
      <c r="S11" s="160"/>
      <c r="T11" s="160"/>
      <c r="U11" s="160"/>
    </row>
    <row r="12" spans="1:21">
      <c r="A12" s="157">
        <f>'04'!$B$2</f>
        <v>45355.010416666664</v>
      </c>
      <c r="B12" s="95">
        <f>'04'!B108</f>
        <v>10.354583333333331</v>
      </c>
      <c r="C12" s="95">
        <f>'04'!C108</f>
        <v>27.847395833333334</v>
      </c>
      <c r="D12" s="95">
        <f>'04'!D108</f>
        <v>24.244791666666671</v>
      </c>
      <c r="E12" s="95">
        <f>'04'!E108</f>
        <v>14.337604166666665</v>
      </c>
      <c r="F12" s="95">
        <f>'04'!F108</f>
        <v>10.842291666666668</v>
      </c>
      <c r="G12" s="95">
        <f>'04'!G108</f>
        <v>109.4239784946237</v>
      </c>
      <c r="H12" s="95">
        <f>'04'!H108</f>
        <v>42.213854166666678</v>
      </c>
      <c r="I12" s="95">
        <f>'04'!I108</f>
        <v>7.8827083333333325</v>
      </c>
      <c r="J12" s="95">
        <f>'04'!J108</f>
        <v>0.50781250000000011</v>
      </c>
      <c r="K12" s="95">
        <f>'04'!K108</f>
        <v>120.3463541666667</v>
      </c>
      <c r="L12" s="95">
        <f>'04'!L108</f>
        <v>27.015000000000004</v>
      </c>
      <c r="M12" s="95">
        <f>'04'!M108</f>
        <v>57.285208333333337</v>
      </c>
      <c r="N12" s="95">
        <f>'04'!N108</f>
        <v>114.81770833333331</v>
      </c>
      <c r="O12" s="95">
        <f>'04'!O108</f>
        <v>0</v>
      </c>
      <c r="P12" s="95">
        <f>'04'!P108</f>
        <v>0.92947916666666697</v>
      </c>
      <c r="Q12" s="95">
        <f>'04'!Q108</f>
        <v>4.7412499999999982</v>
      </c>
      <c r="R12" s="160"/>
      <c r="S12" s="160"/>
      <c r="T12" s="160"/>
      <c r="U12" s="160"/>
    </row>
    <row r="13" spans="1:21">
      <c r="A13" s="157">
        <f>'05'!$B$2</f>
        <v>45356.010416666664</v>
      </c>
      <c r="B13" s="95">
        <f>'05'!B108</f>
        <v>10.981249999999998</v>
      </c>
      <c r="C13" s="95">
        <f>'05'!C108</f>
        <v>26.948854166666667</v>
      </c>
      <c r="D13" s="95">
        <f>'05'!D108</f>
        <v>24.23729166666666</v>
      </c>
      <c r="E13" s="95">
        <f>'05'!E108</f>
        <v>17.868437499999988</v>
      </c>
      <c r="F13" s="95">
        <f>'05'!F108</f>
        <v>13.936354166666669</v>
      </c>
      <c r="G13" s="95">
        <f>'05'!G108</f>
        <v>85.428020833333349</v>
      </c>
      <c r="H13" s="95">
        <f>'05'!H108</f>
        <v>33.805833333333318</v>
      </c>
      <c r="I13" s="95">
        <f>'05'!I108</f>
        <v>6.6532291666666667</v>
      </c>
      <c r="J13" s="95">
        <f>'05'!J108</f>
        <v>0.75333333333333352</v>
      </c>
      <c r="K13" s="95">
        <f>'05'!K108</f>
        <v>102.36781250000003</v>
      </c>
      <c r="L13" s="95">
        <f>'05'!L108</f>
        <v>27.162499999999991</v>
      </c>
      <c r="M13" s="95">
        <f>'05'!M108</f>
        <v>54.834479166666654</v>
      </c>
      <c r="N13" s="95">
        <f>'05'!N108</f>
        <v>143.8125</v>
      </c>
      <c r="O13" s="95">
        <f>'05'!O108</f>
        <v>0</v>
      </c>
      <c r="P13" s="95">
        <f>'05'!P108</f>
        <v>0.74062499999999998</v>
      </c>
      <c r="Q13" s="95">
        <f>'05'!Q108</f>
        <v>4.7545833333333336</v>
      </c>
      <c r="R13" s="160"/>
      <c r="S13" s="160"/>
      <c r="T13" s="160"/>
      <c r="U13" s="160"/>
    </row>
    <row r="14" spans="1:21">
      <c r="A14" s="157">
        <f>'06'!$B$2</f>
        <v>45357.010416666664</v>
      </c>
      <c r="B14" s="95">
        <f>'06'!B108</f>
        <v>6.1986458333333347</v>
      </c>
      <c r="C14" s="95">
        <f>'06'!C108</f>
        <v>24.537604166666672</v>
      </c>
      <c r="D14" s="95">
        <f>'06'!D108</f>
        <v>19.142395833333339</v>
      </c>
      <c r="E14" s="95">
        <f>'06'!E108</f>
        <v>13.7184375</v>
      </c>
      <c r="F14" s="95">
        <f>'06'!F108</f>
        <v>12.797499999999999</v>
      </c>
      <c r="G14" s="95">
        <f>'06'!G108</f>
        <v>81.929374999999922</v>
      </c>
      <c r="H14" s="95">
        <f>'06'!H108</f>
        <v>35.950104166666641</v>
      </c>
      <c r="I14" s="95">
        <f>'06'!I108</f>
        <v>6.9849999999999985</v>
      </c>
      <c r="J14" s="95">
        <f>'06'!J108</f>
        <v>0.62385416666666671</v>
      </c>
      <c r="K14" s="95">
        <f>'06'!K108</f>
        <v>122.64687499999997</v>
      </c>
      <c r="L14" s="95">
        <f>'06'!L108</f>
        <v>27.699062500000014</v>
      </c>
      <c r="M14" s="95">
        <f>'06'!M108</f>
        <v>47.093437499999972</v>
      </c>
      <c r="N14" s="95">
        <f>'06'!N108</f>
        <v>144.64583333333331</v>
      </c>
      <c r="O14" s="95">
        <f>'06'!O108</f>
        <v>0</v>
      </c>
      <c r="P14" s="95">
        <f>'06'!P108</f>
        <v>0.69854166666666651</v>
      </c>
      <c r="Q14" s="95">
        <f>'06'!Q108</f>
        <v>4.7270833333333346</v>
      </c>
      <c r="R14" s="160"/>
      <c r="S14" s="160"/>
      <c r="T14" s="160"/>
      <c r="U14" s="160"/>
    </row>
    <row r="15" spans="1:21">
      <c r="A15" s="157">
        <f>'07'!$B$2</f>
        <v>45358.010416666664</v>
      </c>
      <c r="B15" s="95">
        <f>'07'!B108</f>
        <v>6.5055434782608694</v>
      </c>
      <c r="C15" s="95">
        <f>'07'!C108</f>
        <v>26.648913043478274</v>
      </c>
      <c r="D15" s="95">
        <f>'07'!D108</f>
        <v>20.490760869565225</v>
      </c>
      <c r="E15" s="95">
        <f>'07'!E108</f>
        <v>13.413369565217391</v>
      </c>
      <c r="F15" s="95">
        <f>'07'!F108</f>
        <v>10.038695652173912</v>
      </c>
      <c r="G15" s="95">
        <f>'07'!G108</f>
        <v>72.665208333333325</v>
      </c>
      <c r="H15" s="95">
        <f>'07'!H108</f>
        <v>28.714631578947362</v>
      </c>
      <c r="I15" s="95">
        <f>'07'!I108</f>
        <v>7.043541666666667</v>
      </c>
      <c r="J15" s="95">
        <f>'07'!J108</f>
        <v>0.80531249999999988</v>
      </c>
      <c r="K15" s="95">
        <f>'07'!K108</f>
        <v>71.295104166666675</v>
      </c>
      <c r="L15" s="95">
        <f>'07'!L108</f>
        <v>26.027812500000014</v>
      </c>
      <c r="M15" s="95">
        <f>'07'!M108</f>
        <v>56.418541666666648</v>
      </c>
      <c r="N15" s="95">
        <f>'07'!N108</f>
        <v>138.51041666666671</v>
      </c>
      <c r="O15" s="95">
        <f>'07'!O108</f>
        <v>0</v>
      </c>
      <c r="P15" s="95">
        <f>'07'!P108</f>
        <v>0.6132608695652173</v>
      </c>
      <c r="Q15" s="95">
        <f>'07'!Q108</f>
        <v>4.7616666666666685</v>
      </c>
      <c r="R15" s="160"/>
      <c r="S15" s="160"/>
      <c r="T15" s="160"/>
      <c r="U15" s="160"/>
    </row>
    <row r="16" spans="1:21">
      <c r="A16" s="157">
        <f>'08'!$B$2</f>
        <v>45359.010416666664</v>
      </c>
      <c r="B16" s="95">
        <f>'08'!B108</f>
        <v>11.268645833333332</v>
      </c>
      <c r="C16" s="95">
        <f>'08'!C108</f>
        <v>30.093958333333333</v>
      </c>
      <c r="D16" s="95">
        <f>'08'!D108</f>
        <v>26.110520833333339</v>
      </c>
      <c r="E16" s="95">
        <f>'08'!E108</f>
        <v>12.647395833333334</v>
      </c>
      <c r="F16" s="95">
        <f>'08'!F108</f>
        <v>6.9502083333333324</v>
      </c>
      <c r="G16" s="95">
        <f>'08'!G108</f>
        <v>87.756249999999952</v>
      </c>
      <c r="H16" s="95">
        <f>'08'!H108</f>
        <v>31.590520833333329</v>
      </c>
      <c r="I16" s="95">
        <f>'08'!I108</f>
        <v>5.8793750000000005</v>
      </c>
      <c r="J16" s="95">
        <f>'08'!J108</f>
        <v>0.854375</v>
      </c>
      <c r="K16" s="95">
        <f>'08'!K108</f>
        <v>75.338229166666679</v>
      </c>
      <c r="L16" s="95">
        <f>'08'!L108</f>
        <v>26.471354166666671</v>
      </c>
      <c r="M16" s="95">
        <f>'08'!M108</f>
        <v>37.975000000000001</v>
      </c>
      <c r="N16" s="95">
        <f>'08'!N108</f>
        <v>158.3354166666667</v>
      </c>
      <c r="O16" s="95">
        <f>'08'!O108</f>
        <v>0</v>
      </c>
      <c r="P16" s="95">
        <f>'08'!P108</f>
        <v>0.65416666666666679</v>
      </c>
      <c r="Q16" s="95">
        <f>'08'!Q108</f>
        <v>4.8106249999999982</v>
      </c>
      <c r="R16" s="160"/>
      <c r="S16" s="160"/>
      <c r="T16" s="160"/>
      <c r="U16" s="160"/>
    </row>
    <row r="17" spans="1:21">
      <c r="A17" s="157">
        <f>'09'!$B$2</f>
        <v>45360.010416666664</v>
      </c>
      <c r="B17" s="95">
        <f>'09'!B108</f>
        <v>8.2015624999999979</v>
      </c>
      <c r="C17" s="95">
        <f>'09'!C108</f>
        <v>27.77802083333334</v>
      </c>
      <c r="D17" s="95">
        <f>'09'!D108</f>
        <v>22.441770833333326</v>
      </c>
      <c r="E17" s="95">
        <f>'09'!E108</f>
        <v>13.485937500000004</v>
      </c>
      <c r="F17" s="95">
        <f>'09'!F108</f>
        <v>11.136250000000004</v>
      </c>
      <c r="G17" s="95">
        <f>'09'!G108</f>
        <v>76.884687499999941</v>
      </c>
      <c r="H17" s="95">
        <f>'09'!H108</f>
        <v>31.101250000000007</v>
      </c>
      <c r="I17" s="95">
        <f>'09'!I108</f>
        <v>5.1888541666666681</v>
      </c>
      <c r="J17" s="95">
        <f>'09'!J108</f>
        <v>0.76291666666666658</v>
      </c>
      <c r="K17" s="95">
        <f>'09'!K108</f>
        <v>104.96072916666662</v>
      </c>
      <c r="L17" s="95">
        <f>'09'!L108</f>
        <v>26.436875000000004</v>
      </c>
      <c r="M17" s="95">
        <f>'09'!M108</f>
        <v>40.396249999999995</v>
      </c>
      <c r="N17" s="95">
        <f>'09'!N108</f>
        <v>161.30104166666669</v>
      </c>
      <c r="O17" s="95">
        <f>'09'!O108</f>
        <v>0</v>
      </c>
      <c r="P17" s="95">
        <f>'09'!P108</f>
        <v>0.66729166666666673</v>
      </c>
      <c r="Q17" s="95">
        <f>'09'!Q108</f>
        <v>4.7378125000000013</v>
      </c>
      <c r="R17" s="160"/>
      <c r="S17" s="160"/>
      <c r="T17" s="160"/>
      <c r="U17" s="160"/>
    </row>
    <row r="18" spans="1:21">
      <c r="A18" s="157">
        <f>'10'!$B$2</f>
        <v>45361.010416666664</v>
      </c>
      <c r="B18" s="95">
        <f>'10'!B108</f>
        <v>5.2981249999999998</v>
      </c>
      <c r="C18" s="95">
        <f>'10'!C108</f>
        <v>26.332708333333326</v>
      </c>
      <c r="D18" s="95">
        <f>'10'!D108</f>
        <v>19.358229166666671</v>
      </c>
      <c r="E18" s="95">
        <f>'10'!E108</f>
        <v>12.109687499999994</v>
      </c>
      <c r="F18" s="95">
        <f>'10'!F108</f>
        <v>8.5492708333333365</v>
      </c>
      <c r="G18" s="95">
        <f>'10'!G108</f>
        <v>84.490520833333335</v>
      </c>
      <c r="H18" s="95">
        <f>'10'!H108</f>
        <v>38.396666666666668</v>
      </c>
      <c r="I18" s="95">
        <f>'10'!I108</f>
        <v>5.7572916666666636</v>
      </c>
      <c r="J18" s="95">
        <f>'10'!J108</f>
        <v>0.54833333333333323</v>
      </c>
      <c r="K18" s="95">
        <f>'10'!K108</f>
        <v>126.1248958333333</v>
      </c>
      <c r="L18" s="95">
        <f>'10'!L108</f>
        <v>27.695833333333329</v>
      </c>
      <c r="M18" s="95">
        <f>'10'!M108</f>
        <v>40.317395833333343</v>
      </c>
      <c r="N18" s="95">
        <f>'10'!N108</f>
        <v>154.02812500000005</v>
      </c>
      <c r="O18" s="95">
        <f>'10'!O108</f>
        <v>0</v>
      </c>
      <c r="P18" s="95">
        <f>'10'!P108</f>
        <v>0.68156250000000018</v>
      </c>
      <c r="Q18" s="95">
        <f>'10'!Q108</f>
        <v>4.7337500000000041</v>
      </c>
      <c r="R18" s="160"/>
      <c r="S18" s="160"/>
      <c r="T18" s="160"/>
      <c r="U18" s="160"/>
    </row>
    <row r="19" spans="1:21">
      <c r="A19" s="157">
        <f>'11'!$B$2</f>
        <v>45362.010416666664</v>
      </c>
      <c r="B19" s="95">
        <f>'11'!B108</f>
        <v>5.5785416666666672</v>
      </c>
      <c r="C19" s="95">
        <f>'11'!C108</f>
        <v>24.156874999999999</v>
      </c>
      <c r="D19" s="95">
        <f>'11'!D108</f>
        <v>18.445833333333333</v>
      </c>
      <c r="E19" s="95">
        <f>'11'!E108</f>
        <v>10.528958333333335</v>
      </c>
      <c r="F19" s="95">
        <f>'11'!F108</f>
        <v>8.0816666666666652</v>
      </c>
      <c r="G19" s="95">
        <f>'11'!G108</f>
        <v>78.247812500000023</v>
      </c>
      <c r="H19" s="95">
        <f>'11'!H108</f>
        <v>33.710208333333348</v>
      </c>
      <c r="I19" s="95">
        <f>'11'!I108</f>
        <v>6.6513541666666631</v>
      </c>
      <c r="J19" s="95">
        <f>'11'!J108</f>
        <v>0.44312499999999982</v>
      </c>
      <c r="K19" s="95">
        <f>'11'!K108</f>
        <v>173.49479166666666</v>
      </c>
      <c r="L19" s="95">
        <f>'11'!L108</f>
        <v>28.815416666666664</v>
      </c>
      <c r="M19" s="95">
        <f>'11'!M108</f>
        <v>49.815729166666664</v>
      </c>
      <c r="N19" s="95">
        <f>'11'!N108</f>
        <v>133.13124999999999</v>
      </c>
      <c r="O19" s="95">
        <f>'11'!O108</f>
        <v>0</v>
      </c>
      <c r="P19" s="95">
        <f>'11'!P108</f>
        <v>0.69447916666666687</v>
      </c>
      <c r="Q19" s="95">
        <f>'11'!Q108</f>
        <v>4.6880208333333346</v>
      </c>
      <c r="R19" s="160"/>
      <c r="S19" s="160"/>
      <c r="T19" s="160"/>
      <c r="U19" s="160"/>
    </row>
    <row r="20" spans="1:21">
      <c r="A20" s="157">
        <f>'12'!$B$2</f>
        <v>45363.010416666664</v>
      </c>
      <c r="B20" s="95">
        <f>'12'!B108</f>
        <v>10.398958333333331</v>
      </c>
      <c r="C20" s="95">
        <f>'12'!C108</f>
        <v>27.432812499999994</v>
      </c>
      <c r="D20" s="95">
        <f>'12'!D108</f>
        <v>24.022812499999997</v>
      </c>
      <c r="E20" s="95">
        <f>'12'!E108</f>
        <v>10.559166666666668</v>
      </c>
      <c r="F20" s="95">
        <f>'12'!F108</f>
        <v>7.7046874999999986</v>
      </c>
      <c r="G20" s="95">
        <f>'12'!G108</f>
        <v>81.420416666666668</v>
      </c>
      <c r="H20" s="95">
        <f>'12'!H108</f>
        <v>35.453958333333325</v>
      </c>
      <c r="I20" s="95">
        <f>'12'!I108</f>
        <v>8.4671874999999996</v>
      </c>
      <c r="J20" s="95">
        <f>'12'!J108</f>
        <v>0.40020833333333328</v>
      </c>
      <c r="K20" s="95">
        <f>'12'!K108</f>
        <v>207.85322916666669</v>
      </c>
      <c r="L20" s="95">
        <f>'12'!L108</f>
        <v>29.434895833333329</v>
      </c>
      <c r="M20" s="95">
        <f>'12'!M108</f>
        <v>47.731979166666655</v>
      </c>
      <c r="N20" s="95">
        <f>'12'!N108</f>
        <v>144.93645833333335</v>
      </c>
      <c r="O20" s="95">
        <f>'12'!O108</f>
        <v>0</v>
      </c>
      <c r="P20" s="95">
        <f>'12'!P108</f>
        <v>0.84447916666666689</v>
      </c>
      <c r="Q20" s="95">
        <f>'12'!Q108</f>
        <v>4.7317708333333321</v>
      </c>
      <c r="R20" s="160"/>
      <c r="S20" s="160"/>
      <c r="T20" s="160"/>
      <c r="U20" s="160"/>
    </row>
    <row r="21" spans="1:21" s="142" customFormat="1">
      <c r="A21" s="157">
        <f>'13'!$B$2</f>
        <v>45364.010416666664</v>
      </c>
      <c r="B21" s="158">
        <f>'13'!B108</f>
        <v>12.708333333333334</v>
      </c>
      <c r="C21" s="158">
        <f>'13'!C108</f>
        <v>28.979479166666675</v>
      </c>
      <c r="D21" s="158">
        <f>'13'!D108</f>
        <v>26.683125000000008</v>
      </c>
      <c r="E21" s="158">
        <f>'13'!E108</f>
        <v>10.912187499999996</v>
      </c>
      <c r="F21" s="158">
        <f>'13'!F108</f>
        <v>7.7522916666666681</v>
      </c>
      <c r="G21" s="158">
        <f>'13'!G108</f>
        <v>86.6119791666667</v>
      </c>
      <c r="H21" s="158">
        <f>'13'!H108</f>
        <v>34.488958333333343</v>
      </c>
      <c r="I21" s="158">
        <f>'13'!I108</f>
        <v>10.357083333333334</v>
      </c>
      <c r="J21" s="158">
        <f>'13'!J108</f>
        <v>0.49708333333333332</v>
      </c>
      <c r="K21" s="158">
        <f>'13'!K108</f>
        <v>228.77072916666657</v>
      </c>
      <c r="L21" s="158">
        <f>'13'!L108</f>
        <v>29.856458333333332</v>
      </c>
      <c r="M21" s="158">
        <f>'13'!M108</f>
        <v>41.128541666666671</v>
      </c>
      <c r="N21" s="158">
        <f>'13'!N108</f>
        <v>143.46562499999999</v>
      </c>
      <c r="O21" s="158">
        <f>'13'!O108</f>
        <v>0</v>
      </c>
      <c r="P21" s="158">
        <f>'13'!P108</f>
        <v>0.89770833333333344</v>
      </c>
      <c r="Q21" s="158">
        <f>'13'!Q108</f>
        <v>4.7822916666666657</v>
      </c>
      <c r="R21" s="176"/>
      <c r="S21" s="176"/>
      <c r="T21" s="176"/>
      <c r="U21" s="176"/>
    </row>
    <row r="22" spans="1:21" s="142" customFormat="1">
      <c r="A22" s="157">
        <f>'14'!$B$2</f>
        <v>0</v>
      </c>
      <c r="B22" s="159" t="e">
        <f>'14'!B108</f>
        <v>#DIV/0!</v>
      </c>
      <c r="C22" s="159" t="e">
        <f>'14'!C108</f>
        <v>#DIV/0!</v>
      </c>
      <c r="D22" s="159" t="e">
        <f>'14'!D108</f>
        <v>#DIV/0!</v>
      </c>
      <c r="E22" s="159" t="e">
        <f>'14'!E108</f>
        <v>#DIV/0!</v>
      </c>
      <c r="F22" s="159" t="e">
        <f>'14'!F108</f>
        <v>#DIV/0!</v>
      </c>
      <c r="G22" s="159" t="e">
        <f>'14'!G108</f>
        <v>#DIV/0!</v>
      </c>
      <c r="H22" s="159" t="e">
        <f>'14'!H108</f>
        <v>#DIV/0!</v>
      </c>
      <c r="I22" s="159" t="e">
        <f>'14'!I108</f>
        <v>#DIV/0!</v>
      </c>
      <c r="J22" s="159" t="e">
        <f>'14'!J108</f>
        <v>#DIV/0!</v>
      </c>
      <c r="K22" s="159" t="e">
        <f>'14'!K108</f>
        <v>#DIV/0!</v>
      </c>
      <c r="L22" s="159" t="e">
        <f>'14'!L108</f>
        <v>#DIV/0!</v>
      </c>
      <c r="M22" s="159" t="e">
        <f>'14'!M108</f>
        <v>#DIV/0!</v>
      </c>
      <c r="N22" s="159" t="e">
        <f>'14'!N108</f>
        <v>#DIV/0!</v>
      </c>
      <c r="O22" s="159" t="e">
        <f>'14'!O108</f>
        <v>#DIV/0!</v>
      </c>
      <c r="P22" s="159" t="e">
        <f>'14'!P108</f>
        <v>#DIV/0!</v>
      </c>
      <c r="Q22" s="159" t="e">
        <f>'14'!Q108</f>
        <v>#DIV/0!</v>
      </c>
      <c r="R22" s="177"/>
      <c r="S22" s="177"/>
      <c r="T22" s="177"/>
      <c r="U22" s="177"/>
    </row>
    <row r="23" spans="1:21">
      <c r="A23" s="157">
        <f>'15'!$B$2</f>
        <v>0</v>
      </c>
      <c r="B23" s="95" t="e">
        <f>'15'!B108</f>
        <v>#DIV/0!</v>
      </c>
      <c r="C23" s="95" t="e">
        <f>'15'!C108</f>
        <v>#DIV/0!</v>
      </c>
      <c r="D23" s="95" t="e">
        <f>'15'!D108</f>
        <v>#DIV/0!</v>
      </c>
      <c r="E23" s="95" t="e">
        <f>'15'!E108</f>
        <v>#DIV/0!</v>
      </c>
      <c r="F23" s="95" t="e">
        <f>'15'!F108</f>
        <v>#DIV/0!</v>
      </c>
      <c r="G23" s="95" t="e">
        <f>'15'!G108</f>
        <v>#DIV/0!</v>
      </c>
      <c r="H23" s="95" t="e">
        <f>'15'!H108</f>
        <v>#DIV/0!</v>
      </c>
      <c r="I23" s="95" t="e">
        <f>'15'!I108</f>
        <v>#DIV/0!</v>
      </c>
      <c r="J23" s="95" t="e">
        <f>'15'!J108</f>
        <v>#DIV/0!</v>
      </c>
      <c r="K23" s="95" t="e">
        <f>'15'!K108</f>
        <v>#DIV/0!</v>
      </c>
      <c r="L23" s="95" t="e">
        <f>'15'!L108</f>
        <v>#DIV/0!</v>
      </c>
      <c r="M23" s="95" t="e">
        <f>'15'!M108</f>
        <v>#DIV/0!</v>
      </c>
      <c r="N23" s="95" t="e">
        <f>'15'!N108</f>
        <v>#DIV/0!</v>
      </c>
      <c r="O23" s="95" t="e">
        <f>'15'!O108</f>
        <v>#DIV/0!</v>
      </c>
      <c r="P23" s="95" t="e">
        <f>'15'!P108</f>
        <v>#DIV/0!</v>
      </c>
      <c r="Q23" s="95" t="e">
        <f>'15'!Q108</f>
        <v>#DIV/0!</v>
      </c>
      <c r="R23" s="160"/>
      <c r="S23" s="160"/>
      <c r="T23" s="160"/>
      <c r="U23" s="160"/>
    </row>
    <row r="24" spans="1:21">
      <c r="A24" s="157">
        <f>'16'!$B$2</f>
        <v>0</v>
      </c>
      <c r="B24" s="95" t="e">
        <f>'16'!B108</f>
        <v>#DIV/0!</v>
      </c>
      <c r="C24" s="95" t="e">
        <f>'16'!C108</f>
        <v>#DIV/0!</v>
      </c>
      <c r="D24" s="95" t="e">
        <f>'16'!D108</f>
        <v>#DIV/0!</v>
      </c>
      <c r="E24" s="95" t="e">
        <f>'16'!E108</f>
        <v>#DIV/0!</v>
      </c>
      <c r="F24" s="95" t="e">
        <f>'16'!F108</f>
        <v>#DIV/0!</v>
      </c>
      <c r="G24" s="95" t="e">
        <f>'16'!G108</f>
        <v>#DIV/0!</v>
      </c>
      <c r="H24" s="95" t="e">
        <f>'16'!H108</f>
        <v>#DIV/0!</v>
      </c>
      <c r="I24" s="95" t="e">
        <f>'16'!I108</f>
        <v>#DIV/0!</v>
      </c>
      <c r="J24" s="95" t="e">
        <f>'16'!J108</f>
        <v>#DIV/0!</v>
      </c>
      <c r="K24" s="95" t="e">
        <f>'16'!K108</f>
        <v>#DIV/0!</v>
      </c>
      <c r="L24" s="95" t="e">
        <f>'16'!L108</f>
        <v>#DIV/0!</v>
      </c>
      <c r="M24" s="95" t="e">
        <f>'16'!M108</f>
        <v>#DIV/0!</v>
      </c>
      <c r="N24" s="95" t="e">
        <f>'16'!N108</f>
        <v>#DIV/0!</v>
      </c>
      <c r="O24" s="95" t="e">
        <f>'16'!O108</f>
        <v>#DIV/0!</v>
      </c>
      <c r="P24" s="95" t="e">
        <f>'16'!P108</f>
        <v>#DIV/0!</v>
      </c>
      <c r="Q24" s="95" t="e">
        <f>'16'!Q108</f>
        <v>#DIV/0!</v>
      </c>
      <c r="R24" s="160"/>
      <c r="S24" s="160"/>
      <c r="T24" s="160"/>
      <c r="U24" s="160"/>
    </row>
    <row r="25" spans="1:21">
      <c r="A25" s="157">
        <f>'17'!$B$2</f>
        <v>0</v>
      </c>
      <c r="B25" s="95" t="e">
        <f>'17'!B108</f>
        <v>#DIV/0!</v>
      </c>
      <c r="C25" s="95" t="e">
        <f>'17'!C108</f>
        <v>#DIV/0!</v>
      </c>
      <c r="D25" s="95" t="e">
        <f>'17'!D108</f>
        <v>#DIV/0!</v>
      </c>
      <c r="E25" s="95" t="e">
        <f>'17'!E108</f>
        <v>#DIV/0!</v>
      </c>
      <c r="F25" s="95" t="e">
        <f>'17'!F108</f>
        <v>#DIV/0!</v>
      </c>
      <c r="G25" s="95" t="e">
        <f>'17'!G108</f>
        <v>#DIV/0!</v>
      </c>
      <c r="H25" s="95" t="e">
        <f>'17'!H108</f>
        <v>#DIV/0!</v>
      </c>
      <c r="I25" s="95" t="e">
        <f>'17'!I108</f>
        <v>#DIV/0!</v>
      </c>
      <c r="J25" s="95" t="e">
        <f>'17'!J108</f>
        <v>#DIV/0!</v>
      </c>
      <c r="K25" s="95" t="e">
        <f>'17'!K108</f>
        <v>#DIV/0!</v>
      </c>
      <c r="L25" s="95" t="e">
        <f>'17'!L108</f>
        <v>#DIV/0!</v>
      </c>
      <c r="M25" s="95" t="e">
        <f>'17'!M108</f>
        <v>#DIV/0!</v>
      </c>
      <c r="N25" s="95" t="e">
        <f>'17'!N108</f>
        <v>#DIV/0!</v>
      </c>
      <c r="O25" s="95" t="e">
        <f>'17'!O108</f>
        <v>#DIV/0!</v>
      </c>
      <c r="P25" s="95" t="e">
        <f>'17'!P108</f>
        <v>#DIV/0!</v>
      </c>
      <c r="Q25" s="95" t="e">
        <f>'17'!Q108</f>
        <v>#DIV/0!</v>
      </c>
      <c r="R25" s="160"/>
      <c r="S25" s="160"/>
      <c r="T25" s="160"/>
      <c r="U25" s="160"/>
    </row>
    <row r="26" spans="1:21">
      <c r="A26" s="157">
        <f>'18'!$B$2</f>
        <v>0</v>
      </c>
      <c r="B26" s="95" t="e">
        <f>'18'!B108</f>
        <v>#DIV/0!</v>
      </c>
      <c r="C26" s="95" t="e">
        <f>'18'!C108</f>
        <v>#DIV/0!</v>
      </c>
      <c r="D26" s="95" t="e">
        <f>'18'!D108</f>
        <v>#DIV/0!</v>
      </c>
      <c r="E26" s="95" t="e">
        <f>'18'!E108</f>
        <v>#DIV/0!</v>
      </c>
      <c r="F26" s="95" t="e">
        <f>'18'!F108</f>
        <v>#DIV/0!</v>
      </c>
      <c r="G26" s="95" t="e">
        <f>'18'!G108</f>
        <v>#DIV/0!</v>
      </c>
      <c r="H26" s="95" t="e">
        <f>'18'!H108</f>
        <v>#DIV/0!</v>
      </c>
      <c r="I26" s="95" t="e">
        <f>'18'!I108</f>
        <v>#DIV/0!</v>
      </c>
      <c r="J26" s="95" t="e">
        <f>'18'!J108</f>
        <v>#DIV/0!</v>
      </c>
      <c r="K26" s="95" t="e">
        <f>'18'!K108</f>
        <v>#DIV/0!</v>
      </c>
      <c r="L26" s="95" t="e">
        <f>'18'!L108</f>
        <v>#DIV/0!</v>
      </c>
      <c r="M26" s="95" t="e">
        <f>'18'!M108</f>
        <v>#DIV/0!</v>
      </c>
      <c r="N26" s="95" t="e">
        <f>'18'!N108</f>
        <v>#DIV/0!</v>
      </c>
      <c r="O26" s="95" t="e">
        <f>'18'!O108</f>
        <v>#DIV/0!</v>
      </c>
      <c r="P26" s="95" t="e">
        <f>'18'!P108</f>
        <v>#DIV/0!</v>
      </c>
      <c r="Q26" s="95" t="e">
        <f>'18'!Q108</f>
        <v>#DIV/0!</v>
      </c>
      <c r="R26" s="160"/>
      <c r="S26" s="160"/>
      <c r="T26" s="160"/>
      <c r="U26" s="160"/>
    </row>
    <row r="27" spans="1:21">
      <c r="A27" s="157">
        <f>'19'!$B$2</f>
        <v>0</v>
      </c>
      <c r="B27" s="95" t="e">
        <f>'19'!B108</f>
        <v>#DIV/0!</v>
      </c>
      <c r="C27" s="95" t="e">
        <f>'19'!C108</f>
        <v>#DIV/0!</v>
      </c>
      <c r="D27" s="95" t="e">
        <f>'19'!D108</f>
        <v>#DIV/0!</v>
      </c>
      <c r="E27" s="95" t="e">
        <f>'19'!E108</f>
        <v>#DIV/0!</v>
      </c>
      <c r="F27" s="95" t="e">
        <f>'19'!F108</f>
        <v>#DIV/0!</v>
      </c>
      <c r="G27" s="95" t="e">
        <f>'19'!G108</f>
        <v>#DIV/0!</v>
      </c>
      <c r="H27" s="95" t="e">
        <f>'19'!H108</f>
        <v>#DIV/0!</v>
      </c>
      <c r="I27" s="95" t="e">
        <f>'19'!I108</f>
        <v>#DIV/0!</v>
      </c>
      <c r="J27" s="95" t="e">
        <f>'19'!J108</f>
        <v>#DIV/0!</v>
      </c>
      <c r="K27" s="95" t="e">
        <f>'19'!K108</f>
        <v>#DIV/0!</v>
      </c>
      <c r="L27" s="95" t="e">
        <f>'19'!L108</f>
        <v>#DIV/0!</v>
      </c>
      <c r="M27" s="95" t="e">
        <f>'19'!M108</f>
        <v>#DIV/0!</v>
      </c>
      <c r="N27" s="95" t="e">
        <f>'19'!N108</f>
        <v>#DIV/0!</v>
      </c>
      <c r="O27" s="95" t="e">
        <f>'19'!O108</f>
        <v>#DIV/0!</v>
      </c>
      <c r="P27" s="95" t="e">
        <f>'19'!P108</f>
        <v>#DIV/0!</v>
      </c>
      <c r="Q27" s="95" t="e">
        <f>'19'!Q108</f>
        <v>#DIV/0!</v>
      </c>
      <c r="R27" s="160"/>
      <c r="S27" s="160"/>
      <c r="T27" s="160"/>
      <c r="U27" s="160"/>
    </row>
    <row r="28" spans="1:21">
      <c r="A28" s="157">
        <f>'20'!$B$2</f>
        <v>0</v>
      </c>
      <c r="B28" s="95" t="e">
        <f>'20'!B108</f>
        <v>#DIV/0!</v>
      </c>
      <c r="C28" s="95" t="e">
        <f>'20'!C108</f>
        <v>#DIV/0!</v>
      </c>
      <c r="D28" s="95" t="e">
        <f>'20'!D108</f>
        <v>#DIV/0!</v>
      </c>
      <c r="E28" s="95" t="e">
        <f>'20'!E108</f>
        <v>#DIV/0!</v>
      </c>
      <c r="F28" s="95" t="e">
        <f>'20'!F108</f>
        <v>#DIV/0!</v>
      </c>
      <c r="G28" s="95" t="e">
        <f>'20'!G108</f>
        <v>#DIV/0!</v>
      </c>
      <c r="H28" s="95" t="e">
        <f>'20'!H108</f>
        <v>#DIV/0!</v>
      </c>
      <c r="I28" s="95" t="e">
        <f>'20'!I108</f>
        <v>#DIV/0!</v>
      </c>
      <c r="J28" s="95" t="e">
        <f>'20'!J108</f>
        <v>#DIV/0!</v>
      </c>
      <c r="K28" s="95" t="e">
        <f>'20'!K108</f>
        <v>#DIV/0!</v>
      </c>
      <c r="L28" s="95" t="e">
        <f>'20'!L108</f>
        <v>#DIV/0!</v>
      </c>
      <c r="M28" s="95" t="e">
        <f>'20'!M108</f>
        <v>#DIV/0!</v>
      </c>
      <c r="N28" s="95" t="e">
        <f>'20'!N108</f>
        <v>#DIV/0!</v>
      </c>
      <c r="O28" s="95" t="e">
        <f>'20'!O108</f>
        <v>#DIV/0!</v>
      </c>
      <c r="P28" s="95" t="e">
        <f>'20'!P108</f>
        <v>#DIV/0!</v>
      </c>
      <c r="Q28" s="95" t="e">
        <f>'20'!Q108</f>
        <v>#DIV/0!</v>
      </c>
      <c r="R28" s="160"/>
      <c r="S28" s="160"/>
      <c r="T28" s="160"/>
      <c r="U28" s="160"/>
    </row>
    <row r="29" spans="1:21">
      <c r="A29" s="157">
        <f>'21'!$B$2</f>
        <v>0</v>
      </c>
      <c r="B29" s="95" t="e">
        <f>'21'!B108</f>
        <v>#DIV/0!</v>
      </c>
      <c r="C29" s="95" t="e">
        <f>'21'!C108</f>
        <v>#DIV/0!</v>
      </c>
      <c r="D29" s="95" t="e">
        <f>'21'!D108</f>
        <v>#DIV/0!</v>
      </c>
      <c r="E29" s="95" t="e">
        <f>'21'!E108</f>
        <v>#DIV/0!</v>
      </c>
      <c r="F29" s="95" t="e">
        <f>'21'!F108</f>
        <v>#DIV/0!</v>
      </c>
      <c r="G29" s="95" t="e">
        <f>'21'!G108</f>
        <v>#DIV/0!</v>
      </c>
      <c r="H29" s="95" t="e">
        <f>'21'!H108</f>
        <v>#DIV/0!</v>
      </c>
      <c r="I29" s="95" t="e">
        <f>'21'!I108</f>
        <v>#DIV/0!</v>
      </c>
      <c r="J29" s="95" t="e">
        <f>'21'!J108</f>
        <v>#DIV/0!</v>
      </c>
      <c r="K29" s="95" t="e">
        <f>'21'!K108</f>
        <v>#DIV/0!</v>
      </c>
      <c r="L29" s="95" t="e">
        <f>'21'!L108</f>
        <v>#DIV/0!</v>
      </c>
      <c r="M29" s="95" t="e">
        <f>'21'!M108</f>
        <v>#DIV/0!</v>
      </c>
      <c r="N29" s="95" t="e">
        <f>'21'!N108</f>
        <v>#DIV/0!</v>
      </c>
      <c r="O29" s="95" t="e">
        <f>'21'!O108</f>
        <v>#DIV/0!</v>
      </c>
      <c r="P29" s="95" t="e">
        <f>'21'!P108</f>
        <v>#DIV/0!</v>
      </c>
      <c r="Q29" s="95" t="e">
        <f>'21'!Q108</f>
        <v>#DIV/0!</v>
      </c>
      <c r="R29" s="160"/>
      <c r="S29" s="160"/>
      <c r="T29" s="160"/>
      <c r="U29" s="160"/>
    </row>
    <row r="30" spans="1:21">
      <c r="A30" s="157">
        <f>'22'!$B$2</f>
        <v>0</v>
      </c>
      <c r="B30" s="95" t="e">
        <f>'22'!B108</f>
        <v>#DIV/0!</v>
      </c>
      <c r="C30" s="95" t="e">
        <f>'22'!C108</f>
        <v>#DIV/0!</v>
      </c>
      <c r="D30" s="95" t="e">
        <f>'22'!D108</f>
        <v>#DIV/0!</v>
      </c>
      <c r="E30" s="95" t="e">
        <f>'22'!E108</f>
        <v>#DIV/0!</v>
      </c>
      <c r="F30" s="95" t="e">
        <f>'22'!F108</f>
        <v>#DIV/0!</v>
      </c>
      <c r="G30" s="95" t="e">
        <f>'22'!G108</f>
        <v>#DIV/0!</v>
      </c>
      <c r="H30" s="95" t="e">
        <f>'22'!H108</f>
        <v>#DIV/0!</v>
      </c>
      <c r="I30" s="95" t="e">
        <f>'22'!I108</f>
        <v>#DIV/0!</v>
      </c>
      <c r="J30" s="95" t="e">
        <f>'22'!J108</f>
        <v>#DIV/0!</v>
      </c>
      <c r="K30" s="95" t="e">
        <f>'22'!K108</f>
        <v>#DIV/0!</v>
      </c>
      <c r="L30" s="95" t="e">
        <f>'22'!L108</f>
        <v>#DIV/0!</v>
      </c>
      <c r="M30" s="95" t="e">
        <f>'22'!M108</f>
        <v>#DIV/0!</v>
      </c>
      <c r="N30" s="95" t="e">
        <f>'22'!N108</f>
        <v>#DIV/0!</v>
      </c>
      <c r="O30" s="95" t="e">
        <f>'22'!O108</f>
        <v>#DIV/0!</v>
      </c>
      <c r="P30" s="95" t="e">
        <f>'22'!P108</f>
        <v>#DIV/0!</v>
      </c>
      <c r="Q30" s="95" t="e">
        <f>'22'!Q108</f>
        <v>#DIV/0!</v>
      </c>
      <c r="R30" s="160"/>
      <c r="S30" s="160"/>
      <c r="T30" s="160"/>
      <c r="U30" s="160"/>
    </row>
    <row r="31" spans="1:21">
      <c r="A31" s="157">
        <f>'23'!$B$2</f>
        <v>0</v>
      </c>
      <c r="B31" s="95" t="e">
        <f>'23'!B108</f>
        <v>#DIV/0!</v>
      </c>
      <c r="C31" s="95" t="e">
        <f>'23'!C108</f>
        <v>#DIV/0!</v>
      </c>
      <c r="D31" s="95" t="e">
        <f>'23'!D108</f>
        <v>#DIV/0!</v>
      </c>
      <c r="E31" s="95" t="e">
        <f>'23'!E108</f>
        <v>#DIV/0!</v>
      </c>
      <c r="F31" s="95" t="e">
        <f>'23'!F108</f>
        <v>#DIV/0!</v>
      </c>
      <c r="G31" s="95" t="e">
        <f>'23'!G108</f>
        <v>#DIV/0!</v>
      </c>
      <c r="H31" s="95" t="e">
        <f>'23'!H108</f>
        <v>#DIV/0!</v>
      </c>
      <c r="I31" s="95" t="e">
        <f>'23'!I108</f>
        <v>#DIV/0!</v>
      </c>
      <c r="J31" s="95" t="e">
        <f>'23'!J108</f>
        <v>#DIV/0!</v>
      </c>
      <c r="K31" s="95" t="e">
        <f>'23'!K108</f>
        <v>#DIV/0!</v>
      </c>
      <c r="L31" s="95" t="e">
        <f>'23'!L108</f>
        <v>#DIV/0!</v>
      </c>
      <c r="M31" s="95" t="e">
        <f>'23'!M108</f>
        <v>#DIV/0!</v>
      </c>
      <c r="N31" s="95" t="e">
        <f>'23'!N108</f>
        <v>#DIV/0!</v>
      </c>
      <c r="O31" s="95" t="e">
        <f>'23'!O108</f>
        <v>#DIV/0!</v>
      </c>
      <c r="P31" s="95" t="e">
        <f>'23'!P108</f>
        <v>#DIV/0!</v>
      </c>
      <c r="Q31" s="95" t="e">
        <f>'23'!Q108</f>
        <v>#DIV/0!</v>
      </c>
      <c r="R31" s="160"/>
      <c r="S31" s="178"/>
      <c r="T31" s="160"/>
      <c r="U31" s="160"/>
    </row>
    <row r="32" spans="1:21">
      <c r="A32" s="157">
        <f>'24'!$B$2</f>
        <v>0</v>
      </c>
      <c r="B32" s="95" t="e">
        <f>'24'!B108</f>
        <v>#DIV/0!</v>
      </c>
      <c r="C32" s="95" t="e">
        <f>'24'!C108</f>
        <v>#DIV/0!</v>
      </c>
      <c r="D32" s="95" t="e">
        <f>'24'!D108</f>
        <v>#DIV/0!</v>
      </c>
      <c r="E32" s="95" t="e">
        <f>'24'!E108</f>
        <v>#DIV/0!</v>
      </c>
      <c r="F32" s="95" t="e">
        <f>'24'!F108</f>
        <v>#DIV/0!</v>
      </c>
      <c r="G32" s="95" t="e">
        <f>'24'!G108</f>
        <v>#DIV/0!</v>
      </c>
      <c r="H32" s="95" t="e">
        <f>'24'!H108</f>
        <v>#DIV/0!</v>
      </c>
      <c r="I32" s="95" t="e">
        <f>'24'!I108</f>
        <v>#DIV/0!</v>
      </c>
      <c r="J32" s="95" t="e">
        <f>'24'!J108</f>
        <v>#DIV/0!</v>
      </c>
      <c r="K32" s="95" t="e">
        <f>'24'!K108</f>
        <v>#DIV/0!</v>
      </c>
      <c r="L32" s="95" t="e">
        <f>'24'!L108</f>
        <v>#DIV/0!</v>
      </c>
      <c r="M32" s="95" t="e">
        <f>'24'!M108</f>
        <v>#DIV/0!</v>
      </c>
      <c r="N32" s="95" t="e">
        <f>'24'!N108</f>
        <v>#DIV/0!</v>
      </c>
      <c r="O32" s="95" t="e">
        <f>'24'!O108</f>
        <v>#DIV/0!</v>
      </c>
      <c r="P32" s="95" t="e">
        <f>'24'!P108</f>
        <v>#DIV/0!</v>
      </c>
      <c r="Q32" s="95" t="e">
        <f>'24'!Q108</f>
        <v>#DIV/0!</v>
      </c>
      <c r="R32" s="160"/>
      <c r="S32" s="160"/>
      <c r="T32" s="160"/>
      <c r="U32" s="160"/>
    </row>
    <row r="33" spans="1:21">
      <c r="A33" s="157">
        <f>'25'!$B$2</f>
        <v>0</v>
      </c>
      <c r="B33" s="95" t="e">
        <f>'25'!B108</f>
        <v>#DIV/0!</v>
      </c>
      <c r="C33" s="95" t="e">
        <f>'25'!C108</f>
        <v>#DIV/0!</v>
      </c>
      <c r="D33" s="95" t="e">
        <f>'25'!D108</f>
        <v>#DIV/0!</v>
      </c>
      <c r="E33" s="95" t="e">
        <f>'25'!E108</f>
        <v>#DIV/0!</v>
      </c>
      <c r="F33" s="95" t="e">
        <f>'25'!F108</f>
        <v>#DIV/0!</v>
      </c>
      <c r="G33" s="95" t="e">
        <f>'25'!G108</f>
        <v>#DIV/0!</v>
      </c>
      <c r="H33" s="95" t="e">
        <f>'25'!H108</f>
        <v>#DIV/0!</v>
      </c>
      <c r="I33" s="95" t="e">
        <f>'25'!I108</f>
        <v>#DIV/0!</v>
      </c>
      <c r="J33" s="95" t="e">
        <f>'25'!J108</f>
        <v>#DIV/0!</v>
      </c>
      <c r="K33" s="95" t="e">
        <f>'25'!K108</f>
        <v>#DIV/0!</v>
      </c>
      <c r="L33" s="95" t="e">
        <f>'25'!L108</f>
        <v>#DIV/0!</v>
      </c>
      <c r="M33" s="95" t="e">
        <f>'25'!M108</f>
        <v>#DIV/0!</v>
      </c>
      <c r="N33" s="95" t="e">
        <f>'25'!N108</f>
        <v>#DIV/0!</v>
      </c>
      <c r="O33" s="95" t="e">
        <f>'25'!O108</f>
        <v>#DIV/0!</v>
      </c>
      <c r="P33" s="95" t="e">
        <f>'25'!P108</f>
        <v>#DIV/0!</v>
      </c>
      <c r="Q33" s="95" t="e">
        <f>'25'!Q108</f>
        <v>#DIV/0!</v>
      </c>
      <c r="R33" s="160"/>
      <c r="S33" s="178"/>
      <c r="T33" s="160"/>
      <c r="U33" s="160"/>
    </row>
    <row r="34" spans="1:21">
      <c r="A34" s="157">
        <f>'26'!$B$2</f>
        <v>0</v>
      </c>
      <c r="B34" s="95" t="e">
        <f>'26'!B108</f>
        <v>#DIV/0!</v>
      </c>
      <c r="C34" s="95" t="e">
        <f>'26'!C108</f>
        <v>#DIV/0!</v>
      </c>
      <c r="D34" s="95" t="e">
        <f>'26'!D108</f>
        <v>#DIV/0!</v>
      </c>
      <c r="E34" s="95" t="e">
        <f>'26'!E108</f>
        <v>#DIV/0!</v>
      </c>
      <c r="F34" s="95" t="e">
        <f>'26'!F108</f>
        <v>#DIV/0!</v>
      </c>
      <c r="G34" s="95" t="e">
        <f>'26'!G108</f>
        <v>#DIV/0!</v>
      </c>
      <c r="H34" s="95" t="e">
        <f>'26'!H108</f>
        <v>#DIV/0!</v>
      </c>
      <c r="I34" s="95" t="e">
        <f>'26'!I108</f>
        <v>#DIV/0!</v>
      </c>
      <c r="J34" s="95" t="e">
        <f>'26'!J108</f>
        <v>#DIV/0!</v>
      </c>
      <c r="K34" s="95" t="e">
        <f>'26'!K108</f>
        <v>#DIV/0!</v>
      </c>
      <c r="L34" s="95" t="e">
        <f>'26'!L108</f>
        <v>#DIV/0!</v>
      </c>
      <c r="M34" s="95" t="e">
        <f>'26'!M108</f>
        <v>#DIV/0!</v>
      </c>
      <c r="N34" s="95" t="e">
        <f>'26'!N108</f>
        <v>#DIV/0!</v>
      </c>
      <c r="O34" s="95" t="e">
        <f>'26'!O108</f>
        <v>#DIV/0!</v>
      </c>
      <c r="P34" s="95" t="e">
        <f>'26'!P108</f>
        <v>#DIV/0!</v>
      </c>
      <c r="Q34" s="95" t="e">
        <f>'26'!Q108</f>
        <v>#DIV/0!</v>
      </c>
      <c r="R34" s="160"/>
      <c r="S34" s="160"/>
      <c r="T34" s="160"/>
      <c r="U34" s="160"/>
    </row>
    <row r="35" spans="1:21">
      <c r="A35" s="157">
        <f>'27'!$B$2</f>
        <v>0</v>
      </c>
      <c r="B35" s="95" t="e">
        <f>'27'!B108</f>
        <v>#DIV/0!</v>
      </c>
      <c r="C35" s="95" t="e">
        <f>'27'!C108</f>
        <v>#DIV/0!</v>
      </c>
      <c r="D35" s="95" t="e">
        <f>'27'!D108</f>
        <v>#DIV/0!</v>
      </c>
      <c r="E35" s="95" t="e">
        <f>'27'!E108</f>
        <v>#DIV/0!</v>
      </c>
      <c r="F35" s="95" t="e">
        <f>'27'!F108</f>
        <v>#DIV/0!</v>
      </c>
      <c r="G35" s="95" t="e">
        <f>'27'!G108</f>
        <v>#DIV/0!</v>
      </c>
      <c r="H35" s="95" t="e">
        <f>'27'!H108</f>
        <v>#DIV/0!</v>
      </c>
      <c r="I35" s="95" t="e">
        <f>'27'!I108</f>
        <v>#DIV/0!</v>
      </c>
      <c r="J35" s="95" t="e">
        <f>'27'!J108</f>
        <v>#DIV/0!</v>
      </c>
      <c r="K35" s="95" t="e">
        <f>'27'!K108</f>
        <v>#DIV/0!</v>
      </c>
      <c r="L35" s="95" t="e">
        <f>'27'!L108</f>
        <v>#DIV/0!</v>
      </c>
      <c r="M35" s="95" t="e">
        <f>'27'!M108</f>
        <v>#DIV/0!</v>
      </c>
      <c r="N35" s="95" t="e">
        <f>'27'!N108</f>
        <v>#DIV/0!</v>
      </c>
      <c r="O35" s="95" t="e">
        <f>'27'!O108</f>
        <v>#DIV/0!</v>
      </c>
      <c r="P35" s="95" t="e">
        <f>'27'!P108</f>
        <v>#DIV/0!</v>
      </c>
      <c r="Q35" s="95" t="e">
        <f>'27'!Q108</f>
        <v>#DIV/0!</v>
      </c>
      <c r="R35" s="160"/>
      <c r="S35" s="160"/>
      <c r="T35" s="160"/>
      <c r="U35" s="160"/>
    </row>
    <row r="36" spans="1:21">
      <c r="A36" s="157">
        <f>'28'!$B$2</f>
        <v>0</v>
      </c>
      <c r="B36" s="95" t="e">
        <f>'28'!B108</f>
        <v>#DIV/0!</v>
      </c>
      <c r="C36" s="95" t="e">
        <f>'28'!C108</f>
        <v>#DIV/0!</v>
      </c>
      <c r="D36" s="95" t="e">
        <f>'28'!D108</f>
        <v>#DIV/0!</v>
      </c>
      <c r="E36" s="95" t="e">
        <f>'28'!E108</f>
        <v>#DIV/0!</v>
      </c>
      <c r="F36" s="95" t="e">
        <f>'28'!F108</f>
        <v>#DIV/0!</v>
      </c>
      <c r="G36" s="95" t="e">
        <f>'28'!G108</f>
        <v>#DIV/0!</v>
      </c>
      <c r="H36" s="95" t="e">
        <f>'28'!H108</f>
        <v>#DIV/0!</v>
      </c>
      <c r="I36" s="95" t="e">
        <f>'28'!I108</f>
        <v>#DIV/0!</v>
      </c>
      <c r="J36" s="95" t="e">
        <f>'28'!J108</f>
        <v>#DIV/0!</v>
      </c>
      <c r="K36" s="95" t="e">
        <f>'28'!K108</f>
        <v>#DIV/0!</v>
      </c>
      <c r="L36" s="95" t="e">
        <f>'28'!L108</f>
        <v>#DIV/0!</v>
      </c>
      <c r="M36" s="95" t="e">
        <f>'28'!M108</f>
        <v>#DIV/0!</v>
      </c>
      <c r="N36" s="95" t="e">
        <f>'28'!N108</f>
        <v>#DIV/0!</v>
      </c>
      <c r="O36" s="95" t="e">
        <f>'28'!O108</f>
        <v>#DIV/0!</v>
      </c>
      <c r="P36" s="95" t="e">
        <f>'28'!P108</f>
        <v>#DIV/0!</v>
      </c>
      <c r="Q36" s="95" t="e">
        <f>'28'!Q108</f>
        <v>#DIV/0!</v>
      </c>
      <c r="R36" s="160"/>
      <c r="S36" s="160"/>
      <c r="T36" s="160"/>
      <c r="U36" s="160"/>
    </row>
    <row r="37" spans="1:21" s="2" customFormat="1">
      <c r="A37" s="157">
        <f>'29'!$B$2</f>
        <v>0</v>
      </c>
      <c r="B37" s="95" t="e">
        <f>'29'!B108</f>
        <v>#DIV/0!</v>
      </c>
      <c r="C37" s="95" t="e">
        <f>'29'!C108</f>
        <v>#DIV/0!</v>
      </c>
      <c r="D37" s="95" t="e">
        <f>'29'!D108</f>
        <v>#DIV/0!</v>
      </c>
      <c r="E37" s="95" t="e">
        <f>'29'!E108</f>
        <v>#DIV/0!</v>
      </c>
      <c r="F37" s="95" t="e">
        <f>'29'!F108</f>
        <v>#DIV/0!</v>
      </c>
      <c r="G37" s="95" t="e">
        <f>'29'!G108</f>
        <v>#DIV/0!</v>
      </c>
      <c r="H37" s="95" t="e">
        <f>'29'!H108</f>
        <v>#DIV/0!</v>
      </c>
      <c r="I37" s="95" t="e">
        <f>'29'!I108</f>
        <v>#DIV/0!</v>
      </c>
      <c r="J37" s="95" t="e">
        <f>'29'!J108</f>
        <v>#DIV/0!</v>
      </c>
      <c r="K37" s="95" t="e">
        <f>'29'!K108</f>
        <v>#DIV/0!</v>
      </c>
      <c r="L37" s="95" t="e">
        <f>'29'!L108</f>
        <v>#DIV/0!</v>
      </c>
      <c r="M37" s="95" t="e">
        <f>'29'!M108</f>
        <v>#DIV/0!</v>
      </c>
      <c r="N37" s="95" t="e">
        <f>'29'!N108</f>
        <v>#DIV/0!</v>
      </c>
      <c r="O37" s="95" t="e">
        <f>'29'!O108</f>
        <v>#DIV/0!</v>
      </c>
      <c r="P37" s="95" t="e">
        <f>'29'!P108</f>
        <v>#DIV/0!</v>
      </c>
      <c r="Q37" s="95" t="e">
        <f>'29'!Q108</f>
        <v>#DIV/0!</v>
      </c>
      <c r="R37" s="160"/>
      <c r="S37" s="160"/>
      <c r="T37" s="160"/>
      <c r="U37" s="160"/>
    </row>
    <row r="38" spans="1:21" s="2" customFormat="1">
      <c r="A38" s="157">
        <f>'30'!$B$2</f>
        <v>0</v>
      </c>
      <c r="B38" s="95" t="e">
        <f>'30'!B108</f>
        <v>#DIV/0!</v>
      </c>
      <c r="C38" s="95" t="e">
        <f>'30'!C108</f>
        <v>#DIV/0!</v>
      </c>
      <c r="D38" s="95" t="e">
        <f>'30'!D108</f>
        <v>#DIV/0!</v>
      </c>
      <c r="E38" s="95" t="e">
        <f>'30'!E108</f>
        <v>#DIV/0!</v>
      </c>
      <c r="F38" s="95" t="e">
        <f>'30'!F108</f>
        <v>#DIV/0!</v>
      </c>
      <c r="G38" s="95" t="e">
        <f>'30'!G108</f>
        <v>#DIV/0!</v>
      </c>
      <c r="H38" s="95" t="e">
        <f>'30'!H108</f>
        <v>#DIV/0!</v>
      </c>
      <c r="I38" s="95" t="e">
        <f>'30'!I108</f>
        <v>#DIV/0!</v>
      </c>
      <c r="J38" s="95" t="e">
        <f>'30'!J108</f>
        <v>#DIV/0!</v>
      </c>
      <c r="K38" s="95" t="e">
        <f>'30'!K108</f>
        <v>#DIV/0!</v>
      </c>
      <c r="L38" s="95" t="e">
        <f>'30'!L108</f>
        <v>#DIV/0!</v>
      </c>
      <c r="M38" s="95" t="e">
        <f>'30'!M108</f>
        <v>#DIV/0!</v>
      </c>
      <c r="N38" s="95" t="e">
        <f>'30'!N108</f>
        <v>#DIV/0!</v>
      </c>
      <c r="O38" s="95" t="e">
        <f>'30'!O108</f>
        <v>#DIV/0!</v>
      </c>
      <c r="P38" s="95" t="e">
        <f>'30'!P108</f>
        <v>#DIV/0!</v>
      </c>
      <c r="Q38" s="95" t="e">
        <f>'30'!Q108</f>
        <v>#DIV/0!</v>
      </c>
      <c r="R38" s="160"/>
      <c r="S38" s="160"/>
      <c r="T38" s="160"/>
      <c r="U38" s="160"/>
    </row>
    <row r="39" spans="1:21" s="2" customFormat="1">
      <c r="A39" s="157">
        <f>'31'!$B$2</f>
        <v>0</v>
      </c>
      <c r="B39" s="95" t="e">
        <f>'31'!B108</f>
        <v>#DIV/0!</v>
      </c>
      <c r="C39" s="95" t="e">
        <f>'31'!C108</f>
        <v>#DIV/0!</v>
      </c>
      <c r="D39" s="95" t="e">
        <f>'31'!D108</f>
        <v>#DIV/0!</v>
      </c>
      <c r="E39" s="95" t="e">
        <f>'31'!E108</f>
        <v>#DIV/0!</v>
      </c>
      <c r="F39" s="95" t="e">
        <f>'31'!F108</f>
        <v>#DIV/0!</v>
      </c>
      <c r="G39" s="95" t="e">
        <f>'31'!G108</f>
        <v>#DIV/0!</v>
      </c>
      <c r="H39" s="95" t="e">
        <f>'31'!H108</f>
        <v>#DIV/0!</v>
      </c>
      <c r="I39" s="95" t="e">
        <f>'31'!I108</f>
        <v>#DIV/0!</v>
      </c>
      <c r="J39" s="95" t="e">
        <f>'31'!J108</f>
        <v>#DIV/0!</v>
      </c>
      <c r="K39" s="95" t="e">
        <f>'31'!K108</f>
        <v>#DIV/0!</v>
      </c>
      <c r="L39" s="95" t="e">
        <f>'31'!L108</f>
        <v>#DIV/0!</v>
      </c>
      <c r="M39" s="95" t="e">
        <f>'31'!M108</f>
        <v>#DIV/0!</v>
      </c>
      <c r="N39" s="95" t="e">
        <f>'31'!N108</f>
        <v>#DIV/0!</v>
      </c>
      <c r="O39" s="95" t="e">
        <f>'31'!O108</f>
        <v>#DIV/0!</v>
      </c>
      <c r="P39" s="95" t="e">
        <f>'31'!P108</f>
        <v>#DIV/0!</v>
      </c>
      <c r="Q39" s="95" t="e">
        <f>'31'!Q108</f>
        <v>#DIV/0!</v>
      </c>
      <c r="R39" s="160"/>
      <c r="S39" s="160"/>
      <c r="T39" s="160"/>
      <c r="U39" s="160"/>
    </row>
    <row r="40" spans="1:21" s="2" customFormat="1">
      <c r="A40" s="144"/>
      <c r="B40" s="160"/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1"/>
      <c r="S40" s="161"/>
      <c r="T40" s="161"/>
      <c r="U40" s="161"/>
    </row>
    <row r="41" spans="1:21" s="2" customFormat="1">
      <c r="A41" s="144" t="s">
        <v>48</v>
      </c>
      <c r="B41" s="161" t="e">
        <f t="shared" ref="B41:Q41" si="0">MIN(B9:B39)</f>
        <v>#DIV/0!</v>
      </c>
      <c r="C41" s="161" t="e">
        <f t="shared" si="0"/>
        <v>#DIV/0!</v>
      </c>
      <c r="D41" s="161" t="e">
        <f t="shared" si="0"/>
        <v>#DIV/0!</v>
      </c>
      <c r="E41" s="161" t="e">
        <f t="shared" si="0"/>
        <v>#DIV/0!</v>
      </c>
      <c r="F41" s="161" t="e">
        <f t="shared" si="0"/>
        <v>#DIV/0!</v>
      </c>
      <c r="G41" s="161" t="e">
        <f t="shared" si="0"/>
        <v>#DIV/0!</v>
      </c>
      <c r="H41" s="161" t="e">
        <f t="shared" si="0"/>
        <v>#DIV/0!</v>
      </c>
      <c r="I41" s="161" t="e">
        <f t="shared" si="0"/>
        <v>#DIV/0!</v>
      </c>
      <c r="J41" s="161" t="e">
        <f t="shared" si="0"/>
        <v>#DIV/0!</v>
      </c>
      <c r="K41" s="161" t="e">
        <f t="shared" si="0"/>
        <v>#DIV/0!</v>
      </c>
      <c r="L41" s="161" t="e">
        <f t="shared" si="0"/>
        <v>#DIV/0!</v>
      </c>
      <c r="M41" s="161" t="e">
        <f t="shared" si="0"/>
        <v>#DIV/0!</v>
      </c>
      <c r="N41" s="161" t="e">
        <f t="shared" si="0"/>
        <v>#DIV/0!</v>
      </c>
      <c r="O41" s="161" t="e">
        <f t="shared" si="0"/>
        <v>#DIV/0!</v>
      </c>
      <c r="P41" s="161" t="e">
        <f t="shared" si="0"/>
        <v>#DIV/0!</v>
      </c>
      <c r="Q41" s="161" t="e">
        <f t="shared" si="0"/>
        <v>#DIV/0!</v>
      </c>
      <c r="R41" s="161"/>
      <c r="S41" s="161"/>
      <c r="T41" s="161"/>
      <c r="U41" s="161"/>
    </row>
    <row r="42" spans="1:21" s="2" customFormat="1">
      <c r="A42" s="144" t="s">
        <v>49</v>
      </c>
      <c r="B42" s="161" t="e">
        <f t="shared" ref="B42:Q42" si="1">MAX(B9:B39)</f>
        <v>#DIV/0!</v>
      </c>
      <c r="C42" s="161" t="e">
        <f t="shared" si="1"/>
        <v>#DIV/0!</v>
      </c>
      <c r="D42" s="161" t="e">
        <f t="shared" si="1"/>
        <v>#DIV/0!</v>
      </c>
      <c r="E42" s="161" t="e">
        <f t="shared" si="1"/>
        <v>#DIV/0!</v>
      </c>
      <c r="F42" s="161" t="e">
        <f t="shared" si="1"/>
        <v>#DIV/0!</v>
      </c>
      <c r="G42" s="161" t="e">
        <f t="shared" si="1"/>
        <v>#DIV/0!</v>
      </c>
      <c r="H42" s="161" t="e">
        <f t="shared" si="1"/>
        <v>#DIV/0!</v>
      </c>
      <c r="I42" s="161" t="e">
        <f t="shared" si="1"/>
        <v>#DIV/0!</v>
      </c>
      <c r="J42" s="161" t="e">
        <f t="shared" si="1"/>
        <v>#DIV/0!</v>
      </c>
      <c r="K42" s="161" t="e">
        <f t="shared" si="1"/>
        <v>#DIV/0!</v>
      </c>
      <c r="L42" s="161" t="e">
        <f t="shared" si="1"/>
        <v>#DIV/0!</v>
      </c>
      <c r="M42" s="161" t="e">
        <f t="shared" si="1"/>
        <v>#DIV/0!</v>
      </c>
      <c r="N42" s="161" t="e">
        <f t="shared" si="1"/>
        <v>#DIV/0!</v>
      </c>
      <c r="O42" s="161" t="e">
        <f t="shared" si="1"/>
        <v>#DIV/0!</v>
      </c>
      <c r="P42" s="161" t="e">
        <f t="shared" si="1"/>
        <v>#DIV/0!</v>
      </c>
      <c r="Q42" s="161" t="e">
        <f t="shared" si="1"/>
        <v>#DIV/0!</v>
      </c>
      <c r="R42" s="161"/>
      <c r="S42" s="161"/>
      <c r="T42" s="161"/>
      <c r="U42" s="161"/>
    </row>
    <row r="43" spans="1:21" s="2" customFormat="1">
      <c r="A43" s="144" t="s">
        <v>50</v>
      </c>
      <c r="B43" s="161" t="e">
        <f t="shared" ref="B43:Q43" si="2">AVERAGE(B9:B39)</f>
        <v>#DIV/0!</v>
      </c>
      <c r="C43" s="161" t="e">
        <f t="shared" si="2"/>
        <v>#DIV/0!</v>
      </c>
      <c r="D43" s="161" t="e">
        <f t="shared" si="2"/>
        <v>#DIV/0!</v>
      </c>
      <c r="E43" s="161" t="e">
        <f t="shared" si="2"/>
        <v>#DIV/0!</v>
      </c>
      <c r="F43" s="161" t="e">
        <f t="shared" si="2"/>
        <v>#DIV/0!</v>
      </c>
      <c r="G43" s="161" t="e">
        <f t="shared" si="2"/>
        <v>#DIV/0!</v>
      </c>
      <c r="H43" s="161" t="e">
        <f t="shared" si="2"/>
        <v>#DIV/0!</v>
      </c>
      <c r="I43" s="161" t="e">
        <f t="shared" si="2"/>
        <v>#DIV/0!</v>
      </c>
      <c r="J43" s="161" t="e">
        <f t="shared" si="2"/>
        <v>#DIV/0!</v>
      </c>
      <c r="K43" s="161" t="e">
        <f t="shared" si="2"/>
        <v>#DIV/0!</v>
      </c>
      <c r="L43" s="161" t="e">
        <f t="shared" si="2"/>
        <v>#DIV/0!</v>
      </c>
      <c r="M43" s="161" t="e">
        <f t="shared" si="2"/>
        <v>#DIV/0!</v>
      </c>
      <c r="N43" s="161" t="e">
        <f t="shared" si="2"/>
        <v>#DIV/0!</v>
      </c>
      <c r="O43" s="161" t="e">
        <f t="shared" si="2"/>
        <v>#DIV/0!</v>
      </c>
      <c r="P43" s="161" t="e">
        <f t="shared" si="2"/>
        <v>#DIV/0!</v>
      </c>
      <c r="Q43" s="161" t="e">
        <f t="shared" si="2"/>
        <v>#DIV/0!</v>
      </c>
      <c r="R43" s="161"/>
      <c r="S43" s="161"/>
      <c r="T43" s="161"/>
      <c r="U43" s="161"/>
    </row>
    <row r="44" spans="1:21" s="2" customFormat="1">
      <c r="A44" s="144" t="s">
        <v>51</v>
      </c>
      <c r="B44" s="161" t="e">
        <f t="shared" ref="B44:Q44" si="3">STDEV(B9:B39)</f>
        <v>#DIV/0!</v>
      </c>
      <c r="C44" s="161" t="e">
        <f t="shared" si="3"/>
        <v>#DIV/0!</v>
      </c>
      <c r="D44" s="161" t="e">
        <f t="shared" si="3"/>
        <v>#DIV/0!</v>
      </c>
      <c r="E44" s="161" t="e">
        <f t="shared" si="3"/>
        <v>#DIV/0!</v>
      </c>
      <c r="F44" s="161" t="e">
        <f t="shared" si="3"/>
        <v>#DIV/0!</v>
      </c>
      <c r="G44" s="161" t="e">
        <f t="shared" si="3"/>
        <v>#DIV/0!</v>
      </c>
      <c r="H44" s="161" t="e">
        <f t="shared" si="3"/>
        <v>#DIV/0!</v>
      </c>
      <c r="I44" s="161" t="e">
        <f t="shared" si="3"/>
        <v>#DIV/0!</v>
      </c>
      <c r="J44" s="161" t="e">
        <f t="shared" si="3"/>
        <v>#DIV/0!</v>
      </c>
      <c r="K44" s="161" t="e">
        <f t="shared" si="3"/>
        <v>#DIV/0!</v>
      </c>
      <c r="L44" s="161" t="e">
        <f t="shared" si="3"/>
        <v>#DIV/0!</v>
      </c>
      <c r="M44" s="161" t="e">
        <f t="shared" si="3"/>
        <v>#DIV/0!</v>
      </c>
      <c r="N44" s="161" t="e">
        <f t="shared" si="3"/>
        <v>#DIV/0!</v>
      </c>
      <c r="O44" s="161" t="e">
        <f t="shared" si="3"/>
        <v>#DIV/0!</v>
      </c>
      <c r="P44" s="161" t="e">
        <f t="shared" si="3"/>
        <v>#DIV/0!</v>
      </c>
      <c r="Q44" s="161" t="e">
        <f t="shared" si="3"/>
        <v>#DIV/0!</v>
      </c>
      <c r="R44" s="147"/>
      <c r="S44" s="147"/>
      <c r="T44" s="147"/>
      <c r="U44" s="147"/>
    </row>
    <row r="45" spans="1:21" s="2" customFormat="1">
      <c r="A45" s="144" t="s">
        <v>52</v>
      </c>
      <c r="B45" s="147">
        <f t="shared" ref="B45:Q45" si="4">COUNT(B9:B39)</f>
        <v>13</v>
      </c>
      <c r="C45" s="147">
        <f t="shared" si="4"/>
        <v>13</v>
      </c>
      <c r="D45" s="147">
        <f t="shared" si="4"/>
        <v>13</v>
      </c>
      <c r="E45" s="147">
        <f t="shared" si="4"/>
        <v>13</v>
      </c>
      <c r="F45" s="147">
        <f t="shared" si="4"/>
        <v>13</v>
      </c>
      <c r="G45" s="147">
        <f t="shared" si="4"/>
        <v>13</v>
      </c>
      <c r="H45" s="147">
        <f t="shared" si="4"/>
        <v>13</v>
      </c>
      <c r="I45" s="147">
        <f t="shared" si="4"/>
        <v>13</v>
      </c>
      <c r="J45" s="147">
        <f t="shared" si="4"/>
        <v>13</v>
      </c>
      <c r="K45" s="147">
        <f t="shared" si="4"/>
        <v>13</v>
      </c>
      <c r="L45" s="147">
        <f t="shared" si="4"/>
        <v>13</v>
      </c>
      <c r="M45" s="147">
        <f t="shared" si="4"/>
        <v>13</v>
      </c>
      <c r="N45" s="147">
        <f t="shared" si="4"/>
        <v>13</v>
      </c>
      <c r="O45" s="147">
        <f t="shared" si="4"/>
        <v>13</v>
      </c>
      <c r="P45" s="147">
        <f t="shared" si="4"/>
        <v>13</v>
      </c>
      <c r="Q45" s="147">
        <f t="shared" si="4"/>
        <v>13</v>
      </c>
      <c r="R45" s="147"/>
      <c r="S45" s="147"/>
      <c r="T45" s="147"/>
      <c r="U45" s="147"/>
    </row>
    <row r="46" spans="1:21">
      <c r="A46" s="144" t="s">
        <v>53</v>
      </c>
      <c r="B46" s="147" t="str">
        <f>IF(B45&gt;=28,"&gt;90%",IF(B45&lt;=28,"&lt;90%"))</f>
        <v>&lt;90%</v>
      </c>
      <c r="C46" s="147" t="str">
        <f t="shared" ref="C46:Q46" si="5">IF(C45&gt;=28,"&gt;90%",IF(C45&lt;=28,"&lt;90%"))</f>
        <v>&lt;90%</v>
      </c>
      <c r="D46" s="147" t="str">
        <f t="shared" si="5"/>
        <v>&lt;90%</v>
      </c>
      <c r="E46" s="147" t="str">
        <f t="shared" si="5"/>
        <v>&lt;90%</v>
      </c>
      <c r="F46" s="147" t="str">
        <f t="shared" si="5"/>
        <v>&lt;90%</v>
      </c>
      <c r="G46" s="147" t="str">
        <f t="shared" si="5"/>
        <v>&lt;90%</v>
      </c>
      <c r="H46" s="147" t="str">
        <f t="shared" si="5"/>
        <v>&lt;90%</v>
      </c>
      <c r="I46" s="147" t="str">
        <f t="shared" si="5"/>
        <v>&lt;90%</v>
      </c>
      <c r="J46" s="147" t="str">
        <f t="shared" si="5"/>
        <v>&lt;90%</v>
      </c>
      <c r="K46" s="147" t="str">
        <f t="shared" si="5"/>
        <v>&lt;90%</v>
      </c>
      <c r="L46" s="147" t="str">
        <f t="shared" si="5"/>
        <v>&lt;90%</v>
      </c>
      <c r="M46" s="147" t="str">
        <f t="shared" si="5"/>
        <v>&lt;90%</v>
      </c>
      <c r="N46" s="147" t="str">
        <f t="shared" si="5"/>
        <v>&lt;90%</v>
      </c>
      <c r="O46" s="147" t="str">
        <f t="shared" si="5"/>
        <v>&lt;90%</v>
      </c>
      <c r="P46" s="147" t="str">
        <f t="shared" si="5"/>
        <v>&lt;90%</v>
      </c>
      <c r="Q46" s="147" t="str">
        <f t="shared" si="5"/>
        <v>&lt;90%</v>
      </c>
      <c r="R46" s="147"/>
      <c r="S46" s="147"/>
      <c r="T46" s="147"/>
      <c r="U46" s="147"/>
    </row>
    <row r="47" spans="1:21">
      <c r="A47" s="144" t="s">
        <v>54</v>
      </c>
      <c r="B47" s="147" t="str">
        <f>IF(B45&gt;=28,"OK",IF(B45&lt;=28,"LESS"))</f>
        <v>LESS</v>
      </c>
      <c r="C47" s="147" t="str">
        <f t="shared" ref="C47:Q47" si="6">IF(C45&gt;=28,"OK",IF(C45&lt;=28,"LESS"))</f>
        <v>LESS</v>
      </c>
      <c r="D47" s="147" t="str">
        <f t="shared" si="6"/>
        <v>LESS</v>
      </c>
      <c r="E47" s="147" t="str">
        <f t="shared" si="6"/>
        <v>LESS</v>
      </c>
      <c r="F47" s="147" t="str">
        <f t="shared" si="6"/>
        <v>LESS</v>
      </c>
      <c r="G47" s="147" t="str">
        <f t="shared" si="6"/>
        <v>LESS</v>
      </c>
      <c r="H47" s="147" t="str">
        <f t="shared" si="6"/>
        <v>LESS</v>
      </c>
      <c r="I47" s="147" t="str">
        <f t="shared" si="6"/>
        <v>LESS</v>
      </c>
      <c r="J47" s="147" t="str">
        <f t="shared" si="6"/>
        <v>LESS</v>
      </c>
      <c r="K47" s="147" t="str">
        <f t="shared" si="6"/>
        <v>LESS</v>
      </c>
      <c r="L47" s="147" t="str">
        <f t="shared" si="6"/>
        <v>LESS</v>
      </c>
      <c r="M47" s="147" t="str">
        <f t="shared" si="6"/>
        <v>LESS</v>
      </c>
      <c r="N47" s="147" t="str">
        <f t="shared" si="6"/>
        <v>LESS</v>
      </c>
      <c r="O47" s="147" t="str">
        <f t="shared" si="6"/>
        <v>LESS</v>
      </c>
      <c r="P47" s="147" t="str">
        <f t="shared" si="6"/>
        <v>LESS</v>
      </c>
      <c r="Q47" s="147" t="str">
        <f t="shared" si="6"/>
        <v>LESS</v>
      </c>
      <c r="R47" s="2"/>
      <c r="S47" s="2"/>
      <c r="T47" s="2"/>
    </row>
    <row r="48" spans="1:2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50" spans="1:16">
      <c r="A50" s="144" t="s">
        <v>55</v>
      </c>
      <c r="B50" s="197" t="s">
        <v>56</v>
      </c>
      <c r="C50" s="197"/>
      <c r="D50" s="197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>
      <c r="A51" s="162"/>
      <c r="B51" s="2"/>
      <c r="C51" s="2"/>
      <c r="D51" s="163"/>
      <c r="E51" s="163"/>
      <c r="F51" s="163"/>
      <c r="G51" s="163"/>
      <c r="H51" s="163"/>
      <c r="I51" s="163"/>
      <c r="J51" s="2"/>
      <c r="K51" s="2"/>
      <c r="L51" s="2"/>
      <c r="M51" s="2"/>
      <c r="N51" s="2"/>
      <c r="O51" s="2"/>
      <c r="P51" s="2"/>
    </row>
    <row r="52" spans="1:16" ht="15.75">
      <c r="A52" s="164" t="s">
        <v>57</v>
      </c>
      <c r="B52" s="199"/>
      <c r="C52" s="199"/>
      <c r="D52" s="199"/>
      <c r="E52" s="199"/>
      <c r="F52" s="199"/>
      <c r="G52" s="199"/>
      <c r="H52" s="199"/>
      <c r="I52" s="199"/>
      <c r="J52" s="199"/>
      <c r="K52" s="199"/>
      <c r="L52" s="199"/>
      <c r="M52" s="199"/>
      <c r="N52" s="199"/>
      <c r="O52" s="199"/>
      <c r="P52" s="199"/>
    </row>
    <row r="53" spans="1:16">
      <c r="A53" s="16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>
      <c r="A54" s="16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>
      <c r="A55" s="16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</sheetData>
  <mergeCells count="2">
    <mergeCell ref="B50:D50"/>
    <mergeCell ref="B52:P52"/>
  </mergeCells>
  <pageMargins left="0.17" right="0.17" top="0.19" bottom="0.16" header="0.17" footer="0.16"/>
  <pageSetup paperSize="9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>
  <dimension ref="B1:X119"/>
  <sheetViews>
    <sheetView tabSelected="1" zoomScale="85" zoomScaleNormal="85" workbookViewId="0">
      <selection activeCell="B109" sqref="B109"/>
    </sheetView>
  </sheetViews>
  <sheetFormatPr defaultColWidth="8.85546875" defaultRowHeight="15"/>
  <cols>
    <col min="1" max="1" width="4.5703125" style="2" customWidth="1"/>
    <col min="2" max="2" width="16.140625" style="86" customWidth="1"/>
    <col min="3" max="3" width="10.28515625" style="2" customWidth="1"/>
    <col min="4" max="7" width="9.140625" style="2" customWidth="1"/>
    <col min="8" max="8" width="9.140625" style="88" customWidth="1"/>
    <col min="9" max="12" width="9.140625" style="2" customWidth="1"/>
    <col min="13" max="13" width="13.28515625" style="2" customWidth="1"/>
    <col min="14" max="14" width="5.7109375" style="2" customWidth="1"/>
    <col min="15" max="15" width="16.140625" style="89" customWidth="1"/>
    <col min="16" max="16" width="10.85546875" style="89" customWidth="1"/>
    <col min="17" max="17" width="15.42578125" style="89" customWidth="1"/>
    <col min="18" max="18" width="13.42578125" style="89" customWidth="1"/>
    <col min="19" max="19" width="16.85546875" style="90" customWidth="1"/>
    <col min="20" max="20" width="10" style="90" customWidth="1"/>
    <col min="21" max="21" width="12.85546875" style="89" customWidth="1"/>
    <col min="22" max="22" width="10.7109375" style="89" customWidth="1"/>
    <col min="23" max="23" width="8.85546875" style="2"/>
    <col min="24" max="24" width="10.85546875" style="2" customWidth="1"/>
    <col min="25" max="16384" width="8.85546875" style="2"/>
  </cols>
  <sheetData>
    <row r="1" spans="2:24" ht="24" customHeight="1">
      <c r="B1" s="2"/>
      <c r="C1" s="91" t="s">
        <v>60</v>
      </c>
      <c r="D1" s="200" t="s">
        <v>61</v>
      </c>
      <c r="E1" s="200"/>
      <c r="F1" s="200"/>
      <c r="G1" s="200"/>
      <c r="H1" s="200"/>
      <c r="I1" s="200"/>
      <c r="J1" s="201"/>
    </row>
    <row r="2" spans="2:24" ht="22.5" customHeight="1">
      <c r="B2" s="2"/>
      <c r="C2" s="91" t="s">
        <v>2</v>
      </c>
      <c r="D2" s="202" t="s">
        <v>238</v>
      </c>
      <c r="E2" s="203"/>
      <c r="F2" s="203"/>
      <c r="G2" s="203"/>
      <c r="H2" s="203"/>
      <c r="I2" s="203"/>
      <c r="J2" s="204"/>
    </row>
    <row r="4" spans="2:24">
      <c r="S4" s="89"/>
      <c r="T4" s="89"/>
      <c r="U4" s="90"/>
      <c r="V4" s="90"/>
      <c r="W4" s="89"/>
      <c r="X4" s="89"/>
    </row>
    <row r="5" spans="2:24">
      <c r="B5" s="92"/>
      <c r="C5" s="93"/>
      <c r="D5" s="93"/>
      <c r="E5" s="93"/>
      <c r="F5" s="93"/>
      <c r="G5" s="205" t="s">
        <v>62</v>
      </c>
      <c r="H5" s="205"/>
      <c r="I5" s="93"/>
      <c r="J5" s="93"/>
      <c r="K5" s="93"/>
      <c r="L5" s="93"/>
      <c r="M5" s="107"/>
      <c r="O5" s="108"/>
      <c r="P5" s="109"/>
      <c r="Q5" s="109"/>
      <c r="R5" s="109"/>
      <c r="S5" s="127" t="s">
        <v>63</v>
      </c>
      <c r="T5" s="109"/>
      <c r="U5" s="128"/>
      <c r="V5" s="128"/>
      <c r="W5" s="109"/>
      <c r="X5" s="129"/>
    </row>
    <row r="6" spans="2:24">
      <c r="B6" s="94"/>
      <c r="C6" s="6"/>
      <c r="D6" s="6"/>
      <c r="E6" s="6"/>
      <c r="F6" s="6"/>
      <c r="G6" s="6"/>
      <c r="H6" s="95"/>
      <c r="I6" s="6"/>
      <c r="J6" s="6"/>
      <c r="K6" s="6"/>
      <c r="L6" s="6"/>
      <c r="M6" s="110"/>
      <c r="O6" s="111"/>
      <c r="P6" s="112"/>
      <c r="Q6" s="112"/>
      <c r="R6" s="112"/>
      <c r="S6" s="112"/>
      <c r="T6" s="112"/>
      <c r="U6" s="130"/>
      <c r="V6" s="130"/>
      <c r="W6" s="112"/>
      <c r="X6" s="131"/>
    </row>
    <row r="7" spans="2:24" ht="15.75">
      <c r="B7" s="96" t="s">
        <v>64</v>
      </c>
      <c r="C7" s="97" t="s">
        <v>65</v>
      </c>
      <c r="D7" s="97" t="s">
        <v>66</v>
      </c>
      <c r="E7" s="97" t="s">
        <v>67</v>
      </c>
      <c r="F7" s="97" t="s">
        <v>68</v>
      </c>
      <c r="G7" s="97" t="s">
        <v>69</v>
      </c>
      <c r="H7" s="98" t="s">
        <v>70</v>
      </c>
      <c r="I7" s="97" t="s">
        <v>71</v>
      </c>
      <c r="J7" s="97" t="s">
        <v>72</v>
      </c>
      <c r="K7" s="97" t="s">
        <v>73</v>
      </c>
      <c r="L7" s="97" t="s">
        <v>54</v>
      </c>
      <c r="M7" s="39" t="s">
        <v>74</v>
      </c>
      <c r="O7" s="113" t="s">
        <v>64</v>
      </c>
      <c r="P7" s="114" t="s">
        <v>65</v>
      </c>
      <c r="Q7" s="114" t="s">
        <v>75</v>
      </c>
      <c r="R7" s="114" t="s">
        <v>11</v>
      </c>
      <c r="S7" s="114" t="s">
        <v>76</v>
      </c>
      <c r="T7" s="114" t="s">
        <v>77</v>
      </c>
      <c r="U7" s="132" t="s">
        <v>78</v>
      </c>
      <c r="V7" s="132" t="s">
        <v>79</v>
      </c>
      <c r="W7" s="114" t="s">
        <v>54</v>
      </c>
      <c r="X7" s="133" t="s">
        <v>74</v>
      </c>
    </row>
    <row r="8" spans="2:24" ht="15.75">
      <c r="B8" s="82"/>
      <c r="C8" s="6" t="s">
        <v>62</v>
      </c>
      <c r="D8" s="6" t="s">
        <v>39</v>
      </c>
      <c r="E8" s="6">
        <v>0</v>
      </c>
      <c r="F8" s="6">
        <v>200</v>
      </c>
      <c r="G8" s="6">
        <v>0</v>
      </c>
      <c r="H8" s="95"/>
      <c r="I8" s="6">
        <v>0</v>
      </c>
      <c r="J8" s="95" t="e">
        <f>F8/H8</f>
        <v>#DIV/0!</v>
      </c>
      <c r="K8" s="95">
        <f>(H8-F8)*100/F8</f>
        <v>-100</v>
      </c>
      <c r="L8" s="6" t="s">
        <v>80</v>
      </c>
      <c r="M8" s="115" t="s">
        <v>56</v>
      </c>
      <c r="O8" s="82">
        <v>45353.53125</v>
      </c>
      <c r="P8" s="112" t="s">
        <v>63</v>
      </c>
      <c r="Q8" s="112">
        <v>4994.43</v>
      </c>
      <c r="R8" s="112">
        <v>3833.36</v>
      </c>
      <c r="S8" s="134" t="s">
        <v>81</v>
      </c>
      <c r="T8" s="134">
        <v>863.4</v>
      </c>
      <c r="U8" s="130">
        <v>0.96060000000000001</v>
      </c>
      <c r="V8" s="130">
        <v>0.96130000000000004</v>
      </c>
      <c r="W8" s="6" t="s">
        <v>80</v>
      </c>
      <c r="X8" s="115" t="s">
        <v>56</v>
      </c>
    </row>
    <row r="9" spans="2:24" ht="15.75">
      <c r="B9" s="82"/>
      <c r="C9" s="6" t="s">
        <v>62</v>
      </c>
      <c r="D9" s="6" t="s">
        <v>39</v>
      </c>
      <c r="E9" s="6">
        <v>0</v>
      </c>
      <c r="F9" s="6">
        <v>200</v>
      </c>
      <c r="G9" s="6">
        <v>0</v>
      </c>
      <c r="H9" s="95"/>
      <c r="I9" s="6">
        <v>0</v>
      </c>
      <c r="J9" s="95" t="e">
        <f t="shared" ref="J9:J14" si="0">F9/H9</f>
        <v>#DIV/0!</v>
      </c>
      <c r="K9" s="95">
        <f t="shared" ref="K9:K14" si="1">(H9-F9)*100/F9</f>
        <v>-100</v>
      </c>
      <c r="L9" s="6" t="s">
        <v>80</v>
      </c>
      <c r="M9" s="115" t="s">
        <v>56</v>
      </c>
      <c r="O9" s="82">
        <v>45365.57708333333</v>
      </c>
      <c r="P9" s="112" t="s">
        <v>63</v>
      </c>
      <c r="Q9" s="112">
        <v>4925.8100000000004</v>
      </c>
      <c r="R9" s="112">
        <v>3776.2</v>
      </c>
      <c r="S9" s="134" t="s">
        <v>81</v>
      </c>
      <c r="T9" s="134">
        <v>865.87</v>
      </c>
      <c r="U9" s="130">
        <v>0.96130000000000004</v>
      </c>
      <c r="V9" s="130">
        <v>0.95920000000000005</v>
      </c>
      <c r="W9" s="6" t="s">
        <v>80</v>
      </c>
      <c r="X9" s="115" t="s">
        <v>56</v>
      </c>
    </row>
    <row r="10" spans="2:24" ht="15.75">
      <c r="B10" s="82"/>
      <c r="C10" s="6" t="s">
        <v>62</v>
      </c>
      <c r="D10" s="6" t="s">
        <v>39</v>
      </c>
      <c r="E10" s="6">
        <v>0</v>
      </c>
      <c r="F10" s="6">
        <v>200</v>
      </c>
      <c r="G10" s="6">
        <v>0</v>
      </c>
      <c r="H10" s="95"/>
      <c r="I10" s="6">
        <v>0</v>
      </c>
      <c r="J10" s="95" t="e">
        <f t="shared" si="0"/>
        <v>#DIV/0!</v>
      </c>
      <c r="K10" s="95">
        <f t="shared" si="1"/>
        <v>-100</v>
      </c>
      <c r="L10" s="6" t="s">
        <v>80</v>
      </c>
      <c r="M10" s="115" t="s">
        <v>56</v>
      </c>
      <c r="O10" s="82"/>
      <c r="P10" s="112" t="s">
        <v>63</v>
      </c>
      <c r="Q10" s="112"/>
      <c r="R10" s="112"/>
      <c r="S10" s="134" t="s">
        <v>81</v>
      </c>
      <c r="T10" s="134"/>
      <c r="U10" s="130"/>
      <c r="V10" s="130"/>
      <c r="W10" s="6" t="s">
        <v>80</v>
      </c>
      <c r="X10" s="115" t="s">
        <v>56</v>
      </c>
    </row>
    <row r="11" spans="2:24" ht="15.75">
      <c r="B11" s="82"/>
      <c r="C11" s="6" t="s">
        <v>62</v>
      </c>
      <c r="D11" s="6" t="s">
        <v>39</v>
      </c>
      <c r="E11" s="6">
        <v>0</v>
      </c>
      <c r="F11" s="6">
        <v>200</v>
      </c>
      <c r="G11" s="6">
        <v>0</v>
      </c>
      <c r="H11" s="95"/>
      <c r="I11" s="6">
        <v>0</v>
      </c>
      <c r="J11" s="95" t="e">
        <f t="shared" si="0"/>
        <v>#DIV/0!</v>
      </c>
      <c r="K11" s="95">
        <f t="shared" si="1"/>
        <v>-100</v>
      </c>
      <c r="L11" s="6" t="s">
        <v>80</v>
      </c>
      <c r="M11" s="115" t="s">
        <v>56</v>
      </c>
      <c r="O11" s="82"/>
      <c r="P11" s="112" t="s">
        <v>63</v>
      </c>
      <c r="Q11" s="112"/>
      <c r="R11" s="112"/>
      <c r="S11" s="134" t="s">
        <v>81</v>
      </c>
      <c r="T11" s="134"/>
      <c r="U11" s="130"/>
      <c r="V11" s="130"/>
      <c r="W11" s="6" t="s">
        <v>80</v>
      </c>
      <c r="X11" s="115" t="s">
        <v>56</v>
      </c>
    </row>
    <row r="12" spans="2:24" ht="15.75">
      <c r="B12" s="82"/>
      <c r="C12" s="6" t="s">
        <v>62</v>
      </c>
      <c r="D12" s="6" t="s">
        <v>39</v>
      </c>
      <c r="E12" s="6">
        <v>0</v>
      </c>
      <c r="F12" s="6">
        <v>200</v>
      </c>
      <c r="G12" s="6">
        <v>0</v>
      </c>
      <c r="H12" s="95"/>
      <c r="I12" s="6">
        <v>0</v>
      </c>
      <c r="J12" s="95" t="e">
        <f t="shared" si="0"/>
        <v>#DIV/0!</v>
      </c>
      <c r="K12" s="95">
        <f t="shared" si="1"/>
        <v>-100</v>
      </c>
      <c r="L12" s="6" t="s">
        <v>80</v>
      </c>
      <c r="M12" s="115" t="s">
        <v>56</v>
      </c>
      <c r="O12" s="82"/>
      <c r="P12" s="112" t="s">
        <v>63</v>
      </c>
      <c r="Q12" s="112"/>
      <c r="R12" s="112"/>
      <c r="S12" s="134" t="s">
        <v>81</v>
      </c>
      <c r="T12" s="134"/>
      <c r="U12" s="130"/>
      <c r="V12" s="130"/>
      <c r="W12" s="6" t="s">
        <v>80</v>
      </c>
      <c r="X12" s="115" t="s">
        <v>56</v>
      </c>
    </row>
    <row r="13" spans="2:24" ht="15.75">
      <c r="B13" s="82"/>
      <c r="C13" s="6" t="s">
        <v>62</v>
      </c>
      <c r="D13" s="6" t="s">
        <v>39</v>
      </c>
      <c r="E13" s="6">
        <v>0</v>
      </c>
      <c r="F13" s="6">
        <v>200</v>
      </c>
      <c r="G13" s="6">
        <v>0</v>
      </c>
      <c r="H13" s="95"/>
      <c r="I13" s="6">
        <v>0</v>
      </c>
      <c r="J13" s="95" t="e">
        <f t="shared" si="0"/>
        <v>#DIV/0!</v>
      </c>
      <c r="K13" s="95">
        <f t="shared" si="1"/>
        <v>-100</v>
      </c>
      <c r="L13" s="6" t="s">
        <v>80</v>
      </c>
      <c r="M13" s="115" t="s">
        <v>56</v>
      </c>
      <c r="O13" s="82"/>
      <c r="P13" s="112" t="s">
        <v>63</v>
      </c>
      <c r="Q13" s="112"/>
      <c r="R13" s="112"/>
      <c r="S13" s="134" t="s">
        <v>81</v>
      </c>
      <c r="T13" s="134"/>
      <c r="U13" s="130"/>
      <c r="V13" s="130"/>
      <c r="W13" s="6" t="s">
        <v>80</v>
      </c>
      <c r="X13" s="115" t="s">
        <v>56</v>
      </c>
    </row>
    <row r="14" spans="2:24" ht="15.75">
      <c r="B14" s="82"/>
      <c r="C14" s="6" t="s">
        <v>62</v>
      </c>
      <c r="D14" s="6" t="s">
        <v>39</v>
      </c>
      <c r="E14" s="6">
        <v>0</v>
      </c>
      <c r="F14" s="6">
        <v>200</v>
      </c>
      <c r="G14" s="6">
        <v>0</v>
      </c>
      <c r="H14" s="95"/>
      <c r="I14" s="6">
        <v>0</v>
      </c>
      <c r="J14" s="95" t="e">
        <f t="shared" si="0"/>
        <v>#DIV/0!</v>
      </c>
      <c r="K14" s="95">
        <f t="shared" si="1"/>
        <v>-100</v>
      </c>
      <c r="L14" s="6" t="s">
        <v>80</v>
      </c>
      <c r="M14" s="115" t="s">
        <v>56</v>
      </c>
      <c r="O14" s="82"/>
      <c r="P14" s="112" t="s">
        <v>63</v>
      </c>
      <c r="Q14" s="112"/>
      <c r="R14" s="112"/>
      <c r="S14" s="134" t="s">
        <v>81</v>
      </c>
      <c r="T14" s="134"/>
      <c r="U14" s="130"/>
      <c r="V14" s="130"/>
      <c r="W14" s="6" t="s">
        <v>80</v>
      </c>
      <c r="X14" s="115" t="s">
        <v>56</v>
      </c>
    </row>
    <row r="15" spans="2:24" ht="15.75">
      <c r="B15" s="82"/>
      <c r="C15" s="6"/>
      <c r="D15" s="6"/>
      <c r="E15" s="6"/>
      <c r="F15" s="6"/>
      <c r="G15" s="6"/>
      <c r="H15" s="95"/>
      <c r="I15" s="6"/>
      <c r="J15" s="95"/>
      <c r="K15" s="95"/>
      <c r="L15" s="6"/>
      <c r="M15" s="116"/>
      <c r="O15" s="82"/>
      <c r="P15" s="112" t="s">
        <v>63</v>
      </c>
      <c r="Q15" s="112"/>
      <c r="R15" s="112"/>
      <c r="S15" s="134" t="s">
        <v>81</v>
      </c>
      <c r="T15" s="134"/>
      <c r="U15" s="130"/>
      <c r="V15" s="130"/>
      <c r="W15" s="6" t="s">
        <v>80</v>
      </c>
      <c r="X15" s="115"/>
    </row>
    <row r="16" spans="2:24" ht="15.75">
      <c r="B16" s="82"/>
      <c r="C16" s="6"/>
      <c r="D16" s="6"/>
      <c r="E16" s="6"/>
      <c r="F16" s="6"/>
      <c r="G16" s="6"/>
      <c r="H16" s="95"/>
      <c r="I16" s="6"/>
      <c r="J16" s="95"/>
      <c r="K16" s="95"/>
      <c r="L16" s="6"/>
      <c r="M16" s="116"/>
      <c r="O16" s="82"/>
      <c r="P16" s="112" t="s">
        <v>63</v>
      </c>
      <c r="Q16" s="112"/>
      <c r="R16" s="112"/>
      <c r="S16" s="134" t="s">
        <v>81</v>
      </c>
      <c r="T16" s="134"/>
      <c r="U16" s="130"/>
      <c r="V16" s="130"/>
      <c r="W16" s="6" t="s">
        <v>80</v>
      </c>
      <c r="X16" s="115"/>
    </row>
    <row r="17" spans="2:24" ht="15.75">
      <c r="B17" s="82"/>
      <c r="C17" s="6"/>
      <c r="D17" s="6"/>
      <c r="E17" s="6"/>
      <c r="F17" s="6"/>
      <c r="G17" s="6"/>
      <c r="H17" s="95"/>
      <c r="I17" s="6"/>
      <c r="J17" s="95"/>
      <c r="K17" s="95"/>
      <c r="L17" s="6"/>
      <c r="M17" s="116"/>
      <c r="O17" s="82"/>
      <c r="P17" s="112" t="s">
        <v>63</v>
      </c>
      <c r="Q17" s="112"/>
      <c r="R17" s="112"/>
      <c r="S17" s="134" t="s">
        <v>81</v>
      </c>
      <c r="T17" s="134"/>
      <c r="U17" s="130"/>
      <c r="V17" s="130"/>
      <c r="W17" s="6"/>
      <c r="X17" s="115"/>
    </row>
    <row r="18" spans="2:24" ht="15.75">
      <c r="B18" s="83"/>
      <c r="C18" s="6"/>
      <c r="D18" s="6"/>
      <c r="E18" s="6"/>
      <c r="F18" s="6"/>
      <c r="G18" s="6"/>
      <c r="H18" s="95"/>
      <c r="I18" s="6"/>
      <c r="J18" s="95"/>
      <c r="K18" s="95"/>
      <c r="L18" s="6"/>
      <c r="M18" s="116"/>
      <c r="O18" s="117"/>
      <c r="P18" s="112"/>
      <c r="Q18" s="112"/>
      <c r="R18" s="112"/>
      <c r="S18" s="134"/>
      <c r="T18" s="134"/>
      <c r="U18" s="130"/>
      <c r="V18" s="130"/>
      <c r="W18" s="6"/>
      <c r="X18" s="115"/>
    </row>
    <row r="19" spans="2:24" ht="15.75">
      <c r="B19" s="83"/>
      <c r="C19" s="6"/>
      <c r="D19" s="6"/>
      <c r="E19" s="6"/>
      <c r="F19" s="6"/>
      <c r="G19" s="6"/>
      <c r="H19" s="95"/>
      <c r="I19" s="6"/>
      <c r="J19" s="95"/>
      <c r="K19" s="95"/>
      <c r="L19" s="6"/>
      <c r="M19" s="116"/>
      <c r="O19" s="118"/>
      <c r="P19" s="112"/>
      <c r="Q19" s="112"/>
      <c r="R19" s="112"/>
      <c r="S19" s="134"/>
      <c r="T19" s="134"/>
      <c r="U19" s="130"/>
      <c r="V19" s="130"/>
      <c r="W19" s="6"/>
      <c r="X19" s="115"/>
    </row>
    <row r="20" spans="2:24" ht="15.75">
      <c r="B20" s="83"/>
      <c r="C20" s="6"/>
      <c r="D20" s="6"/>
      <c r="E20" s="6"/>
      <c r="F20" s="6"/>
      <c r="G20" s="6"/>
      <c r="H20" s="95"/>
      <c r="I20" s="6"/>
      <c r="J20" s="95"/>
      <c r="K20" s="95"/>
      <c r="L20" s="6"/>
      <c r="M20" s="116"/>
      <c r="O20" s="118"/>
      <c r="P20" s="112"/>
      <c r="Q20" s="112"/>
      <c r="R20" s="112"/>
      <c r="S20" s="134"/>
      <c r="T20" s="134"/>
      <c r="U20" s="130"/>
      <c r="V20" s="130"/>
      <c r="W20" s="6"/>
      <c r="X20" s="115"/>
    </row>
    <row r="21" spans="2:24">
      <c r="B21" s="99"/>
      <c r="C21" s="206" t="s">
        <v>82</v>
      </c>
      <c r="D21" s="206"/>
      <c r="E21" s="206"/>
      <c r="F21" s="206"/>
      <c r="G21" s="206"/>
      <c r="H21" s="206"/>
      <c r="I21" s="119">
        <f>COUNT(B8:B20)</f>
        <v>0</v>
      </c>
      <c r="J21" s="120"/>
      <c r="K21" s="120"/>
      <c r="L21" s="106"/>
      <c r="M21" s="121"/>
      <c r="O21" s="122"/>
      <c r="P21" s="207" t="s">
        <v>83</v>
      </c>
      <c r="Q21" s="207"/>
      <c r="R21" s="207"/>
      <c r="S21" s="207"/>
      <c r="T21" s="135">
        <f>COUNT(O8:O20)</f>
        <v>2</v>
      </c>
      <c r="U21" s="136"/>
      <c r="V21" s="136"/>
      <c r="W21" s="137"/>
      <c r="X21" s="138"/>
    </row>
    <row r="22" spans="2:24">
      <c r="C22" s="100"/>
      <c r="D22" s="100"/>
      <c r="E22" s="100"/>
      <c r="F22" s="100"/>
      <c r="G22" s="100"/>
      <c r="H22" s="101"/>
      <c r="J22" s="88"/>
      <c r="K22" s="88"/>
      <c r="S22" s="89"/>
      <c r="T22" s="89"/>
      <c r="U22" s="90"/>
      <c r="V22" s="90"/>
      <c r="W22" s="89"/>
      <c r="X22" s="89"/>
    </row>
    <row r="23" spans="2:24">
      <c r="J23" s="88"/>
      <c r="K23" s="88"/>
      <c r="S23" s="89"/>
      <c r="T23" s="89"/>
      <c r="U23" s="90"/>
      <c r="V23" s="90"/>
      <c r="W23" s="89"/>
      <c r="X23" s="89"/>
    </row>
    <row r="24" spans="2:24">
      <c r="B24" s="92"/>
      <c r="C24" s="102"/>
      <c r="D24" s="102"/>
      <c r="E24" s="102"/>
      <c r="F24" s="102"/>
      <c r="G24" s="208" t="s">
        <v>84</v>
      </c>
      <c r="H24" s="208"/>
      <c r="I24" s="93"/>
      <c r="J24" s="123"/>
      <c r="K24" s="123"/>
      <c r="L24" s="93"/>
      <c r="M24" s="107"/>
      <c r="O24" s="108"/>
      <c r="P24" s="109"/>
      <c r="Q24" s="109"/>
      <c r="R24" s="109"/>
      <c r="S24" s="127" t="s">
        <v>29</v>
      </c>
      <c r="T24" s="109"/>
      <c r="U24" s="128"/>
      <c r="V24" s="128"/>
      <c r="W24" s="109"/>
      <c r="X24" s="129"/>
    </row>
    <row r="25" spans="2:24">
      <c r="B25" s="103"/>
      <c r="C25" s="104"/>
      <c r="D25" s="104"/>
      <c r="E25" s="104"/>
      <c r="F25" s="104"/>
      <c r="G25" s="105"/>
      <c r="H25" s="105"/>
      <c r="I25" s="105"/>
      <c r="J25" s="124"/>
      <c r="K25" s="124"/>
      <c r="L25" s="105"/>
      <c r="M25" s="125"/>
      <c r="O25" s="111"/>
      <c r="P25" s="112"/>
      <c r="Q25" s="112"/>
      <c r="R25" s="112"/>
      <c r="S25" s="112"/>
      <c r="T25" s="112"/>
      <c r="U25" s="130"/>
      <c r="V25" s="130"/>
      <c r="W25" s="112"/>
      <c r="X25" s="131"/>
    </row>
    <row r="26" spans="2:24" ht="15.75">
      <c r="B26" s="96" t="s">
        <v>64</v>
      </c>
      <c r="C26" s="97" t="s">
        <v>65</v>
      </c>
      <c r="D26" s="97" t="s">
        <v>66</v>
      </c>
      <c r="E26" s="97" t="s">
        <v>67</v>
      </c>
      <c r="F26" s="97" t="s">
        <v>68</v>
      </c>
      <c r="G26" s="97" t="s">
        <v>69</v>
      </c>
      <c r="H26" s="98" t="s">
        <v>70</v>
      </c>
      <c r="I26" s="97" t="s">
        <v>71</v>
      </c>
      <c r="J26" s="97" t="s">
        <v>72</v>
      </c>
      <c r="K26" s="97" t="s">
        <v>73</v>
      </c>
      <c r="L26" s="97" t="s">
        <v>54</v>
      </c>
      <c r="M26" s="39" t="s">
        <v>74</v>
      </c>
      <c r="O26" s="113" t="s">
        <v>64</v>
      </c>
      <c r="P26" s="114" t="s">
        <v>65</v>
      </c>
      <c r="Q26" s="114" t="s">
        <v>75</v>
      </c>
      <c r="R26" s="114" t="s">
        <v>11</v>
      </c>
      <c r="S26" s="114" t="s">
        <v>76</v>
      </c>
      <c r="T26" s="114" t="s">
        <v>77</v>
      </c>
      <c r="U26" s="132" t="s">
        <v>78</v>
      </c>
      <c r="V26" s="132" t="s">
        <v>79</v>
      </c>
      <c r="W26" s="114" t="s">
        <v>54</v>
      </c>
      <c r="X26" s="133" t="s">
        <v>74</v>
      </c>
    </row>
    <row r="27" spans="2:24" ht="15.75">
      <c r="B27" s="82">
        <v>45365.618055555555</v>
      </c>
      <c r="C27" s="6" t="s">
        <v>85</v>
      </c>
      <c r="D27" s="6" t="s">
        <v>39</v>
      </c>
      <c r="E27" s="6">
        <v>0</v>
      </c>
      <c r="F27" s="6">
        <v>200</v>
      </c>
      <c r="G27" s="6">
        <v>0</v>
      </c>
      <c r="H27" s="95">
        <v>200.4</v>
      </c>
      <c r="I27" s="6">
        <v>0</v>
      </c>
      <c r="J27" s="95">
        <f>F27/H27</f>
        <v>0.99800399201596801</v>
      </c>
      <c r="K27" s="95">
        <f>(H27-F27)*100/F27</f>
        <v>0.20000000000000284</v>
      </c>
      <c r="L27" s="6" t="s">
        <v>80</v>
      </c>
      <c r="M27" s="115" t="s">
        <v>56</v>
      </c>
      <c r="O27" s="82">
        <v>45353.53125</v>
      </c>
      <c r="P27" s="112" t="s">
        <v>29</v>
      </c>
      <c r="Q27" s="112">
        <v>4684.29</v>
      </c>
      <c r="R27" s="112">
        <v>3644.11</v>
      </c>
      <c r="S27" s="134" t="s">
        <v>86</v>
      </c>
      <c r="T27" s="134">
        <v>777.16</v>
      </c>
      <c r="U27" s="130">
        <v>0.91059999999999997</v>
      </c>
      <c r="V27" s="130">
        <v>0.92449999999999999</v>
      </c>
      <c r="W27" s="6" t="s">
        <v>80</v>
      </c>
      <c r="X27" s="115" t="s">
        <v>56</v>
      </c>
    </row>
    <row r="28" spans="2:24" ht="15.75">
      <c r="B28" s="82"/>
      <c r="C28" s="6" t="s">
        <v>85</v>
      </c>
      <c r="D28" s="6" t="s">
        <v>39</v>
      </c>
      <c r="E28" s="6">
        <v>0</v>
      </c>
      <c r="F28" s="6">
        <v>200</v>
      </c>
      <c r="G28" s="6"/>
      <c r="H28" s="95"/>
      <c r="I28" s="6">
        <v>0</v>
      </c>
      <c r="J28" s="95" t="e">
        <f t="shared" ref="J28:J33" si="2">F28/H28</f>
        <v>#DIV/0!</v>
      </c>
      <c r="K28" s="95">
        <f t="shared" ref="K28:K33" si="3">(H28-F28)*100/F28</f>
        <v>-100</v>
      </c>
      <c r="L28" s="6" t="s">
        <v>80</v>
      </c>
      <c r="M28" s="115" t="s">
        <v>56</v>
      </c>
      <c r="O28" s="82">
        <v>45365.57708333333</v>
      </c>
      <c r="P28" s="112" t="s">
        <v>29</v>
      </c>
      <c r="Q28" s="112">
        <v>4580.22</v>
      </c>
      <c r="R28" s="112">
        <v>3550.58</v>
      </c>
      <c r="S28" s="134" t="s">
        <v>86</v>
      </c>
      <c r="T28" s="134">
        <v>797.62</v>
      </c>
      <c r="U28" s="130">
        <v>0.92449999999999999</v>
      </c>
      <c r="V28" s="130">
        <v>0.91449999999999998</v>
      </c>
      <c r="W28" s="6" t="s">
        <v>80</v>
      </c>
      <c r="X28" s="115" t="s">
        <v>56</v>
      </c>
    </row>
    <row r="29" spans="2:24" ht="15.75">
      <c r="B29" s="82"/>
      <c r="C29" s="6" t="s">
        <v>85</v>
      </c>
      <c r="D29" s="6" t="s">
        <v>39</v>
      </c>
      <c r="E29" s="6">
        <v>0</v>
      </c>
      <c r="F29" s="6">
        <v>200</v>
      </c>
      <c r="G29" s="6"/>
      <c r="H29" s="95"/>
      <c r="I29" s="6">
        <v>0</v>
      </c>
      <c r="J29" s="95" t="e">
        <f t="shared" si="2"/>
        <v>#DIV/0!</v>
      </c>
      <c r="K29" s="95">
        <f t="shared" si="3"/>
        <v>-100</v>
      </c>
      <c r="L29" s="6" t="s">
        <v>80</v>
      </c>
      <c r="M29" s="115" t="s">
        <v>56</v>
      </c>
      <c r="O29" s="82"/>
      <c r="P29" s="112" t="s">
        <v>29</v>
      </c>
      <c r="Q29" s="112"/>
      <c r="R29" s="112"/>
      <c r="S29" s="134" t="s">
        <v>86</v>
      </c>
      <c r="T29" s="134"/>
      <c r="U29" s="130"/>
      <c r="V29" s="130"/>
      <c r="W29" s="6" t="s">
        <v>80</v>
      </c>
      <c r="X29" s="115" t="s">
        <v>56</v>
      </c>
    </row>
    <row r="30" spans="2:24" ht="15.75">
      <c r="B30" s="82"/>
      <c r="C30" s="6" t="s">
        <v>85</v>
      </c>
      <c r="D30" s="6" t="s">
        <v>39</v>
      </c>
      <c r="E30" s="6">
        <v>0</v>
      </c>
      <c r="F30" s="6">
        <v>200</v>
      </c>
      <c r="G30" s="6"/>
      <c r="H30" s="95"/>
      <c r="I30" s="6">
        <v>0</v>
      </c>
      <c r="J30" s="95" t="e">
        <f t="shared" si="2"/>
        <v>#DIV/0!</v>
      </c>
      <c r="K30" s="95">
        <f t="shared" si="3"/>
        <v>-100</v>
      </c>
      <c r="L30" s="6" t="s">
        <v>80</v>
      </c>
      <c r="M30" s="115" t="s">
        <v>56</v>
      </c>
      <c r="O30" s="82"/>
      <c r="P30" s="112" t="s">
        <v>29</v>
      </c>
      <c r="Q30" s="112"/>
      <c r="R30" s="112"/>
      <c r="S30" s="134" t="s">
        <v>86</v>
      </c>
      <c r="T30" s="134"/>
      <c r="U30" s="130"/>
      <c r="V30" s="130"/>
      <c r="W30" s="6" t="s">
        <v>80</v>
      </c>
      <c r="X30" s="115" t="s">
        <v>56</v>
      </c>
    </row>
    <row r="31" spans="2:24" ht="15.75">
      <c r="B31" s="82"/>
      <c r="C31" s="6" t="s">
        <v>85</v>
      </c>
      <c r="D31" s="6" t="s">
        <v>39</v>
      </c>
      <c r="E31" s="6">
        <v>0</v>
      </c>
      <c r="F31" s="6">
        <v>200</v>
      </c>
      <c r="G31" s="6"/>
      <c r="H31" s="95"/>
      <c r="I31" s="6">
        <v>0</v>
      </c>
      <c r="J31" s="95" t="e">
        <f t="shared" si="2"/>
        <v>#DIV/0!</v>
      </c>
      <c r="K31" s="95">
        <f t="shared" si="3"/>
        <v>-100</v>
      </c>
      <c r="L31" s="6" t="s">
        <v>80</v>
      </c>
      <c r="M31" s="115" t="s">
        <v>56</v>
      </c>
      <c r="O31" s="82"/>
      <c r="P31" s="112" t="s">
        <v>29</v>
      </c>
      <c r="Q31" s="112"/>
      <c r="R31" s="112"/>
      <c r="S31" s="134" t="s">
        <v>86</v>
      </c>
      <c r="T31" s="134"/>
      <c r="U31" s="130"/>
      <c r="V31" s="130"/>
      <c r="W31" s="6" t="s">
        <v>80</v>
      </c>
      <c r="X31" s="115" t="s">
        <v>56</v>
      </c>
    </row>
    <row r="32" spans="2:24" ht="15.75">
      <c r="B32" s="82"/>
      <c r="C32" s="6" t="s">
        <v>85</v>
      </c>
      <c r="D32" s="6" t="s">
        <v>39</v>
      </c>
      <c r="E32" s="6">
        <v>0</v>
      </c>
      <c r="F32" s="6">
        <v>200</v>
      </c>
      <c r="G32" s="6"/>
      <c r="H32" s="95"/>
      <c r="I32" s="6">
        <v>0</v>
      </c>
      <c r="J32" s="95" t="e">
        <f t="shared" si="2"/>
        <v>#DIV/0!</v>
      </c>
      <c r="K32" s="95">
        <f t="shared" si="3"/>
        <v>-100</v>
      </c>
      <c r="L32" s="6" t="s">
        <v>80</v>
      </c>
      <c r="M32" s="115" t="s">
        <v>56</v>
      </c>
      <c r="O32" s="82"/>
      <c r="P32" s="112" t="s">
        <v>29</v>
      </c>
      <c r="Q32" s="112"/>
      <c r="R32" s="112"/>
      <c r="S32" s="134" t="s">
        <v>86</v>
      </c>
      <c r="T32" s="134"/>
      <c r="U32" s="130"/>
      <c r="V32" s="130"/>
      <c r="W32" s="6" t="s">
        <v>80</v>
      </c>
      <c r="X32" s="115" t="s">
        <v>56</v>
      </c>
    </row>
    <row r="33" spans="2:24" ht="15.75">
      <c r="B33" s="82"/>
      <c r="C33" s="6" t="s">
        <v>85</v>
      </c>
      <c r="D33" s="6" t="s">
        <v>39</v>
      </c>
      <c r="E33" s="6">
        <v>0</v>
      </c>
      <c r="F33" s="6">
        <v>200</v>
      </c>
      <c r="G33" s="6"/>
      <c r="H33" s="95"/>
      <c r="I33" s="6">
        <v>0</v>
      </c>
      <c r="J33" s="95" t="e">
        <f t="shared" si="2"/>
        <v>#DIV/0!</v>
      </c>
      <c r="K33" s="95">
        <f t="shared" si="3"/>
        <v>-100</v>
      </c>
      <c r="L33" s="6" t="s">
        <v>80</v>
      </c>
      <c r="M33" s="115" t="s">
        <v>56</v>
      </c>
      <c r="O33" s="82"/>
      <c r="P33" s="112" t="s">
        <v>29</v>
      </c>
      <c r="Q33" s="112"/>
      <c r="R33" s="112"/>
      <c r="S33" s="134" t="s">
        <v>86</v>
      </c>
      <c r="T33" s="134"/>
      <c r="U33" s="130"/>
      <c r="V33" s="130"/>
      <c r="W33" s="6" t="s">
        <v>80</v>
      </c>
      <c r="X33" s="115" t="s">
        <v>56</v>
      </c>
    </row>
    <row r="34" spans="2:24" ht="15.75">
      <c r="B34" s="82"/>
      <c r="C34" s="6"/>
      <c r="D34" s="6"/>
      <c r="E34" s="6"/>
      <c r="F34" s="6"/>
      <c r="G34" s="6"/>
      <c r="H34" s="95"/>
      <c r="I34" s="6"/>
      <c r="J34" s="95"/>
      <c r="K34" s="95"/>
      <c r="L34" s="6"/>
      <c r="M34" s="116"/>
      <c r="O34" s="82"/>
      <c r="P34" s="112" t="s">
        <v>29</v>
      </c>
      <c r="Q34" s="112"/>
      <c r="R34" s="112"/>
      <c r="S34" s="134" t="s">
        <v>86</v>
      </c>
      <c r="T34" s="134"/>
      <c r="U34" s="130"/>
      <c r="V34" s="130"/>
      <c r="W34" s="6" t="s">
        <v>80</v>
      </c>
      <c r="X34" s="115"/>
    </row>
    <row r="35" spans="2:24" ht="15.75">
      <c r="B35" s="82"/>
      <c r="C35" s="6"/>
      <c r="D35" s="6"/>
      <c r="E35" s="6"/>
      <c r="F35" s="6"/>
      <c r="G35" s="6"/>
      <c r="H35" s="95"/>
      <c r="I35" s="6"/>
      <c r="J35" s="95"/>
      <c r="K35" s="95"/>
      <c r="L35" s="6"/>
      <c r="M35" s="116"/>
      <c r="O35" s="82"/>
      <c r="P35" s="112" t="s">
        <v>29</v>
      </c>
      <c r="Q35" s="112"/>
      <c r="R35" s="112"/>
      <c r="S35" s="134" t="s">
        <v>86</v>
      </c>
      <c r="T35" s="134"/>
      <c r="U35" s="130"/>
      <c r="V35" s="130"/>
      <c r="W35" s="6" t="s">
        <v>80</v>
      </c>
      <c r="X35" s="115"/>
    </row>
    <row r="36" spans="2:24" ht="15.75">
      <c r="B36" s="82"/>
      <c r="C36" s="6"/>
      <c r="D36" s="6"/>
      <c r="E36" s="6"/>
      <c r="F36" s="6"/>
      <c r="G36" s="6"/>
      <c r="H36" s="95"/>
      <c r="I36" s="6"/>
      <c r="J36" s="95"/>
      <c r="K36" s="95"/>
      <c r="L36" s="6"/>
      <c r="M36" s="116"/>
      <c r="O36" s="82"/>
      <c r="P36" s="112" t="s">
        <v>29</v>
      </c>
      <c r="Q36" s="112"/>
      <c r="R36" s="112"/>
      <c r="S36" s="134" t="s">
        <v>86</v>
      </c>
      <c r="T36" s="134"/>
      <c r="U36" s="130"/>
      <c r="V36" s="130"/>
      <c r="W36" s="6"/>
      <c r="X36" s="115"/>
    </row>
    <row r="37" spans="2:24" ht="15.75">
      <c r="B37" s="83"/>
      <c r="C37" s="6"/>
      <c r="D37" s="6"/>
      <c r="E37" s="6"/>
      <c r="F37" s="6"/>
      <c r="G37" s="6"/>
      <c r="H37" s="95"/>
      <c r="I37" s="6"/>
      <c r="J37" s="95"/>
      <c r="K37" s="95"/>
      <c r="L37" s="6"/>
      <c r="M37" s="116"/>
      <c r="O37" s="117"/>
      <c r="P37" s="112" t="s">
        <v>29</v>
      </c>
      <c r="Q37" s="112"/>
      <c r="R37" s="112"/>
      <c r="S37" s="134" t="s">
        <v>86</v>
      </c>
      <c r="T37" s="134"/>
      <c r="U37" s="130"/>
      <c r="V37" s="130"/>
      <c r="W37" s="6"/>
      <c r="X37" s="115"/>
    </row>
    <row r="38" spans="2:24" ht="15.75">
      <c r="B38" s="83"/>
      <c r="C38" s="6"/>
      <c r="D38" s="6"/>
      <c r="E38" s="6"/>
      <c r="F38" s="6"/>
      <c r="G38" s="6"/>
      <c r="H38" s="95"/>
      <c r="I38" s="6"/>
      <c r="J38" s="95"/>
      <c r="K38" s="95"/>
      <c r="L38" s="6"/>
      <c r="M38" s="116"/>
      <c r="O38" s="118"/>
      <c r="P38" s="112"/>
      <c r="Q38" s="112"/>
      <c r="R38" s="112"/>
      <c r="S38" s="134"/>
      <c r="T38" s="134"/>
      <c r="U38" s="130"/>
      <c r="V38" s="130"/>
      <c r="W38" s="6"/>
      <c r="X38" s="115"/>
    </row>
    <row r="39" spans="2:24" ht="15.75">
      <c r="B39" s="83"/>
      <c r="C39" s="6"/>
      <c r="D39" s="6"/>
      <c r="E39" s="6"/>
      <c r="F39" s="6"/>
      <c r="G39" s="6"/>
      <c r="H39" s="95"/>
      <c r="I39" s="6"/>
      <c r="J39" s="95"/>
      <c r="K39" s="95"/>
      <c r="L39" s="6"/>
      <c r="M39" s="116"/>
      <c r="O39" s="118"/>
      <c r="P39" s="112"/>
      <c r="Q39" s="112"/>
      <c r="R39" s="112"/>
      <c r="S39" s="134"/>
      <c r="T39" s="134"/>
      <c r="U39" s="130"/>
      <c r="V39" s="130"/>
      <c r="W39" s="6"/>
      <c r="X39" s="115"/>
    </row>
    <row r="40" spans="2:24" ht="15.75">
      <c r="B40" s="94"/>
      <c r="C40" s="6"/>
      <c r="D40" s="6"/>
      <c r="E40" s="6"/>
      <c r="F40" s="6"/>
      <c r="G40" s="6"/>
      <c r="H40" s="95"/>
      <c r="I40" s="6"/>
      <c r="J40" s="95"/>
      <c r="K40" s="95"/>
      <c r="L40" s="6"/>
      <c r="M40" s="116"/>
      <c r="O40" s="122"/>
      <c r="P40" s="207" t="s">
        <v>87</v>
      </c>
      <c r="Q40" s="207"/>
      <c r="R40" s="207"/>
      <c r="S40" s="207"/>
      <c r="T40" s="135">
        <f>COUNT(O27:O39)</f>
        <v>2</v>
      </c>
      <c r="U40" s="136"/>
      <c r="V40" s="136"/>
      <c r="W40" s="137"/>
      <c r="X40" s="138"/>
    </row>
    <row r="41" spans="2:24">
      <c r="B41" s="99"/>
      <c r="C41" s="106"/>
      <c r="D41" s="206" t="s">
        <v>88</v>
      </c>
      <c r="E41" s="206"/>
      <c r="F41" s="206"/>
      <c r="G41" s="206"/>
      <c r="H41" s="206"/>
      <c r="I41" s="206"/>
      <c r="J41" s="126">
        <f>COUNT(B27:B39)</f>
        <v>1</v>
      </c>
      <c r="K41" s="120"/>
      <c r="L41" s="106"/>
      <c r="M41" s="121"/>
      <c r="S41" s="89"/>
      <c r="T41" s="89"/>
      <c r="U41" s="90"/>
      <c r="V41" s="90"/>
      <c r="W41" s="89"/>
      <c r="X41" s="89"/>
    </row>
    <row r="44" spans="2:24">
      <c r="B44" s="92"/>
      <c r="C44" s="102"/>
      <c r="D44" s="102"/>
      <c r="E44" s="102"/>
      <c r="F44" s="102"/>
      <c r="G44" s="208" t="s">
        <v>38</v>
      </c>
      <c r="H44" s="208"/>
      <c r="I44" s="93"/>
      <c r="J44" s="123"/>
      <c r="K44" s="123"/>
      <c r="L44" s="93"/>
      <c r="M44" s="107"/>
    </row>
    <row r="45" spans="2:24">
      <c r="B45" s="94"/>
      <c r="C45" s="6"/>
      <c r="D45" s="6"/>
      <c r="E45" s="6"/>
      <c r="F45" s="6"/>
      <c r="G45" s="6"/>
      <c r="H45" s="95"/>
      <c r="I45" s="6"/>
      <c r="J45" s="95"/>
      <c r="K45" s="95"/>
      <c r="L45" s="6"/>
      <c r="M45" s="110"/>
    </row>
    <row r="46" spans="2:24" ht="15.75">
      <c r="B46" s="96" t="s">
        <v>64</v>
      </c>
      <c r="C46" s="97" t="s">
        <v>65</v>
      </c>
      <c r="D46" s="97" t="s">
        <v>66</v>
      </c>
      <c r="E46" s="97" t="s">
        <v>67</v>
      </c>
      <c r="F46" s="97" t="s">
        <v>68</v>
      </c>
      <c r="G46" s="97" t="s">
        <v>69</v>
      </c>
      <c r="H46" s="98" t="s">
        <v>70</v>
      </c>
      <c r="I46" s="97" t="s">
        <v>71</v>
      </c>
      <c r="J46" s="97" t="s">
        <v>72</v>
      </c>
      <c r="K46" s="97" t="s">
        <v>73</v>
      </c>
      <c r="L46" s="97" t="s">
        <v>54</v>
      </c>
      <c r="M46" s="39" t="s">
        <v>74</v>
      </c>
    </row>
    <row r="47" spans="2:24" ht="15.75">
      <c r="B47" s="82"/>
      <c r="C47" s="6" t="s">
        <v>38</v>
      </c>
      <c r="D47" s="6" t="s">
        <v>39</v>
      </c>
      <c r="E47" s="6">
        <v>0</v>
      </c>
      <c r="F47" s="6">
        <v>400</v>
      </c>
      <c r="G47" s="6">
        <v>0</v>
      </c>
      <c r="H47" s="95"/>
      <c r="I47" s="6">
        <v>0</v>
      </c>
      <c r="J47" s="95" t="e">
        <f>F47/H47</f>
        <v>#DIV/0!</v>
      </c>
      <c r="K47" s="95">
        <f>(H47-F47)*100/F47</f>
        <v>-100</v>
      </c>
      <c r="L47" s="6" t="s">
        <v>80</v>
      </c>
      <c r="M47" s="115" t="s">
        <v>56</v>
      </c>
    </row>
    <row r="48" spans="2:24" ht="15.75">
      <c r="B48" s="82"/>
      <c r="C48" s="6" t="s">
        <v>38</v>
      </c>
      <c r="D48" s="6" t="s">
        <v>39</v>
      </c>
      <c r="E48" s="6">
        <v>0</v>
      </c>
      <c r="F48" s="6">
        <v>400</v>
      </c>
      <c r="G48" s="6">
        <v>0</v>
      </c>
      <c r="H48" s="95"/>
      <c r="I48" s="6">
        <v>0</v>
      </c>
      <c r="J48" s="95" t="e">
        <f>F48/H48</f>
        <v>#DIV/0!</v>
      </c>
      <c r="K48" s="95">
        <f>(H48-F48)*100/F48</f>
        <v>-100</v>
      </c>
      <c r="L48" s="6" t="s">
        <v>80</v>
      </c>
      <c r="M48" s="115" t="s">
        <v>56</v>
      </c>
    </row>
    <row r="49" spans="2:13" ht="15.75">
      <c r="B49" s="82"/>
      <c r="C49" s="6" t="s">
        <v>38</v>
      </c>
      <c r="D49" s="6" t="s">
        <v>39</v>
      </c>
      <c r="E49" s="6">
        <v>0</v>
      </c>
      <c r="F49" s="6">
        <v>400</v>
      </c>
      <c r="G49" s="6">
        <v>0</v>
      </c>
      <c r="H49" s="95"/>
      <c r="I49" s="6">
        <v>0</v>
      </c>
      <c r="J49" s="95" t="e">
        <f>F49/H49</f>
        <v>#DIV/0!</v>
      </c>
      <c r="K49" s="95">
        <f>(H49-F49)*100/F49</f>
        <v>-100</v>
      </c>
      <c r="L49" s="6" t="s">
        <v>80</v>
      </c>
      <c r="M49" s="115" t="s">
        <v>56</v>
      </c>
    </row>
    <row r="50" spans="2:13" ht="15.75">
      <c r="B50" s="82"/>
      <c r="C50" s="6" t="s">
        <v>38</v>
      </c>
      <c r="D50" s="6" t="s">
        <v>39</v>
      </c>
      <c r="E50" s="6">
        <v>0</v>
      </c>
      <c r="F50" s="6">
        <v>400</v>
      </c>
      <c r="G50" s="6">
        <v>0</v>
      </c>
      <c r="H50" s="95"/>
      <c r="I50" s="6">
        <v>0</v>
      </c>
      <c r="J50" s="95" t="e">
        <f>F50/H50</f>
        <v>#DIV/0!</v>
      </c>
      <c r="K50" s="95">
        <f>(H50-F50)*100/F50</f>
        <v>-100</v>
      </c>
      <c r="L50" s="6" t="s">
        <v>80</v>
      </c>
      <c r="M50" s="115" t="s">
        <v>56</v>
      </c>
    </row>
    <row r="51" spans="2:13" ht="15.75">
      <c r="B51" s="82"/>
      <c r="C51" s="6" t="s">
        <v>38</v>
      </c>
      <c r="D51" s="6" t="s">
        <v>39</v>
      </c>
      <c r="E51" s="6">
        <v>0</v>
      </c>
      <c r="F51" s="6">
        <v>400</v>
      </c>
      <c r="G51" s="6">
        <v>0</v>
      </c>
      <c r="H51" s="95"/>
      <c r="I51" s="6">
        <v>0</v>
      </c>
      <c r="J51" s="95" t="e">
        <f>F51/H51</f>
        <v>#DIV/0!</v>
      </c>
      <c r="K51" s="95">
        <f>(H51-F51)*100/F51</f>
        <v>-100</v>
      </c>
      <c r="L51" s="6" t="s">
        <v>80</v>
      </c>
      <c r="M51" s="115" t="s">
        <v>56</v>
      </c>
    </row>
    <row r="52" spans="2:13" ht="15.75">
      <c r="B52" s="83"/>
      <c r="C52" s="6"/>
      <c r="D52" s="6"/>
      <c r="E52" s="6"/>
      <c r="F52" s="6"/>
      <c r="G52" s="6"/>
      <c r="H52" s="95"/>
      <c r="I52" s="6"/>
      <c r="J52" s="95"/>
      <c r="K52" s="95"/>
      <c r="L52" s="6"/>
      <c r="M52" s="115" t="s">
        <v>56</v>
      </c>
    </row>
    <row r="53" spans="2:13" ht="15.75">
      <c r="B53" s="83"/>
      <c r="C53" s="6"/>
      <c r="D53" s="6"/>
      <c r="E53" s="6"/>
      <c r="F53" s="6"/>
      <c r="G53" s="6"/>
      <c r="H53" s="95"/>
      <c r="I53" s="6"/>
      <c r="J53" s="95"/>
      <c r="K53" s="95"/>
      <c r="L53" s="6"/>
      <c r="M53" s="115" t="s">
        <v>56</v>
      </c>
    </row>
    <row r="54" spans="2:13" ht="15.75">
      <c r="B54" s="83"/>
      <c r="C54" s="6"/>
      <c r="D54" s="6"/>
      <c r="E54" s="6"/>
      <c r="F54" s="6"/>
      <c r="G54" s="6"/>
      <c r="H54" s="95"/>
      <c r="I54" s="6"/>
      <c r="J54" s="95"/>
      <c r="K54" s="95"/>
      <c r="L54" s="6"/>
      <c r="M54" s="116"/>
    </row>
    <row r="55" spans="2:13" ht="15.75">
      <c r="B55" s="83"/>
      <c r="C55" s="6"/>
      <c r="D55" s="6"/>
      <c r="E55" s="6"/>
      <c r="F55" s="6"/>
      <c r="G55" s="6"/>
      <c r="H55" s="95"/>
      <c r="I55" s="6"/>
      <c r="J55" s="95"/>
      <c r="K55" s="95"/>
      <c r="L55" s="6"/>
      <c r="M55" s="116"/>
    </row>
    <row r="56" spans="2:13" ht="15.75">
      <c r="B56" s="83"/>
      <c r="C56" s="6"/>
      <c r="D56" s="6"/>
      <c r="E56" s="6"/>
      <c r="F56" s="6"/>
      <c r="G56" s="6"/>
      <c r="H56" s="95"/>
      <c r="I56" s="6"/>
      <c r="J56" s="95"/>
      <c r="K56" s="95"/>
      <c r="L56" s="6"/>
      <c r="M56" s="116"/>
    </row>
    <row r="57" spans="2:13" ht="15.75">
      <c r="B57" s="83"/>
      <c r="C57" s="6"/>
      <c r="D57" s="6"/>
      <c r="E57" s="6"/>
      <c r="F57" s="6"/>
      <c r="G57" s="6"/>
      <c r="H57" s="95"/>
      <c r="I57" s="6"/>
      <c r="J57" s="95"/>
      <c r="K57" s="95"/>
      <c r="L57" s="6"/>
      <c r="M57" s="116"/>
    </row>
    <row r="58" spans="2:13" ht="15.75">
      <c r="B58" s="83"/>
      <c r="C58" s="6"/>
      <c r="D58" s="6"/>
      <c r="E58" s="6"/>
      <c r="F58" s="6"/>
      <c r="G58" s="6"/>
      <c r="H58" s="95"/>
      <c r="I58" s="6"/>
      <c r="J58" s="95"/>
      <c r="K58" s="95"/>
      <c r="L58" s="6"/>
      <c r="M58" s="116"/>
    </row>
    <row r="59" spans="2:13" ht="15.75">
      <c r="B59" s="83"/>
      <c r="C59" s="6"/>
      <c r="D59" s="6"/>
      <c r="E59" s="6"/>
      <c r="F59" s="6"/>
      <c r="G59" s="6"/>
      <c r="H59" s="95"/>
      <c r="I59" s="6"/>
      <c r="J59" s="95"/>
      <c r="K59" s="95"/>
      <c r="L59" s="6"/>
      <c r="M59" s="116"/>
    </row>
    <row r="60" spans="2:13" ht="15.75">
      <c r="B60" s="94"/>
      <c r="C60" s="6"/>
      <c r="D60" s="6"/>
      <c r="E60" s="6"/>
      <c r="F60" s="6"/>
      <c r="G60" s="6"/>
      <c r="H60" s="95"/>
      <c r="I60" s="6"/>
      <c r="J60" s="95"/>
      <c r="K60" s="95"/>
      <c r="L60" s="6"/>
      <c r="M60" s="116"/>
    </row>
    <row r="61" spans="2:13">
      <c r="B61" s="99"/>
      <c r="C61" s="106"/>
      <c r="D61" s="206" t="s">
        <v>89</v>
      </c>
      <c r="E61" s="206"/>
      <c r="F61" s="206"/>
      <c r="G61" s="206"/>
      <c r="H61" s="206"/>
      <c r="I61" s="206"/>
      <c r="J61" s="126">
        <f>COUNT(B47:B59)</f>
        <v>0</v>
      </c>
      <c r="K61" s="120"/>
      <c r="L61" s="106"/>
      <c r="M61" s="121"/>
    </row>
    <row r="64" spans="2:13">
      <c r="B64" s="92"/>
      <c r="C64" s="102"/>
      <c r="D64" s="102"/>
      <c r="E64" s="102"/>
      <c r="F64" s="102"/>
      <c r="G64" s="208" t="s">
        <v>37</v>
      </c>
      <c r="H64" s="208"/>
      <c r="I64" s="93"/>
      <c r="J64" s="123"/>
      <c r="K64" s="123"/>
      <c r="L64" s="93"/>
      <c r="M64" s="107"/>
    </row>
    <row r="65" spans="2:13">
      <c r="B65" s="94"/>
      <c r="C65" s="6"/>
      <c r="D65" s="6"/>
      <c r="E65" s="6"/>
      <c r="F65" s="6"/>
      <c r="G65" s="6"/>
      <c r="H65" s="95"/>
      <c r="I65" s="6"/>
      <c r="J65" s="95"/>
      <c r="K65" s="95"/>
      <c r="L65" s="6"/>
      <c r="M65" s="110"/>
    </row>
    <row r="66" spans="2:13" ht="15.75">
      <c r="B66" s="96" t="s">
        <v>64</v>
      </c>
      <c r="C66" s="97" t="s">
        <v>65</v>
      </c>
      <c r="D66" s="97" t="s">
        <v>66</v>
      </c>
      <c r="E66" s="97" t="s">
        <v>67</v>
      </c>
      <c r="F66" s="97" t="s">
        <v>68</v>
      </c>
      <c r="G66" s="97" t="s">
        <v>69</v>
      </c>
      <c r="H66" s="98" t="s">
        <v>70</v>
      </c>
      <c r="I66" s="97" t="s">
        <v>71</v>
      </c>
      <c r="J66" s="97" t="s">
        <v>72</v>
      </c>
      <c r="K66" s="97" t="s">
        <v>73</v>
      </c>
      <c r="L66" s="97" t="s">
        <v>54</v>
      </c>
      <c r="M66" s="39" t="s">
        <v>74</v>
      </c>
    </row>
    <row r="67" spans="2:13" ht="15.75">
      <c r="B67" s="82">
        <v>45358.609722222223</v>
      </c>
      <c r="C67" s="6" t="s">
        <v>37</v>
      </c>
      <c r="D67" s="6" t="s">
        <v>47</v>
      </c>
      <c r="E67" s="6">
        <v>0</v>
      </c>
      <c r="F67" s="6">
        <v>5</v>
      </c>
      <c r="G67" s="6">
        <v>0</v>
      </c>
      <c r="H67" s="139">
        <v>4.8209999999999997</v>
      </c>
      <c r="I67" s="6">
        <v>0</v>
      </c>
      <c r="J67" s="95">
        <f>F67/H67</f>
        <v>1.0371292263015972</v>
      </c>
      <c r="K67" s="95">
        <f>(H67-F67)*100/F67</f>
        <v>-3.5800000000000054</v>
      </c>
      <c r="L67" s="6" t="s">
        <v>80</v>
      </c>
      <c r="M67" s="115" t="s">
        <v>56</v>
      </c>
    </row>
    <row r="68" spans="2:13" ht="15.75">
      <c r="B68" s="82">
        <v>45365.574999999997</v>
      </c>
      <c r="C68" s="6" t="s">
        <v>37</v>
      </c>
      <c r="D68" s="6" t="s">
        <v>47</v>
      </c>
      <c r="E68" s="6">
        <v>0</v>
      </c>
      <c r="F68" s="6">
        <v>5</v>
      </c>
      <c r="G68" s="6">
        <v>0</v>
      </c>
      <c r="H68" s="95">
        <v>4.87</v>
      </c>
      <c r="I68" s="6">
        <v>0</v>
      </c>
      <c r="J68" s="95">
        <f t="shared" ref="J68:J73" si="4">F68/H68</f>
        <v>1.0266940451745379</v>
      </c>
      <c r="K68" s="95">
        <f t="shared" ref="K68:K73" si="5">(H68-F68)*100/F68</f>
        <v>-2.5999999999999979</v>
      </c>
      <c r="L68" s="6" t="s">
        <v>80</v>
      </c>
      <c r="M68" s="115" t="s">
        <v>56</v>
      </c>
    </row>
    <row r="69" spans="2:13" ht="15.75">
      <c r="B69" s="82"/>
      <c r="C69" s="6" t="s">
        <v>37</v>
      </c>
      <c r="D69" s="6" t="s">
        <v>47</v>
      </c>
      <c r="E69" s="6">
        <v>0</v>
      </c>
      <c r="F69" s="6">
        <v>5</v>
      </c>
      <c r="G69" s="6">
        <v>0</v>
      </c>
      <c r="H69" s="95"/>
      <c r="I69" s="6">
        <v>0</v>
      </c>
      <c r="J69" s="95" t="e">
        <f t="shared" si="4"/>
        <v>#DIV/0!</v>
      </c>
      <c r="K69" s="95">
        <f t="shared" si="5"/>
        <v>-100</v>
      </c>
      <c r="L69" s="6" t="s">
        <v>80</v>
      </c>
      <c r="M69" s="115" t="s">
        <v>56</v>
      </c>
    </row>
    <row r="70" spans="2:13" ht="15.75">
      <c r="B70" s="82"/>
      <c r="C70" s="6" t="s">
        <v>37</v>
      </c>
      <c r="D70" s="6" t="s">
        <v>47</v>
      </c>
      <c r="E70" s="6">
        <v>0</v>
      </c>
      <c r="F70" s="6">
        <v>5</v>
      </c>
      <c r="G70" s="6">
        <v>0</v>
      </c>
      <c r="H70" s="95"/>
      <c r="I70" s="6">
        <v>0</v>
      </c>
      <c r="J70" s="95" t="e">
        <f t="shared" si="4"/>
        <v>#DIV/0!</v>
      </c>
      <c r="K70" s="95">
        <f t="shared" si="5"/>
        <v>-100</v>
      </c>
      <c r="L70" s="6" t="s">
        <v>80</v>
      </c>
      <c r="M70" s="115" t="s">
        <v>56</v>
      </c>
    </row>
    <row r="71" spans="2:13" ht="15.75">
      <c r="B71" s="82"/>
      <c r="C71" s="6" t="s">
        <v>37</v>
      </c>
      <c r="D71" s="6" t="s">
        <v>47</v>
      </c>
      <c r="E71" s="6">
        <v>0</v>
      </c>
      <c r="F71" s="6">
        <v>5</v>
      </c>
      <c r="G71" s="6">
        <v>0</v>
      </c>
      <c r="H71" s="139"/>
      <c r="I71" s="6">
        <v>0</v>
      </c>
      <c r="J71" s="95" t="e">
        <f t="shared" si="4"/>
        <v>#DIV/0!</v>
      </c>
      <c r="K71" s="95">
        <f t="shared" si="5"/>
        <v>-100</v>
      </c>
      <c r="L71" s="6" t="s">
        <v>80</v>
      </c>
      <c r="M71" s="115" t="s">
        <v>56</v>
      </c>
    </row>
    <row r="72" spans="2:13" ht="15.75">
      <c r="B72" s="82"/>
      <c r="C72" s="6" t="s">
        <v>37</v>
      </c>
      <c r="D72" s="6" t="s">
        <v>47</v>
      </c>
      <c r="E72" s="6">
        <v>0</v>
      </c>
      <c r="F72" s="6">
        <v>5</v>
      </c>
      <c r="G72" s="6">
        <v>0</v>
      </c>
      <c r="H72" s="139"/>
      <c r="I72" s="6">
        <v>0</v>
      </c>
      <c r="J72" s="95" t="e">
        <f t="shared" si="4"/>
        <v>#DIV/0!</v>
      </c>
      <c r="K72" s="95">
        <f t="shared" si="5"/>
        <v>-100</v>
      </c>
      <c r="L72" s="6" t="s">
        <v>80</v>
      </c>
      <c r="M72" s="115" t="s">
        <v>56</v>
      </c>
    </row>
    <row r="73" spans="2:13" ht="15.75">
      <c r="B73" s="82"/>
      <c r="C73" s="6" t="s">
        <v>37</v>
      </c>
      <c r="D73" s="6" t="s">
        <v>47</v>
      </c>
      <c r="E73" s="6">
        <v>0</v>
      </c>
      <c r="F73" s="6">
        <v>5</v>
      </c>
      <c r="G73" s="6">
        <v>0</v>
      </c>
      <c r="H73" s="139"/>
      <c r="I73" s="6">
        <v>0</v>
      </c>
      <c r="J73" s="95" t="e">
        <f t="shared" si="4"/>
        <v>#DIV/0!</v>
      </c>
      <c r="K73" s="95">
        <f t="shared" si="5"/>
        <v>-100</v>
      </c>
      <c r="L73" s="6" t="s">
        <v>80</v>
      </c>
      <c r="M73" s="115" t="s">
        <v>56</v>
      </c>
    </row>
    <row r="74" spans="2:13" ht="15.75">
      <c r="B74" s="82"/>
      <c r="C74" s="6"/>
      <c r="D74" s="6"/>
      <c r="E74" s="6"/>
      <c r="F74" s="6"/>
      <c r="G74" s="6"/>
      <c r="H74" s="139"/>
      <c r="I74" s="6"/>
      <c r="J74" s="95"/>
      <c r="K74" s="95"/>
      <c r="L74" s="6"/>
      <c r="M74" s="116"/>
    </row>
    <row r="75" spans="2:13" ht="15.75">
      <c r="B75" s="82"/>
      <c r="C75" s="6"/>
      <c r="D75" s="6"/>
      <c r="E75" s="6"/>
      <c r="F75" s="6"/>
      <c r="G75" s="6"/>
      <c r="H75" s="139"/>
      <c r="I75" s="6"/>
      <c r="J75" s="95"/>
      <c r="K75" s="95"/>
      <c r="L75" s="6"/>
      <c r="M75" s="116"/>
    </row>
    <row r="76" spans="2:13" ht="15.75">
      <c r="B76" s="82"/>
      <c r="C76" s="6"/>
      <c r="D76" s="6"/>
      <c r="E76" s="6"/>
      <c r="F76" s="6"/>
      <c r="G76" s="6"/>
      <c r="H76" s="139"/>
      <c r="I76" s="6"/>
      <c r="J76" s="95"/>
      <c r="K76" s="95"/>
      <c r="L76" s="6"/>
      <c r="M76" s="116"/>
    </row>
    <row r="77" spans="2:13" ht="15.75">
      <c r="B77" s="83"/>
      <c r="C77" s="6"/>
      <c r="D77" s="6"/>
      <c r="E77" s="6"/>
      <c r="F77" s="6"/>
      <c r="G77" s="6"/>
      <c r="H77" s="139"/>
      <c r="I77" s="6"/>
      <c r="J77" s="95"/>
      <c r="K77" s="95"/>
      <c r="L77" s="6"/>
      <c r="M77" s="116"/>
    </row>
    <row r="78" spans="2:13" ht="15.75">
      <c r="B78" s="83"/>
      <c r="C78" s="6"/>
      <c r="D78" s="6"/>
      <c r="E78" s="6"/>
      <c r="F78" s="6"/>
      <c r="G78" s="6"/>
      <c r="H78" s="139"/>
      <c r="I78" s="6"/>
      <c r="J78" s="95"/>
      <c r="K78" s="95"/>
      <c r="L78" s="6"/>
      <c r="M78" s="116"/>
    </row>
    <row r="79" spans="2:13" ht="15.75">
      <c r="B79" s="83"/>
      <c r="C79" s="6"/>
      <c r="D79" s="6"/>
      <c r="E79" s="6"/>
      <c r="F79" s="6"/>
      <c r="G79" s="6"/>
      <c r="H79" s="139"/>
      <c r="I79" s="6"/>
      <c r="J79" s="95"/>
      <c r="K79" s="95"/>
      <c r="L79" s="6"/>
      <c r="M79" s="116"/>
    </row>
    <row r="80" spans="2:13" ht="15.75">
      <c r="B80" s="94"/>
      <c r="C80" s="6"/>
      <c r="D80" s="6"/>
      <c r="E80" s="6"/>
      <c r="F80" s="6"/>
      <c r="G80" s="6"/>
      <c r="H80" s="139"/>
      <c r="I80" s="6"/>
      <c r="J80" s="95"/>
      <c r="K80" s="95"/>
      <c r="L80" s="6"/>
      <c r="M80" s="116"/>
    </row>
    <row r="81" spans="2:13">
      <c r="B81" s="99"/>
      <c r="C81" s="106"/>
      <c r="D81" s="206" t="s">
        <v>90</v>
      </c>
      <c r="E81" s="206"/>
      <c r="F81" s="206"/>
      <c r="G81" s="206"/>
      <c r="H81" s="206"/>
      <c r="I81" s="206"/>
      <c r="J81" s="126">
        <f>COUNT(B67:B79)</f>
        <v>2</v>
      </c>
      <c r="K81" s="120"/>
      <c r="L81" s="106"/>
      <c r="M81" s="121"/>
    </row>
    <row r="84" spans="2:13">
      <c r="B84" s="92"/>
      <c r="C84" s="102"/>
      <c r="D84" s="102"/>
      <c r="E84" s="102"/>
      <c r="F84" s="102"/>
      <c r="G84" s="208" t="s">
        <v>91</v>
      </c>
      <c r="H84" s="208"/>
      <c r="I84" s="93"/>
      <c r="J84" s="123"/>
      <c r="K84" s="123"/>
      <c r="L84" s="93"/>
      <c r="M84" s="107"/>
    </row>
    <row r="85" spans="2:13">
      <c r="B85" s="94"/>
      <c r="C85" s="6"/>
      <c r="D85" s="6"/>
      <c r="E85" s="6"/>
      <c r="F85" s="6"/>
      <c r="G85" s="6"/>
      <c r="H85" s="95"/>
      <c r="I85" s="6"/>
      <c r="J85" s="95"/>
      <c r="K85" s="95"/>
      <c r="L85" s="6"/>
      <c r="M85" s="110"/>
    </row>
    <row r="86" spans="2:13" ht="15.75">
      <c r="B86" s="96" t="s">
        <v>64</v>
      </c>
      <c r="C86" s="97" t="s">
        <v>65</v>
      </c>
      <c r="D86" s="97" t="s">
        <v>66</v>
      </c>
      <c r="E86" s="97" t="s">
        <v>67</v>
      </c>
      <c r="F86" s="97" t="s">
        <v>68</v>
      </c>
      <c r="G86" s="97" t="s">
        <v>69</v>
      </c>
      <c r="H86" s="98" t="s">
        <v>70</v>
      </c>
      <c r="I86" s="97" t="s">
        <v>71</v>
      </c>
      <c r="J86" s="97" t="s">
        <v>72</v>
      </c>
      <c r="K86" s="97" t="s">
        <v>73</v>
      </c>
      <c r="L86" s="97" t="s">
        <v>54</v>
      </c>
      <c r="M86" s="39" t="s">
        <v>74</v>
      </c>
    </row>
    <row r="87" spans="2:13" ht="15.75">
      <c r="B87" s="82"/>
      <c r="C87" s="6" t="s">
        <v>91</v>
      </c>
      <c r="D87" s="6" t="s">
        <v>39</v>
      </c>
      <c r="E87" s="6">
        <v>0</v>
      </c>
      <c r="F87" s="6">
        <v>60</v>
      </c>
      <c r="G87" s="6">
        <v>0</v>
      </c>
      <c r="H87" s="95"/>
      <c r="I87" s="6">
        <v>0</v>
      </c>
      <c r="J87" s="95" t="e">
        <f t="shared" ref="J87:J92" si="6">F87/H87</f>
        <v>#DIV/0!</v>
      </c>
      <c r="K87" s="95">
        <f t="shared" ref="K87:K92" si="7">(H87-F87)*100/F87</f>
        <v>-100</v>
      </c>
      <c r="L87" s="6" t="s">
        <v>80</v>
      </c>
      <c r="M87" s="115" t="s">
        <v>56</v>
      </c>
    </row>
    <row r="88" spans="2:13" ht="15.75">
      <c r="B88" s="82"/>
      <c r="C88" s="6" t="s">
        <v>91</v>
      </c>
      <c r="D88" s="6" t="s">
        <v>39</v>
      </c>
      <c r="E88" s="6">
        <v>0</v>
      </c>
      <c r="F88" s="6">
        <v>60</v>
      </c>
      <c r="G88" s="6">
        <v>0</v>
      </c>
      <c r="H88" s="95"/>
      <c r="I88" s="6">
        <v>0</v>
      </c>
      <c r="J88" s="95" t="e">
        <f t="shared" si="6"/>
        <v>#DIV/0!</v>
      </c>
      <c r="K88" s="95">
        <f t="shared" si="7"/>
        <v>-100</v>
      </c>
      <c r="L88" s="6" t="s">
        <v>80</v>
      </c>
      <c r="M88" s="115" t="s">
        <v>56</v>
      </c>
    </row>
    <row r="89" spans="2:13" ht="15.75">
      <c r="B89" s="82"/>
      <c r="C89" s="6" t="s">
        <v>91</v>
      </c>
      <c r="D89" s="6" t="s">
        <v>39</v>
      </c>
      <c r="E89" s="6">
        <v>0</v>
      </c>
      <c r="F89" s="6">
        <v>60</v>
      </c>
      <c r="G89" s="6">
        <v>0</v>
      </c>
      <c r="H89" s="95"/>
      <c r="I89" s="6">
        <v>0</v>
      </c>
      <c r="J89" s="95" t="e">
        <f t="shared" si="6"/>
        <v>#DIV/0!</v>
      </c>
      <c r="K89" s="95">
        <f t="shared" si="7"/>
        <v>-100</v>
      </c>
      <c r="L89" s="6" t="s">
        <v>80</v>
      </c>
      <c r="M89" s="115" t="s">
        <v>56</v>
      </c>
    </row>
    <row r="90" spans="2:13" ht="15.75">
      <c r="B90" s="82"/>
      <c r="C90" s="6" t="s">
        <v>91</v>
      </c>
      <c r="D90" s="6" t="s">
        <v>39</v>
      </c>
      <c r="E90" s="6">
        <v>0</v>
      </c>
      <c r="F90" s="6">
        <v>60</v>
      </c>
      <c r="G90" s="6">
        <v>0</v>
      </c>
      <c r="H90" s="95"/>
      <c r="I90" s="6">
        <v>0</v>
      </c>
      <c r="J90" s="95" t="e">
        <f t="shared" si="6"/>
        <v>#DIV/0!</v>
      </c>
      <c r="K90" s="95">
        <f t="shared" si="7"/>
        <v>-100</v>
      </c>
      <c r="L90" s="6" t="s">
        <v>80</v>
      </c>
      <c r="M90" s="115" t="s">
        <v>56</v>
      </c>
    </row>
    <row r="91" spans="2:13" ht="15.75">
      <c r="B91" s="82"/>
      <c r="C91" s="6" t="s">
        <v>91</v>
      </c>
      <c r="D91" s="6" t="s">
        <v>39</v>
      </c>
      <c r="E91" s="6">
        <v>0</v>
      </c>
      <c r="F91" s="6">
        <v>60</v>
      </c>
      <c r="G91" s="6">
        <v>0</v>
      </c>
      <c r="H91" s="95"/>
      <c r="I91" s="6">
        <v>0</v>
      </c>
      <c r="J91" s="95" t="e">
        <f t="shared" si="6"/>
        <v>#DIV/0!</v>
      </c>
      <c r="K91" s="95">
        <f t="shared" si="7"/>
        <v>-100</v>
      </c>
      <c r="L91" s="6" t="s">
        <v>80</v>
      </c>
      <c r="M91" s="115" t="s">
        <v>56</v>
      </c>
    </row>
    <row r="92" spans="2:13" ht="15.75">
      <c r="B92" s="82"/>
      <c r="C92" s="6" t="s">
        <v>91</v>
      </c>
      <c r="D92" s="6" t="s">
        <v>39</v>
      </c>
      <c r="E92" s="6">
        <v>0</v>
      </c>
      <c r="F92" s="6">
        <v>60</v>
      </c>
      <c r="G92" s="6">
        <v>0</v>
      </c>
      <c r="H92" s="95"/>
      <c r="I92" s="6">
        <v>0</v>
      </c>
      <c r="J92" s="95" t="e">
        <f t="shared" si="6"/>
        <v>#DIV/0!</v>
      </c>
      <c r="K92" s="95">
        <f t="shared" si="7"/>
        <v>-100</v>
      </c>
      <c r="L92" s="6" t="s">
        <v>80</v>
      </c>
      <c r="M92" s="115" t="s">
        <v>56</v>
      </c>
    </row>
    <row r="93" spans="2:13" ht="15.75">
      <c r="B93" s="83"/>
      <c r="C93" s="6"/>
      <c r="D93" s="6"/>
      <c r="E93" s="6"/>
      <c r="F93" s="6"/>
      <c r="G93" s="6"/>
      <c r="H93" s="95"/>
      <c r="I93" s="6"/>
      <c r="J93" s="95"/>
      <c r="K93" s="95"/>
      <c r="L93" s="6"/>
      <c r="M93" s="115" t="s">
        <v>56</v>
      </c>
    </row>
    <row r="94" spans="2:13" ht="15.75">
      <c r="B94" s="83"/>
      <c r="C94" s="6"/>
      <c r="D94" s="6"/>
      <c r="E94" s="6"/>
      <c r="F94" s="6"/>
      <c r="G94" s="6"/>
      <c r="H94" s="95"/>
      <c r="I94" s="6"/>
      <c r="J94" s="95"/>
      <c r="K94" s="95"/>
      <c r="L94" s="6"/>
      <c r="M94" s="116"/>
    </row>
    <row r="95" spans="2:13" ht="15.75">
      <c r="B95" s="83"/>
      <c r="C95" s="6"/>
      <c r="D95" s="6"/>
      <c r="E95" s="6"/>
      <c r="F95" s="6"/>
      <c r="G95" s="6"/>
      <c r="H95" s="95"/>
      <c r="I95" s="6"/>
      <c r="J95" s="95"/>
      <c r="K95" s="95"/>
      <c r="L95" s="6"/>
      <c r="M95" s="116"/>
    </row>
    <row r="96" spans="2:13" ht="15.75">
      <c r="B96" s="83"/>
      <c r="C96" s="6"/>
      <c r="D96" s="6"/>
      <c r="E96" s="6"/>
      <c r="F96" s="6"/>
      <c r="G96" s="6"/>
      <c r="H96" s="95"/>
      <c r="I96" s="6"/>
      <c r="J96" s="95"/>
      <c r="K96" s="95"/>
      <c r="L96" s="6"/>
      <c r="M96" s="116"/>
    </row>
    <row r="97" spans="2:13" ht="15.75">
      <c r="B97" s="83"/>
      <c r="C97" s="6"/>
      <c r="D97" s="6"/>
      <c r="E97" s="6"/>
      <c r="F97" s="6"/>
      <c r="G97" s="6"/>
      <c r="H97" s="95"/>
      <c r="I97" s="6"/>
      <c r="J97" s="95"/>
      <c r="K97" s="95"/>
      <c r="L97" s="6"/>
      <c r="M97" s="116"/>
    </row>
    <row r="98" spans="2:13" ht="15.75">
      <c r="B98" s="83"/>
      <c r="C98" s="6"/>
      <c r="D98" s="6"/>
      <c r="E98" s="6"/>
      <c r="F98" s="6"/>
      <c r="G98" s="6"/>
      <c r="H98" s="95"/>
      <c r="I98" s="6"/>
      <c r="J98" s="95"/>
      <c r="K98" s="95"/>
      <c r="L98" s="6"/>
      <c r="M98" s="116"/>
    </row>
    <row r="99" spans="2:13" ht="15.75">
      <c r="B99" s="83"/>
      <c r="C99" s="6"/>
      <c r="D99" s="6"/>
      <c r="E99" s="6"/>
      <c r="F99" s="6"/>
      <c r="G99" s="6"/>
      <c r="H99" s="95"/>
      <c r="I99" s="6"/>
      <c r="J99" s="95"/>
      <c r="K99" s="95"/>
      <c r="L99" s="6"/>
      <c r="M99" s="116"/>
    </row>
    <row r="100" spans="2:13" ht="15.75">
      <c r="B100" s="94"/>
      <c r="C100" s="6"/>
      <c r="D100" s="6"/>
      <c r="E100" s="6"/>
      <c r="F100" s="6"/>
      <c r="G100" s="6"/>
      <c r="H100" s="95"/>
      <c r="I100" s="6"/>
      <c r="J100" s="95"/>
      <c r="K100" s="95"/>
      <c r="L100" s="6"/>
      <c r="M100" s="116"/>
    </row>
    <row r="101" spans="2:13">
      <c r="B101" s="99"/>
      <c r="C101" s="106"/>
      <c r="D101" s="206" t="s">
        <v>92</v>
      </c>
      <c r="E101" s="206"/>
      <c r="F101" s="206"/>
      <c r="G101" s="206"/>
      <c r="H101" s="206"/>
      <c r="I101" s="206"/>
      <c r="J101" s="126">
        <f>COUNT(B87:B99)</f>
        <v>0</v>
      </c>
      <c r="K101" s="120"/>
      <c r="L101" s="106"/>
      <c r="M101" s="121"/>
    </row>
    <row r="104" spans="2:13">
      <c r="B104" s="92"/>
      <c r="C104" s="93"/>
      <c r="D104" s="93"/>
      <c r="E104" s="93"/>
      <c r="F104" s="93"/>
      <c r="G104" s="205" t="s">
        <v>93</v>
      </c>
      <c r="H104" s="205"/>
      <c r="I104" s="93"/>
      <c r="J104" s="93"/>
      <c r="K104" s="93"/>
      <c r="L104" s="93"/>
      <c r="M104" s="107"/>
    </row>
    <row r="105" spans="2:13">
      <c r="B105" s="94"/>
      <c r="C105" s="6"/>
      <c r="D105" s="6"/>
      <c r="E105" s="6"/>
      <c r="F105" s="6"/>
      <c r="G105" s="6"/>
      <c r="H105" s="95"/>
      <c r="I105" s="6"/>
      <c r="J105" s="6"/>
      <c r="K105" s="6"/>
      <c r="L105" s="6"/>
      <c r="M105" s="110"/>
    </row>
    <row r="106" spans="2:13" ht="15.75">
      <c r="B106" s="140" t="s">
        <v>64</v>
      </c>
      <c r="C106" s="97" t="s">
        <v>65</v>
      </c>
      <c r="D106" s="97" t="s">
        <v>66</v>
      </c>
      <c r="E106" s="97" t="s">
        <v>67</v>
      </c>
      <c r="F106" s="97" t="s">
        <v>68</v>
      </c>
      <c r="G106" s="97" t="s">
        <v>69</v>
      </c>
      <c r="H106" s="98" t="s">
        <v>70</v>
      </c>
      <c r="I106" s="97" t="s">
        <v>71</v>
      </c>
      <c r="J106" s="97" t="s">
        <v>72</v>
      </c>
      <c r="K106" s="97" t="s">
        <v>73</v>
      </c>
      <c r="L106" s="97" t="s">
        <v>54</v>
      </c>
      <c r="M106" s="141" t="s">
        <v>74</v>
      </c>
    </row>
    <row r="107" spans="2:13" ht="15.75">
      <c r="B107" s="82">
        <v>45358.609722222223</v>
      </c>
      <c r="C107" s="6" t="s">
        <v>93</v>
      </c>
      <c r="D107" s="6" t="s">
        <v>39</v>
      </c>
      <c r="E107" s="6">
        <v>0</v>
      </c>
      <c r="F107" s="6">
        <v>320</v>
      </c>
      <c r="G107" s="6">
        <v>0</v>
      </c>
      <c r="H107" s="95">
        <v>330.6</v>
      </c>
      <c r="I107" s="6">
        <f>G107-E107</f>
        <v>0</v>
      </c>
      <c r="J107" s="95">
        <f>F107/H107</f>
        <v>0.96793708408953416</v>
      </c>
      <c r="K107" s="95">
        <f>(H107-F107)*100/F107</f>
        <v>3.3125000000000071</v>
      </c>
      <c r="L107" s="6" t="s">
        <v>80</v>
      </c>
      <c r="M107" s="115" t="s">
        <v>56</v>
      </c>
    </row>
    <row r="108" spans="2:13" ht="15.75">
      <c r="B108" s="82">
        <v>45365.623611111114</v>
      </c>
      <c r="C108" s="6" t="s">
        <v>93</v>
      </c>
      <c r="D108" s="6" t="s">
        <v>39</v>
      </c>
      <c r="E108" s="6">
        <v>0</v>
      </c>
      <c r="F108" s="6">
        <v>320</v>
      </c>
      <c r="G108" s="6">
        <v>0</v>
      </c>
      <c r="H108" s="95">
        <v>320.10000000000002</v>
      </c>
      <c r="I108" s="6">
        <f>G108-E108</f>
        <v>0</v>
      </c>
      <c r="J108" s="95">
        <f>F108/H108</f>
        <v>0.99968759762574189</v>
      </c>
      <c r="K108" s="95">
        <f>(H108-F108)*100/F108</f>
        <v>3.1250000000007105E-2</v>
      </c>
      <c r="L108" s="6" t="s">
        <v>80</v>
      </c>
      <c r="M108" s="115" t="s">
        <v>56</v>
      </c>
    </row>
    <row r="109" spans="2:13" ht="15.75">
      <c r="B109" s="82"/>
      <c r="C109" s="6" t="s">
        <v>93</v>
      </c>
      <c r="D109" s="6" t="s">
        <v>39</v>
      </c>
      <c r="E109" s="6">
        <v>0</v>
      </c>
      <c r="F109" s="6">
        <v>320</v>
      </c>
      <c r="G109" s="6">
        <v>0</v>
      </c>
      <c r="H109" s="95"/>
      <c r="I109" s="6">
        <f t="shared" ref="I109:I115" si="8">G109-E109</f>
        <v>0</v>
      </c>
      <c r="J109" s="95" t="e">
        <f t="shared" ref="J109:J115" si="9">F109/H109</f>
        <v>#DIV/0!</v>
      </c>
      <c r="K109" s="95">
        <f t="shared" ref="K109:K115" si="10">(H109-F109)*100/F109</f>
        <v>-100</v>
      </c>
      <c r="L109" s="6" t="s">
        <v>80</v>
      </c>
      <c r="M109" s="115" t="s">
        <v>56</v>
      </c>
    </row>
    <row r="110" spans="2:13" ht="15.75">
      <c r="B110" s="82"/>
      <c r="C110" s="6" t="s">
        <v>93</v>
      </c>
      <c r="D110" s="6" t="s">
        <v>39</v>
      </c>
      <c r="E110" s="6">
        <v>0</v>
      </c>
      <c r="F110" s="6">
        <v>320</v>
      </c>
      <c r="G110" s="6">
        <v>0</v>
      </c>
      <c r="H110" s="95"/>
      <c r="I110" s="6">
        <f t="shared" si="8"/>
        <v>0</v>
      </c>
      <c r="J110" s="95" t="e">
        <f t="shared" si="9"/>
        <v>#DIV/0!</v>
      </c>
      <c r="K110" s="95">
        <f t="shared" si="10"/>
        <v>-100</v>
      </c>
      <c r="L110" s="6" t="s">
        <v>80</v>
      </c>
      <c r="M110" s="115" t="s">
        <v>56</v>
      </c>
    </row>
    <row r="111" spans="2:13" ht="15.75">
      <c r="B111" s="82"/>
      <c r="C111" s="6" t="s">
        <v>93</v>
      </c>
      <c r="D111" s="6" t="s">
        <v>39</v>
      </c>
      <c r="E111" s="6">
        <v>0</v>
      </c>
      <c r="F111" s="6">
        <v>320</v>
      </c>
      <c r="G111" s="6">
        <v>0</v>
      </c>
      <c r="H111" s="95"/>
      <c r="I111" s="6">
        <f t="shared" si="8"/>
        <v>0</v>
      </c>
      <c r="J111" s="95" t="e">
        <f t="shared" si="9"/>
        <v>#DIV/0!</v>
      </c>
      <c r="K111" s="95">
        <f t="shared" si="10"/>
        <v>-100</v>
      </c>
      <c r="L111" s="6" t="s">
        <v>80</v>
      </c>
      <c r="M111" s="115" t="s">
        <v>56</v>
      </c>
    </row>
    <row r="112" spans="2:13" ht="15.75">
      <c r="B112" s="82"/>
      <c r="C112" s="6" t="s">
        <v>93</v>
      </c>
      <c r="D112" s="6" t="s">
        <v>39</v>
      </c>
      <c r="E112" s="6">
        <v>0</v>
      </c>
      <c r="F112" s="6">
        <v>320</v>
      </c>
      <c r="G112" s="6">
        <v>0</v>
      </c>
      <c r="H112" s="95"/>
      <c r="I112" s="6">
        <f t="shared" si="8"/>
        <v>0</v>
      </c>
      <c r="J112" s="95" t="e">
        <f t="shared" si="9"/>
        <v>#DIV/0!</v>
      </c>
      <c r="K112" s="95">
        <f t="shared" si="10"/>
        <v>-100</v>
      </c>
      <c r="L112" s="6" t="s">
        <v>80</v>
      </c>
      <c r="M112" s="115" t="s">
        <v>56</v>
      </c>
    </row>
    <row r="113" spans="2:13" ht="15.75">
      <c r="B113" s="82"/>
      <c r="C113" s="6" t="s">
        <v>93</v>
      </c>
      <c r="D113" s="6" t="s">
        <v>39</v>
      </c>
      <c r="E113" s="6">
        <v>0</v>
      </c>
      <c r="F113" s="6">
        <v>320</v>
      </c>
      <c r="G113" s="6">
        <v>0</v>
      </c>
      <c r="H113" s="95"/>
      <c r="I113" s="6">
        <f t="shared" si="8"/>
        <v>0</v>
      </c>
      <c r="J113" s="95" t="e">
        <f t="shared" si="9"/>
        <v>#DIV/0!</v>
      </c>
      <c r="K113" s="95">
        <f t="shared" si="10"/>
        <v>-100</v>
      </c>
      <c r="L113" s="6" t="s">
        <v>80</v>
      </c>
      <c r="M113" s="115" t="s">
        <v>56</v>
      </c>
    </row>
    <row r="114" spans="2:13" ht="15.75">
      <c r="B114" s="82"/>
      <c r="C114" s="6" t="s">
        <v>93</v>
      </c>
      <c r="D114" s="6" t="s">
        <v>39</v>
      </c>
      <c r="E114" s="6">
        <v>0</v>
      </c>
      <c r="F114" s="6">
        <v>320</v>
      </c>
      <c r="G114" s="6">
        <v>0</v>
      </c>
      <c r="H114" s="95"/>
      <c r="I114" s="6">
        <f t="shared" si="8"/>
        <v>0</v>
      </c>
      <c r="J114" s="95" t="e">
        <f t="shared" si="9"/>
        <v>#DIV/0!</v>
      </c>
      <c r="K114" s="95">
        <f t="shared" si="10"/>
        <v>-100</v>
      </c>
      <c r="L114" s="6" t="s">
        <v>80</v>
      </c>
      <c r="M114" s="116"/>
    </row>
    <row r="115" spans="2:13" ht="15.75">
      <c r="B115" s="82"/>
      <c r="C115" s="6" t="s">
        <v>93</v>
      </c>
      <c r="D115" s="6" t="s">
        <v>39</v>
      </c>
      <c r="E115" s="6">
        <v>0</v>
      </c>
      <c r="F115" s="6">
        <v>320</v>
      </c>
      <c r="G115" s="6">
        <v>0</v>
      </c>
      <c r="H115" s="95"/>
      <c r="I115" s="6">
        <f t="shared" si="8"/>
        <v>0</v>
      </c>
      <c r="J115" s="95" t="e">
        <f t="shared" si="9"/>
        <v>#DIV/0!</v>
      </c>
      <c r="K115" s="95">
        <f t="shared" si="10"/>
        <v>-100</v>
      </c>
      <c r="L115" s="6" t="s">
        <v>80</v>
      </c>
      <c r="M115" s="116"/>
    </row>
    <row r="116" spans="2:13" ht="15.75">
      <c r="B116" s="83"/>
      <c r="C116" s="6"/>
      <c r="D116" s="6"/>
      <c r="E116" s="6"/>
      <c r="F116" s="6"/>
      <c r="G116" s="6"/>
      <c r="H116" s="95"/>
      <c r="I116" s="6"/>
      <c r="J116" s="95"/>
      <c r="K116" s="95"/>
      <c r="L116" s="6"/>
      <c r="M116" s="116"/>
    </row>
    <row r="117" spans="2:13" ht="15.75">
      <c r="B117" s="83"/>
      <c r="C117" s="6"/>
      <c r="D117" s="6"/>
      <c r="E117" s="6"/>
      <c r="F117" s="6"/>
      <c r="G117" s="6"/>
      <c r="H117" s="95"/>
      <c r="I117" s="6"/>
      <c r="J117" s="95"/>
      <c r="K117" s="95"/>
      <c r="L117" s="6"/>
      <c r="M117" s="116"/>
    </row>
    <row r="118" spans="2:13" ht="15.75">
      <c r="B118" s="94"/>
      <c r="C118" s="6"/>
      <c r="D118" s="6"/>
      <c r="E118" s="6"/>
      <c r="F118" s="6"/>
      <c r="G118" s="6"/>
      <c r="H118" s="95"/>
      <c r="I118" s="6"/>
      <c r="J118" s="95"/>
      <c r="K118" s="95"/>
      <c r="L118" s="6"/>
      <c r="M118" s="116"/>
    </row>
    <row r="119" spans="2:13">
      <c r="B119" s="99"/>
      <c r="C119" s="206" t="s">
        <v>94</v>
      </c>
      <c r="D119" s="206"/>
      <c r="E119" s="206"/>
      <c r="F119" s="206"/>
      <c r="G119" s="206"/>
      <c r="H119" s="206"/>
      <c r="I119" s="126">
        <f>COUNT(B107:B118)</f>
        <v>2</v>
      </c>
      <c r="J119" s="120"/>
      <c r="K119" s="120"/>
      <c r="L119" s="106"/>
      <c r="M119" s="121"/>
    </row>
  </sheetData>
  <mergeCells count="16">
    <mergeCell ref="C119:H119"/>
    <mergeCell ref="G64:H64"/>
    <mergeCell ref="D81:I81"/>
    <mergeCell ref="G84:H84"/>
    <mergeCell ref="D101:I101"/>
    <mergeCell ref="G104:H104"/>
    <mergeCell ref="G24:H24"/>
    <mergeCell ref="P40:S40"/>
    <mergeCell ref="D41:I41"/>
    <mergeCell ref="G44:H44"/>
    <mergeCell ref="D61:I61"/>
    <mergeCell ref="D1:J1"/>
    <mergeCell ref="D2:J2"/>
    <mergeCell ref="G5:H5"/>
    <mergeCell ref="C21:H21"/>
    <mergeCell ref="P21:S21"/>
  </mergeCells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>
  <dimension ref="B2:E56"/>
  <sheetViews>
    <sheetView workbookViewId="0">
      <selection activeCell="D2" sqref="D2:E3"/>
    </sheetView>
  </sheetViews>
  <sheetFormatPr defaultColWidth="9" defaultRowHeight="15"/>
  <cols>
    <col min="1" max="1" width="9.140625" customWidth="1"/>
    <col min="2" max="2" width="28.28515625" customWidth="1"/>
    <col min="3" max="3" width="30" customWidth="1"/>
    <col min="4" max="4" width="27.85546875" customWidth="1"/>
  </cols>
  <sheetData>
    <row r="2" spans="2:5">
      <c r="B2" s="209" t="s">
        <v>95</v>
      </c>
      <c r="C2" s="209"/>
      <c r="D2" s="211">
        <f>'MONTHLY 31'!$B$2</f>
        <v>45352.010416666664</v>
      </c>
      <c r="E2" s="211"/>
    </row>
    <row r="3" spans="2:5">
      <c r="B3" s="209" t="s">
        <v>96</v>
      </c>
      <c r="C3" s="209"/>
      <c r="D3" s="211"/>
      <c r="E3" s="211"/>
    </row>
    <row r="7" spans="2:5" s="2" customFormat="1">
      <c r="B7" s="78" t="s">
        <v>97</v>
      </c>
      <c r="C7" s="78" t="s">
        <v>98</v>
      </c>
      <c r="D7" s="79" t="s">
        <v>99</v>
      </c>
    </row>
    <row r="8" spans="2:5" s="2" customFormat="1">
      <c r="B8" s="80"/>
      <c r="C8" s="80"/>
      <c r="D8" s="81">
        <f t="shared" ref="D8:D13" si="0">C8-B8</f>
        <v>0</v>
      </c>
    </row>
    <row r="9" spans="2:5" s="2" customFormat="1">
      <c r="B9" s="80"/>
      <c r="C9" s="80"/>
      <c r="D9" s="81">
        <f t="shared" si="0"/>
        <v>0</v>
      </c>
    </row>
    <row r="10" spans="2:5" s="2" customFormat="1">
      <c r="B10" s="82"/>
      <c r="C10" s="82"/>
      <c r="D10" s="81">
        <f t="shared" si="0"/>
        <v>0</v>
      </c>
    </row>
    <row r="11" spans="2:5" s="2" customFormat="1">
      <c r="B11" s="83"/>
      <c r="C11" s="83"/>
      <c r="D11" s="81">
        <f t="shared" si="0"/>
        <v>0</v>
      </c>
    </row>
    <row r="12" spans="2:5">
      <c r="B12" s="83"/>
      <c r="C12" s="83"/>
      <c r="D12" s="81">
        <f t="shared" si="0"/>
        <v>0</v>
      </c>
    </row>
    <row r="13" spans="2:5">
      <c r="B13" s="83"/>
      <c r="C13" s="83"/>
      <c r="D13" s="81">
        <f t="shared" si="0"/>
        <v>0</v>
      </c>
    </row>
    <row r="14" spans="2:5">
      <c r="B14" s="83"/>
      <c r="C14" s="83"/>
      <c r="D14" s="81">
        <f t="shared" ref="D14:D23" si="1">C14-B14</f>
        <v>0</v>
      </c>
    </row>
    <row r="15" spans="2:5">
      <c r="B15" s="82"/>
      <c r="C15" s="82"/>
      <c r="D15" s="81">
        <f t="shared" si="1"/>
        <v>0</v>
      </c>
    </row>
    <row r="16" spans="2:5">
      <c r="B16" s="82"/>
      <c r="C16" s="82"/>
      <c r="D16" s="81">
        <f t="shared" si="1"/>
        <v>0</v>
      </c>
    </row>
    <row r="17" spans="2:4">
      <c r="B17" s="82"/>
      <c r="C17" s="82"/>
      <c r="D17" s="81">
        <f t="shared" si="1"/>
        <v>0</v>
      </c>
    </row>
    <row r="18" spans="2:4">
      <c r="B18" s="82"/>
      <c r="C18" s="82"/>
      <c r="D18" s="81">
        <f t="shared" si="1"/>
        <v>0</v>
      </c>
    </row>
    <row r="19" spans="2:4">
      <c r="B19" s="83"/>
      <c r="C19" s="82"/>
      <c r="D19" s="81">
        <f t="shared" si="1"/>
        <v>0</v>
      </c>
    </row>
    <row r="20" spans="2:4">
      <c r="B20" s="83"/>
      <c r="C20" s="82"/>
      <c r="D20" s="81">
        <f t="shared" si="1"/>
        <v>0</v>
      </c>
    </row>
    <row r="21" spans="2:4">
      <c r="B21" s="83"/>
      <c r="C21" s="82"/>
      <c r="D21" s="81">
        <f t="shared" si="1"/>
        <v>0</v>
      </c>
    </row>
    <row r="22" spans="2:4">
      <c r="B22" s="83"/>
      <c r="C22" s="82"/>
      <c r="D22" s="81">
        <f t="shared" si="1"/>
        <v>0</v>
      </c>
    </row>
    <row r="23" spans="2:4">
      <c r="B23" s="83"/>
      <c r="C23" s="82"/>
      <c r="D23" s="81">
        <f t="shared" si="1"/>
        <v>0</v>
      </c>
    </row>
    <row r="24" spans="2:4">
      <c r="B24" s="84" t="s">
        <v>100</v>
      </c>
      <c r="C24" s="82"/>
      <c r="D24" s="81">
        <f>SUM(D7:D23)</f>
        <v>0</v>
      </c>
    </row>
    <row r="25" spans="2:4">
      <c r="B25" s="85"/>
      <c r="C25" s="86"/>
      <c r="D25" s="87"/>
    </row>
    <row r="26" spans="2:4">
      <c r="B26" s="85"/>
      <c r="C26" s="86"/>
      <c r="D26" s="87"/>
    </row>
    <row r="27" spans="2:4">
      <c r="B27" s="85"/>
      <c r="C27" s="86"/>
      <c r="D27" s="87"/>
    </row>
    <row r="28" spans="2:4">
      <c r="B28" s="85"/>
      <c r="C28" s="86"/>
      <c r="D28" s="87"/>
    </row>
    <row r="29" spans="2:4">
      <c r="B29" s="85"/>
      <c r="C29" s="86"/>
      <c r="D29" s="87"/>
    </row>
    <row r="30" spans="2:4">
      <c r="B30" s="85"/>
      <c r="C30" s="86"/>
      <c r="D30" s="87"/>
    </row>
    <row r="31" spans="2:4">
      <c r="B31" s="85"/>
      <c r="C31" s="86"/>
      <c r="D31" s="87"/>
    </row>
    <row r="32" spans="2:4">
      <c r="B32" s="85"/>
      <c r="C32" s="86"/>
      <c r="D32" s="87"/>
    </row>
    <row r="33" spans="2:4">
      <c r="B33" s="85"/>
      <c r="C33" s="86"/>
      <c r="D33" s="87"/>
    </row>
    <row r="34" spans="2:4">
      <c r="B34" s="85"/>
      <c r="C34" s="86"/>
      <c r="D34" s="87"/>
    </row>
    <row r="35" spans="2:4">
      <c r="B35" s="85"/>
      <c r="C35" s="86"/>
      <c r="D35" s="87"/>
    </row>
    <row r="36" spans="2:4">
      <c r="B36" s="85"/>
      <c r="C36" s="86"/>
      <c r="D36" s="87"/>
    </row>
    <row r="37" spans="2:4">
      <c r="B37" s="85"/>
      <c r="C37" s="86"/>
      <c r="D37" s="87"/>
    </row>
    <row r="38" spans="2:4">
      <c r="B38" s="85"/>
      <c r="C38" s="86"/>
      <c r="D38" s="87"/>
    </row>
    <row r="39" spans="2:4">
      <c r="B39" s="85"/>
      <c r="C39" s="86"/>
      <c r="D39" s="87"/>
    </row>
    <row r="40" spans="2:4">
      <c r="B40" s="85"/>
      <c r="C40" s="86"/>
      <c r="D40" s="87"/>
    </row>
    <row r="41" spans="2:4">
      <c r="B41" s="85"/>
      <c r="C41" s="86"/>
      <c r="D41" s="87"/>
    </row>
    <row r="42" spans="2:4">
      <c r="B42" s="85"/>
      <c r="C42" s="86"/>
      <c r="D42" s="87"/>
    </row>
    <row r="43" spans="2:4">
      <c r="B43" s="85"/>
      <c r="C43" s="86"/>
      <c r="D43" s="87"/>
    </row>
    <row r="44" spans="2:4" ht="15.75">
      <c r="B44" s="210" t="s">
        <v>100</v>
      </c>
      <c r="C44" s="210"/>
      <c r="D44" s="87">
        <f>SUM(D11:D42)</f>
        <v>0</v>
      </c>
    </row>
    <row r="45" spans="2:4">
      <c r="B45" s="85"/>
      <c r="C45" s="86"/>
      <c r="D45" s="87"/>
    </row>
    <row r="46" spans="2:4">
      <c r="B46" s="86"/>
      <c r="C46" s="86"/>
      <c r="D46" s="87"/>
    </row>
    <row r="47" spans="2:4">
      <c r="B47" s="86"/>
      <c r="C47" s="86"/>
      <c r="D47" s="87"/>
    </row>
    <row r="48" spans="2:4">
      <c r="B48" s="86"/>
      <c r="C48" s="86"/>
      <c r="D48" s="87"/>
    </row>
    <row r="49" spans="2:4">
      <c r="B49" s="86"/>
      <c r="C49" s="86"/>
      <c r="D49" s="87"/>
    </row>
    <row r="50" spans="2:4">
      <c r="B50" s="85"/>
      <c r="C50" s="86"/>
      <c r="D50" s="87"/>
    </row>
    <row r="51" spans="2:4">
      <c r="B51" s="85"/>
      <c r="C51" s="86"/>
      <c r="D51" s="87"/>
    </row>
    <row r="52" spans="2:4">
      <c r="B52" s="85"/>
      <c r="C52" s="86"/>
      <c r="D52" s="87"/>
    </row>
    <row r="53" spans="2:4">
      <c r="B53" s="85"/>
      <c r="C53" s="86"/>
      <c r="D53" s="87"/>
    </row>
    <row r="54" spans="2:4">
      <c r="B54" s="86"/>
      <c r="C54" s="86"/>
      <c r="D54" s="87"/>
    </row>
    <row r="55" spans="2:4">
      <c r="D55" s="87"/>
    </row>
    <row r="56" spans="2:4">
      <c r="D56" s="87"/>
    </row>
  </sheetData>
  <mergeCells count="4">
    <mergeCell ref="B2:C2"/>
    <mergeCell ref="B3:C3"/>
    <mergeCell ref="B44:C44"/>
    <mergeCell ref="D2:E3"/>
  </mergeCells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>
  <dimension ref="B2:AB86"/>
  <sheetViews>
    <sheetView workbookViewId="0">
      <selection activeCell="F4" sqref="F4"/>
    </sheetView>
  </sheetViews>
  <sheetFormatPr defaultColWidth="9.140625" defaultRowHeight="15"/>
  <cols>
    <col min="1" max="1" width="7" style="2" customWidth="1"/>
    <col min="2" max="2" width="13.42578125" style="2" customWidth="1"/>
    <col min="3" max="3" width="14" style="2" customWidth="1"/>
    <col min="4" max="4" width="14.140625" style="2" customWidth="1"/>
    <col min="5" max="5" width="18" style="2" customWidth="1"/>
    <col min="6" max="6" width="12.5703125" style="2" customWidth="1"/>
    <col min="7" max="8" width="12" style="2" customWidth="1"/>
    <col min="9" max="9" width="12.5703125" style="2" customWidth="1"/>
    <col min="10" max="10" width="12" style="2" customWidth="1"/>
    <col min="11" max="11" width="13.140625" style="2" customWidth="1"/>
    <col min="12" max="12" width="12.5703125" style="2" customWidth="1"/>
    <col min="13" max="13" width="12" style="2" customWidth="1"/>
    <col min="14" max="14" width="14" style="2" customWidth="1"/>
    <col min="15" max="15" width="14.5703125" style="2" customWidth="1"/>
    <col min="16" max="16" width="11.140625" style="2" customWidth="1"/>
    <col min="17" max="17" width="11.7109375" style="2" customWidth="1"/>
    <col min="18" max="18" width="11.85546875" style="2" customWidth="1"/>
    <col min="19" max="19" width="12.5703125" style="2" customWidth="1"/>
    <col min="20" max="20" width="12" style="2" customWidth="1"/>
    <col min="21" max="21" width="14" style="2" customWidth="1"/>
    <col min="22" max="22" width="14.5703125" style="2" customWidth="1"/>
    <col min="23" max="23" width="9.140625" style="2"/>
    <col min="24" max="24" width="12.28515625" style="2" customWidth="1"/>
    <col min="25" max="25" width="11.7109375" style="2" customWidth="1"/>
    <col min="26" max="16384" width="9.140625" style="2"/>
  </cols>
  <sheetData>
    <row r="2" spans="2:24" customFormat="1" ht="15" customHeight="1">
      <c r="B2" s="212" t="s">
        <v>101</v>
      </c>
      <c r="C2" s="212"/>
      <c r="D2" s="212"/>
      <c r="E2" s="212"/>
      <c r="F2" s="213">
        <v>1</v>
      </c>
      <c r="G2" s="214"/>
      <c r="H2" s="214"/>
    </row>
    <row r="3" spans="2:24" customFormat="1" ht="15" customHeight="1">
      <c r="B3" s="212"/>
      <c r="C3" s="212"/>
      <c r="D3" s="212"/>
      <c r="E3" s="212"/>
      <c r="F3" s="214"/>
      <c r="G3" s="214"/>
      <c r="H3" s="214"/>
    </row>
    <row r="8" spans="2:24">
      <c r="J8" s="32"/>
      <c r="K8" s="32"/>
      <c r="L8" s="32"/>
      <c r="U8" s="45"/>
    </row>
    <row r="9" spans="2:24" ht="15.75">
      <c r="J9" s="33"/>
      <c r="K9" s="33"/>
      <c r="L9" s="32"/>
      <c r="U9" s="45"/>
    </row>
    <row r="10" spans="2:24">
      <c r="U10" s="45"/>
    </row>
    <row r="11" spans="2:24">
      <c r="U11" s="45"/>
    </row>
    <row r="12" spans="2:24" ht="15.75" customHeight="1">
      <c r="B12" s="217" t="s">
        <v>93</v>
      </c>
      <c r="C12" s="228" t="s">
        <v>102</v>
      </c>
      <c r="D12" s="229"/>
      <c r="E12" s="229"/>
      <c r="F12" s="229"/>
      <c r="G12" s="229"/>
      <c r="H12" s="229"/>
      <c r="I12" s="229"/>
      <c r="J12" s="229"/>
      <c r="K12" s="229"/>
      <c r="L12" s="229"/>
      <c r="M12" s="229"/>
      <c r="N12" s="229"/>
      <c r="O12" s="229"/>
      <c r="P12" s="229"/>
      <c r="Q12" s="229"/>
      <c r="R12" s="46"/>
      <c r="U12" s="45"/>
    </row>
    <row r="13" spans="2:24" ht="15" customHeight="1">
      <c r="B13" s="218"/>
      <c r="C13" s="3" t="s">
        <v>103</v>
      </c>
      <c r="D13" s="4" t="s">
        <v>104</v>
      </c>
      <c r="E13" s="4" t="s">
        <v>105</v>
      </c>
      <c r="F13" s="4" t="s">
        <v>106</v>
      </c>
      <c r="G13" s="4" t="s">
        <v>107</v>
      </c>
      <c r="H13" s="4" t="s">
        <v>108</v>
      </c>
      <c r="I13" s="4" t="s">
        <v>109</v>
      </c>
      <c r="J13" s="4" t="s">
        <v>110</v>
      </c>
      <c r="K13" s="4" t="s">
        <v>111</v>
      </c>
      <c r="L13" s="4" t="s">
        <v>112</v>
      </c>
      <c r="M13" s="4" t="s">
        <v>113</v>
      </c>
      <c r="N13" s="4" t="s">
        <v>114</v>
      </c>
      <c r="O13" s="4" t="s">
        <v>115</v>
      </c>
      <c r="P13" s="34" t="s">
        <v>116</v>
      </c>
      <c r="Q13" s="4" t="s">
        <v>117</v>
      </c>
      <c r="R13" s="47"/>
      <c r="U13" s="45"/>
    </row>
    <row r="14" spans="2:24" ht="15" customHeight="1">
      <c r="B14" s="218"/>
      <c r="C14" s="5"/>
      <c r="D14" s="6"/>
      <c r="E14" s="6"/>
      <c r="F14" s="6"/>
      <c r="G14" s="6"/>
      <c r="H14" s="6"/>
      <c r="I14" s="6"/>
      <c r="J14" s="6"/>
      <c r="K14" s="9"/>
      <c r="L14" s="9"/>
      <c r="M14" s="6"/>
      <c r="N14" s="6"/>
      <c r="O14" s="6"/>
      <c r="P14" s="6"/>
      <c r="Q14" s="6"/>
      <c r="R14" s="6"/>
      <c r="X14" s="48"/>
    </row>
    <row r="15" spans="2:24" ht="15" customHeight="1">
      <c r="B15" s="218"/>
      <c r="C15" s="7" t="s">
        <v>118</v>
      </c>
      <c r="D15" s="8" t="s">
        <v>119</v>
      </c>
      <c r="E15" s="8" t="s">
        <v>120</v>
      </c>
      <c r="F15" s="8" t="s">
        <v>121</v>
      </c>
      <c r="G15" s="8" t="s">
        <v>122</v>
      </c>
      <c r="H15" s="8" t="s">
        <v>123</v>
      </c>
      <c r="I15" s="8" t="s">
        <v>124</v>
      </c>
      <c r="J15" s="8" t="s">
        <v>125</v>
      </c>
      <c r="K15" s="8" t="s">
        <v>126</v>
      </c>
      <c r="L15" s="8" t="s">
        <v>127</v>
      </c>
      <c r="M15" s="8" t="s">
        <v>128</v>
      </c>
      <c r="N15" s="8" t="s">
        <v>129</v>
      </c>
      <c r="O15" s="8" t="s">
        <v>130</v>
      </c>
      <c r="P15" s="35" t="s">
        <v>131</v>
      </c>
      <c r="Q15" s="8" t="s">
        <v>132</v>
      </c>
      <c r="R15" s="49" t="s">
        <v>74</v>
      </c>
      <c r="X15" s="48"/>
    </row>
    <row r="16" spans="2:24" ht="15.75" customHeight="1">
      <c r="B16" s="218"/>
      <c r="C16" s="9"/>
      <c r="D16" s="9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50"/>
      <c r="X16" s="48"/>
    </row>
    <row r="17" spans="2:28" ht="15.75" customHeight="1">
      <c r="B17" s="218"/>
      <c r="C17" s="10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36"/>
      <c r="Q17" s="36"/>
      <c r="R17" s="51"/>
      <c r="X17" s="48"/>
    </row>
    <row r="18" spans="2:28" ht="15.75" customHeight="1">
      <c r="B18" s="218"/>
      <c r="C18" s="12" t="s">
        <v>103</v>
      </c>
      <c r="D18" s="12" t="s">
        <v>104</v>
      </c>
      <c r="E18" s="12" t="s">
        <v>105</v>
      </c>
      <c r="F18" s="12" t="s">
        <v>133</v>
      </c>
      <c r="G18" s="12" t="s">
        <v>107</v>
      </c>
      <c r="H18" s="12" t="s">
        <v>108</v>
      </c>
      <c r="I18" s="12" t="s">
        <v>109</v>
      </c>
      <c r="J18" s="12" t="s">
        <v>110</v>
      </c>
      <c r="K18" s="12" t="s">
        <v>111</v>
      </c>
      <c r="L18" s="12" t="s">
        <v>112</v>
      </c>
      <c r="M18" s="12" t="s">
        <v>113</v>
      </c>
      <c r="N18" s="12" t="s">
        <v>114</v>
      </c>
      <c r="O18" s="12" t="s">
        <v>115</v>
      </c>
      <c r="P18" s="37" t="s">
        <v>116</v>
      </c>
      <c r="Q18" s="12" t="s">
        <v>117</v>
      </c>
      <c r="R18" s="51"/>
    </row>
    <row r="19" spans="2:28" ht="15.75">
      <c r="B19" s="13"/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51"/>
    </row>
    <row r="20" spans="2:28" ht="15.75">
      <c r="B20" s="13"/>
      <c r="C20" s="12" t="s">
        <v>118</v>
      </c>
      <c r="D20" s="8" t="s">
        <v>119</v>
      </c>
      <c r="E20" s="8" t="s">
        <v>120</v>
      </c>
      <c r="F20" s="8" t="s">
        <v>121</v>
      </c>
      <c r="G20" s="8" t="s">
        <v>122</v>
      </c>
      <c r="H20" s="8" t="s">
        <v>123</v>
      </c>
      <c r="I20" s="8" t="s">
        <v>124</v>
      </c>
      <c r="J20" s="8" t="s">
        <v>125</v>
      </c>
      <c r="K20" s="8" t="s">
        <v>126</v>
      </c>
      <c r="L20" s="8" t="s">
        <v>127</v>
      </c>
      <c r="M20" s="8" t="s">
        <v>128</v>
      </c>
      <c r="N20" s="8" t="s">
        <v>129</v>
      </c>
      <c r="O20" s="8" t="s">
        <v>130</v>
      </c>
      <c r="P20" s="35" t="s">
        <v>131</v>
      </c>
      <c r="Q20" s="8" t="s">
        <v>132</v>
      </c>
      <c r="R20" s="52" t="s">
        <v>74</v>
      </c>
    </row>
    <row r="21" spans="2:28" ht="15.75">
      <c r="B21" s="14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53"/>
      <c r="R21" s="54"/>
      <c r="S21" s="55"/>
    </row>
    <row r="22" spans="2:28">
      <c r="J22" s="32"/>
    </row>
    <row r="23" spans="2:28" s="1" customFormat="1" ht="15.75" customHeight="1">
      <c r="B23" s="2"/>
      <c r="C23" s="2"/>
      <c r="D23" s="2"/>
      <c r="E23" s="2"/>
      <c r="F23" s="2"/>
      <c r="G23" s="2"/>
      <c r="H23" s="2"/>
      <c r="I23" s="2"/>
      <c r="J23" s="32"/>
      <c r="K23" s="2"/>
      <c r="L23" s="2"/>
      <c r="M23" s="2"/>
      <c r="N23" s="2"/>
      <c r="O23" s="2"/>
      <c r="P23" s="2"/>
      <c r="Q23" s="2"/>
      <c r="R23" s="2"/>
      <c r="Z23" s="2"/>
      <c r="AA23" s="2"/>
    </row>
    <row r="24" spans="2:28" ht="15" customHeight="1">
      <c r="J24" s="32"/>
    </row>
    <row r="25" spans="2:28" ht="15" customHeight="1">
      <c r="B25" s="219" t="s">
        <v>84</v>
      </c>
      <c r="C25" s="230" t="s">
        <v>102</v>
      </c>
      <c r="D25" s="231"/>
      <c r="E25" s="231"/>
      <c r="F25" s="231"/>
      <c r="G25" s="231"/>
      <c r="H25" s="231"/>
      <c r="I25" s="231"/>
      <c r="J25" s="231"/>
      <c r="K25" s="231"/>
      <c r="L25" s="231"/>
      <c r="M25" s="231"/>
      <c r="N25" s="231"/>
      <c r="O25" s="231"/>
      <c r="P25" s="231"/>
      <c r="Q25" s="231"/>
      <c r="R25" s="215"/>
      <c r="S25" s="56"/>
      <c r="T25" s="57"/>
    </row>
    <row r="26" spans="2:28" ht="15" customHeight="1">
      <c r="B26" s="219"/>
      <c r="C26" s="16" t="s">
        <v>103</v>
      </c>
      <c r="D26" s="17" t="s">
        <v>134</v>
      </c>
      <c r="E26" s="17" t="s">
        <v>135</v>
      </c>
      <c r="F26" s="17" t="s">
        <v>136</v>
      </c>
      <c r="G26" s="17" t="s">
        <v>137</v>
      </c>
      <c r="H26" s="17" t="s">
        <v>138</v>
      </c>
      <c r="I26" s="17" t="s">
        <v>139</v>
      </c>
      <c r="J26" s="17" t="s">
        <v>140</v>
      </c>
      <c r="K26" s="17" t="s">
        <v>141</v>
      </c>
      <c r="L26" s="17" t="s">
        <v>142</v>
      </c>
      <c r="M26" s="17" t="s">
        <v>143</v>
      </c>
      <c r="N26" s="17" t="s">
        <v>144</v>
      </c>
      <c r="O26" s="17" t="s">
        <v>145</v>
      </c>
      <c r="P26" s="17" t="s">
        <v>146</v>
      </c>
      <c r="Q26" s="17" t="s">
        <v>147</v>
      </c>
      <c r="R26" s="17" t="s">
        <v>148</v>
      </c>
      <c r="S26" s="17" t="s">
        <v>149</v>
      </c>
      <c r="T26" s="58" t="s">
        <v>74</v>
      </c>
      <c r="Z26" s="1"/>
      <c r="AA26" s="1"/>
      <c r="AB26" s="1"/>
    </row>
    <row r="27" spans="2:28" ht="15.75" customHeight="1">
      <c r="B27" s="219"/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40"/>
    </row>
    <row r="28" spans="2:28" ht="15" customHeight="1">
      <c r="B28" s="219"/>
      <c r="C28" s="18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59"/>
      <c r="T28" s="59"/>
    </row>
    <row r="29" spans="2:28" ht="15.75" customHeight="1">
      <c r="B29" s="220"/>
      <c r="C29" s="20" t="s">
        <v>103</v>
      </c>
      <c r="D29" s="21" t="s">
        <v>134</v>
      </c>
      <c r="E29" s="21" t="s">
        <v>135</v>
      </c>
      <c r="F29" s="21" t="s">
        <v>136</v>
      </c>
      <c r="G29" s="21" t="s">
        <v>137</v>
      </c>
      <c r="H29" s="21" t="s">
        <v>138</v>
      </c>
      <c r="I29" s="21" t="s">
        <v>139</v>
      </c>
      <c r="J29" s="21" t="s">
        <v>140</v>
      </c>
      <c r="K29" s="21" t="s">
        <v>141</v>
      </c>
      <c r="L29" s="21" t="s">
        <v>142</v>
      </c>
      <c r="M29" s="21" t="s">
        <v>143</v>
      </c>
      <c r="N29" s="21" t="s">
        <v>144</v>
      </c>
      <c r="O29" s="21" t="s">
        <v>145</v>
      </c>
      <c r="P29" s="21" t="s">
        <v>146</v>
      </c>
      <c r="Q29" s="21" t="s">
        <v>147</v>
      </c>
      <c r="R29" s="21" t="s">
        <v>148</v>
      </c>
      <c r="S29" s="21" t="s">
        <v>149</v>
      </c>
      <c r="T29" s="60" t="s">
        <v>74</v>
      </c>
    </row>
    <row r="30" spans="2:28">
      <c r="B30" s="22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40"/>
    </row>
    <row r="31" spans="2:28">
      <c r="C31" s="23"/>
    </row>
    <row r="32" spans="2:28">
      <c r="C32" s="23"/>
    </row>
    <row r="33" spans="2:25" ht="15" customHeight="1">
      <c r="C33" s="23"/>
    </row>
    <row r="34" spans="2:25" ht="15.75" customHeight="1"/>
    <row r="35" spans="2:25" ht="15" customHeight="1"/>
    <row r="36" spans="2:25" ht="15.75" customHeight="1">
      <c r="B36" s="221" t="s">
        <v>37</v>
      </c>
      <c r="C36" s="232" t="s">
        <v>102</v>
      </c>
      <c r="D36" s="232"/>
      <c r="E36" s="232"/>
      <c r="F36" s="232"/>
      <c r="G36" s="232"/>
      <c r="H36" s="232"/>
      <c r="I36" s="232"/>
      <c r="J36" s="232"/>
      <c r="K36" s="232"/>
      <c r="L36" s="232"/>
      <c r="M36" s="232"/>
      <c r="N36" s="232"/>
      <c r="O36" s="233"/>
    </row>
    <row r="37" spans="2:25" ht="15.75" customHeight="1">
      <c r="B37" s="222"/>
      <c r="C37" s="24" t="s">
        <v>103</v>
      </c>
      <c r="D37" s="12" t="s">
        <v>134</v>
      </c>
      <c r="E37" s="12" t="s">
        <v>135</v>
      </c>
      <c r="F37" s="12" t="s">
        <v>150</v>
      </c>
      <c r="G37" s="12" t="s">
        <v>151</v>
      </c>
      <c r="H37" s="12" t="s">
        <v>152</v>
      </c>
      <c r="I37" s="12" t="s">
        <v>153</v>
      </c>
      <c r="J37" s="12" t="s">
        <v>154</v>
      </c>
      <c r="K37" s="12" t="s">
        <v>155</v>
      </c>
      <c r="L37" s="12" t="s">
        <v>156</v>
      </c>
      <c r="M37" s="12" t="s">
        <v>157</v>
      </c>
      <c r="N37" s="12" t="s">
        <v>158</v>
      </c>
      <c r="O37" s="38" t="s">
        <v>159</v>
      </c>
    </row>
    <row r="38" spans="2:25">
      <c r="B38" s="222"/>
      <c r="C38" s="5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W38" s="1"/>
      <c r="X38" s="1"/>
      <c r="Y38" s="1"/>
    </row>
    <row r="39" spans="2:25" ht="15.75">
      <c r="B39" s="222"/>
      <c r="C39" s="24" t="s">
        <v>160</v>
      </c>
      <c r="D39" s="12" t="s">
        <v>161</v>
      </c>
      <c r="E39" s="12" t="s">
        <v>162</v>
      </c>
      <c r="F39" s="12" t="s">
        <v>163</v>
      </c>
      <c r="G39" s="8" t="s">
        <v>164</v>
      </c>
      <c r="H39" s="8" t="s">
        <v>165</v>
      </c>
      <c r="I39" s="8" t="s">
        <v>166</v>
      </c>
      <c r="J39" s="8" t="s">
        <v>167</v>
      </c>
      <c r="K39" s="8" t="s">
        <v>168</v>
      </c>
      <c r="L39" s="8" t="s">
        <v>169</v>
      </c>
      <c r="M39" s="8" t="s">
        <v>170</v>
      </c>
      <c r="N39" s="8" t="s">
        <v>171</v>
      </c>
      <c r="O39" s="39" t="s">
        <v>74</v>
      </c>
      <c r="W39" s="1"/>
      <c r="X39" s="1"/>
      <c r="Y39" s="1"/>
    </row>
    <row r="40" spans="2:25">
      <c r="B40" s="222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40"/>
      <c r="W40" s="1"/>
      <c r="X40" s="1"/>
      <c r="Y40" s="1"/>
    </row>
    <row r="41" spans="2:25">
      <c r="B41" s="25"/>
      <c r="C41" s="26"/>
      <c r="D41" s="11"/>
      <c r="E41" s="11"/>
      <c r="F41" s="11"/>
      <c r="G41" s="11"/>
      <c r="H41" s="11"/>
      <c r="I41" s="11"/>
      <c r="J41" s="41"/>
      <c r="K41" s="11"/>
      <c r="L41" s="11"/>
      <c r="M41" s="11"/>
      <c r="N41" s="11"/>
      <c r="O41" s="42"/>
    </row>
    <row r="42" spans="2:25" ht="15.75" customHeight="1">
      <c r="B42" s="25"/>
      <c r="C42" s="24" t="s">
        <v>103</v>
      </c>
      <c r="D42" s="12" t="s">
        <v>134</v>
      </c>
      <c r="E42" s="12" t="s">
        <v>135</v>
      </c>
      <c r="F42" s="12" t="s">
        <v>150</v>
      </c>
      <c r="G42" s="12" t="s">
        <v>151</v>
      </c>
      <c r="H42" s="12" t="s">
        <v>152</v>
      </c>
      <c r="I42" s="12" t="s">
        <v>153</v>
      </c>
      <c r="J42" s="12" t="s">
        <v>154</v>
      </c>
      <c r="K42" s="12" t="s">
        <v>155</v>
      </c>
      <c r="L42" s="12" t="s">
        <v>156</v>
      </c>
      <c r="M42" s="12" t="s">
        <v>157</v>
      </c>
      <c r="N42" s="12" t="s">
        <v>158</v>
      </c>
      <c r="O42" s="38" t="s">
        <v>159</v>
      </c>
    </row>
    <row r="43" spans="2:25" ht="15" customHeight="1">
      <c r="B43" s="25"/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25" ht="15" customHeight="1">
      <c r="B44" s="25"/>
      <c r="C44" s="24" t="s">
        <v>160</v>
      </c>
      <c r="D44" s="12" t="s">
        <v>161</v>
      </c>
      <c r="E44" s="12" t="s">
        <v>162</v>
      </c>
      <c r="F44" s="12" t="s">
        <v>163</v>
      </c>
      <c r="G44" s="8" t="s">
        <v>164</v>
      </c>
      <c r="H44" s="8" t="s">
        <v>165</v>
      </c>
      <c r="I44" s="8" t="s">
        <v>166</v>
      </c>
      <c r="J44" s="8" t="s">
        <v>167</v>
      </c>
      <c r="K44" s="8" t="s">
        <v>168</v>
      </c>
      <c r="L44" s="8" t="s">
        <v>169</v>
      </c>
      <c r="M44" s="8" t="s">
        <v>170</v>
      </c>
      <c r="N44" s="8" t="s">
        <v>171</v>
      </c>
      <c r="O44" s="39" t="s">
        <v>74</v>
      </c>
      <c r="R44" s="61"/>
    </row>
    <row r="45" spans="2:25" ht="15" customHeight="1">
      <c r="B45" s="27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43"/>
      <c r="R45" s="62"/>
    </row>
    <row r="46" spans="2:25" ht="15.75" customHeight="1">
      <c r="J46" s="44"/>
      <c r="R46" s="63"/>
      <c r="Y46" s="1"/>
    </row>
    <row r="47" spans="2:25" ht="15.75">
      <c r="J47" s="44"/>
      <c r="R47" s="62"/>
    </row>
    <row r="48" spans="2:25">
      <c r="B48" s="223" t="s">
        <v>62</v>
      </c>
      <c r="C48" s="28" t="s">
        <v>102</v>
      </c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64"/>
      <c r="R48" s="63"/>
    </row>
    <row r="49" spans="2:20">
      <c r="B49" s="224"/>
      <c r="C49" s="24" t="s">
        <v>103</v>
      </c>
      <c r="D49" s="12" t="s">
        <v>125</v>
      </c>
      <c r="E49" s="12" t="s">
        <v>172</v>
      </c>
      <c r="F49" s="12" t="s">
        <v>173</v>
      </c>
      <c r="G49" s="12" t="s">
        <v>174</v>
      </c>
      <c r="H49" s="12" t="s">
        <v>175</v>
      </c>
      <c r="I49" s="12" t="s">
        <v>176</v>
      </c>
      <c r="J49" s="12" t="s">
        <v>110</v>
      </c>
      <c r="K49" s="12" t="s">
        <v>177</v>
      </c>
      <c r="L49" s="12" t="s">
        <v>178</v>
      </c>
      <c r="M49" s="12" t="s">
        <v>179</v>
      </c>
      <c r="N49" s="12" t="s">
        <v>180</v>
      </c>
      <c r="O49" s="12" t="s">
        <v>181</v>
      </c>
      <c r="P49" s="12" t="s">
        <v>182</v>
      </c>
      <c r="Q49" s="38" t="s">
        <v>183</v>
      </c>
    </row>
    <row r="50" spans="2:20">
      <c r="B50" s="224"/>
      <c r="C50" s="5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2:20" ht="15.75">
      <c r="B51" s="224"/>
      <c r="C51" s="24" t="s">
        <v>184</v>
      </c>
      <c r="D51" s="12" t="s">
        <v>185</v>
      </c>
      <c r="E51" s="12" t="s">
        <v>186</v>
      </c>
      <c r="F51" s="12" t="s">
        <v>187</v>
      </c>
      <c r="G51" s="12" t="s">
        <v>188</v>
      </c>
      <c r="H51" s="12" t="s">
        <v>189</v>
      </c>
      <c r="I51" s="8" t="s">
        <v>190</v>
      </c>
      <c r="J51" s="8" t="s">
        <v>191</v>
      </c>
      <c r="K51" s="8" t="s">
        <v>192</v>
      </c>
      <c r="L51" s="8" t="s">
        <v>135</v>
      </c>
      <c r="M51" s="8" t="s">
        <v>193</v>
      </c>
      <c r="N51" s="8" t="s">
        <v>131</v>
      </c>
      <c r="O51" s="8" t="s">
        <v>194</v>
      </c>
      <c r="P51" s="8" t="s">
        <v>195</v>
      </c>
      <c r="Q51" s="39" t="s">
        <v>74</v>
      </c>
    </row>
    <row r="52" spans="2:20" ht="15.75">
      <c r="B52" s="224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43"/>
    </row>
    <row r="53" spans="2:20">
      <c r="B53" s="25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42"/>
    </row>
    <row r="54" spans="2:20">
      <c r="B54" s="25"/>
      <c r="C54" s="24" t="s">
        <v>103</v>
      </c>
      <c r="D54" s="12" t="s">
        <v>125</v>
      </c>
      <c r="E54" s="12" t="s">
        <v>172</v>
      </c>
      <c r="F54" s="12" t="s">
        <v>173</v>
      </c>
      <c r="G54" s="12" t="s">
        <v>174</v>
      </c>
      <c r="H54" s="12" t="s">
        <v>175</v>
      </c>
      <c r="I54" s="12" t="s">
        <v>176</v>
      </c>
      <c r="J54" s="12" t="s">
        <v>110</v>
      </c>
      <c r="K54" s="12" t="s">
        <v>177</v>
      </c>
      <c r="L54" s="12" t="s">
        <v>178</v>
      </c>
      <c r="M54" s="12" t="s">
        <v>179</v>
      </c>
      <c r="N54" s="12" t="s">
        <v>180</v>
      </c>
      <c r="O54" s="12" t="s">
        <v>181</v>
      </c>
      <c r="P54" s="12" t="s">
        <v>182</v>
      </c>
      <c r="Q54" s="38" t="s">
        <v>183</v>
      </c>
    </row>
    <row r="55" spans="2:20">
      <c r="B55" s="25"/>
      <c r="C55" s="5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2:20" ht="15.75">
      <c r="B56" s="25"/>
      <c r="C56" s="24" t="s">
        <v>184</v>
      </c>
      <c r="D56" s="12" t="s">
        <v>185</v>
      </c>
      <c r="E56" s="12" t="s">
        <v>186</v>
      </c>
      <c r="F56" s="12" t="s">
        <v>187</v>
      </c>
      <c r="G56" s="12" t="s">
        <v>188</v>
      </c>
      <c r="H56" s="12" t="s">
        <v>189</v>
      </c>
      <c r="I56" s="8" t="s">
        <v>190</v>
      </c>
      <c r="J56" s="8" t="s">
        <v>191</v>
      </c>
      <c r="K56" s="8" t="s">
        <v>192</v>
      </c>
      <c r="L56" s="8" t="s">
        <v>135</v>
      </c>
      <c r="M56" s="8" t="s">
        <v>193</v>
      </c>
      <c r="N56" s="8" t="s">
        <v>131</v>
      </c>
      <c r="O56" s="8" t="s">
        <v>194</v>
      </c>
      <c r="P56" s="8" t="s">
        <v>195</v>
      </c>
      <c r="Q56" s="39" t="s">
        <v>74</v>
      </c>
    </row>
    <row r="57" spans="2:20" ht="15.75">
      <c r="B57" s="14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43"/>
    </row>
    <row r="61" spans="2:20">
      <c r="B61" s="219" t="s">
        <v>196</v>
      </c>
      <c r="C61" s="230" t="s">
        <v>102</v>
      </c>
      <c r="D61" s="231"/>
      <c r="E61" s="231"/>
      <c r="F61" s="231"/>
      <c r="G61" s="231"/>
      <c r="H61" s="231"/>
      <c r="I61" s="231"/>
      <c r="J61" s="231"/>
      <c r="K61" s="231"/>
      <c r="L61" s="231"/>
      <c r="M61" s="231"/>
      <c r="N61" s="231"/>
      <c r="O61" s="231"/>
      <c r="P61" s="231"/>
      <c r="Q61" s="231"/>
      <c r="R61" s="215"/>
      <c r="S61" s="65"/>
      <c r="T61" s="66"/>
    </row>
    <row r="62" spans="2:20" ht="15.75">
      <c r="B62" s="219"/>
      <c r="C62" s="30" t="s">
        <v>103</v>
      </c>
      <c r="D62" s="30" t="s">
        <v>197</v>
      </c>
      <c r="E62" s="30" t="s">
        <v>198</v>
      </c>
      <c r="F62" s="30" t="s">
        <v>199</v>
      </c>
      <c r="G62" s="30" t="s">
        <v>200</v>
      </c>
      <c r="H62" s="30" t="s">
        <v>201</v>
      </c>
      <c r="I62" s="30" t="s">
        <v>202</v>
      </c>
      <c r="J62" s="30" t="s">
        <v>203</v>
      </c>
      <c r="K62" s="30" t="s">
        <v>204</v>
      </c>
      <c r="L62" s="30" t="s">
        <v>205</v>
      </c>
      <c r="M62" s="30" t="s">
        <v>206</v>
      </c>
      <c r="N62" s="30" t="s">
        <v>207</v>
      </c>
      <c r="O62" s="30" t="s">
        <v>208</v>
      </c>
      <c r="P62" s="30" t="s">
        <v>209</v>
      </c>
      <c r="Q62" s="30" t="s">
        <v>210</v>
      </c>
      <c r="R62" s="30" t="s">
        <v>211</v>
      </c>
      <c r="S62" s="67" t="s">
        <v>212</v>
      </c>
      <c r="T62" s="58" t="s">
        <v>74</v>
      </c>
    </row>
    <row r="63" spans="2:20" ht="15.75">
      <c r="B63" s="225"/>
      <c r="C63" s="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43"/>
    </row>
    <row r="64" spans="2:20">
      <c r="B64" s="225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68"/>
      <c r="T64" s="68"/>
    </row>
    <row r="65" spans="2:20" ht="15.75">
      <c r="B65" s="220"/>
      <c r="C65" s="69" t="s">
        <v>103</v>
      </c>
      <c r="D65" s="69" t="s">
        <v>197</v>
      </c>
      <c r="E65" s="69" t="s">
        <v>198</v>
      </c>
      <c r="F65" s="69" t="s">
        <v>199</v>
      </c>
      <c r="G65" s="69" t="s">
        <v>200</v>
      </c>
      <c r="H65" s="69" t="s">
        <v>201</v>
      </c>
      <c r="I65" s="69" t="s">
        <v>202</v>
      </c>
      <c r="J65" s="69" t="s">
        <v>203</v>
      </c>
      <c r="K65" s="69" t="s">
        <v>204</v>
      </c>
      <c r="L65" s="69" t="s">
        <v>205</v>
      </c>
      <c r="M65" s="69" t="s">
        <v>206</v>
      </c>
      <c r="N65" s="69" t="s">
        <v>207</v>
      </c>
      <c r="O65" s="69" t="s">
        <v>208</v>
      </c>
      <c r="P65" s="69" t="s">
        <v>209</v>
      </c>
      <c r="Q65" s="69" t="s">
        <v>210</v>
      </c>
      <c r="R65" s="69" t="s">
        <v>211</v>
      </c>
      <c r="S65" s="75" t="s">
        <v>212</v>
      </c>
      <c r="T65" s="60" t="s">
        <v>74</v>
      </c>
    </row>
    <row r="66" spans="2:20" ht="15.75">
      <c r="B66" s="22"/>
      <c r="C66" s="5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43"/>
    </row>
    <row r="69" spans="2:20">
      <c r="B69" s="219" t="s">
        <v>213</v>
      </c>
      <c r="C69" s="230" t="s">
        <v>102</v>
      </c>
      <c r="D69" s="231"/>
      <c r="E69" s="231"/>
      <c r="F69" s="231"/>
      <c r="G69" s="231"/>
      <c r="H69" s="231"/>
      <c r="I69" s="231"/>
      <c r="J69" s="231"/>
      <c r="K69" s="231"/>
      <c r="L69" s="231"/>
      <c r="M69" s="231"/>
      <c r="N69" s="231"/>
      <c r="O69" s="231"/>
      <c r="P69" s="231"/>
      <c r="Q69" s="231"/>
      <c r="R69" s="215"/>
      <c r="S69" s="65"/>
      <c r="T69" s="66"/>
    </row>
    <row r="70" spans="2:20" ht="15.75">
      <c r="B70" s="219"/>
      <c r="C70" s="69" t="s">
        <v>103</v>
      </c>
      <c r="D70" s="69" t="s">
        <v>197</v>
      </c>
      <c r="E70" s="69" t="s">
        <v>198</v>
      </c>
      <c r="F70" s="69" t="s">
        <v>199</v>
      </c>
      <c r="G70" s="69" t="s">
        <v>200</v>
      </c>
      <c r="H70" s="69" t="s">
        <v>201</v>
      </c>
      <c r="I70" s="69" t="s">
        <v>202</v>
      </c>
      <c r="J70" s="69" t="s">
        <v>203</v>
      </c>
      <c r="K70" s="69" t="s">
        <v>204</v>
      </c>
      <c r="L70" s="69" t="s">
        <v>205</v>
      </c>
      <c r="M70" s="69" t="s">
        <v>206</v>
      </c>
      <c r="N70" s="69" t="s">
        <v>207</v>
      </c>
      <c r="O70" s="69" t="s">
        <v>208</v>
      </c>
      <c r="P70" s="69" t="s">
        <v>209</v>
      </c>
      <c r="Q70" s="69" t="s">
        <v>210</v>
      </c>
      <c r="R70" s="69" t="s">
        <v>211</v>
      </c>
      <c r="S70" s="75" t="s">
        <v>212</v>
      </c>
      <c r="T70" s="60" t="s">
        <v>74</v>
      </c>
    </row>
    <row r="71" spans="2:20" ht="15.75">
      <c r="B71" s="219"/>
      <c r="C71" s="5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43"/>
    </row>
    <row r="72" spans="2:20">
      <c r="B72" s="225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68"/>
      <c r="T72" s="68"/>
    </row>
    <row r="73" spans="2:20" ht="15.75">
      <c r="B73" s="220"/>
      <c r="C73" s="69" t="s">
        <v>103</v>
      </c>
      <c r="D73" s="69" t="s">
        <v>197</v>
      </c>
      <c r="E73" s="69" t="s">
        <v>198</v>
      </c>
      <c r="F73" s="69" t="s">
        <v>199</v>
      </c>
      <c r="G73" s="69" t="s">
        <v>200</v>
      </c>
      <c r="H73" s="69" t="s">
        <v>201</v>
      </c>
      <c r="I73" s="69" t="s">
        <v>202</v>
      </c>
      <c r="J73" s="69" t="s">
        <v>203</v>
      </c>
      <c r="K73" s="69" t="s">
        <v>204</v>
      </c>
      <c r="L73" s="69" t="s">
        <v>205</v>
      </c>
      <c r="M73" s="69" t="s">
        <v>206</v>
      </c>
      <c r="N73" s="69" t="s">
        <v>207</v>
      </c>
      <c r="O73" s="69" t="s">
        <v>208</v>
      </c>
      <c r="P73" s="69" t="s">
        <v>209</v>
      </c>
      <c r="Q73" s="69" t="s">
        <v>210</v>
      </c>
      <c r="R73" s="69" t="s">
        <v>211</v>
      </c>
      <c r="S73" s="75" t="s">
        <v>212</v>
      </c>
      <c r="T73" s="60" t="s">
        <v>74</v>
      </c>
    </row>
    <row r="74" spans="2:20" ht="15.75">
      <c r="B74" s="22"/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43"/>
    </row>
    <row r="77" spans="2:20">
      <c r="B77" s="226" t="s">
        <v>91</v>
      </c>
      <c r="C77" s="215" t="s">
        <v>102</v>
      </c>
      <c r="D77" s="216"/>
      <c r="E77" s="216"/>
      <c r="F77" s="216"/>
      <c r="G77" s="216"/>
      <c r="H77" s="216"/>
      <c r="I77" s="216"/>
      <c r="J77" s="216"/>
      <c r="K77" s="216"/>
      <c r="L77" s="216"/>
      <c r="M77" s="216"/>
      <c r="N77" s="216"/>
      <c r="O77" s="216"/>
      <c r="P77" s="216"/>
      <c r="Q77" s="216"/>
      <c r="R77" s="70"/>
      <c r="S77" s="70"/>
      <c r="T77" s="15"/>
    </row>
    <row r="78" spans="2:20">
      <c r="B78" s="227"/>
      <c r="C78" s="17" t="s">
        <v>103</v>
      </c>
      <c r="D78" s="17" t="s">
        <v>214</v>
      </c>
      <c r="E78" s="17" t="s">
        <v>215</v>
      </c>
      <c r="F78" s="17" t="s">
        <v>216</v>
      </c>
      <c r="G78" s="17" t="s">
        <v>217</v>
      </c>
      <c r="H78" s="71" t="s">
        <v>218</v>
      </c>
      <c r="I78" s="71" t="s">
        <v>219</v>
      </c>
      <c r="J78" s="71" t="s">
        <v>220</v>
      </c>
      <c r="K78" s="71" t="s">
        <v>221</v>
      </c>
      <c r="L78" s="71" t="s">
        <v>134</v>
      </c>
      <c r="M78" s="17" t="s">
        <v>222</v>
      </c>
      <c r="N78" s="71" t="s">
        <v>223</v>
      </c>
      <c r="O78" s="71" t="s">
        <v>215</v>
      </c>
      <c r="P78" s="71" t="s">
        <v>224</v>
      </c>
      <c r="Q78" s="71" t="s">
        <v>225</v>
      </c>
      <c r="R78" s="71" t="s">
        <v>215</v>
      </c>
      <c r="S78" s="71" t="s">
        <v>226</v>
      </c>
      <c r="T78" s="69" t="s">
        <v>215</v>
      </c>
    </row>
    <row r="79" spans="2:20">
      <c r="B79" s="227"/>
      <c r="C79" s="5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2:20" ht="15.75">
      <c r="B80" s="227"/>
      <c r="C80" s="69" t="s">
        <v>227</v>
      </c>
      <c r="D80" s="69" t="s">
        <v>228</v>
      </c>
      <c r="E80" s="69" t="s">
        <v>229</v>
      </c>
      <c r="F80" s="69" t="s">
        <v>215</v>
      </c>
      <c r="G80" s="69" t="s">
        <v>224</v>
      </c>
      <c r="H80" s="69" t="s">
        <v>230</v>
      </c>
      <c r="I80" s="69" t="s">
        <v>215</v>
      </c>
      <c r="J80" s="69" t="s">
        <v>231</v>
      </c>
      <c r="K80" s="69" t="s">
        <v>232</v>
      </c>
      <c r="L80" s="69" t="s">
        <v>233</v>
      </c>
      <c r="M80" s="69" t="s">
        <v>215</v>
      </c>
      <c r="N80" s="69" t="s">
        <v>234</v>
      </c>
      <c r="O80" s="75" t="s">
        <v>215</v>
      </c>
      <c r="P80" s="75" t="s">
        <v>235</v>
      </c>
      <c r="Q80" s="75" t="s">
        <v>215</v>
      </c>
      <c r="R80" s="75" t="s">
        <v>236</v>
      </c>
      <c r="S80" s="75" t="s">
        <v>215</v>
      </c>
      <c r="T80" s="60" t="s">
        <v>74</v>
      </c>
    </row>
    <row r="81" spans="2:20" ht="15.75">
      <c r="B81" s="227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43" t="s">
        <v>237</v>
      </c>
    </row>
    <row r="82" spans="2:20">
      <c r="B82" s="227"/>
      <c r="C82" s="72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31"/>
      <c r="Q82" s="31"/>
      <c r="R82" s="76"/>
      <c r="S82" s="68"/>
      <c r="T82" s="77"/>
    </row>
    <row r="83" spans="2:20">
      <c r="B83" s="227"/>
      <c r="C83" s="21" t="s">
        <v>103</v>
      </c>
      <c r="D83" s="21" t="s">
        <v>214</v>
      </c>
      <c r="E83" s="21" t="s">
        <v>215</v>
      </c>
      <c r="F83" s="21" t="s">
        <v>216</v>
      </c>
      <c r="G83" s="21" t="s">
        <v>217</v>
      </c>
      <c r="H83" s="69" t="s">
        <v>218</v>
      </c>
      <c r="I83" s="69" t="s">
        <v>219</v>
      </c>
      <c r="J83" s="69" t="s">
        <v>220</v>
      </c>
      <c r="K83" s="69" t="s">
        <v>221</v>
      </c>
      <c r="L83" s="69" t="s">
        <v>134</v>
      </c>
      <c r="M83" s="21" t="s">
        <v>222</v>
      </c>
      <c r="N83" s="69" t="s">
        <v>223</v>
      </c>
      <c r="O83" s="69" t="s">
        <v>215</v>
      </c>
      <c r="P83" s="69" t="s">
        <v>224</v>
      </c>
      <c r="Q83" s="69" t="s">
        <v>225</v>
      </c>
      <c r="R83" s="69" t="s">
        <v>215</v>
      </c>
      <c r="S83" s="69" t="s">
        <v>226</v>
      </c>
      <c r="T83" s="69" t="s">
        <v>215</v>
      </c>
    </row>
    <row r="84" spans="2:20">
      <c r="B84" s="73"/>
      <c r="C84" s="5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2:20" ht="15.75">
      <c r="B85" s="73"/>
      <c r="C85" s="69" t="s">
        <v>227</v>
      </c>
      <c r="D85" s="69" t="s">
        <v>228</v>
      </c>
      <c r="E85" s="69" t="s">
        <v>229</v>
      </c>
      <c r="F85" s="69" t="s">
        <v>215</v>
      </c>
      <c r="G85" s="69" t="s">
        <v>224</v>
      </c>
      <c r="H85" s="69" t="s">
        <v>230</v>
      </c>
      <c r="I85" s="69" t="s">
        <v>215</v>
      </c>
      <c r="J85" s="69" t="s">
        <v>231</v>
      </c>
      <c r="K85" s="69" t="s">
        <v>232</v>
      </c>
      <c r="L85" s="69" t="s">
        <v>233</v>
      </c>
      <c r="M85" s="69" t="s">
        <v>215</v>
      </c>
      <c r="N85" s="69" t="s">
        <v>234</v>
      </c>
      <c r="O85" s="75" t="s">
        <v>215</v>
      </c>
      <c r="P85" s="75" t="s">
        <v>235</v>
      </c>
      <c r="Q85" s="75" t="s">
        <v>215</v>
      </c>
      <c r="R85" s="75" t="s">
        <v>236</v>
      </c>
      <c r="S85" s="75" t="s">
        <v>215</v>
      </c>
      <c r="T85" s="58" t="s">
        <v>74</v>
      </c>
    </row>
    <row r="86" spans="2:20" ht="15.75">
      <c r="B86" s="74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43"/>
    </row>
  </sheetData>
  <mergeCells count="15">
    <mergeCell ref="B2:E3"/>
    <mergeCell ref="F2:H3"/>
    <mergeCell ref="C77:Q77"/>
    <mergeCell ref="B12:B18"/>
    <mergeCell ref="B25:B29"/>
    <mergeCell ref="B36:B40"/>
    <mergeCell ref="B48:B52"/>
    <mergeCell ref="B61:B65"/>
    <mergeCell ref="B69:B73"/>
    <mergeCell ref="B77:B83"/>
    <mergeCell ref="C12:Q12"/>
    <mergeCell ref="C25:R25"/>
    <mergeCell ref="C36:O36"/>
    <mergeCell ref="C61:R61"/>
    <mergeCell ref="C69:R69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Lenovo</cp:lastModifiedBy>
  <cp:lastPrinted>2018-05-18T12:00:00Z</cp:lastPrinted>
  <dcterms:created xsi:type="dcterms:W3CDTF">2013-08-23T16:44:00Z</dcterms:created>
  <dcterms:modified xsi:type="dcterms:W3CDTF">2024-03-14T14:58:28Z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29B6B2F9E06F44349954069453EA1FDF</vt:lpwstr>
  </property>
  <property fmtid="{D5CDD505-2E9C-101B-9397-08002B2CF9AE}" pid="3" name="KSOProductBuildVer">
    <vt:lpwstr>1033-11.2.0.11219</vt:lpwstr>
  </property>
</Properties>
</file>