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814" firstSheet="11" activeTab="32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31" sheetId="41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24519"/>
</workbook>
</file>

<file path=xl/calcChain.xml><?xml version="1.0" encoding="utf-8"?>
<calcChain xmlns="http://schemas.openxmlformats.org/spreadsheetml/2006/main">
  <c r="Q110" i="3"/>
  <c r="Q112" s="1"/>
  <c r="D23" i="5"/>
  <c r="D22"/>
  <c r="D21"/>
  <c r="D20"/>
  <c r="D19"/>
  <c r="D18"/>
  <c r="D17"/>
  <c r="D16"/>
  <c r="D15"/>
  <c r="D14"/>
  <c r="D13"/>
  <c r="D12"/>
  <c r="D11"/>
  <c r="D10"/>
  <c r="D9"/>
  <c r="D8"/>
  <c r="D24" s="1"/>
  <c r="D44" s="1"/>
  <c r="I119" i="6"/>
  <c r="K115"/>
  <c r="J115"/>
  <c r="I115"/>
  <c r="K114"/>
  <c r="J114"/>
  <c r="I114"/>
  <c r="K113"/>
  <c r="J113"/>
  <c r="I113"/>
  <c r="K112"/>
  <c r="J112"/>
  <c r="I112"/>
  <c r="K111"/>
  <c r="J111"/>
  <c r="I111"/>
  <c r="K110"/>
  <c r="J110"/>
  <c r="I110"/>
  <c r="K109"/>
  <c r="J109"/>
  <c r="I109"/>
  <c r="K108"/>
  <c r="J108"/>
  <c r="I108"/>
  <c r="K107"/>
  <c r="J107"/>
  <c r="I107"/>
  <c r="J101"/>
  <c r="K92"/>
  <c r="J92"/>
  <c r="K91"/>
  <c r="J91"/>
  <c r="K90"/>
  <c r="J90"/>
  <c r="K89"/>
  <c r="J89"/>
  <c r="K88"/>
  <c r="J88"/>
  <c r="K87"/>
  <c r="J87"/>
  <c r="J81"/>
  <c r="K73"/>
  <c r="J73"/>
  <c r="K72"/>
  <c r="J72"/>
  <c r="K71"/>
  <c r="J71"/>
  <c r="K70"/>
  <c r="J70"/>
  <c r="K69"/>
  <c r="J69"/>
  <c r="K68"/>
  <c r="J68"/>
  <c r="K67"/>
  <c r="J67"/>
  <c r="J61"/>
  <c r="K51"/>
  <c r="J51"/>
  <c r="K50"/>
  <c r="J50"/>
  <c r="K49"/>
  <c r="J49"/>
  <c r="K48"/>
  <c r="J48"/>
  <c r="K47"/>
  <c r="J47"/>
  <c r="J41"/>
  <c r="T40"/>
  <c r="K33"/>
  <c r="J33"/>
  <c r="K32"/>
  <c r="J32"/>
  <c r="K31"/>
  <c r="J31"/>
  <c r="K30"/>
  <c r="J30"/>
  <c r="K29"/>
  <c r="J29"/>
  <c r="K28"/>
  <c r="J28"/>
  <c r="K27"/>
  <c r="J27"/>
  <c r="T21"/>
  <c r="I21"/>
  <c r="K14"/>
  <c r="J14"/>
  <c r="K13"/>
  <c r="J13"/>
  <c r="K12"/>
  <c r="J12"/>
  <c r="K11"/>
  <c r="J11"/>
  <c r="K10"/>
  <c r="J10"/>
  <c r="K9"/>
  <c r="J9"/>
  <c r="K8"/>
  <c r="J8"/>
  <c r="M39" i="39"/>
  <c r="K39"/>
  <c r="I39"/>
  <c r="E39"/>
  <c r="B39"/>
  <c r="E38"/>
  <c r="D38"/>
  <c r="E37"/>
  <c r="D37"/>
  <c r="Q36"/>
  <c r="P36"/>
  <c r="E36"/>
  <c r="D36"/>
  <c r="N35"/>
  <c r="K35"/>
  <c r="J35"/>
  <c r="E35"/>
  <c r="Q34"/>
  <c r="O34"/>
  <c r="K34"/>
  <c r="F34"/>
  <c r="E34"/>
  <c r="K33"/>
  <c r="I33"/>
  <c r="F33"/>
  <c r="E33"/>
  <c r="B33"/>
  <c r="K32"/>
  <c r="F32"/>
  <c r="E32"/>
  <c r="E29"/>
  <c r="L28"/>
  <c r="K28"/>
  <c r="D28"/>
  <c r="C28"/>
  <c r="L25"/>
  <c r="F25"/>
  <c r="D25"/>
  <c r="N24"/>
  <c r="J24"/>
  <c r="F24"/>
  <c r="F18"/>
  <c r="J17"/>
  <c r="F10"/>
  <c r="K9"/>
  <c r="Q110" i="4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9" i="39" s="1"/>
  <c r="P108" i="41"/>
  <c r="P39" i="39" s="1"/>
  <c r="O108" i="41"/>
  <c r="O39" i="39" s="1"/>
  <c r="N108" i="41"/>
  <c r="N39" i="39" s="1"/>
  <c r="M108" i="41"/>
  <c r="L108"/>
  <c r="L39" i="39" s="1"/>
  <c r="K108" i="41"/>
  <c r="J108"/>
  <c r="J39" i="39" s="1"/>
  <c r="I108" i="41"/>
  <c r="H108"/>
  <c r="H39" i="39" s="1"/>
  <c r="G108" i="41"/>
  <c r="G39" i="39" s="1"/>
  <c r="F108" i="41"/>
  <c r="F39" i="39" s="1"/>
  <c r="E108" i="41"/>
  <c r="D108"/>
  <c r="D39" i="39" s="1"/>
  <c r="C108" i="41"/>
  <c r="C39" i="39" s="1"/>
  <c r="B108" i="41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9" i="39" s="1"/>
  <c r="Q110" i="40"/>
  <c r="Q111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K38" i="39" s="1"/>
  <c r="J108" i="40"/>
  <c r="J38" i="39" s="1"/>
  <c r="I108" i="40"/>
  <c r="I38" i="39" s="1"/>
  <c r="H108" i="40"/>
  <c r="H38" i="39" s="1"/>
  <c r="G108" i="40"/>
  <c r="G38" i="39" s="1"/>
  <c r="F108" i="40"/>
  <c r="F38" i="39" s="1"/>
  <c r="E108" i="40"/>
  <c r="D108"/>
  <c r="C108"/>
  <c r="C38" i="39" s="1"/>
  <c r="B108" i="40"/>
  <c r="B38" i="39" s="1"/>
  <c r="Q107" i="4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8" i="39" s="1"/>
  <c r="Q110" i="44"/>
  <c r="Q111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J37" i="39" s="1"/>
  <c r="I108" i="44"/>
  <c r="I37" i="39" s="1"/>
  <c r="H108" i="44"/>
  <c r="H37" i="39" s="1"/>
  <c r="G108" i="44"/>
  <c r="G37" i="39" s="1"/>
  <c r="F108" i="44"/>
  <c r="F37" i="39" s="1"/>
  <c r="E108" i="44"/>
  <c r="D108"/>
  <c r="C108"/>
  <c r="C37" i="39" s="1"/>
  <c r="B108" i="44"/>
  <c r="B37" i="39" s="1"/>
  <c r="Q107" i="4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7" i="39" s="1"/>
  <c r="Q110" i="33"/>
  <c r="Q112" s="1"/>
  <c r="P110"/>
  <c r="P112" s="1"/>
  <c r="O110"/>
  <c r="O111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O108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F36" i="39" s="1"/>
  <c r="E108" i="33"/>
  <c r="D108"/>
  <c r="C108"/>
  <c r="C36" i="39" s="1"/>
  <c r="B108" i="33"/>
  <c r="B36" i="39" s="1"/>
  <c r="Q107" i="3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6" i="39" s="1"/>
  <c r="Q110" i="32"/>
  <c r="Q112" s="1"/>
  <c r="P110"/>
  <c r="P112" s="1"/>
  <c r="O110"/>
  <c r="O112" s="1"/>
  <c r="N110"/>
  <c r="N112" s="1"/>
  <c r="M110"/>
  <c r="M112" s="1"/>
  <c r="L110"/>
  <c r="L111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5" i="39" s="1"/>
  <c r="P108" i="32"/>
  <c r="P35" i="39" s="1"/>
  <c r="O108" i="32"/>
  <c r="O35" i="39" s="1"/>
  <c r="N108" i="32"/>
  <c r="M108"/>
  <c r="M35" i="39" s="1"/>
  <c r="L108" i="32"/>
  <c r="L35" i="39" s="1"/>
  <c r="K108" i="32"/>
  <c r="J108"/>
  <c r="I108"/>
  <c r="I35" i="39" s="1"/>
  <c r="H108" i="32"/>
  <c r="H35" i="39" s="1"/>
  <c r="G108" i="32"/>
  <c r="G35" i="39" s="1"/>
  <c r="F108" i="32"/>
  <c r="F35" i="39" s="1"/>
  <c r="E108" i="32"/>
  <c r="D108"/>
  <c r="D35" i="39" s="1"/>
  <c r="C108" i="32"/>
  <c r="C35" i="39" s="1"/>
  <c r="B108" i="32"/>
  <c r="B35" i="39" s="1"/>
  <c r="Q107" i="3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5" i="39" s="1"/>
  <c r="Q110" i="3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34" i="39" s="1"/>
  <c r="O108" i="31"/>
  <c r="N108"/>
  <c r="N34" i="39" s="1"/>
  <c r="M108" i="31"/>
  <c r="M34" i="39" s="1"/>
  <c r="L108" i="31"/>
  <c r="L34" i="39" s="1"/>
  <c r="K108" i="31"/>
  <c r="J108"/>
  <c r="J34" i="39" s="1"/>
  <c r="I108" i="31"/>
  <c r="I34" i="39" s="1"/>
  <c r="H108" i="31"/>
  <c r="H34" i="39" s="1"/>
  <c r="G108" i="31"/>
  <c r="G34" i="39" s="1"/>
  <c r="F108" i="31"/>
  <c r="E108"/>
  <c r="D108"/>
  <c r="D34" i="39" s="1"/>
  <c r="C108" i="31"/>
  <c r="C34" i="39" s="1"/>
  <c r="B108" i="31"/>
  <c r="B34" i="39" s="1"/>
  <c r="Q107" i="3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4" i="39" s="1"/>
  <c r="Q110" i="3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1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3" i="39" s="1"/>
  <c r="P108" i="30"/>
  <c r="P33" i="39" s="1"/>
  <c r="O108" i="30"/>
  <c r="O33" i="39" s="1"/>
  <c r="N108" i="30"/>
  <c r="N33" i="39" s="1"/>
  <c r="M108" i="30"/>
  <c r="M33" i="39" s="1"/>
  <c r="L108" i="30"/>
  <c r="L33" i="39" s="1"/>
  <c r="K108" i="30"/>
  <c r="J108"/>
  <c r="J33" i="39" s="1"/>
  <c r="I108" i="30"/>
  <c r="H108"/>
  <c r="H33" i="39" s="1"/>
  <c r="G108" i="30"/>
  <c r="G33" i="39" s="1"/>
  <c r="F108" i="30"/>
  <c r="E108"/>
  <c r="D108"/>
  <c r="D33" i="39" s="1"/>
  <c r="C108" i="30"/>
  <c r="C33" i="39" s="1"/>
  <c r="B108" i="30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3" i="39" s="1"/>
  <c r="O111" i="29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1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2" i="39" s="1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J108"/>
  <c r="J32" i="39" s="1"/>
  <c r="I108" i="29"/>
  <c r="I32" i="39" s="1"/>
  <c r="H108" i="29"/>
  <c r="H32" i="39" s="1"/>
  <c r="G108" i="29"/>
  <c r="G32" i="39" s="1"/>
  <c r="F108" i="29"/>
  <c r="E108"/>
  <c r="D108"/>
  <c r="D32" i="39" s="1"/>
  <c r="C108" i="29"/>
  <c r="C32" i="39" s="1"/>
  <c r="B108" i="29"/>
  <c r="B32" i="39" s="1"/>
  <c r="Q107" i="2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2" i="39" s="1"/>
  <c r="Q112" i="28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1" i="39" s="1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I31" i="39" s="1"/>
  <c r="H108" i="28"/>
  <c r="H31" i="39" s="1"/>
  <c r="G108" i="28"/>
  <c r="G31" i="39" s="1"/>
  <c r="F108" i="28"/>
  <c r="F31" i="39" s="1"/>
  <c r="E108" i="28"/>
  <c r="E31" i="39" s="1"/>
  <c r="D108" i="28"/>
  <c r="D31" i="39" s="1"/>
  <c r="C108" i="28"/>
  <c r="C31" i="39" s="1"/>
  <c r="B108" i="28"/>
  <c r="B31" i="39" s="1"/>
  <c r="Q107" i="2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1" i="39" s="1"/>
  <c r="Q112" i="27"/>
  <c r="P112"/>
  <c r="O111"/>
  <c r="N111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0" i="39" s="1"/>
  <c r="P108" i="27"/>
  <c r="P30" i="39" s="1"/>
  <c r="O108" i="27"/>
  <c r="O30" i="39" s="1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0" i="39" s="1"/>
  <c r="Q112" i="26"/>
  <c r="P110"/>
  <c r="P112" s="1"/>
  <c r="O110"/>
  <c r="O112" s="1"/>
  <c r="N110"/>
  <c r="N112" s="1"/>
  <c r="M110"/>
  <c r="M112" s="1"/>
  <c r="L110"/>
  <c r="L111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9" i="39" s="1"/>
  <c r="P108" i="26"/>
  <c r="P29" i="39" s="1"/>
  <c r="O108" i="26"/>
  <c r="O29" i="39" s="1"/>
  <c r="N108" i="26"/>
  <c r="N29" i="39" s="1"/>
  <c r="M108" i="26"/>
  <c r="M29" i="39" s="1"/>
  <c r="L108" i="26"/>
  <c r="L29" i="39" s="1"/>
  <c r="K108" i="26"/>
  <c r="K29" i="39" s="1"/>
  <c r="J108" i="26"/>
  <c r="J29" i="39" s="1"/>
  <c r="I108" i="26"/>
  <c r="I29" i="39" s="1"/>
  <c r="H108" i="26"/>
  <c r="H29" i="39" s="1"/>
  <c r="G108" i="26"/>
  <c r="G29" i="39" s="1"/>
  <c r="F108" i="26"/>
  <c r="F29" i="39" s="1"/>
  <c r="E108" i="26"/>
  <c r="D108"/>
  <c r="D29" i="39" s="1"/>
  <c r="C108" i="26"/>
  <c r="C29" i="39" s="1"/>
  <c r="B108" i="26"/>
  <c r="B29" i="39" s="1"/>
  <c r="Q107" i="2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9" i="39" s="1"/>
  <c r="Q110" i="25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8" i="39" s="1"/>
  <c r="P108" i="25"/>
  <c r="P28" i="39" s="1"/>
  <c r="O108" i="25"/>
  <c r="O28" i="39" s="1"/>
  <c r="N108" i="25"/>
  <c r="N28" i="39" s="1"/>
  <c r="M108" i="25"/>
  <c r="M28" i="39" s="1"/>
  <c r="L108" i="25"/>
  <c r="K108"/>
  <c r="J108"/>
  <c r="J28" i="39" s="1"/>
  <c r="I108" i="25"/>
  <c r="I28" i="39" s="1"/>
  <c r="H108" i="25"/>
  <c r="H28" i="39" s="1"/>
  <c r="G108" i="25"/>
  <c r="G28" i="39" s="1"/>
  <c r="F108" i="25"/>
  <c r="F28" i="39" s="1"/>
  <c r="E108" i="25"/>
  <c r="E28" i="39" s="1"/>
  <c r="D108" i="25"/>
  <c r="C108"/>
  <c r="B108"/>
  <c r="B28" i="39" s="1"/>
  <c r="Q107" i="2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8" i="39" s="1"/>
  <c r="Q110" i="2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D27" i="39" s="1"/>
  <c r="C108" i="24"/>
  <c r="C27" i="39" s="1"/>
  <c r="B108" i="24"/>
  <c r="B27" i="39" s="1"/>
  <c r="Q107" i="2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7" i="39" s="1"/>
  <c r="Q112" i="23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F26" i="39" s="1"/>
  <c r="E108" i="23"/>
  <c r="E26" i="39" s="1"/>
  <c r="D108" i="23"/>
  <c r="D26" i="39" s="1"/>
  <c r="C108" i="23"/>
  <c r="C26" i="39" s="1"/>
  <c r="B108" i="23"/>
  <c r="B26" i="39" s="1"/>
  <c r="Q107" i="2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6" i="39" s="1"/>
  <c r="Q110" i="2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5" i="39" s="1"/>
  <c r="P108" i="22"/>
  <c r="P25" i="39" s="1"/>
  <c r="O108" i="22"/>
  <c r="O25" i="39" s="1"/>
  <c r="N108" i="22"/>
  <c r="N25" i="39" s="1"/>
  <c r="M108" i="22"/>
  <c r="M25" i="39" s="1"/>
  <c r="L108" i="22"/>
  <c r="K108"/>
  <c r="K25" i="39" s="1"/>
  <c r="J108" i="22"/>
  <c r="J25" i="39" s="1"/>
  <c r="I108" i="22"/>
  <c r="I25" i="39" s="1"/>
  <c r="H108" i="22"/>
  <c r="H25" i="39" s="1"/>
  <c r="G108" i="22"/>
  <c r="G25" i="39" s="1"/>
  <c r="F108" i="22"/>
  <c r="E108"/>
  <c r="E25" i="39" s="1"/>
  <c r="D108" i="22"/>
  <c r="C108"/>
  <c r="C25" i="39" s="1"/>
  <c r="B108" i="22"/>
  <c r="B25" i="39" s="1"/>
  <c r="Q107" i="2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5" i="39" s="1"/>
  <c r="Q110" i="2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1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4" i="39" s="1"/>
  <c r="P108" i="21"/>
  <c r="P24" i="39" s="1"/>
  <c r="O108" i="21"/>
  <c r="O24" i="39" s="1"/>
  <c r="N108" i="21"/>
  <c r="M108"/>
  <c r="M24" i="39" s="1"/>
  <c r="L108" i="21"/>
  <c r="L24" i="39" s="1"/>
  <c r="K108" i="21"/>
  <c r="K24" i="39" s="1"/>
  <c r="J108" i="21"/>
  <c r="I108"/>
  <c r="I24" i="39" s="1"/>
  <c r="H108" i="21"/>
  <c r="H24" i="39" s="1"/>
  <c r="G108" i="21"/>
  <c r="G24" i="39" s="1"/>
  <c r="F108" i="21"/>
  <c r="E108"/>
  <c r="E24" i="39" s="1"/>
  <c r="D108" i="21"/>
  <c r="D24" i="39" s="1"/>
  <c r="C108" i="21"/>
  <c r="C24" i="39" s="1"/>
  <c r="B108" i="21"/>
  <c r="B24" i="39" s="1"/>
  <c r="Q107" i="2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4" i="39" s="1"/>
  <c r="Q110" i="2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3" i="39" s="1"/>
  <c r="Q112" i="19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E22" i="39" s="1"/>
  <c r="D108" i="19"/>
  <c r="D22" i="39" s="1"/>
  <c r="C108" i="19"/>
  <c r="C22" i="39" s="1"/>
  <c r="B108" i="19"/>
  <c r="B22" i="39" s="1"/>
  <c r="Q107" i="1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2" i="39" s="1"/>
  <c r="Q110" i="1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F21" i="39" s="1"/>
  <c r="E108" i="18"/>
  <c r="E21" i="39" s="1"/>
  <c r="D108" i="18"/>
  <c r="D21" i="39" s="1"/>
  <c r="C108" i="18"/>
  <c r="C21" i="39" s="1"/>
  <c r="B108" i="18"/>
  <c r="B21" i="39" s="1"/>
  <c r="Q107" i="1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1" i="39" s="1"/>
  <c r="Q110" i="1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F20" i="39" s="1"/>
  <c r="E108" i="17"/>
  <c r="E20" i="39" s="1"/>
  <c r="D108" i="17"/>
  <c r="D20" i="39" s="1"/>
  <c r="C108" i="17"/>
  <c r="C20" i="39" s="1"/>
  <c r="B108" i="17"/>
  <c r="B20" i="39" s="1"/>
  <c r="Q107" i="1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0" i="39" s="1"/>
  <c r="Q110" i="1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F19" i="39" s="1"/>
  <c r="E108" i="16"/>
  <c r="E19" i="39" s="1"/>
  <c r="D108" i="16"/>
  <c r="D19" i="39" s="1"/>
  <c r="C108" i="16"/>
  <c r="C19" i="39" s="1"/>
  <c r="B108" i="16"/>
  <c r="B19" i="39" s="1"/>
  <c r="Q107" i="1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9" i="39" s="1"/>
  <c r="Q110" i="15"/>
  <c r="Q112" s="1"/>
  <c r="P110"/>
  <c r="P112" s="1"/>
  <c r="O110"/>
  <c r="O112" s="1"/>
  <c r="N110"/>
  <c r="N111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P109"/>
  <c r="O109"/>
  <c r="N109"/>
  <c r="M109"/>
  <c r="L109"/>
  <c r="K109"/>
  <c r="J109"/>
  <c r="I109"/>
  <c r="H109"/>
  <c r="G109"/>
  <c r="F109"/>
  <c r="E109"/>
  <c r="D109"/>
  <c r="C109"/>
  <c r="B109"/>
  <c r="Q18" i="39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E108"/>
  <c r="E18" i="39" s="1"/>
  <c r="D108" i="15"/>
  <c r="D18" i="39" s="1"/>
  <c r="C108" i="15"/>
  <c r="C18" i="39" s="1"/>
  <c r="B108" i="15"/>
  <c r="B18" i="39" s="1"/>
  <c r="Q107" i="1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8" i="39" s="1"/>
  <c r="Q110" i="1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I108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7" i="39" s="1"/>
  <c r="Q110" i="1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P109"/>
  <c r="O109"/>
  <c r="N109"/>
  <c r="M109"/>
  <c r="L109"/>
  <c r="K109"/>
  <c r="J109"/>
  <c r="I109"/>
  <c r="H109"/>
  <c r="G109"/>
  <c r="F109"/>
  <c r="E109"/>
  <c r="D109"/>
  <c r="C109"/>
  <c r="B109"/>
  <c r="Q16" i="39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6" i="39" s="1"/>
  <c r="Q110" i="1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P109"/>
  <c r="O109"/>
  <c r="N109"/>
  <c r="M109"/>
  <c r="L109"/>
  <c r="K109"/>
  <c r="J109"/>
  <c r="I109"/>
  <c r="H109"/>
  <c r="G109"/>
  <c r="F109"/>
  <c r="E109"/>
  <c r="D109"/>
  <c r="C109"/>
  <c r="B109"/>
  <c r="Q108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5" i="39" s="1"/>
  <c r="Q110" i="1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4" i="39" s="1"/>
  <c r="Q110" i="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P109"/>
  <c r="O109"/>
  <c r="N109"/>
  <c r="M109"/>
  <c r="L109"/>
  <c r="K109"/>
  <c r="J109"/>
  <c r="I109"/>
  <c r="H109"/>
  <c r="G109"/>
  <c r="F109"/>
  <c r="E109"/>
  <c r="D109"/>
  <c r="C109"/>
  <c r="B109"/>
  <c r="Q13" i="39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3" i="39" s="1"/>
  <c r="Q112" i="9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2" i="39" s="1"/>
  <c r="Q110" i="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P109"/>
  <c r="O109"/>
  <c r="N109"/>
  <c r="M109"/>
  <c r="L109"/>
  <c r="K109"/>
  <c r="J109"/>
  <c r="I109"/>
  <c r="H109"/>
  <c r="G109"/>
  <c r="F109"/>
  <c r="E109"/>
  <c r="D109"/>
  <c r="C109"/>
  <c r="B109"/>
  <c r="Q11" i="39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1" i="39" s="1"/>
  <c r="P110" i="3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1" s="1"/>
  <c r="C110"/>
  <c r="C112" s="1"/>
  <c r="B110"/>
  <c r="B112" s="1"/>
  <c r="P109"/>
  <c r="O109"/>
  <c r="N109"/>
  <c r="M109"/>
  <c r="L109"/>
  <c r="K109"/>
  <c r="J109"/>
  <c r="I109"/>
  <c r="H109"/>
  <c r="G109"/>
  <c r="F109"/>
  <c r="E109"/>
  <c r="D109"/>
  <c r="C109"/>
  <c r="B109"/>
  <c r="Q10" i="39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E108"/>
  <c r="E10" i="39" s="1"/>
  <c r="D108" i="3"/>
  <c r="D10" i="39" s="1"/>
  <c r="C108" i="3"/>
  <c r="C10" i="39" s="1"/>
  <c r="B108" i="3"/>
  <c r="B10" i="39" s="1"/>
  <c r="Q107" i="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0" i="39" s="1"/>
  <c r="Q110" i="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P109"/>
  <c r="O109"/>
  <c r="N109"/>
  <c r="M109"/>
  <c r="L109"/>
  <c r="K109"/>
  <c r="J109"/>
  <c r="I109"/>
  <c r="H109"/>
  <c r="G109"/>
  <c r="F109"/>
  <c r="E109"/>
  <c r="D109"/>
  <c r="C109"/>
  <c r="B109"/>
  <c r="Q9" i="39"/>
  <c r="P108" i="2"/>
  <c r="P9" i="39" s="1"/>
  <c r="O108" i="2"/>
  <c r="O9" i="39" s="1"/>
  <c r="N108" i="2"/>
  <c r="N9" i="39" s="1"/>
  <c r="M108" i="2"/>
  <c r="M9" i="39" s="1"/>
  <c r="L108" i="2"/>
  <c r="L9" i="39" s="1"/>
  <c r="K108" i="2"/>
  <c r="J108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9" i="39" s="1"/>
  <c r="B2" s="1"/>
  <c r="D2" i="5" s="1"/>
  <c r="D111" i="41" l="1"/>
  <c r="C111"/>
  <c r="B111"/>
  <c r="Q111"/>
  <c r="P111"/>
  <c r="O111"/>
  <c r="N111"/>
  <c r="M111"/>
  <c r="L111"/>
  <c r="K111"/>
  <c r="J111"/>
  <c r="I111"/>
  <c r="H111"/>
  <c r="G111"/>
  <c r="F111"/>
  <c r="E111"/>
  <c r="C111" i="40"/>
  <c r="P111"/>
  <c r="O111"/>
  <c r="N111"/>
  <c r="M111"/>
  <c r="L111"/>
  <c r="K111"/>
  <c r="B111"/>
  <c r="J111"/>
  <c r="I111"/>
  <c r="H111"/>
  <c r="Q112"/>
  <c r="G111"/>
  <c r="F111"/>
  <c r="E111"/>
  <c r="D111"/>
  <c r="P111" i="44"/>
  <c r="O111"/>
  <c r="N111"/>
  <c r="Q112"/>
  <c r="M111"/>
  <c r="L111"/>
  <c r="K111"/>
  <c r="B112"/>
  <c r="J111"/>
  <c r="I111"/>
  <c r="H111"/>
  <c r="G111"/>
  <c r="F111"/>
  <c r="E111"/>
  <c r="D111"/>
  <c r="C111"/>
  <c r="O112" i="33"/>
  <c r="N111"/>
  <c r="M111"/>
  <c r="L111"/>
  <c r="K111"/>
  <c r="I111"/>
  <c r="J111"/>
  <c r="H111"/>
  <c r="G111"/>
  <c r="F111"/>
  <c r="E111"/>
  <c r="D111"/>
  <c r="C111"/>
  <c r="B111"/>
  <c r="Q111"/>
  <c r="P111"/>
  <c r="K111" i="32"/>
  <c r="J111"/>
  <c r="I111"/>
  <c r="H111"/>
  <c r="G111"/>
  <c r="F111"/>
  <c r="E111"/>
  <c r="D111"/>
  <c r="C111"/>
  <c r="B111"/>
  <c r="Q111"/>
  <c r="P111"/>
  <c r="L112"/>
  <c r="O111"/>
  <c r="N111"/>
  <c r="M111"/>
  <c r="H111" i="31"/>
  <c r="G111"/>
  <c r="F111"/>
  <c r="E111"/>
  <c r="D111"/>
  <c r="C111"/>
  <c r="B111"/>
  <c r="Q111"/>
  <c r="P111"/>
  <c r="O111"/>
  <c r="N111"/>
  <c r="M111"/>
  <c r="L111"/>
  <c r="K111"/>
  <c r="J111"/>
  <c r="I111"/>
  <c r="D112" i="30"/>
  <c r="C111"/>
  <c r="B111"/>
  <c r="Q111"/>
  <c r="P111"/>
  <c r="O111"/>
  <c r="N111"/>
  <c r="M111"/>
  <c r="L111"/>
  <c r="K111"/>
  <c r="J111"/>
  <c r="I111"/>
  <c r="H111"/>
  <c r="G111"/>
  <c r="F111"/>
  <c r="E111"/>
  <c r="B111" i="29"/>
  <c r="Q111"/>
  <c r="P111"/>
  <c r="N111"/>
  <c r="M111"/>
  <c r="L111"/>
  <c r="K111"/>
  <c r="J111"/>
  <c r="I111"/>
  <c r="H112"/>
  <c r="G111"/>
  <c r="F111"/>
  <c r="E111"/>
  <c r="D111"/>
  <c r="C111"/>
  <c r="P111" i="28"/>
  <c r="O111"/>
  <c r="N111"/>
  <c r="M111"/>
  <c r="L111"/>
  <c r="K111"/>
  <c r="J111"/>
  <c r="I111"/>
  <c r="H111"/>
  <c r="G111"/>
  <c r="F111"/>
  <c r="E111"/>
  <c r="D111"/>
  <c r="C111"/>
  <c r="B111"/>
  <c r="Q111"/>
  <c r="M111" i="27"/>
  <c r="L111"/>
  <c r="K111"/>
  <c r="N112"/>
  <c r="J111"/>
  <c r="I111"/>
  <c r="H111"/>
  <c r="O112"/>
  <c r="G111"/>
  <c r="F111"/>
  <c r="E111"/>
  <c r="D111"/>
  <c r="C111"/>
  <c r="B111"/>
  <c r="Q111"/>
  <c r="P111"/>
  <c r="K111" i="26"/>
  <c r="J111"/>
  <c r="L112"/>
  <c r="I111"/>
  <c r="H111"/>
  <c r="G111"/>
  <c r="F111"/>
  <c r="E111"/>
  <c r="M111"/>
  <c r="D111"/>
  <c r="C111"/>
  <c r="B111"/>
  <c r="Q111"/>
  <c r="P111"/>
  <c r="O111"/>
  <c r="N111"/>
  <c r="L111" i="25"/>
  <c r="K111"/>
  <c r="J111"/>
  <c r="I111"/>
  <c r="H111"/>
  <c r="G111"/>
  <c r="F111"/>
  <c r="E111"/>
  <c r="D111"/>
  <c r="C111"/>
  <c r="B111"/>
  <c r="Q111"/>
  <c r="P111"/>
  <c r="O111"/>
  <c r="N111"/>
  <c r="M111"/>
  <c r="M111" i="24"/>
  <c r="L111"/>
  <c r="K111"/>
  <c r="J111"/>
  <c r="I111"/>
  <c r="H111"/>
  <c r="G111"/>
  <c r="F111"/>
  <c r="E111"/>
  <c r="D111"/>
  <c r="C111"/>
  <c r="B111"/>
  <c r="Q111"/>
  <c r="P111"/>
  <c r="O111"/>
  <c r="N111"/>
  <c r="M111" i="23"/>
  <c r="L111"/>
  <c r="K111"/>
  <c r="J111"/>
  <c r="I111"/>
  <c r="H111"/>
  <c r="G111"/>
  <c r="F111"/>
  <c r="E111"/>
  <c r="D111"/>
  <c r="C111"/>
  <c r="B111"/>
  <c r="Q111"/>
  <c r="P111"/>
  <c r="O111"/>
  <c r="N111"/>
  <c r="K111" i="22"/>
  <c r="J111"/>
  <c r="I111"/>
  <c r="H111"/>
  <c r="G111"/>
  <c r="F111"/>
  <c r="E111"/>
  <c r="D111"/>
  <c r="C111"/>
  <c r="B111"/>
  <c r="Q111"/>
  <c r="P111"/>
  <c r="O111"/>
  <c r="N111"/>
  <c r="M111"/>
  <c r="L111"/>
  <c r="H111" i="21"/>
  <c r="I112"/>
  <c r="G111"/>
  <c r="F111"/>
  <c r="E111"/>
  <c r="D111"/>
  <c r="C111"/>
  <c r="B111"/>
  <c r="Q111"/>
  <c r="P111"/>
  <c r="O111"/>
  <c r="N111"/>
  <c r="M111"/>
  <c r="L111"/>
  <c r="K111"/>
  <c r="J111"/>
  <c r="J111" i="20"/>
  <c r="I111"/>
  <c r="H111"/>
  <c r="G111"/>
  <c r="F111"/>
  <c r="E111"/>
  <c r="D111"/>
  <c r="C111"/>
  <c r="B111"/>
  <c r="Q111"/>
  <c r="P111"/>
  <c r="O111"/>
  <c r="N111"/>
  <c r="M111"/>
  <c r="L111"/>
  <c r="K111"/>
  <c r="K111" i="19"/>
  <c r="J111"/>
  <c r="I111"/>
  <c r="H111"/>
  <c r="G111"/>
  <c r="F111"/>
  <c r="E111"/>
  <c r="D111"/>
  <c r="C111"/>
  <c r="B111"/>
  <c r="Q111"/>
  <c r="P111"/>
  <c r="O111"/>
  <c r="N111"/>
  <c r="M111"/>
  <c r="L111"/>
  <c r="L111" i="18"/>
  <c r="K111"/>
  <c r="J111"/>
  <c r="I111"/>
  <c r="H111"/>
  <c r="G111"/>
  <c r="F111"/>
  <c r="E111"/>
  <c r="D111"/>
  <c r="C111"/>
  <c r="B111"/>
  <c r="Q111"/>
  <c r="P111"/>
  <c r="O111"/>
  <c r="N111"/>
  <c r="M111"/>
  <c r="M111" i="17"/>
  <c r="L111"/>
  <c r="K111"/>
  <c r="J111"/>
  <c r="I111"/>
  <c r="H111"/>
  <c r="G111"/>
  <c r="F111"/>
  <c r="E111"/>
  <c r="D111"/>
  <c r="C111"/>
  <c r="B111"/>
  <c r="Q111"/>
  <c r="P111"/>
  <c r="O111"/>
  <c r="N111"/>
  <c r="N111" i="16"/>
  <c r="M111"/>
  <c r="L111"/>
  <c r="K111"/>
  <c r="J111"/>
  <c r="I111"/>
  <c r="H111"/>
  <c r="G111"/>
  <c r="F111"/>
  <c r="E111"/>
  <c r="D111"/>
  <c r="C111"/>
  <c r="B111"/>
  <c r="Q111"/>
  <c r="P111"/>
  <c r="O111"/>
  <c r="M111" i="15"/>
  <c r="L111"/>
  <c r="K111"/>
  <c r="J111"/>
  <c r="I111"/>
  <c r="H111"/>
  <c r="N112"/>
  <c r="G111"/>
  <c r="F111"/>
  <c r="E111"/>
  <c r="D111"/>
  <c r="C111"/>
  <c r="B111"/>
  <c r="Q111"/>
  <c r="P111"/>
  <c r="O111"/>
  <c r="N111" i="14"/>
  <c r="M111"/>
  <c r="L111"/>
  <c r="K111"/>
  <c r="J111"/>
  <c r="I111"/>
  <c r="H111"/>
  <c r="G111"/>
  <c r="F111"/>
  <c r="E111"/>
  <c r="D111"/>
  <c r="C111"/>
  <c r="B111"/>
  <c r="Q111"/>
  <c r="P111"/>
  <c r="O111"/>
  <c r="O111" i="13"/>
  <c r="N111"/>
  <c r="M111"/>
  <c r="L111"/>
  <c r="K111"/>
  <c r="J111"/>
  <c r="I111"/>
  <c r="H111"/>
  <c r="G111"/>
  <c r="F111"/>
  <c r="E111"/>
  <c r="D111"/>
  <c r="C111"/>
  <c r="B111"/>
  <c r="Q111"/>
  <c r="P111"/>
  <c r="P111" i="12"/>
  <c r="O111"/>
  <c r="N111"/>
  <c r="M111"/>
  <c r="L111"/>
  <c r="K111"/>
  <c r="J111"/>
  <c r="I111"/>
  <c r="H111"/>
  <c r="G111"/>
  <c r="F111"/>
  <c r="E111"/>
  <c r="D111"/>
  <c r="C111"/>
  <c r="B111"/>
  <c r="Q111"/>
  <c r="Q111" i="11"/>
  <c r="P111"/>
  <c r="O111"/>
  <c r="N111"/>
  <c r="M111"/>
  <c r="L111"/>
  <c r="K111"/>
  <c r="J111"/>
  <c r="I111"/>
  <c r="H111"/>
  <c r="G111"/>
  <c r="F111"/>
  <c r="E111"/>
  <c r="D111"/>
  <c r="C111"/>
  <c r="B111"/>
  <c r="B111" i="10"/>
  <c r="Q111"/>
  <c r="P111"/>
  <c r="O111"/>
  <c r="N111"/>
  <c r="M111"/>
  <c r="L111"/>
  <c r="K111"/>
  <c r="J111"/>
  <c r="I111"/>
  <c r="H111"/>
  <c r="G111"/>
  <c r="F111"/>
  <c r="E111"/>
  <c r="D111"/>
  <c r="C111"/>
  <c r="C111" i="9"/>
  <c r="B111"/>
  <c r="Q111"/>
  <c r="P111"/>
  <c r="O111"/>
  <c r="N111"/>
  <c r="M111"/>
  <c r="L111"/>
  <c r="K111"/>
  <c r="J111"/>
  <c r="I111"/>
  <c r="H111"/>
  <c r="G111"/>
  <c r="F111"/>
  <c r="E111"/>
  <c r="D111"/>
  <c r="D111" i="8"/>
  <c r="C111"/>
  <c r="B111"/>
  <c r="Q111"/>
  <c r="P111"/>
  <c r="O111"/>
  <c r="N111"/>
  <c r="M111"/>
  <c r="L111"/>
  <c r="K111"/>
  <c r="J111"/>
  <c r="I111"/>
  <c r="H111"/>
  <c r="G111"/>
  <c r="F111"/>
  <c r="E111"/>
  <c r="C111" i="3"/>
  <c r="B111"/>
  <c r="Q111"/>
  <c r="D112"/>
  <c r="P111"/>
  <c r="O111"/>
  <c r="K45" i="39"/>
  <c r="K47" s="1"/>
  <c r="N111" i="3"/>
  <c r="M111"/>
  <c r="L111"/>
  <c r="K111"/>
  <c r="J111"/>
  <c r="I111"/>
  <c r="H111"/>
  <c r="G111"/>
  <c r="F111"/>
  <c r="E111"/>
  <c r="E45" i="39"/>
  <c r="E44"/>
  <c r="E43"/>
  <c r="E42"/>
  <c r="E41"/>
  <c r="D45"/>
  <c r="D44"/>
  <c r="D43"/>
  <c r="D42"/>
  <c r="D41"/>
  <c r="Q45"/>
  <c r="Q44"/>
  <c r="Q43"/>
  <c r="Q42"/>
  <c r="Q41"/>
  <c r="B45"/>
  <c r="B44"/>
  <c r="B43"/>
  <c r="B42"/>
  <c r="B41"/>
  <c r="O45"/>
  <c r="O44"/>
  <c r="O43"/>
  <c r="O42"/>
  <c r="O41"/>
  <c r="P45"/>
  <c r="P44"/>
  <c r="P43"/>
  <c r="P42"/>
  <c r="P41"/>
  <c r="N45"/>
  <c r="N44"/>
  <c r="N43"/>
  <c r="N42"/>
  <c r="N41"/>
  <c r="M45"/>
  <c r="M44"/>
  <c r="M43"/>
  <c r="M42"/>
  <c r="M41"/>
  <c r="L45"/>
  <c r="L44"/>
  <c r="L43"/>
  <c r="L42"/>
  <c r="L41"/>
  <c r="C45"/>
  <c r="C44"/>
  <c r="C43"/>
  <c r="C42"/>
  <c r="C41"/>
  <c r="J45"/>
  <c r="J44"/>
  <c r="J43"/>
  <c r="J42"/>
  <c r="J41"/>
  <c r="I45"/>
  <c r="I44"/>
  <c r="I43"/>
  <c r="I42"/>
  <c r="I41"/>
  <c r="G45"/>
  <c r="G44"/>
  <c r="G43"/>
  <c r="G42"/>
  <c r="G41"/>
  <c r="H45"/>
  <c r="H44"/>
  <c r="H43"/>
  <c r="H42"/>
  <c r="H41"/>
  <c r="F45"/>
  <c r="F44"/>
  <c r="F43"/>
  <c r="F42"/>
  <c r="F41"/>
  <c r="H111" i="2"/>
  <c r="D111"/>
  <c r="C111"/>
  <c r="B111"/>
  <c r="K41" i="39"/>
  <c r="Q111" i="2"/>
  <c r="P111"/>
  <c r="K44" i="39"/>
  <c r="O111" i="2"/>
  <c r="N111"/>
  <c r="M111"/>
  <c r="I111"/>
  <c r="K43" i="39"/>
  <c r="L111" i="2"/>
  <c r="K111"/>
  <c r="J111"/>
  <c r="K42" i="39"/>
  <c r="G111" i="2"/>
  <c r="F111"/>
  <c r="E111"/>
  <c r="K46" i="39" l="1"/>
  <c r="E47"/>
  <c r="E46"/>
  <c r="N47"/>
  <c r="N46"/>
  <c r="M47"/>
  <c r="M46"/>
  <c r="D47"/>
  <c r="D46"/>
  <c r="J47"/>
  <c r="J46"/>
  <c r="O47"/>
  <c r="O46"/>
  <c r="F47"/>
  <c r="F46"/>
  <c r="I47"/>
  <c r="I46"/>
  <c r="H47"/>
  <c r="H46"/>
  <c r="P47"/>
  <c r="P46"/>
  <c r="L47"/>
  <c r="L46"/>
  <c r="Q47"/>
  <c r="Q46"/>
  <c r="G47"/>
  <c r="G46"/>
  <c r="C47"/>
  <c r="C46"/>
  <c r="B47"/>
  <c r="B46"/>
</calcChain>
</file>

<file path=xl/sharedStrings.xml><?xml version="1.0" encoding="utf-8"?>
<sst xmlns="http://schemas.openxmlformats.org/spreadsheetml/2006/main" count="6072" uniqueCount="239">
  <si>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</si>
  <si>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</si>
  <si>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</si>
  <si>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</si>
  <si>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</si>
  <si>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</si>
  <si>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</si>
  <si>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</si>
  <si>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</si>
  <si>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</si>
  <si>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</si>
  <si>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</si>
  <si>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</si>
  <si>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</si>
  <si>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</si>
  <si>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</si>
  <si>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</si>
  <si>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</si>
  <si>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</si>
  <si>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</si>
  <si>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</si>
  <si>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</si>
  <si>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</si>
  <si>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</si>
  <si>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</si>
  <si>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</si>
  <si>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</si>
  <si>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</si>
  <si>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</si>
  <si>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</si>
  <si>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</si>
  <si>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</si>
  <si>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</si>
  <si>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</si>
  <si>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</si>
  <si>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</si>
  <si>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</si>
  <si>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</si>
  <si>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</si>
  <si>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</si>
  <si>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</si>
  <si>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</si>
  <si>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</si>
  <si>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</si>
  <si>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</si>
  <si>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</si>
  <si>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</si>
  <si>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</si>
  <si>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</si>
  <si>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</si>
  <si>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</si>
  <si>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</si>
  <si>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</si>
  <si>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</si>
  <si>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</si>
  <si>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</si>
  <si>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</si>
  <si>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</si>
  <si>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</si>
  <si>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</si>
  <si>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</si>
  <si>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</si>
  <si>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</si>
  <si>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</si>
  <si>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</si>
  <si>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</si>
  <si>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</si>
  <si>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</si>
  <si>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</si>
  <si>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</si>
  <si>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</si>
  <si>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</si>
  <si>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</si>
  <si>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</si>
  <si>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</si>
  <si>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</si>
  <si>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</si>
  <si>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</si>
  <si>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</si>
  <si>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</si>
  <si>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</si>
  <si>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</si>
  <si>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family val="2"/>
      </rP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</si>
  <si>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</si>
  <si>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</si>
  <si>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</si>
  <si>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</si>
  <si>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family val="2"/>
      </rP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</si>
  <si>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</si>
  <si>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</si>
  <si>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CO</t>
    </r>
    <r>
      <rPr>
        <b/>
        <sz val="10"/>
        <color indexed="9"/>
        <rFont val="Arial"/>
        <family val="2"/>
      </rPr>
      <t xml:space="preserve"> ARE </t>
    </r>
  </si>
  <si>
    <t>VOC</t>
  </si>
  <si>
    <r>
      <rPr>
        <b/>
        <sz val="10"/>
        <color theme="0"/>
        <rFont val="Arial"/>
        <family val="2"/>
      </rP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</si>
  <si>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O3</t>
  </si>
  <si>
    <r>
      <rPr>
        <b/>
        <sz val="10"/>
        <color theme="0"/>
        <rFont val="Arial"/>
        <family val="2"/>
      </rP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</si>
  <si>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</si>
  <si>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</si>
  <si>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</si>
  <si>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</si>
  <si>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</si>
  <si>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</si>
  <si>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</si>
  <si>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</si>
  <si>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</si>
  <si>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</si>
  <si>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</si>
  <si>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</si>
  <si>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</si>
  <si>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</si>
  <si>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</si>
  <si>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</si>
  <si>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</si>
  <si>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</si>
  <si>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</si>
  <si>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</si>
  <si>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</si>
  <si>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</si>
  <si>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</si>
  <si>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</si>
  <si>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</si>
  <si>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</si>
  <si>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</si>
  <si>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</si>
  <si>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</si>
  <si>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</si>
  <si>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</si>
  <si>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</si>
  <si>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</si>
  <si>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</si>
  <si>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</si>
  <si>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</si>
  <si>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</si>
  <si>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</si>
  <si>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</si>
  <si>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</si>
  <si>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</si>
  <si>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</si>
  <si>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</si>
  <si>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</si>
  <si>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</si>
  <si>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</si>
  <si>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</si>
  <si>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</si>
  <si>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</si>
  <si>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</si>
  <si>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</si>
  <si>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</si>
  <si>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</si>
  <si>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</si>
  <si>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</si>
  <si>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</si>
  <si>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</si>
  <si>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</si>
  <si>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</si>
  <si>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</si>
  <si>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</si>
  <si>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</si>
  <si>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</si>
  <si>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</si>
  <si>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</si>
  <si>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</si>
  <si>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</si>
  <si>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</si>
  <si>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</si>
  <si>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</si>
  <si>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</si>
  <si>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</si>
  <si>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</si>
  <si>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</si>
  <si>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</si>
  <si>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</si>
  <si>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</si>
  <si>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</si>
  <si>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</si>
  <si>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</si>
  <si>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</si>
  <si>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</si>
  <si>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</si>
  <si>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</si>
  <si>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</si>
  <si>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</si>
  <si>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</si>
  <si>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</si>
  <si>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</si>
  <si>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</si>
  <si>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</si>
  <si>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</si>
  <si>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</si>
  <si>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</si>
  <si>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</si>
  <si>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</si>
  <si>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</si>
  <si>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</si>
  <si>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</si>
  <si>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</si>
  <si>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</si>
  <si>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</si>
  <si>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</si>
  <si>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</si>
  <si>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</si>
  <si>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</si>
  <si>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</si>
  <si>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</si>
  <si>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</si>
  <si>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</si>
  <si>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</si>
  <si>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</si>
  <si>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</si>
  <si>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</si>
  <si>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</si>
  <si>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</si>
  <si>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</si>
  <si>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</si>
  <si>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</si>
  <si>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</si>
  <si>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</si>
  <si>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</si>
  <si>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</si>
  <si>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</si>
  <si>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</si>
  <si>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</si>
  <si>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</si>
  <si>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</si>
  <si>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</si>
  <si>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</si>
  <si>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</si>
  <si>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</si>
  <si>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</si>
  <si>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</si>
  <si>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</si>
  <si>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</si>
  <si>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</si>
  <si>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</si>
  <si>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</si>
  <si>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</si>
  <si>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</si>
  <si>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</si>
  <si>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</si>
  <si>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01/05/2024 00:15 - 31/05/2024 00:00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</si>
</sst>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22"/>
      <color theme="1"/>
      <name val="Arial Black"/>
      <family val="2"/>
    </font>
    <font>
      <b/>
      <sz val="9"/>
      <color rgb="FFFF0000"/>
      <name val="Calibri"/>
      <family val="2"/>
      <scheme val="minor"/>
    </font>
    <font>
      <b/>
      <sz val="9"/>
      <color rgb="FFFF0000"/>
      <name val="Arial"/>
      <family val="2"/>
    </font>
    <font>
      <sz val="10"/>
      <name val="Arial"/>
      <family val="2"/>
    </font>
    <font>
      <b/>
      <sz val="26"/>
      <color theme="1"/>
      <name val="Arial Black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2"/>
      <name val="Arial"/>
      <family val="2"/>
    </font>
    <font>
      <b/>
      <sz val="10"/>
      <color theme="2" tint="-0.89996032593768116"/>
      <name val="Arial Black"/>
      <family val="2"/>
    </font>
    <font>
      <b/>
      <sz val="10"/>
      <name val="Calibri"/>
      <family val="2"/>
      <scheme val="minor"/>
    </font>
    <font>
      <b/>
      <sz val="10"/>
      <color theme="2" tint="-0.89996032593768116"/>
      <name val="Arial"/>
      <family val="2"/>
    </font>
    <font>
      <b/>
      <sz val="12"/>
      <name val="Calibri"/>
      <family val="2"/>
      <scheme val="minor"/>
    </font>
    <font>
      <b/>
      <i/>
      <sz val="12"/>
      <name val="Arial"/>
      <family val="2"/>
    </font>
    <font>
      <b/>
      <i/>
      <sz val="10"/>
      <name val="Arial"/>
      <family val="2"/>
    </font>
    <font>
      <sz val="9"/>
      <color theme="3" tint="0.3999450666829432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2" tint="-0.89996032593768116"/>
      <name val="Arial Black"/>
      <family val="2"/>
    </font>
    <font>
      <sz val="11"/>
      <color theme="3" tint="0.39994506668294322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sz val="10"/>
      <color indexed="12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color theme="5" tint="-0.249977111117893"/>
      <name val="Arial"/>
      <family val="2"/>
    </font>
    <font>
      <b/>
      <sz val="10"/>
      <color indexed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15" fillId="0" borderId="0" xfId="0" applyFont="1" applyFill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Fill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0" fillId="0" borderId="0" xfId="0" applyBorder="1"/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0" fillId="0" borderId="0" xfId="0" applyFill="1" applyBorder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9" fillId="0" borderId="13" xfId="0" applyFont="1" applyFill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9" fillId="0" borderId="7" xfId="0" applyFont="1" applyFill="1" applyBorder="1" applyAlignment="1">
      <alignment horizontal="center" wrapText="1"/>
    </xf>
    <xf numFmtId="0" fontId="26" fillId="0" borderId="0" xfId="0" applyFont="1" applyFill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0" fillId="0" borderId="7" xfId="0" applyNumberFormat="1" applyFill="1" applyBorder="1" applyAlignment="1">
      <alignment horizontal="center"/>
    </xf>
    <xf numFmtId="22" fontId="2" fillId="0" borderId="7" xfId="0" applyNumberFormat="1" applyFont="1" applyFill="1" applyBorder="1" applyAlignment="1">
      <alignment horizontal="center"/>
    </xf>
    <xf numFmtId="22" fontId="0" fillId="0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7" xfId="0" applyNumberFormat="1" applyFill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0" fillId="0" borderId="0" xfId="0" applyFont="1"/>
    <xf numFmtId="14" fontId="0" fillId="0" borderId="0" xfId="0" applyNumberFormat="1"/>
    <xf numFmtId="14" fontId="28" fillId="0" borderId="0" xfId="0" applyNumberFormat="1" applyFont="1" applyFill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14" fontId="28" fillId="0" borderId="0" xfId="0" applyNumberFormat="1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14" fontId="28" fillId="0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22" fontId="28" fillId="0" borderId="0" xfId="0" applyNumberFormat="1" applyFont="1" applyFill="1" applyAlignment="1">
      <alignment horizontal="center"/>
    </xf>
    <xf numFmtId="2" fontId="0" fillId="0" borderId="7" xfId="0" applyNumberFormat="1" applyFont="1" applyBorder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Fill="1" applyAlignment="1">
      <alignment horizontal="center"/>
    </xf>
    <xf numFmtId="0" fontId="38" fillId="0" borderId="0" xfId="0" applyFont="1" applyFill="1" applyAlignment="1">
      <alignment horizontal="center"/>
    </xf>
    <xf numFmtId="14" fontId="13" fillId="0" borderId="0" xfId="0" applyNumberFormat="1" applyFont="1" applyFill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 applyAlignme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28" fillId="0" borderId="7" xfId="0" applyFont="1" applyFill="1" applyBorder="1" applyAlignment="1">
      <alignment horizontal="center" vertic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36" fillId="0" borderId="0" xfId="0" applyNumberFormat="1" applyFont="1" applyBorder="1" applyAlignment="1">
      <alignment horizontal="center"/>
    </xf>
    <xf numFmtId="2" fontId="11" fillId="0" borderId="0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7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2" fontId="28" fillId="0" borderId="0" xfId="0" applyNumberFormat="1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0" fontId="33" fillId="3" borderId="36" xfId="0" applyFont="1" applyFill="1" applyBorder="1" applyAlignment="1">
      <alignment horizontal="center"/>
    </xf>
    <xf numFmtId="0" fontId="33" fillId="3" borderId="34" xfId="0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Fill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17"/>
  <sheetViews>
    <sheetView zoomScale="80" zoomScaleNormal="80" workbookViewId="0">
      <pane xSplit="1" ySplit="8" topLeftCell="B96" activePane="bottomRight" state="frozen"/>
      <selection pane="topRight"/>
      <selection pane="bottomLeft"/>
      <selection pane="bottomRight" activeCell="Q108" sqref="Q108:Q10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45413.010416666664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45413.010416666664</v>
      </c>
      <c r="B9" s="112">
        <v>11.27</v>
      </c>
      <c r="C9" s="112">
        <v>13.19</v>
      </c>
      <c r="D9" s="112">
        <v>25.08</v>
      </c>
      <c r="E9" s="112">
        <v>12.67</v>
      </c>
      <c r="F9" s="112">
        <v>7.05</v>
      </c>
      <c r="G9" s="112">
        <v>63.84</v>
      </c>
      <c r="H9" s="112">
        <v>25.74</v>
      </c>
      <c r="I9" s="112">
        <v>7.5</v>
      </c>
      <c r="J9" s="112">
        <v>0.14000000000000001</v>
      </c>
      <c r="K9" s="112">
        <v>165.65</v>
      </c>
      <c r="L9" s="112">
        <v>30.67</v>
      </c>
      <c r="M9" s="112">
        <v>50.78</v>
      </c>
      <c r="N9" s="112">
        <v>0</v>
      </c>
      <c r="O9" s="112">
        <v>0</v>
      </c>
      <c r="P9" s="112">
        <v>0.87</v>
      </c>
      <c r="Q9" s="167" t="s">
        <v>14</v>
      </c>
    </row>
    <row r="10" spans="1:21" customFormat="1">
      <c r="A10" s="80">
        <v>45413.020833333336</v>
      </c>
      <c r="B10" s="112">
        <v>11.28</v>
      </c>
      <c r="C10" s="112">
        <v>13.16</v>
      </c>
      <c r="D10" s="112">
        <v>25.06</v>
      </c>
      <c r="E10" s="112">
        <v>11.22</v>
      </c>
      <c r="F10" s="112">
        <v>5.74</v>
      </c>
      <c r="G10" s="112">
        <v>63.64</v>
      </c>
      <c r="H10" s="112">
        <v>25.74</v>
      </c>
      <c r="I10" s="112">
        <v>7.87</v>
      </c>
      <c r="J10" s="112">
        <v>0.18</v>
      </c>
      <c r="K10" s="112">
        <v>51.19</v>
      </c>
      <c r="L10" s="112">
        <v>30.7</v>
      </c>
      <c r="M10" s="112">
        <v>50.24</v>
      </c>
      <c r="N10" s="112">
        <v>0</v>
      </c>
      <c r="O10" s="112">
        <v>0</v>
      </c>
      <c r="P10" s="112">
        <v>0.86</v>
      </c>
      <c r="Q10" s="167" t="s">
        <v>14</v>
      </c>
    </row>
    <row r="11" spans="1:21" customFormat="1">
      <c r="A11" s="80">
        <v>45413.03125</v>
      </c>
      <c r="B11" s="112">
        <v>11.28</v>
      </c>
      <c r="C11" s="112">
        <v>13.13</v>
      </c>
      <c r="D11" s="112">
        <v>25.05</v>
      </c>
      <c r="E11" s="112">
        <v>11.75</v>
      </c>
      <c r="F11" s="112">
        <v>3.16</v>
      </c>
      <c r="G11" s="112">
        <v>63.64</v>
      </c>
      <c r="H11" s="112">
        <v>25.74</v>
      </c>
      <c r="I11" s="112">
        <v>8.0500000000000007</v>
      </c>
      <c r="J11" s="112">
        <v>0.16</v>
      </c>
      <c r="K11" s="112">
        <v>162.62</v>
      </c>
      <c r="L11" s="112">
        <v>31.09</v>
      </c>
      <c r="M11" s="112">
        <v>50.61</v>
      </c>
      <c r="N11" s="112">
        <v>0</v>
      </c>
      <c r="O11" s="112">
        <v>0</v>
      </c>
      <c r="P11" s="112">
        <v>0.87</v>
      </c>
      <c r="Q11" s="167" t="s">
        <v>14</v>
      </c>
    </row>
    <row r="12" spans="1:21" customFormat="1">
      <c r="A12" s="80">
        <v>45413.041666666664</v>
      </c>
      <c r="B12" s="112">
        <v>11.27</v>
      </c>
      <c r="C12" s="112">
        <v>13.14</v>
      </c>
      <c r="D12" s="112">
        <v>25.05</v>
      </c>
      <c r="E12" s="112">
        <v>11.56</v>
      </c>
      <c r="F12" s="112">
        <v>3.7</v>
      </c>
      <c r="G12" s="112">
        <v>63.64</v>
      </c>
      <c r="H12" s="112">
        <v>25.74</v>
      </c>
      <c r="I12" s="112">
        <v>8.06</v>
      </c>
      <c r="J12" s="112">
        <v>0.19</v>
      </c>
      <c r="K12" s="112">
        <v>188.15</v>
      </c>
      <c r="L12" s="112">
        <v>30.94</v>
      </c>
      <c r="M12" s="112">
        <v>54.24</v>
      </c>
      <c r="N12" s="112">
        <v>0</v>
      </c>
      <c r="O12" s="112">
        <v>0</v>
      </c>
      <c r="P12" s="112">
        <v>0.86</v>
      </c>
      <c r="Q12" s="167" t="s">
        <v>14</v>
      </c>
    </row>
    <row r="13" spans="1:21" customFormat="1">
      <c r="A13" s="80">
        <v>45413.052083333336</v>
      </c>
      <c r="B13" s="112">
        <v>11.26</v>
      </c>
      <c r="C13" s="112">
        <v>13.17</v>
      </c>
      <c r="D13" s="112">
        <v>25.05</v>
      </c>
      <c r="E13" s="112">
        <v>10.130000000000001</v>
      </c>
      <c r="F13" s="112">
        <v>4.33</v>
      </c>
      <c r="G13" s="112">
        <v>67.900000000000006</v>
      </c>
      <c r="H13" s="112">
        <v>25.34</v>
      </c>
      <c r="I13" s="112">
        <v>8.09</v>
      </c>
      <c r="J13" s="112">
        <v>0.18</v>
      </c>
      <c r="K13" s="112">
        <v>165.89</v>
      </c>
      <c r="L13" s="112">
        <v>30.58</v>
      </c>
      <c r="M13" s="112">
        <v>53.86</v>
      </c>
      <c r="N13" s="112">
        <v>0</v>
      </c>
      <c r="O13" s="112">
        <v>0</v>
      </c>
      <c r="P13" s="112">
        <v>0.85</v>
      </c>
      <c r="Q13" s="167" t="s">
        <v>14</v>
      </c>
    </row>
    <row r="14" spans="1:21" customFormat="1">
      <c r="A14" s="80">
        <v>45413.0625</v>
      </c>
      <c r="B14" s="112">
        <v>11.26</v>
      </c>
      <c r="C14" s="112">
        <v>13.12</v>
      </c>
      <c r="D14" s="112">
        <v>25.03</v>
      </c>
      <c r="E14" s="112">
        <v>10</v>
      </c>
      <c r="F14" s="112">
        <v>2.75</v>
      </c>
      <c r="G14" s="112">
        <v>69.040000000000006</v>
      </c>
      <c r="H14" s="112">
        <v>25.34</v>
      </c>
      <c r="I14" s="112">
        <v>8.16</v>
      </c>
      <c r="J14" s="112">
        <v>0.24</v>
      </c>
      <c r="K14" s="112">
        <v>190.85</v>
      </c>
      <c r="L14" s="112">
        <v>30.47</v>
      </c>
      <c r="M14" s="112">
        <v>55.44</v>
      </c>
      <c r="N14" s="112">
        <v>0</v>
      </c>
      <c r="O14" s="112">
        <v>0</v>
      </c>
      <c r="P14" s="112">
        <v>0.85</v>
      </c>
      <c r="Q14" s="167" t="s">
        <v>14</v>
      </c>
    </row>
    <row r="15" spans="1:21" customFormat="1">
      <c r="A15" s="80">
        <v>45413.072916666664</v>
      </c>
      <c r="B15" s="112">
        <v>11.28</v>
      </c>
      <c r="C15" s="112">
        <v>13.18</v>
      </c>
      <c r="D15" s="112">
        <v>25.08</v>
      </c>
      <c r="E15" s="112">
        <v>10.01</v>
      </c>
      <c r="F15" s="112">
        <v>4.71</v>
      </c>
      <c r="G15" s="112">
        <v>69.040000000000006</v>
      </c>
      <c r="H15" s="112">
        <v>25.34</v>
      </c>
      <c r="I15" s="112">
        <v>8.16</v>
      </c>
      <c r="J15" s="112">
        <v>0.13</v>
      </c>
      <c r="K15" s="112">
        <v>190.63</v>
      </c>
      <c r="L15" s="112">
        <v>30.05</v>
      </c>
      <c r="M15" s="112">
        <v>55.01</v>
      </c>
      <c r="N15" s="112">
        <v>0</v>
      </c>
      <c r="O15" s="112">
        <v>0</v>
      </c>
      <c r="P15" s="112">
        <v>0.83</v>
      </c>
      <c r="Q15" s="167" t="s">
        <v>14</v>
      </c>
    </row>
    <row r="16" spans="1:21" customFormat="1">
      <c r="A16" s="80">
        <v>45413.083333333336</v>
      </c>
      <c r="B16" s="112">
        <v>11.32</v>
      </c>
      <c r="C16" s="112">
        <v>13.29</v>
      </c>
      <c r="D16" s="112">
        <v>25.17</v>
      </c>
      <c r="E16" s="112">
        <v>10.199999999999999</v>
      </c>
      <c r="F16" s="112">
        <v>3.6</v>
      </c>
      <c r="G16" s="112">
        <v>69.040000000000006</v>
      </c>
      <c r="H16" s="112">
        <v>25.34</v>
      </c>
      <c r="I16" s="112">
        <v>8.24</v>
      </c>
      <c r="J16" s="112">
        <v>0.2</v>
      </c>
      <c r="K16" s="112">
        <v>211.58</v>
      </c>
      <c r="L16" s="112">
        <v>29.9</v>
      </c>
      <c r="M16" s="112">
        <v>58.19</v>
      </c>
      <c r="N16" s="112">
        <v>0</v>
      </c>
      <c r="O16" s="112">
        <v>0</v>
      </c>
      <c r="P16" s="112">
        <v>0.83</v>
      </c>
      <c r="Q16" s="167" t="s">
        <v>14</v>
      </c>
    </row>
    <row r="17" spans="1:17" customFormat="1">
      <c r="A17" s="80">
        <v>45413.09375</v>
      </c>
      <c r="B17" s="112">
        <v>11.27</v>
      </c>
      <c r="C17" s="112">
        <v>13.27</v>
      </c>
      <c r="D17" s="112">
        <v>25.12</v>
      </c>
      <c r="E17" s="112">
        <v>8.7200000000000006</v>
      </c>
      <c r="F17" s="112">
        <v>4.8600000000000003</v>
      </c>
      <c r="G17" s="112">
        <v>66.260000000000005</v>
      </c>
      <c r="H17" s="112">
        <v>26.39</v>
      </c>
      <c r="I17" s="112">
        <v>8.09</v>
      </c>
      <c r="J17" s="112">
        <v>0.22</v>
      </c>
      <c r="K17" s="112">
        <v>194.76</v>
      </c>
      <c r="L17" s="112">
        <v>30.04</v>
      </c>
      <c r="M17" s="112">
        <v>56.17</v>
      </c>
      <c r="N17" s="112">
        <v>0</v>
      </c>
      <c r="O17" s="112">
        <v>0</v>
      </c>
      <c r="P17" s="112">
        <v>0.82</v>
      </c>
      <c r="Q17" s="167" t="s">
        <v>14</v>
      </c>
    </row>
    <row r="18" spans="1:17" customFormat="1">
      <c r="A18" s="80">
        <v>45413.104166666664</v>
      </c>
      <c r="B18" s="112">
        <v>11.3</v>
      </c>
      <c r="C18" s="112">
        <v>13.23</v>
      </c>
      <c r="D18" s="112">
        <v>25.11</v>
      </c>
      <c r="E18" s="112">
        <v>9.83</v>
      </c>
      <c r="F18" s="112">
        <v>1.21</v>
      </c>
      <c r="G18" s="112">
        <v>65.510000000000005</v>
      </c>
      <c r="H18" s="112">
        <v>26.39</v>
      </c>
      <c r="I18" s="112">
        <v>8.15</v>
      </c>
      <c r="J18" s="112">
        <v>0.24</v>
      </c>
      <c r="K18" s="112">
        <v>181.19</v>
      </c>
      <c r="L18" s="112">
        <v>29.85</v>
      </c>
      <c r="M18" s="112">
        <v>59.05</v>
      </c>
      <c r="N18" s="112">
        <v>0</v>
      </c>
      <c r="O18" s="112">
        <v>0</v>
      </c>
      <c r="P18" s="112">
        <v>0.82</v>
      </c>
      <c r="Q18" s="167" t="s">
        <v>14</v>
      </c>
    </row>
    <row r="19" spans="1:17" customFormat="1">
      <c r="A19" s="80">
        <v>45413.114583333336</v>
      </c>
      <c r="B19" s="112">
        <v>11.28</v>
      </c>
      <c r="C19" s="112">
        <v>13.19</v>
      </c>
      <c r="D19" s="112">
        <v>25.08</v>
      </c>
      <c r="E19" s="112">
        <v>10.06</v>
      </c>
      <c r="F19" s="112">
        <v>1.03</v>
      </c>
      <c r="G19" s="112">
        <v>65.510000000000005</v>
      </c>
      <c r="H19" s="112">
        <v>26.39</v>
      </c>
      <c r="I19" s="112">
        <v>8.09</v>
      </c>
      <c r="J19" s="112">
        <v>0.19</v>
      </c>
      <c r="K19" s="112">
        <v>195.72</v>
      </c>
      <c r="L19" s="112">
        <v>29.15</v>
      </c>
      <c r="M19" s="112">
        <v>61.16</v>
      </c>
      <c r="N19" s="112">
        <v>0</v>
      </c>
      <c r="O19" s="112">
        <v>0</v>
      </c>
      <c r="P19" s="112">
        <v>0.81</v>
      </c>
      <c r="Q19" s="167" t="s">
        <v>14</v>
      </c>
    </row>
    <row r="20" spans="1:17" customFormat="1">
      <c r="A20" s="80">
        <v>45413.125</v>
      </c>
      <c r="B20" s="112">
        <v>11.27</v>
      </c>
      <c r="C20" s="112">
        <v>13.17</v>
      </c>
      <c r="D20" s="112">
        <v>25.06</v>
      </c>
      <c r="E20" s="112">
        <v>9.7200000000000006</v>
      </c>
      <c r="F20" s="112">
        <v>1.03</v>
      </c>
      <c r="G20" s="112">
        <v>65.510000000000005</v>
      </c>
      <c r="H20" s="112">
        <v>26.39</v>
      </c>
      <c r="I20" s="112">
        <v>8.1999999999999993</v>
      </c>
      <c r="J20" s="112">
        <v>0.23</v>
      </c>
      <c r="K20" s="112">
        <v>190.98</v>
      </c>
      <c r="L20" s="112">
        <v>29.12</v>
      </c>
      <c r="M20" s="112">
        <v>61.94</v>
      </c>
      <c r="N20" s="112">
        <v>0</v>
      </c>
      <c r="O20" s="112">
        <v>0</v>
      </c>
      <c r="P20" s="112">
        <v>0.8</v>
      </c>
      <c r="Q20" s="167" t="s">
        <v>14</v>
      </c>
    </row>
    <row r="21" spans="1:17" customFormat="1">
      <c r="A21" s="80">
        <v>45413.135416666664</v>
      </c>
      <c r="B21" s="112">
        <v>11.28</v>
      </c>
      <c r="C21" s="112">
        <v>13.1</v>
      </c>
      <c r="D21" s="112">
        <v>25.03</v>
      </c>
      <c r="E21" s="112">
        <v>10.26</v>
      </c>
      <c r="F21" s="112">
        <v>1.1100000000000001</v>
      </c>
      <c r="G21" s="112">
        <v>59.69</v>
      </c>
      <c r="H21" s="112">
        <v>23.68</v>
      </c>
      <c r="I21" s="112">
        <v>8.16</v>
      </c>
      <c r="J21" s="112">
        <v>0.17</v>
      </c>
      <c r="K21" s="112">
        <v>169.81</v>
      </c>
      <c r="L21" s="112">
        <v>28.91</v>
      </c>
      <c r="M21" s="112">
        <v>62.9</v>
      </c>
      <c r="N21" s="112">
        <v>0</v>
      </c>
      <c r="O21" s="112">
        <v>0</v>
      </c>
      <c r="P21" s="112">
        <v>0.79</v>
      </c>
      <c r="Q21" s="167" t="s">
        <v>14</v>
      </c>
    </row>
    <row r="22" spans="1:17" customFormat="1">
      <c r="A22" s="80">
        <v>45413.145833333336</v>
      </c>
      <c r="B22" s="112">
        <v>11.31</v>
      </c>
      <c r="C22" s="112">
        <v>13.19</v>
      </c>
      <c r="D22" s="112">
        <v>25.11</v>
      </c>
      <c r="E22" s="112">
        <v>10.37</v>
      </c>
      <c r="F22" s="112">
        <v>1.03</v>
      </c>
      <c r="G22" s="112">
        <v>58.13</v>
      </c>
      <c r="H22" s="112">
        <v>23.68</v>
      </c>
      <c r="I22" s="112">
        <v>8.16</v>
      </c>
      <c r="J22" s="112">
        <v>0.15</v>
      </c>
      <c r="K22" s="112">
        <v>162.16999999999999</v>
      </c>
      <c r="L22" s="112">
        <v>28.73</v>
      </c>
      <c r="M22" s="112">
        <v>62.15</v>
      </c>
      <c r="N22" s="112">
        <v>0</v>
      </c>
      <c r="O22" s="112">
        <v>0</v>
      </c>
      <c r="P22" s="112">
        <v>0.78</v>
      </c>
      <c r="Q22" s="167" t="s">
        <v>14</v>
      </c>
    </row>
    <row r="23" spans="1:17" customFormat="1">
      <c r="A23" s="80">
        <v>45413.15625</v>
      </c>
      <c r="B23" s="112">
        <v>11.3</v>
      </c>
      <c r="C23" s="112">
        <v>13.09</v>
      </c>
      <c r="D23" s="112">
        <v>25.05</v>
      </c>
      <c r="E23" s="112">
        <v>10.42</v>
      </c>
      <c r="F23" s="112">
        <v>1</v>
      </c>
      <c r="G23" s="112">
        <v>58.13</v>
      </c>
      <c r="H23" s="112">
        <v>23.68</v>
      </c>
      <c r="I23" s="112">
        <v>8.07</v>
      </c>
      <c r="J23" s="112">
        <v>0.16</v>
      </c>
      <c r="K23" s="112">
        <v>170.69</v>
      </c>
      <c r="L23" s="112">
        <v>28.61</v>
      </c>
      <c r="M23" s="112">
        <v>62.89</v>
      </c>
      <c r="N23" s="112">
        <v>0</v>
      </c>
      <c r="O23" s="112">
        <v>0</v>
      </c>
      <c r="P23" s="112">
        <v>0.78</v>
      </c>
      <c r="Q23" s="167" t="s">
        <v>14</v>
      </c>
    </row>
    <row r="24" spans="1:17" customFormat="1">
      <c r="A24" s="80">
        <v>45413.166666666664</v>
      </c>
      <c r="B24" s="112">
        <v>11.29</v>
      </c>
      <c r="C24" s="112">
        <v>13.15</v>
      </c>
      <c r="D24" s="112">
        <v>25.07</v>
      </c>
      <c r="E24" s="112">
        <v>10.17</v>
      </c>
      <c r="F24" s="112">
        <v>1.1299999999999999</v>
      </c>
      <c r="G24" s="112">
        <v>58.13</v>
      </c>
      <c r="H24" s="112">
        <v>23.68</v>
      </c>
      <c r="I24" s="112">
        <v>8.15</v>
      </c>
      <c r="J24" s="112">
        <v>0.13</v>
      </c>
      <c r="K24" s="112">
        <v>152.80000000000001</v>
      </c>
      <c r="L24" s="112">
        <v>28.48</v>
      </c>
      <c r="M24" s="112">
        <v>66.98</v>
      </c>
      <c r="N24" s="112">
        <v>0</v>
      </c>
      <c r="O24" s="112">
        <v>0</v>
      </c>
      <c r="P24" s="112">
        <v>0.79</v>
      </c>
      <c r="Q24" s="167" t="s">
        <v>14</v>
      </c>
    </row>
    <row r="25" spans="1:17" customFormat="1">
      <c r="A25" s="80">
        <v>45413.177083333336</v>
      </c>
      <c r="B25" s="112">
        <v>11.26</v>
      </c>
      <c r="C25" s="112">
        <v>13.14</v>
      </c>
      <c r="D25" s="112">
        <v>25.04</v>
      </c>
      <c r="E25" s="112">
        <v>10.57</v>
      </c>
      <c r="F25" s="112">
        <v>3.09</v>
      </c>
      <c r="G25" s="112">
        <v>56.33</v>
      </c>
      <c r="H25" s="112">
        <v>23.64</v>
      </c>
      <c r="I25" s="112">
        <v>8.19</v>
      </c>
      <c r="J25" s="112">
        <v>0.14000000000000001</v>
      </c>
      <c r="K25" s="112">
        <v>167.52</v>
      </c>
      <c r="L25" s="112">
        <v>28.55</v>
      </c>
      <c r="M25" s="112">
        <v>66.290000000000006</v>
      </c>
      <c r="N25" s="112">
        <v>0</v>
      </c>
      <c r="O25" s="112">
        <v>0</v>
      </c>
      <c r="P25" s="112">
        <v>0.77</v>
      </c>
      <c r="Q25" s="167" t="s">
        <v>14</v>
      </c>
    </row>
    <row r="26" spans="1:17" customFormat="1">
      <c r="A26" s="80">
        <v>45413.1875</v>
      </c>
      <c r="B26" s="112">
        <v>11.23</v>
      </c>
      <c r="C26" s="112">
        <v>13.11</v>
      </c>
      <c r="D26" s="112">
        <v>25</v>
      </c>
      <c r="E26" s="112">
        <v>10.82</v>
      </c>
      <c r="F26" s="112">
        <v>9.5</v>
      </c>
      <c r="G26" s="112">
        <v>55.84</v>
      </c>
      <c r="H26" s="112">
        <v>23.64</v>
      </c>
      <c r="I26" s="112">
        <v>8.17</v>
      </c>
      <c r="J26" s="112">
        <v>0.18</v>
      </c>
      <c r="K26" s="112">
        <v>169.52</v>
      </c>
      <c r="L26" s="112">
        <v>28.11</v>
      </c>
      <c r="M26" s="112">
        <v>65.650000000000006</v>
      </c>
      <c r="N26" s="112">
        <v>0</v>
      </c>
      <c r="O26" s="112">
        <v>0</v>
      </c>
      <c r="P26" s="112">
        <v>0.73</v>
      </c>
      <c r="Q26" s="167" t="s">
        <v>14</v>
      </c>
    </row>
    <row r="27" spans="1:17" customFormat="1">
      <c r="A27" s="80">
        <v>45413.197916666664</v>
      </c>
      <c r="B27" s="112">
        <v>11.25</v>
      </c>
      <c r="C27" s="112">
        <v>13.12</v>
      </c>
      <c r="D27" s="112">
        <v>25.02</v>
      </c>
      <c r="E27" s="112">
        <v>12.22</v>
      </c>
      <c r="F27" s="112">
        <v>14.92</v>
      </c>
      <c r="G27" s="112">
        <v>55.84</v>
      </c>
      <c r="H27" s="112">
        <v>23.64</v>
      </c>
      <c r="I27" s="112">
        <v>8.14</v>
      </c>
      <c r="J27" s="112">
        <v>0.19</v>
      </c>
      <c r="K27" s="112">
        <v>178.26</v>
      </c>
      <c r="L27" s="112">
        <v>27.68</v>
      </c>
      <c r="M27" s="112">
        <v>65.31</v>
      </c>
      <c r="N27" s="112">
        <v>0</v>
      </c>
      <c r="O27" s="112">
        <v>0</v>
      </c>
      <c r="P27" s="112">
        <v>0.7</v>
      </c>
      <c r="Q27" s="167" t="s">
        <v>14</v>
      </c>
    </row>
    <row r="28" spans="1:17" customFormat="1">
      <c r="A28" s="80">
        <v>45413.208333333336</v>
      </c>
      <c r="B28" s="112">
        <v>11.29</v>
      </c>
      <c r="C28" s="112">
        <v>13.07</v>
      </c>
      <c r="D28" s="112">
        <v>25.02</v>
      </c>
      <c r="E28" s="112">
        <v>10.64</v>
      </c>
      <c r="F28" s="112">
        <v>17.559999999999999</v>
      </c>
      <c r="G28" s="112">
        <v>55.84</v>
      </c>
      <c r="H28" s="112">
        <v>23.64</v>
      </c>
      <c r="I28" s="112">
        <v>7.5</v>
      </c>
      <c r="J28" s="112">
        <v>0.17</v>
      </c>
      <c r="K28" s="112">
        <v>175.92</v>
      </c>
      <c r="L28" s="112">
        <v>27.84</v>
      </c>
      <c r="M28" s="112">
        <v>64.14</v>
      </c>
      <c r="N28" s="112">
        <v>0</v>
      </c>
      <c r="O28" s="112">
        <v>0</v>
      </c>
      <c r="P28" s="112">
        <v>0.67</v>
      </c>
      <c r="Q28" s="167" t="s">
        <v>14</v>
      </c>
    </row>
    <row r="29" spans="1:17" customFormat="1">
      <c r="A29" s="80">
        <v>45413.21875</v>
      </c>
      <c r="B29" s="112">
        <v>11.32</v>
      </c>
      <c r="C29" s="112">
        <v>13.09</v>
      </c>
      <c r="D29" s="112">
        <v>25.06</v>
      </c>
      <c r="E29" s="112">
        <v>11.41</v>
      </c>
      <c r="F29" s="112">
        <v>21.26</v>
      </c>
      <c r="G29" s="112">
        <v>67.75</v>
      </c>
      <c r="H29" s="112">
        <v>23.73</v>
      </c>
      <c r="I29" s="112">
        <v>7.11</v>
      </c>
      <c r="J29" s="112">
        <v>0.15</v>
      </c>
      <c r="K29" s="112">
        <v>177.07</v>
      </c>
      <c r="L29" s="112">
        <v>27.65</v>
      </c>
      <c r="M29" s="112">
        <v>64.55</v>
      </c>
      <c r="N29" s="112">
        <v>0</v>
      </c>
      <c r="O29" s="112">
        <v>0</v>
      </c>
      <c r="P29" s="112">
        <v>0.65</v>
      </c>
      <c r="Q29" s="167" t="s">
        <v>14</v>
      </c>
    </row>
    <row r="30" spans="1:17" customFormat="1">
      <c r="A30" s="80">
        <v>45413.229166666664</v>
      </c>
      <c r="B30" s="112">
        <v>11.3</v>
      </c>
      <c r="C30" s="112">
        <v>13.07</v>
      </c>
      <c r="D30" s="112">
        <v>25.04</v>
      </c>
      <c r="E30" s="112">
        <v>10.68</v>
      </c>
      <c r="F30" s="112">
        <v>16.579999999999998</v>
      </c>
      <c r="G30" s="112">
        <v>70.94</v>
      </c>
      <c r="H30" s="112">
        <v>23.73</v>
      </c>
      <c r="I30" s="112">
        <v>6.94</v>
      </c>
      <c r="J30" s="112">
        <v>0.13</v>
      </c>
      <c r="K30" s="112">
        <v>166.6</v>
      </c>
      <c r="L30" s="112">
        <v>27.43</v>
      </c>
      <c r="M30" s="112">
        <v>67.430000000000007</v>
      </c>
      <c r="N30" s="112">
        <v>0</v>
      </c>
      <c r="O30" s="112">
        <v>0</v>
      </c>
      <c r="P30" s="112">
        <v>0.65</v>
      </c>
      <c r="Q30" s="167" t="s">
        <v>14</v>
      </c>
    </row>
    <row r="31" spans="1:17" customFormat="1">
      <c r="A31" s="80">
        <v>45413.239583333336</v>
      </c>
      <c r="B31" s="112">
        <v>11.27</v>
      </c>
      <c r="C31" s="112">
        <v>13.13</v>
      </c>
      <c r="D31" s="112">
        <v>25.04</v>
      </c>
      <c r="E31" s="112">
        <v>10.130000000000001</v>
      </c>
      <c r="F31" s="112">
        <v>15.59</v>
      </c>
      <c r="G31" s="112">
        <v>70.94</v>
      </c>
      <c r="H31" s="112">
        <v>23.73</v>
      </c>
      <c r="I31" s="112">
        <v>6.74</v>
      </c>
      <c r="J31" s="112">
        <v>0.18</v>
      </c>
      <c r="K31" s="112">
        <v>162.01</v>
      </c>
      <c r="L31" s="112">
        <v>27.32</v>
      </c>
      <c r="M31" s="112">
        <v>67.11</v>
      </c>
      <c r="N31" s="112">
        <v>3.4</v>
      </c>
      <c r="O31" s="112">
        <v>0</v>
      </c>
      <c r="P31" s="112">
        <v>0.65</v>
      </c>
      <c r="Q31" s="167" t="s">
        <v>14</v>
      </c>
    </row>
    <row r="32" spans="1:17" customFormat="1">
      <c r="A32" s="80">
        <v>45413.25</v>
      </c>
      <c r="B32" s="112">
        <v>11.29</v>
      </c>
      <c r="C32" s="112">
        <v>13.13</v>
      </c>
      <c r="D32" s="112">
        <v>25.06</v>
      </c>
      <c r="E32" s="112">
        <v>10.77</v>
      </c>
      <c r="F32" s="112">
        <v>16.59</v>
      </c>
      <c r="G32" s="112">
        <v>70.94</v>
      </c>
      <c r="H32" s="112">
        <v>23.73</v>
      </c>
      <c r="I32" s="112">
        <v>6.85</v>
      </c>
      <c r="J32" s="112">
        <v>0.21</v>
      </c>
      <c r="K32" s="112">
        <v>160.33000000000001</v>
      </c>
      <c r="L32" s="112">
        <v>27.48</v>
      </c>
      <c r="M32" s="112">
        <v>67.260000000000005</v>
      </c>
      <c r="N32" s="112">
        <v>14.5</v>
      </c>
      <c r="O32" s="112">
        <v>0</v>
      </c>
      <c r="P32" s="112">
        <v>0.65</v>
      </c>
      <c r="Q32" s="167" t="s">
        <v>14</v>
      </c>
    </row>
    <row r="33" spans="1:17" customFormat="1">
      <c r="A33" s="80">
        <v>45413.260416666664</v>
      </c>
      <c r="B33" s="112">
        <v>11.32</v>
      </c>
      <c r="C33" s="112">
        <v>13.23</v>
      </c>
      <c r="D33" s="112">
        <v>25.14</v>
      </c>
      <c r="E33" s="112">
        <v>11.41</v>
      </c>
      <c r="F33" s="112">
        <v>12.76</v>
      </c>
      <c r="G33" s="112">
        <v>65.05</v>
      </c>
      <c r="H33" s="112">
        <v>20.94</v>
      </c>
      <c r="I33" s="112">
        <v>6.89</v>
      </c>
      <c r="J33" s="112">
        <v>0.14000000000000001</v>
      </c>
      <c r="K33" s="112">
        <v>195.03</v>
      </c>
      <c r="L33" s="112">
        <v>27.68</v>
      </c>
      <c r="M33" s="112">
        <v>66.88</v>
      </c>
      <c r="N33" s="112">
        <v>26.8</v>
      </c>
      <c r="O33" s="112">
        <v>0</v>
      </c>
      <c r="P33" s="112">
        <v>0.66</v>
      </c>
      <c r="Q33" s="167" t="s">
        <v>14</v>
      </c>
    </row>
    <row r="34" spans="1:17" customFormat="1">
      <c r="A34" s="80">
        <v>45413.270833333336</v>
      </c>
      <c r="B34" s="112">
        <v>11.25</v>
      </c>
      <c r="C34" s="112">
        <v>13.15</v>
      </c>
      <c r="D34" s="112">
        <v>25.04</v>
      </c>
      <c r="E34" s="112">
        <v>11.62</v>
      </c>
      <c r="F34" s="112">
        <v>17.61</v>
      </c>
      <c r="G34" s="112">
        <v>63.36</v>
      </c>
      <c r="H34" s="112">
        <v>20.94</v>
      </c>
      <c r="I34" s="112">
        <v>6.89</v>
      </c>
      <c r="J34" s="112">
        <v>0.28000000000000003</v>
      </c>
      <c r="K34" s="112">
        <v>240.67</v>
      </c>
      <c r="L34" s="112">
        <v>28.71</v>
      </c>
      <c r="M34" s="112">
        <v>60.48</v>
      </c>
      <c r="N34" s="112">
        <v>38.4</v>
      </c>
      <c r="O34" s="112">
        <v>0</v>
      </c>
      <c r="P34" s="112">
        <v>0.65</v>
      </c>
      <c r="Q34" s="167" t="s">
        <v>14</v>
      </c>
    </row>
    <row r="35" spans="1:17" customFormat="1">
      <c r="A35" s="80">
        <v>45413.28125</v>
      </c>
      <c r="B35" s="112">
        <v>11.24</v>
      </c>
      <c r="C35" s="112">
        <v>13.11</v>
      </c>
      <c r="D35" s="112">
        <v>25</v>
      </c>
      <c r="E35" s="112">
        <v>12.43</v>
      </c>
      <c r="F35" s="112">
        <v>18.21</v>
      </c>
      <c r="G35" s="112">
        <v>63.36</v>
      </c>
      <c r="H35" s="112">
        <v>20.94</v>
      </c>
      <c r="I35" s="112">
        <v>7.05</v>
      </c>
      <c r="J35" s="112">
        <v>0.42</v>
      </c>
      <c r="K35" s="112">
        <v>242.97</v>
      </c>
      <c r="L35" s="112">
        <v>29.77</v>
      </c>
      <c r="M35" s="112">
        <v>55.62</v>
      </c>
      <c r="N35" s="112">
        <v>49.5</v>
      </c>
      <c r="O35" s="112">
        <v>0</v>
      </c>
      <c r="P35" s="112">
        <v>0.64</v>
      </c>
      <c r="Q35" s="167" t="s">
        <v>14</v>
      </c>
    </row>
    <row r="36" spans="1:17" customFormat="1">
      <c r="A36" s="80">
        <v>45413.291666666664</v>
      </c>
      <c r="B36" s="112">
        <v>11.24</v>
      </c>
      <c r="C36" s="112">
        <v>13.11</v>
      </c>
      <c r="D36" s="112">
        <v>25.01</v>
      </c>
      <c r="E36" s="112">
        <v>12.78</v>
      </c>
      <c r="F36" s="112">
        <v>17.95</v>
      </c>
      <c r="G36" s="112">
        <v>63.36</v>
      </c>
      <c r="H36" s="112">
        <v>20.94</v>
      </c>
      <c r="I36" s="112">
        <v>6.82</v>
      </c>
      <c r="J36" s="112">
        <v>0.51</v>
      </c>
      <c r="K36" s="112">
        <v>243.43</v>
      </c>
      <c r="L36" s="112">
        <v>30.59</v>
      </c>
      <c r="M36" s="112">
        <v>52.41</v>
      </c>
      <c r="N36" s="112">
        <v>59.7</v>
      </c>
      <c r="O36" s="112">
        <v>0</v>
      </c>
      <c r="P36" s="112">
        <v>0.64</v>
      </c>
      <c r="Q36" s="167" t="s">
        <v>14</v>
      </c>
    </row>
    <row r="37" spans="1:17" customFormat="1">
      <c r="A37" s="80">
        <v>45413.302083333336</v>
      </c>
      <c r="B37" s="112">
        <v>11.25</v>
      </c>
      <c r="C37" s="112">
        <v>13.14</v>
      </c>
      <c r="D37" s="112">
        <v>25.03</v>
      </c>
      <c r="E37" s="112">
        <v>12.05</v>
      </c>
      <c r="F37" s="112">
        <v>15.37</v>
      </c>
      <c r="G37" s="112">
        <v>55.28</v>
      </c>
      <c r="H37" s="112">
        <v>23.05</v>
      </c>
      <c r="I37" s="112">
        <v>6.81</v>
      </c>
      <c r="J37" s="112">
        <v>0.63</v>
      </c>
      <c r="K37" s="112">
        <v>247.42</v>
      </c>
      <c r="L37" s="112">
        <v>31.12</v>
      </c>
      <c r="M37" s="112">
        <v>50.1</v>
      </c>
      <c r="N37" s="112">
        <v>68.599999999999994</v>
      </c>
      <c r="O37" s="112">
        <v>0</v>
      </c>
      <c r="P37" s="112">
        <v>0.64</v>
      </c>
      <c r="Q37" s="167" t="s">
        <v>14</v>
      </c>
    </row>
    <row r="38" spans="1:17" customFormat="1">
      <c r="A38" s="80">
        <v>45413.3125</v>
      </c>
      <c r="B38" s="112">
        <v>11.24</v>
      </c>
      <c r="C38" s="112">
        <v>13.15</v>
      </c>
      <c r="D38" s="112">
        <v>25.02</v>
      </c>
      <c r="E38" s="112">
        <v>12.6</v>
      </c>
      <c r="F38" s="112">
        <v>12.86</v>
      </c>
      <c r="G38" s="112">
        <v>53.11</v>
      </c>
      <c r="H38" s="112">
        <v>23.05</v>
      </c>
      <c r="I38" s="112">
        <v>6.79</v>
      </c>
      <c r="J38" s="112">
        <v>0.77</v>
      </c>
      <c r="K38" s="112">
        <v>254.43</v>
      </c>
      <c r="L38" s="112">
        <v>31.64</v>
      </c>
      <c r="M38" s="112">
        <v>48.35</v>
      </c>
      <c r="N38" s="112">
        <v>77.2</v>
      </c>
      <c r="O38" s="112">
        <v>0</v>
      </c>
      <c r="P38" s="112">
        <v>0.64</v>
      </c>
      <c r="Q38" s="167" t="s">
        <v>14</v>
      </c>
    </row>
    <row r="39" spans="1:17" customFormat="1">
      <c r="A39" s="80">
        <v>45413.322916666664</v>
      </c>
      <c r="B39" s="112">
        <v>11.23</v>
      </c>
      <c r="C39" s="112">
        <v>13.11</v>
      </c>
      <c r="D39" s="112">
        <v>25</v>
      </c>
      <c r="E39" s="112">
        <v>11.81</v>
      </c>
      <c r="F39" s="112">
        <v>11.07</v>
      </c>
      <c r="G39" s="112">
        <v>53.11</v>
      </c>
      <c r="H39" s="112">
        <v>23.05</v>
      </c>
      <c r="I39" s="112">
        <v>6.87</v>
      </c>
      <c r="J39" s="112">
        <v>0.84</v>
      </c>
      <c r="K39" s="112">
        <v>249.14</v>
      </c>
      <c r="L39" s="112">
        <v>32.19</v>
      </c>
      <c r="M39" s="112">
        <v>46.49</v>
      </c>
      <c r="N39" s="112">
        <v>86.5</v>
      </c>
      <c r="O39" s="112">
        <v>0</v>
      </c>
      <c r="P39" s="112">
        <v>0.62</v>
      </c>
      <c r="Q39" s="167" t="s">
        <v>14</v>
      </c>
    </row>
    <row r="40" spans="1:17" customFormat="1">
      <c r="A40" s="80">
        <v>45413.333333333336</v>
      </c>
      <c r="B40" s="112">
        <v>11.23</v>
      </c>
      <c r="C40" s="112">
        <v>13.11</v>
      </c>
      <c r="D40" s="112">
        <v>25</v>
      </c>
      <c r="E40" s="112">
        <v>10.52</v>
      </c>
      <c r="F40" s="112">
        <v>10.83</v>
      </c>
      <c r="G40" s="112">
        <v>53.11</v>
      </c>
      <c r="H40" s="112">
        <v>23.05</v>
      </c>
      <c r="I40" s="112">
        <v>6.89</v>
      </c>
      <c r="J40" s="112">
        <v>0.98</v>
      </c>
      <c r="K40" s="112">
        <v>251.61</v>
      </c>
      <c r="L40" s="112">
        <v>32.9</v>
      </c>
      <c r="M40" s="112">
        <v>44.27</v>
      </c>
      <c r="N40" s="112">
        <v>96.7</v>
      </c>
      <c r="O40" s="112">
        <v>0</v>
      </c>
      <c r="P40" s="112">
        <v>0.61</v>
      </c>
      <c r="Q40" s="167" t="s">
        <v>14</v>
      </c>
    </row>
    <row r="41" spans="1:17" customFormat="1">
      <c r="A41" s="80">
        <v>45413.34375</v>
      </c>
      <c r="B41" s="112">
        <v>11.24</v>
      </c>
      <c r="C41" s="112">
        <v>13.15</v>
      </c>
      <c r="D41" s="112">
        <v>25.03</v>
      </c>
      <c r="E41" s="112">
        <v>10.29</v>
      </c>
      <c r="F41" s="112">
        <v>11.86</v>
      </c>
      <c r="G41" s="112">
        <v>50.52</v>
      </c>
      <c r="H41" s="112">
        <v>21.01</v>
      </c>
      <c r="I41" s="112">
        <v>6.85</v>
      </c>
      <c r="J41" s="112">
        <v>1.1599999999999999</v>
      </c>
      <c r="K41" s="112">
        <v>252.05</v>
      </c>
      <c r="L41" s="112">
        <v>33.590000000000003</v>
      </c>
      <c r="M41" s="112">
        <v>42</v>
      </c>
      <c r="N41" s="112">
        <v>109.4</v>
      </c>
      <c r="O41" s="112">
        <v>0</v>
      </c>
      <c r="P41" s="112">
        <v>0.61</v>
      </c>
      <c r="Q41" s="167" t="s">
        <v>14</v>
      </c>
    </row>
    <row r="42" spans="1:17" customFormat="1">
      <c r="A42" s="80">
        <v>45413.354166666664</v>
      </c>
      <c r="B42" s="112">
        <v>11.26</v>
      </c>
      <c r="C42" s="112">
        <v>13.24</v>
      </c>
      <c r="D42" s="112">
        <v>25.09</v>
      </c>
      <c r="E42" s="112">
        <v>10.09</v>
      </c>
      <c r="F42" s="112">
        <v>12.39</v>
      </c>
      <c r="G42" s="112">
        <v>49.82</v>
      </c>
      <c r="H42" s="112">
        <v>21.01</v>
      </c>
      <c r="I42" s="112">
        <v>6.75</v>
      </c>
      <c r="J42" s="112">
        <v>0.85</v>
      </c>
      <c r="K42" s="112">
        <v>251.26</v>
      </c>
      <c r="L42" s="112">
        <v>34.28</v>
      </c>
      <c r="M42" s="112">
        <v>40.31</v>
      </c>
      <c r="N42" s="112">
        <v>145.19999999999999</v>
      </c>
      <c r="O42" s="112">
        <v>0</v>
      </c>
      <c r="P42" s="112">
        <v>0.59</v>
      </c>
      <c r="Q42" s="167" t="s">
        <v>14</v>
      </c>
    </row>
    <row r="43" spans="1:17" customFormat="1">
      <c r="A43" s="80">
        <v>45413.364583333336</v>
      </c>
      <c r="B43" s="112">
        <v>11.22</v>
      </c>
      <c r="C43" s="112">
        <v>13.16</v>
      </c>
      <c r="D43" s="112">
        <v>25.02</v>
      </c>
      <c r="E43" s="112">
        <v>11.05</v>
      </c>
      <c r="F43" s="112">
        <v>11.09</v>
      </c>
      <c r="G43" s="112">
        <v>49.82</v>
      </c>
      <c r="H43" s="112">
        <v>21.01</v>
      </c>
      <c r="I43" s="112">
        <v>6.66</v>
      </c>
      <c r="J43" s="112">
        <v>1.1399999999999999</v>
      </c>
      <c r="K43" s="112">
        <v>255.19</v>
      </c>
      <c r="L43" s="112">
        <v>34.75</v>
      </c>
      <c r="M43" s="112">
        <v>38.200000000000003</v>
      </c>
      <c r="N43" s="112">
        <v>231.9</v>
      </c>
      <c r="O43" s="112">
        <v>0</v>
      </c>
      <c r="P43" s="112">
        <v>0.59</v>
      </c>
      <c r="Q43" s="167" t="s">
        <v>14</v>
      </c>
    </row>
    <row r="44" spans="1:17" customFormat="1">
      <c r="A44" s="80">
        <v>45413.375</v>
      </c>
      <c r="B44" s="112">
        <v>11.23</v>
      </c>
      <c r="C44" s="112">
        <v>13.12</v>
      </c>
      <c r="D44" s="112">
        <v>25</v>
      </c>
      <c r="E44" s="112">
        <v>9.93</v>
      </c>
      <c r="F44" s="112">
        <v>8.16</v>
      </c>
      <c r="G44" s="112">
        <v>49.82</v>
      </c>
      <c r="H44" s="112">
        <v>21.01</v>
      </c>
      <c r="I44" s="112">
        <v>6.48</v>
      </c>
      <c r="J44" s="112">
        <v>1.06</v>
      </c>
      <c r="K44" s="112">
        <v>255.53</v>
      </c>
      <c r="L44" s="112">
        <v>35.17</v>
      </c>
      <c r="M44" s="112">
        <v>37.11</v>
      </c>
      <c r="N44" s="112">
        <v>327.2</v>
      </c>
      <c r="O44" s="112">
        <v>0</v>
      </c>
      <c r="P44" s="112">
        <v>0.59</v>
      </c>
      <c r="Q44" s="167" t="s">
        <v>14</v>
      </c>
    </row>
    <row r="45" spans="1:17" customFormat="1">
      <c r="A45" s="80">
        <v>45413.385416666664</v>
      </c>
      <c r="B45" s="112">
        <v>11.24</v>
      </c>
      <c r="C45" s="112">
        <v>13.12</v>
      </c>
      <c r="D45" s="112">
        <v>25.01</v>
      </c>
      <c r="E45" s="112">
        <v>9.8699999999999992</v>
      </c>
      <c r="F45" s="112">
        <v>9.43</v>
      </c>
      <c r="G45" s="112">
        <v>43.02</v>
      </c>
      <c r="H45" s="112">
        <v>16.47</v>
      </c>
      <c r="I45" s="112">
        <v>6.43</v>
      </c>
      <c r="J45" s="112">
        <v>1.08</v>
      </c>
      <c r="K45" s="112">
        <v>258.63</v>
      </c>
      <c r="L45" s="112">
        <v>35.81</v>
      </c>
      <c r="M45" s="112">
        <v>35.840000000000003</v>
      </c>
      <c r="N45" s="112">
        <v>210</v>
      </c>
      <c r="O45" s="112">
        <v>0</v>
      </c>
      <c r="P45" s="112">
        <v>0.57999999999999996</v>
      </c>
      <c r="Q45" s="167" t="s">
        <v>14</v>
      </c>
    </row>
    <row r="46" spans="1:17" customFormat="1">
      <c r="A46" s="80">
        <v>45413.395833333336</v>
      </c>
      <c r="B46" s="112">
        <v>11.23</v>
      </c>
      <c r="C46" s="112">
        <v>13.12</v>
      </c>
      <c r="D46" s="112">
        <v>25</v>
      </c>
      <c r="E46" s="112">
        <v>9.6</v>
      </c>
      <c r="F46" s="112">
        <v>7.27</v>
      </c>
      <c r="G46" s="112">
        <v>41.2</v>
      </c>
      <c r="H46" s="112">
        <v>16.47</v>
      </c>
      <c r="I46" s="112">
        <v>6.5</v>
      </c>
      <c r="J46" s="112">
        <v>1.42</v>
      </c>
      <c r="K46" s="112">
        <v>262.51</v>
      </c>
      <c r="L46" s="112">
        <v>36.04</v>
      </c>
      <c r="M46" s="112">
        <v>33.520000000000003</v>
      </c>
      <c r="N46" s="112">
        <v>255.2</v>
      </c>
      <c r="O46" s="112">
        <v>0</v>
      </c>
      <c r="P46" s="112">
        <v>0.56999999999999995</v>
      </c>
      <c r="Q46" s="167" t="s">
        <v>14</v>
      </c>
    </row>
    <row r="47" spans="1:17" customFormat="1">
      <c r="A47" s="80">
        <v>45413.40625</v>
      </c>
      <c r="B47" s="112">
        <v>11.22</v>
      </c>
      <c r="C47" s="112">
        <v>13.13</v>
      </c>
      <c r="D47" s="112">
        <v>25</v>
      </c>
      <c r="E47" s="112">
        <v>9.6</v>
      </c>
      <c r="F47" s="112">
        <v>8.3699999999999992</v>
      </c>
      <c r="G47" s="112">
        <v>41.2</v>
      </c>
      <c r="H47" s="112">
        <v>16.47</v>
      </c>
      <c r="I47" s="112">
        <v>6.33</v>
      </c>
      <c r="J47" s="112">
        <v>1.27</v>
      </c>
      <c r="K47" s="112">
        <v>267.91000000000003</v>
      </c>
      <c r="L47" s="112">
        <v>36.5</v>
      </c>
      <c r="M47" s="112">
        <v>32.42</v>
      </c>
      <c r="N47" s="112">
        <v>181.5</v>
      </c>
      <c r="O47" s="112">
        <v>0</v>
      </c>
      <c r="P47" s="112">
        <v>0.56000000000000005</v>
      </c>
      <c r="Q47" s="167" t="s">
        <v>14</v>
      </c>
    </row>
    <row r="48" spans="1:17" customFormat="1">
      <c r="A48" s="80">
        <v>45413.416666666664</v>
      </c>
      <c r="B48" s="112">
        <v>11.23</v>
      </c>
      <c r="C48" s="112">
        <v>13.16</v>
      </c>
      <c r="D48" s="112">
        <v>25.02</v>
      </c>
      <c r="E48" s="112">
        <v>10.27</v>
      </c>
      <c r="F48" s="112">
        <v>6.84</v>
      </c>
      <c r="G48" s="112">
        <v>41.2</v>
      </c>
      <c r="H48" s="112">
        <v>16.47</v>
      </c>
      <c r="I48" s="112">
        <v>6.3</v>
      </c>
      <c r="J48" s="112">
        <v>1.48</v>
      </c>
      <c r="K48" s="112">
        <v>267.44</v>
      </c>
      <c r="L48" s="112">
        <v>37.04</v>
      </c>
      <c r="M48" s="112">
        <v>29.58</v>
      </c>
      <c r="N48" s="112">
        <v>360.9</v>
      </c>
      <c r="O48" s="112">
        <v>0</v>
      </c>
      <c r="P48" s="112">
        <v>0.56000000000000005</v>
      </c>
      <c r="Q48" s="167" t="s">
        <v>14</v>
      </c>
    </row>
    <row r="49" spans="1:17" customFormat="1">
      <c r="A49" s="80">
        <v>45413.427083333336</v>
      </c>
      <c r="B49" s="112">
        <v>11.26</v>
      </c>
      <c r="C49" s="112">
        <v>13.17</v>
      </c>
      <c r="D49" s="112">
        <v>25.05</v>
      </c>
      <c r="E49" s="112">
        <v>12.06</v>
      </c>
      <c r="F49" s="112">
        <v>7.47</v>
      </c>
      <c r="G49" s="112">
        <v>41.6</v>
      </c>
      <c r="H49" s="112">
        <v>17.93</v>
      </c>
      <c r="I49" s="112">
        <v>6.14</v>
      </c>
      <c r="J49" s="112">
        <v>1.32</v>
      </c>
      <c r="K49" s="112">
        <v>282.14</v>
      </c>
      <c r="L49" s="112">
        <v>37.57</v>
      </c>
      <c r="M49" s="112">
        <v>28.69</v>
      </c>
      <c r="N49" s="112">
        <v>418.1</v>
      </c>
      <c r="O49" s="112">
        <v>0</v>
      </c>
      <c r="P49" s="112">
        <v>0.56000000000000005</v>
      </c>
      <c r="Q49" s="167" t="s">
        <v>14</v>
      </c>
    </row>
    <row r="50" spans="1:17" customFormat="1">
      <c r="A50" s="80">
        <v>45413.4375</v>
      </c>
      <c r="B50" s="112">
        <v>11.28</v>
      </c>
      <c r="C50" s="112">
        <v>13.14</v>
      </c>
      <c r="D50" s="112">
        <v>25.05</v>
      </c>
      <c r="E50" s="112">
        <v>15.74</v>
      </c>
      <c r="F50" s="112">
        <v>8.74</v>
      </c>
      <c r="G50" s="112">
        <v>41.71</v>
      </c>
      <c r="H50" s="112">
        <v>17.93</v>
      </c>
      <c r="I50" s="112">
        <v>6.08</v>
      </c>
      <c r="J50" s="112">
        <v>1.53</v>
      </c>
      <c r="K50" s="112">
        <v>273.41000000000003</v>
      </c>
      <c r="L50" s="112">
        <v>37.85</v>
      </c>
      <c r="M50" s="112">
        <v>24.63</v>
      </c>
      <c r="N50" s="112">
        <v>495.9</v>
      </c>
      <c r="O50" s="112">
        <v>0</v>
      </c>
      <c r="P50" s="112">
        <v>0.55000000000000004</v>
      </c>
      <c r="Q50" s="167" t="s">
        <v>14</v>
      </c>
    </row>
    <row r="51" spans="1:17" customFormat="1">
      <c r="A51" s="80">
        <v>45413.447916666664</v>
      </c>
      <c r="B51" s="112">
        <v>11.28</v>
      </c>
      <c r="C51" s="112">
        <v>13.12</v>
      </c>
      <c r="D51" s="112">
        <v>25.04</v>
      </c>
      <c r="E51" s="112">
        <v>18.37</v>
      </c>
      <c r="F51" s="112">
        <v>8.67</v>
      </c>
      <c r="G51" s="112">
        <v>41.71</v>
      </c>
      <c r="H51" s="112">
        <v>17.93</v>
      </c>
      <c r="I51" s="112">
        <v>6.17</v>
      </c>
      <c r="J51" s="112">
        <v>1.35</v>
      </c>
      <c r="K51" s="112">
        <v>263.95999999999998</v>
      </c>
      <c r="L51" s="112">
        <v>38.19</v>
      </c>
      <c r="M51" s="112">
        <v>21.77</v>
      </c>
      <c r="N51" s="112">
        <v>722.2</v>
      </c>
      <c r="O51" s="112">
        <v>0</v>
      </c>
      <c r="P51" s="112">
        <v>0.55000000000000004</v>
      </c>
      <c r="Q51" s="167" t="s">
        <v>14</v>
      </c>
    </row>
    <row r="52" spans="1:17" customFormat="1">
      <c r="A52" s="80">
        <v>45413.458333333336</v>
      </c>
      <c r="B52" s="112">
        <v>11.28</v>
      </c>
      <c r="C52" s="112">
        <v>13.13</v>
      </c>
      <c r="D52" s="112">
        <v>25.06</v>
      </c>
      <c r="E52" s="112">
        <v>17.86</v>
      </c>
      <c r="F52" s="112">
        <v>8.73</v>
      </c>
      <c r="G52" s="112">
        <v>41.71</v>
      </c>
      <c r="H52" s="112">
        <v>17.93</v>
      </c>
      <c r="I52" s="112">
        <v>6.11</v>
      </c>
      <c r="J52" s="112">
        <v>1.4</v>
      </c>
      <c r="K52" s="112">
        <v>259.73</v>
      </c>
      <c r="L52" s="112">
        <v>38.29</v>
      </c>
      <c r="M52" s="112">
        <v>22.26</v>
      </c>
      <c r="N52" s="112">
        <v>691</v>
      </c>
      <c r="O52" s="112">
        <v>0</v>
      </c>
      <c r="P52" s="112">
        <v>0.55000000000000004</v>
      </c>
      <c r="Q52" s="167" t="s">
        <v>14</v>
      </c>
    </row>
    <row r="53" spans="1:17" customFormat="1">
      <c r="A53" s="80">
        <v>45413.46875</v>
      </c>
      <c r="B53" s="112">
        <v>11.28</v>
      </c>
      <c r="C53" s="112">
        <v>13.29</v>
      </c>
      <c r="D53" s="112">
        <v>25.13</v>
      </c>
      <c r="E53" s="112">
        <v>18.899999999999999</v>
      </c>
      <c r="F53" s="112">
        <v>12.95</v>
      </c>
      <c r="G53" s="112">
        <v>50.61</v>
      </c>
      <c r="H53" s="112">
        <v>18.899999999999999</v>
      </c>
      <c r="I53" s="112">
        <v>6.26</v>
      </c>
      <c r="J53" s="112">
        <v>1.4</v>
      </c>
      <c r="K53" s="112">
        <v>265.08</v>
      </c>
      <c r="L53" s="112">
        <v>38.619999999999997</v>
      </c>
      <c r="M53" s="112">
        <v>21.06</v>
      </c>
      <c r="N53" s="112">
        <v>699.4</v>
      </c>
      <c r="O53" s="112">
        <v>0</v>
      </c>
      <c r="P53" s="112">
        <v>0.55000000000000004</v>
      </c>
      <c r="Q53" s="167" t="s">
        <v>14</v>
      </c>
    </row>
    <row r="54" spans="1:17" customFormat="1">
      <c r="A54" s="80">
        <v>45413.479166666664</v>
      </c>
      <c r="B54" s="112">
        <v>11.26</v>
      </c>
      <c r="C54" s="112">
        <v>13.18</v>
      </c>
      <c r="D54" s="112">
        <v>25.06</v>
      </c>
      <c r="E54" s="112">
        <v>18.66</v>
      </c>
      <c r="F54" s="112">
        <v>13.35</v>
      </c>
      <c r="G54" s="112">
        <v>52.99</v>
      </c>
      <c r="H54" s="112">
        <v>18.899999999999999</v>
      </c>
      <c r="I54" s="112">
        <v>6.54</v>
      </c>
      <c r="J54" s="112">
        <v>1.33</v>
      </c>
      <c r="K54" s="112">
        <v>282.11</v>
      </c>
      <c r="L54" s="112">
        <v>38.979999999999997</v>
      </c>
      <c r="M54" s="112">
        <v>19.61</v>
      </c>
      <c r="N54" s="112">
        <v>780</v>
      </c>
      <c r="O54" s="112">
        <v>0</v>
      </c>
      <c r="P54" s="112">
        <v>0.57999999999999996</v>
      </c>
      <c r="Q54" s="167" t="s">
        <v>14</v>
      </c>
    </row>
    <row r="55" spans="1:17" customFormat="1">
      <c r="A55" s="80">
        <v>45413.489583333336</v>
      </c>
      <c r="B55" s="112">
        <v>11.25</v>
      </c>
      <c r="C55" s="112">
        <v>13.13</v>
      </c>
      <c r="D55" s="112">
        <v>25.03</v>
      </c>
      <c r="E55" s="112">
        <v>19.45</v>
      </c>
      <c r="F55" s="112">
        <v>12.12</v>
      </c>
      <c r="G55" s="112">
        <v>52.99</v>
      </c>
      <c r="H55" s="112">
        <v>18.899999999999999</v>
      </c>
      <c r="I55" s="112">
        <v>7.1</v>
      </c>
      <c r="J55" s="112">
        <v>1.1499999999999999</v>
      </c>
      <c r="K55" s="112">
        <v>258.95999999999998</v>
      </c>
      <c r="L55" s="112">
        <v>39.49</v>
      </c>
      <c r="M55" s="112">
        <v>19.87</v>
      </c>
      <c r="N55" s="112">
        <v>790.1</v>
      </c>
      <c r="O55" s="112">
        <v>0</v>
      </c>
      <c r="P55" s="112">
        <v>0.56999999999999995</v>
      </c>
      <c r="Q55" s="167" t="s">
        <v>14</v>
      </c>
    </row>
    <row r="56" spans="1:17" customFormat="1">
      <c r="A56" s="80">
        <v>45413.5</v>
      </c>
      <c r="B56" s="112">
        <v>11.25</v>
      </c>
      <c r="C56" s="112">
        <v>13.15</v>
      </c>
      <c r="D56" s="112">
        <v>25.03</v>
      </c>
      <c r="E56" s="112">
        <v>22.19</v>
      </c>
      <c r="F56" s="112">
        <v>16.91</v>
      </c>
      <c r="G56" s="112">
        <v>52.99</v>
      </c>
      <c r="H56" s="112">
        <v>18.899999999999999</v>
      </c>
      <c r="I56" s="112">
        <v>7.56</v>
      </c>
      <c r="J56" s="112">
        <v>1.4</v>
      </c>
      <c r="K56" s="112">
        <v>268.83</v>
      </c>
      <c r="L56" s="112">
        <v>39.44</v>
      </c>
      <c r="M56" s="112">
        <v>20.11</v>
      </c>
      <c r="N56" s="112">
        <v>742.1</v>
      </c>
      <c r="O56" s="112">
        <v>0</v>
      </c>
      <c r="P56" s="112">
        <v>0.56999999999999995</v>
      </c>
      <c r="Q56" s="167" t="s">
        <v>14</v>
      </c>
    </row>
    <row r="57" spans="1:17" customFormat="1">
      <c r="A57" s="80">
        <v>45413.510416666664</v>
      </c>
      <c r="B57" s="112">
        <v>11.23</v>
      </c>
      <c r="C57" s="112">
        <v>13.15</v>
      </c>
      <c r="D57" s="112">
        <v>25.02</v>
      </c>
      <c r="E57" s="112">
        <v>18.98</v>
      </c>
      <c r="F57" s="112">
        <v>14.66</v>
      </c>
      <c r="G57" s="112">
        <v>54.94</v>
      </c>
      <c r="H57" s="112">
        <v>20.56</v>
      </c>
      <c r="I57" s="112">
        <v>7.47</v>
      </c>
      <c r="J57" s="112">
        <v>1.49</v>
      </c>
      <c r="K57" s="112">
        <v>275.62</v>
      </c>
      <c r="L57" s="112">
        <v>39.35</v>
      </c>
      <c r="M57" s="112">
        <v>21.38</v>
      </c>
      <c r="N57" s="112">
        <v>746.1</v>
      </c>
      <c r="O57" s="112">
        <v>0</v>
      </c>
      <c r="P57" s="112">
        <v>0.56999999999999995</v>
      </c>
      <c r="Q57" s="167" t="s">
        <v>14</v>
      </c>
    </row>
    <row r="58" spans="1:17" customFormat="1">
      <c r="A58" s="80">
        <v>45413.520833333336</v>
      </c>
      <c r="B58" s="112">
        <v>11.23</v>
      </c>
      <c r="C58" s="112">
        <v>13.12</v>
      </c>
      <c r="D58" s="112">
        <v>25</v>
      </c>
      <c r="E58" s="112">
        <v>19.510000000000002</v>
      </c>
      <c r="F58" s="112">
        <v>13.96</v>
      </c>
      <c r="G58" s="112">
        <v>55.46</v>
      </c>
      <c r="H58" s="112">
        <v>20.56</v>
      </c>
      <c r="I58" s="112">
        <v>7.56</v>
      </c>
      <c r="J58" s="112">
        <v>1.22</v>
      </c>
      <c r="K58" s="112">
        <v>262.64999999999998</v>
      </c>
      <c r="L58" s="112">
        <v>39.78</v>
      </c>
      <c r="M58" s="112">
        <v>20.92</v>
      </c>
      <c r="N58" s="112">
        <v>777.6</v>
      </c>
      <c r="O58" s="112">
        <v>0</v>
      </c>
      <c r="P58" s="112">
        <v>0.56999999999999995</v>
      </c>
      <c r="Q58" s="167" t="s">
        <v>14</v>
      </c>
    </row>
    <row r="59" spans="1:17" customFormat="1">
      <c r="A59" s="80">
        <v>45413.53125</v>
      </c>
      <c r="B59" s="112">
        <v>11.21</v>
      </c>
      <c r="C59" s="112">
        <v>13.14</v>
      </c>
      <c r="D59" s="112">
        <v>25</v>
      </c>
      <c r="E59" s="112">
        <v>18.829999999999998</v>
      </c>
      <c r="F59" s="112">
        <v>16.260000000000002</v>
      </c>
      <c r="G59" s="112">
        <v>55.46</v>
      </c>
      <c r="H59" s="112">
        <v>20.56</v>
      </c>
      <c r="I59" s="112">
        <v>7.68</v>
      </c>
      <c r="J59" s="112">
        <v>1.24</v>
      </c>
      <c r="K59" s="112">
        <v>277.17</v>
      </c>
      <c r="L59" s="112">
        <v>39.83</v>
      </c>
      <c r="M59" s="112">
        <v>20.38</v>
      </c>
      <c r="N59" s="112">
        <v>780.4</v>
      </c>
      <c r="O59" s="112">
        <v>0</v>
      </c>
      <c r="P59" s="112">
        <v>0.57999999999999996</v>
      </c>
      <c r="Q59" s="167" t="s">
        <v>14</v>
      </c>
    </row>
    <row r="60" spans="1:17" customFormat="1">
      <c r="A60" s="80">
        <v>45413.541666666664</v>
      </c>
      <c r="B60" s="112">
        <v>11.23</v>
      </c>
      <c r="C60" s="112">
        <v>13.13</v>
      </c>
      <c r="D60" s="112">
        <v>25.01</v>
      </c>
      <c r="E60" s="112">
        <v>18.420000000000002</v>
      </c>
      <c r="F60" s="112">
        <v>14.74</v>
      </c>
      <c r="G60" s="112">
        <v>55.46</v>
      </c>
      <c r="H60" s="112">
        <v>20.56</v>
      </c>
      <c r="I60" s="112">
        <v>7.77</v>
      </c>
      <c r="J60" s="112">
        <v>1.39</v>
      </c>
      <c r="K60" s="112">
        <v>260.38</v>
      </c>
      <c r="L60" s="112">
        <v>39.93</v>
      </c>
      <c r="M60" s="112">
        <v>19.899999999999999</v>
      </c>
      <c r="N60" s="112">
        <v>783.4</v>
      </c>
      <c r="O60" s="112">
        <v>0</v>
      </c>
      <c r="P60" s="112">
        <v>0.56999999999999995</v>
      </c>
      <c r="Q60" s="167" t="s">
        <v>14</v>
      </c>
    </row>
    <row r="61" spans="1:17" customFormat="1">
      <c r="A61" s="80">
        <v>45413.552083333336</v>
      </c>
      <c r="B61" s="112">
        <v>11.24</v>
      </c>
      <c r="C61" s="112">
        <v>13.17</v>
      </c>
      <c r="D61" s="112">
        <v>25.04</v>
      </c>
      <c r="E61" s="112">
        <v>17.43</v>
      </c>
      <c r="F61" s="112">
        <v>15.96</v>
      </c>
      <c r="G61" s="112">
        <v>58.36</v>
      </c>
      <c r="H61" s="112">
        <v>21.18</v>
      </c>
      <c r="I61" s="112">
        <v>7.81</v>
      </c>
      <c r="J61" s="112">
        <v>1.3</v>
      </c>
      <c r="K61" s="112">
        <v>274.29000000000002</v>
      </c>
      <c r="L61" s="112">
        <v>40.340000000000003</v>
      </c>
      <c r="M61" s="112">
        <v>17.899999999999999</v>
      </c>
      <c r="N61" s="112">
        <v>768.4</v>
      </c>
      <c r="O61" s="112">
        <v>0</v>
      </c>
      <c r="P61" s="112">
        <v>0.56999999999999995</v>
      </c>
      <c r="Q61" s="167" t="s">
        <v>14</v>
      </c>
    </row>
    <row r="62" spans="1:17" customFormat="1">
      <c r="A62" s="80">
        <v>45413.5625</v>
      </c>
      <c r="B62" s="112">
        <v>11.22</v>
      </c>
      <c r="C62" s="112">
        <v>13.16</v>
      </c>
      <c r="D62" s="112">
        <v>25.02</v>
      </c>
      <c r="E62" s="112">
        <v>17.010000000000002</v>
      </c>
      <c r="F62" s="112">
        <v>13.79</v>
      </c>
      <c r="G62" s="112">
        <v>59.14</v>
      </c>
      <c r="H62" s="112">
        <v>21.18</v>
      </c>
      <c r="I62" s="112">
        <v>7.83</v>
      </c>
      <c r="J62" s="112">
        <v>1.52</v>
      </c>
      <c r="K62" s="112">
        <v>272.93</v>
      </c>
      <c r="L62" s="112">
        <v>40.659999999999997</v>
      </c>
      <c r="M62" s="112">
        <v>16.260000000000002</v>
      </c>
      <c r="N62" s="112">
        <v>723.7</v>
      </c>
      <c r="O62" s="112">
        <v>0</v>
      </c>
      <c r="P62" s="112">
        <v>0.56999999999999995</v>
      </c>
      <c r="Q62" s="167" t="s">
        <v>14</v>
      </c>
    </row>
    <row r="63" spans="1:17" customFormat="1">
      <c r="A63" s="80">
        <v>45413.572916666664</v>
      </c>
      <c r="B63" s="112">
        <v>11.21</v>
      </c>
      <c r="C63" s="112">
        <v>13.15</v>
      </c>
      <c r="D63" s="112">
        <v>25</v>
      </c>
      <c r="E63" s="112">
        <v>16.920000000000002</v>
      </c>
      <c r="F63" s="112">
        <v>14.44</v>
      </c>
      <c r="G63" s="112">
        <v>59.14</v>
      </c>
      <c r="H63" s="112">
        <v>21.18</v>
      </c>
      <c r="I63" s="112">
        <v>7.79</v>
      </c>
      <c r="J63" s="112">
        <v>1.33</v>
      </c>
      <c r="K63" s="112">
        <v>270.35000000000002</v>
      </c>
      <c r="L63" s="112">
        <v>40.549999999999997</v>
      </c>
      <c r="M63" s="112">
        <v>16.2</v>
      </c>
      <c r="N63" s="112">
        <v>667</v>
      </c>
      <c r="O63" s="112">
        <v>0</v>
      </c>
      <c r="P63" s="112">
        <v>0.56999999999999995</v>
      </c>
      <c r="Q63" s="167" t="s">
        <v>14</v>
      </c>
    </row>
    <row r="64" spans="1:17" customFormat="1">
      <c r="A64" s="80">
        <v>45413.583333333336</v>
      </c>
      <c r="B64" s="112">
        <v>11.2</v>
      </c>
      <c r="C64" s="112">
        <v>13.17</v>
      </c>
      <c r="D64" s="112">
        <v>25</v>
      </c>
      <c r="E64" s="112">
        <v>20.34</v>
      </c>
      <c r="F64" s="112">
        <v>22.21</v>
      </c>
      <c r="G64" s="112">
        <v>59.14</v>
      </c>
      <c r="H64" s="112">
        <v>21.18</v>
      </c>
      <c r="I64" s="112">
        <v>7.8</v>
      </c>
      <c r="J64" s="112">
        <v>1.34</v>
      </c>
      <c r="K64" s="112">
        <v>274.83</v>
      </c>
      <c r="L64" s="112">
        <v>40.69</v>
      </c>
      <c r="M64" s="112">
        <v>16.09</v>
      </c>
      <c r="N64" s="112">
        <v>682.6</v>
      </c>
      <c r="O64" s="112">
        <v>0</v>
      </c>
      <c r="P64" s="112">
        <v>0.56999999999999995</v>
      </c>
      <c r="Q64" s="167" t="s">
        <v>14</v>
      </c>
    </row>
    <row r="65" spans="1:17" customFormat="1">
      <c r="A65" s="80">
        <v>45413.59375</v>
      </c>
      <c r="B65" s="112">
        <v>11.22</v>
      </c>
      <c r="C65" s="112">
        <v>13.13</v>
      </c>
      <c r="D65" s="112">
        <v>25</v>
      </c>
      <c r="E65" s="112">
        <v>21.19</v>
      </c>
      <c r="F65" s="112">
        <v>27.51</v>
      </c>
      <c r="G65" s="112">
        <v>60.77</v>
      </c>
      <c r="H65" s="112">
        <v>20.25</v>
      </c>
      <c r="I65" s="112">
        <v>7.69</v>
      </c>
      <c r="J65" s="112">
        <v>1.3</v>
      </c>
      <c r="K65" s="112">
        <v>266.95</v>
      </c>
      <c r="L65" s="112">
        <v>40.67</v>
      </c>
      <c r="M65" s="112">
        <v>16.21</v>
      </c>
      <c r="N65" s="112">
        <v>691.4</v>
      </c>
      <c r="O65" s="112">
        <v>0</v>
      </c>
      <c r="P65" s="112">
        <v>0.57999999999999996</v>
      </c>
      <c r="Q65" s="167" t="s">
        <v>14</v>
      </c>
    </row>
    <row r="66" spans="1:17" customFormat="1">
      <c r="A66" s="80">
        <v>45413.604166666664</v>
      </c>
      <c r="B66" s="112">
        <v>11.27</v>
      </c>
      <c r="C66" s="112">
        <v>13.09</v>
      </c>
      <c r="D66" s="112">
        <v>25.02</v>
      </c>
      <c r="E66" s="112">
        <v>21.02</v>
      </c>
      <c r="F66" s="112">
        <v>22.2</v>
      </c>
      <c r="G66" s="112">
        <v>61.21</v>
      </c>
      <c r="H66" s="112">
        <v>20.25</v>
      </c>
      <c r="I66" s="112">
        <v>7.53</v>
      </c>
      <c r="J66" s="112">
        <v>1.17</v>
      </c>
      <c r="K66" s="112">
        <v>264</v>
      </c>
      <c r="L66" s="112">
        <v>40.64</v>
      </c>
      <c r="M66" s="112">
        <v>16.989999999999998</v>
      </c>
      <c r="N66" s="112">
        <v>650.79999999999995</v>
      </c>
      <c r="O66" s="112">
        <v>0</v>
      </c>
      <c r="P66" s="112">
        <v>0.56999999999999995</v>
      </c>
      <c r="Q66" s="167" t="s">
        <v>14</v>
      </c>
    </row>
    <row r="67" spans="1:17" customFormat="1">
      <c r="A67" s="80">
        <v>45413.614583333336</v>
      </c>
      <c r="B67" s="112">
        <v>11.32</v>
      </c>
      <c r="C67" s="112">
        <v>13.08</v>
      </c>
      <c r="D67" s="112">
        <v>25.05</v>
      </c>
      <c r="E67" s="112">
        <v>19.78</v>
      </c>
      <c r="F67" s="112">
        <v>21.77</v>
      </c>
      <c r="G67" s="112">
        <v>61.21</v>
      </c>
      <c r="H67" s="112">
        <v>20.25</v>
      </c>
      <c r="I67" s="112">
        <v>7.78</v>
      </c>
      <c r="J67" s="112">
        <v>1.06</v>
      </c>
      <c r="K67" s="112">
        <v>264.88</v>
      </c>
      <c r="L67" s="112">
        <v>40.85</v>
      </c>
      <c r="M67" s="112">
        <v>16.36</v>
      </c>
      <c r="N67" s="112">
        <v>584.5</v>
      </c>
      <c r="O67" s="112">
        <v>0</v>
      </c>
      <c r="P67" s="112">
        <v>0.57999999999999996</v>
      </c>
      <c r="Q67" s="167" t="s">
        <v>14</v>
      </c>
    </row>
    <row r="68" spans="1:17" customFormat="1">
      <c r="A68" s="80">
        <v>45413.625</v>
      </c>
      <c r="B68" s="112">
        <v>11.35</v>
      </c>
      <c r="C68" s="112">
        <v>13.13</v>
      </c>
      <c r="D68" s="112">
        <v>25.1</v>
      </c>
      <c r="E68" s="112">
        <v>17.48</v>
      </c>
      <c r="F68" s="112">
        <v>17.47</v>
      </c>
      <c r="G68" s="112">
        <v>61.21</v>
      </c>
      <c r="H68" s="112">
        <v>20.25</v>
      </c>
      <c r="I68" s="112">
        <v>7.44</v>
      </c>
      <c r="J68" s="112">
        <v>1.24</v>
      </c>
      <c r="K68" s="112">
        <v>257.35000000000002</v>
      </c>
      <c r="L68" s="112">
        <v>40.69</v>
      </c>
      <c r="M68" s="112">
        <v>14.63</v>
      </c>
      <c r="N68" s="112">
        <v>583.1</v>
      </c>
      <c r="O68" s="112">
        <v>0</v>
      </c>
      <c r="P68" s="112">
        <v>0.56999999999999995</v>
      </c>
      <c r="Q68" s="167" t="s">
        <v>14</v>
      </c>
    </row>
    <row r="69" spans="1:17" customFormat="1">
      <c r="A69" s="80">
        <v>45413.635416666664</v>
      </c>
      <c r="B69" s="112">
        <v>11.39</v>
      </c>
      <c r="C69" s="112">
        <v>13.11</v>
      </c>
      <c r="D69" s="112">
        <v>25.13</v>
      </c>
      <c r="E69" s="112">
        <v>15.81</v>
      </c>
      <c r="F69" s="112">
        <v>16.29</v>
      </c>
      <c r="G69" s="112">
        <v>54.33</v>
      </c>
      <c r="H69" s="112">
        <v>17.579999999999998</v>
      </c>
      <c r="I69" s="112">
        <v>7.43</v>
      </c>
      <c r="J69" s="112">
        <v>1.56</v>
      </c>
      <c r="K69" s="112">
        <v>261.24</v>
      </c>
      <c r="L69" s="112">
        <v>40.270000000000003</v>
      </c>
      <c r="M69" s="112">
        <v>13.85</v>
      </c>
      <c r="N69" s="112">
        <v>532.70000000000005</v>
      </c>
      <c r="O69" s="112">
        <v>0</v>
      </c>
      <c r="P69" s="112">
        <v>0.57999999999999996</v>
      </c>
      <c r="Q69" s="167" t="s">
        <v>14</v>
      </c>
    </row>
    <row r="70" spans="1:17" customFormat="1">
      <c r="A70" s="80">
        <v>45413.645833333336</v>
      </c>
      <c r="B70" s="112">
        <v>11.41</v>
      </c>
      <c r="C70" s="112">
        <v>13.13</v>
      </c>
      <c r="D70" s="112">
        <v>25.15</v>
      </c>
      <c r="E70" s="112">
        <v>15.06</v>
      </c>
      <c r="F70" s="112">
        <v>13.02</v>
      </c>
      <c r="G70" s="112">
        <v>52.49</v>
      </c>
      <c r="H70" s="112">
        <v>17.579999999999998</v>
      </c>
      <c r="I70" s="112">
        <v>7.52</v>
      </c>
      <c r="J70" s="112">
        <v>1.38</v>
      </c>
      <c r="K70" s="112">
        <v>267.22000000000003</v>
      </c>
      <c r="L70" s="112">
        <v>40.35</v>
      </c>
      <c r="M70" s="112">
        <v>14.05</v>
      </c>
      <c r="N70" s="112">
        <v>482.4</v>
      </c>
      <c r="O70" s="112">
        <v>0</v>
      </c>
      <c r="P70" s="112">
        <v>0.57999999999999996</v>
      </c>
      <c r="Q70" s="167" t="s">
        <v>14</v>
      </c>
    </row>
    <row r="71" spans="1:17" customFormat="1">
      <c r="A71" s="80">
        <v>45413.65625</v>
      </c>
      <c r="B71" s="112">
        <v>11.43</v>
      </c>
      <c r="C71" s="112">
        <v>13.12</v>
      </c>
      <c r="D71" s="112">
        <v>25.17</v>
      </c>
      <c r="E71" s="112">
        <v>14.19</v>
      </c>
      <c r="F71" s="112">
        <v>15.13</v>
      </c>
      <c r="G71" s="112">
        <v>52.49</v>
      </c>
      <c r="H71" s="112">
        <v>17.579999999999998</v>
      </c>
      <c r="I71" s="112">
        <v>7.57</v>
      </c>
      <c r="J71" s="112">
        <v>1.48</v>
      </c>
      <c r="K71" s="112">
        <v>268.17</v>
      </c>
      <c r="L71" s="112">
        <v>40.22</v>
      </c>
      <c r="M71" s="112">
        <v>13.94</v>
      </c>
      <c r="N71" s="112">
        <v>443.1</v>
      </c>
      <c r="O71" s="112">
        <v>0</v>
      </c>
      <c r="P71" s="112">
        <v>0.56999999999999995</v>
      </c>
      <c r="Q71" s="167" t="s">
        <v>14</v>
      </c>
    </row>
    <row r="72" spans="1:17" customFormat="1">
      <c r="A72" s="80">
        <v>45413.666666666664</v>
      </c>
      <c r="B72" s="112">
        <v>11.46</v>
      </c>
      <c r="C72" s="112">
        <v>13.31</v>
      </c>
      <c r="D72" s="112">
        <v>25.29</v>
      </c>
      <c r="E72" s="112">
        <v>14.89</v>
      </c>
      <c r="F72" s="112">
        <v>18.09</v>
      </c>
      <c r="G72" s="112">
        <v>52.49</v>
      </c>
      <c r="H72" s="112">
        <v>17.579999999999998</v>
      </c>
      <c r="I72" s="112">
        <v>7.52</v>
      </c>
      <c r="J72" s="112">
        <v>1.25</v>
      </c>
      <c r="K72" s="112">
        <v>267.68</v>
      </c>
      <c r="L72" s="112">
        <v>39.93</v>
      </c>
      <c r="M72" s="112">
        <v>14.56</v>
      </c>
      <c r="N72" s="112">
        <v>384.6</v>
      </c>
      <c r="O72" s="112">
        <v>0</v>
      </c>
      <c r="P72" s="112">
        <v>0.56000000000000005</v>
      </c>
      <c r="Q72" s="167" t="s">
        <v>14</v>
      </c>
    </row>
    <row r="73" spans="1:17" customFormat="1">
      <c r="A73" s="80">
        <v>45413.677083333336</v>
      </c>
      <c r="B73" s="112">
        <v>11.45</v>
      </c>
      <c r="C73" s="112">
        <v>13.35</v>
      </c>
      <c r="D73" s="112">
        <v>25.3</v>
      </c>
      <c r="E73" s="112">
        <v>16.02</v>
      </c>
      <c r="F73" s="112">
        <v>21.03</v>
      </c>
      <c r="G73" s="112">
        <v>63.35</v>
      </c>
      <c r="H73" s="112">
        <v>17.13</v>
      </c>
      <c r="I73" s="112">
        <v>7.37</v>
      </c>
      <c r="J73" s="112">
        <v>1.31</v>
      </c>
      <c r="K73" s="112">
        <v>266.61</v>
      </c>
      <c r="L73" s="112">
        <v>39.85</v>
      </c>
      <c r="M73" s="112">
        <v>14.83</v>
      </c>
      <c r="N73" s="112">
        <v>320.5</v>
      </c>
      <c r="O73" s="112">
        <v>0</v>
      </c>
      <c r="P73" s="112">
        <v>0.54</v>
      </c>
      <c r="Q73" s="167" t="s">
        <v>14</v>
      </c>
    </row>
    <row r="74" spans="1:17" customFormat="1">
      <c r="A74" s="80">
        <v>45413.6875</v>
      </c>
      <c r="B74" s="112">
        <v>11.4</v>
      </c>
      <c r="C74" s="112">
        <v>13.19</v>
      </c>
      <c r="D74" s="112">
        <v>25.17</v>
      </c>
      <c r="E74" s="112">
        <v>14.52</v>
      </c>
      <c r="F74" s="112">
        <v>16.88</v>
      </c>
      <c r="G74" s="112">
        <v>66.260000000000005</v>
      </c>
      <c r="H74" s="112">
        <v>17.13</v>
      </c>
      <c r="I74" s="112">
        <v>7.15</v>
      </c>
      <c r="J74" s="112">
        <v>1.52</v>
      </c>
      <c r="K74" s="112">
        <v>275.05</v>
      </c>
      <c r="L74" s="112">
        <v>39.46</v>
      </c>
      <c r="M74" s="112">
        <v>14.82</v>
      </c>
      <c r="N74" s="112">
        <v>249</v>
      </c>
      <c r="O74" s="112">
        <v>0</v>
      </c>
      <c r="P74" s="112">
        <v>0.55000000000000004</v>
      </c>
      <c r="Q74" s="167" t="s">
        <v>14</v>
      </c>
    </row>
    <row r="75" spans="1:17" customFormat="1">
      <c r="A75" s="80">
        <v>45413.697916666664</v>
      </c>
      <c r="B75" s="112">
        <v>11.41</v>
      </c>
      <c r="C75" s="112">
        <v>13.13</v>
      </c>
      <c r="D75" s="112">
        <v>25.15</v>
      </c>
      <c r="E75" s="112">
        <v>12.11</v>
      </c>
      <c r="F75" s="112">
        <v>13.42</v>
      </c>
      <c r="G75" s="112">
        <v>66.260000000000005</v>
      </c>
      <c r="H75" s="112">
        <v>17.13</v>
      </c>
      <c r="I75" s="112">
        <v>6.87</v>
      </c>
      <c r="J75" s="112">
        <v>1.41</v>
      </c>
      <c r="K75" s="112">
        <v>289.69</v>
      </c>
      <c r="L75" s="112">
        <v>39.32</v>
      </c>
      <c r="M75" s="112">
        <v>14.49</v>
      </c>
      <c r="N75" s="112">
        <v>152.69999999999999</v>
      </c>
      <c r="O75" s="112">
        <v>0</v>
      </c>
      <c r="P75" s="112">
        <v>0.53</v>
      </c>
      <c r="Q75" s="167" t="s">
        <v>14</v>
      </c>
    </row>
    <row r="76" spans="1:17" customFormat="1">
      <c r="A76" s="80">
        <v>45413.708333333336</v>
      </c>
      <c r="B76" s="112">
        <v>11.41</v>
      </c>
      <c r="C76" s="112">
        <v>13.1</v>
      </c>
      <c r="D76" s="112">
        <v>25.14</v>
      </c>
      <c r="E76" s="112">
        <v>12.43</v>
      </c>
      <c r="F76" s="112">
        <v>12.06</v>
      </c>
      <c r="G76" s="112">
        <v>66.260000000000005</v>
      </c>
      <c r="H76" s="112">
        <v>17.13</v>
      </c>
      <c r="I76" s="112">
        <v>6.86</v>
      </c>
      <c r="J76" s="112">
        <v>1.77</v>
      </c>
      <c r="K76" s="112">
        <v>299</v>
      </c>
      <c r="L76" s="112">
        <v>38.93</v>
      </c>
      <c r="M76" s="112">
        <v>14.65</v>
      </c>
      <c r="N76" s="112">
        <v>122.2</v>
      </c>
      <c r="O76" s="112">
        <v>0</v>
      </c>
      <c r="P76" s="112">
        <v>0.53</v>
      </c>
      <c r="Q76" s="167" t="s">
        <v>14</v>
      </c>
    </row>
    <row r="77" spans="1:17" customFormat="1">
      <c r="A77" s="80">
        <v>45413.71875</v>
      </c>
      <c r="B77" s="112">
        <v>11.41</v>
      </c>
      <c r="C77" s="112">
        <v>13.15</v>
      </c>
      <c r="D77" s="112">
        <v>25.16</v>
      </c>
      <c r="E77" s="112">
        <v>12.24</v>
      </c>
      <c r="F77" s="112">
        <v>12.81</v>
      </c>
      <c r="G77" s="112">
        <v>61.28</v>
      </c>
      <c r="H77" s="112">
        <v>19.649999999999999</v>
      </c>
      <c r="I77" s="112">
        <v>6.53</v>
      </c>
      <c r="J77" s="112">
        <v>1.88</v>
      </c>
      <c r="K77" s="112">
        <v>300.26</v>
      </c>
      <c r="L77" s="112">
        <v>38.57</v>
      </c>
      <c r="M77" s="112">
        <v>14.48</v>
      </c>
      <c r="N77" s="112">
        <v>109.6</v>
      </c>
      <c r="O77" s="112">
        <v>0</v>
      </c>
      <c r="P77" s="112">
        <v>0.52</v>
      </c>
      <c r="Q77" s="167" t="s">
        <v>14</v>
      </c>
    </row>
    <row r="78" spans="1:17" customFormat="1">
      <c r="A78" s="80">
        <v>45413.729166666664</v>
      </c>
      <c r="B78" s="112">
        <v>11.39</v>
      </c>
      <c r="C78" s="112">
        <v>13.12</v>
      </c>
      <c r="D78" s="112">
        <v>25.13</v>
      </c>
      <c r="E78" s="112">
        <v>11.47</v>
      </c>
      <c r="F78" s="112">
        <v>9.9600000000000009</v>
      </c>
      <c r="G78" s="112">
        <v>59.95</v>
      </c>
      <c r="H78" s="112">
        <v>19.649999999999999</v>
      </c>
      <c r="I78" s="112">
        <v>6.45</v>
      </c>
      <c r="J78" s="112">
        <v>1.96</v>
      </c>
      <c r="K78" s="112">
        <v>297.54000000000002</v>
      </c>
      <c r="L78" s="112">
        <v>38.26</v>
      </c>
      <c r="M78" s="112">
        <v>14.33</v>
      </c>
      <c r="N78" s="112">
        <v>78.400000000000006</v>
      </c>
      <c r="O78" s="112">
        <v>0</v>
      </c>
      <c r="P78" s="112">
        <v>0.51</v>
      </c>
      <c r="Q78" s="167" t="s">
        <v>14</v>
      </c>
    </row>
    <row r="79" spans="1:17" customFormat="1">
      <c r="A79" s="80">
        <v>45413.739583333336</v>
      </c>
      <c r="B79" s="112">
        <v>11.39</v>
      </c>
      <c r="C79" s="112">
        <v>13.14</v>
      </c>
      <c r="D79" s="112">
        <v>25.14</v>
      </c>
      <c r="E79" s="112">
        <v>11.09</v>
      </c>
      <c r="F79" s="112">
        <v>10.38</v>
      </c>
      <c r="G79" s="112">
        <v>59.95</v>
      </c>
      <c r="H79" s="112">
        <v>19.649999999999999</v>
      </c>
      <c r="I79" s="112">
        <v>6.27</v>
      </c>
      <c r="J79" s="112">
        <v>1.79</v>
      </c>
      <c r="K79" s="112">
        <v>292.73</v>
      </c>
      <c r="L79" s="112">
        <v>37.82</v>
      </c>
      <c r="M79" s="112">
        <v>14.62</v>
      </c>
      <c r="N79" s="112">
        <v>45.4</v>
      </c>
      <c r="O79" s="112">
        <v>0</v>
      </c>
      <c r="P79" s="112">
        <v>0.51</v>
      </c>
      <c r="Q79" s="167" t="s">
        <v>14</v>
      </c>
    </row>
    <row r="80" spans="1:17" customFormat="1">
      <c r="A80" s="80">
        <v>45413.75</v>
      </c>
      <c r="B80" s="112">
        <v>11.39</v>
      </c>
      <c r="C80" s="112">
        <v>13.13</v>
      </c>
      <c r="D80" s="112">
        <v>25.14</v>
      </c>
      <c r="E80" s="112">
        <v>12.47</v>
      </c>
      <c r="F80" s="112">
        <v>13.47</v>
      </c>
      <c r="G80" s="112">
        <v>59.95</v>
      </c>
      <c r="H80" s="112">
        <v>19.649999999999999</v>
      </c>
      <c r="I80" s="112">
        <v>6.2</v>
      </c>
      <c r="J80" s="112">
        <v>1.53</v>
      </c>
      <c r="K80" s="112">
        <v>302</v>
      </c>
      <c r="L80" s="112">
        <v>37.479999999999997</v>
      </c>
      <c r="M80" s="112">
        <v>15.19</v>
      </c>
      <c r="N80" s="112">
        <v>14.8</v>
      </c>
      <c r="O80" s="112">
        <v>0</v>
      </c>
      <c r="P80" s="112">
        <v>0.52</v>
      </c>
      <c r="Q80" s="167" t="s">
        <v>14</v>
      </c>
    </row>
    <row r="81" spans="1:17" customFormat="1">
      <c r="A81" s="80">
        <v>45413.760416666664</v>
      </c>
      <c r="B81" s="112">
        <v>11.42</v>
      </c>
      <c r="C81" s="112">
        <v>13.11</v>
      </c>
      <c r="D81" s="112">
        <v>25.16</v>
      </c>
      <c r="E81" s="112">
        <v>14.92</v>
      </c>
      <c r="F81" s="112">
        <v>16</v>
      </c>
      <c r="G81" s="112">
        <v>59.65</v>
      </c>
      <c r="H81" s="112">
        <v>15.06</v>
      </c>
      <c r="I81" s="112">
        <v>5.99</v>
      </c>
      <c r="J81" s="112">
        <v>1.52</v>
      </c>
      <c r="K81" s="112">
        <v>298.87</v>
      </c>
      <c r="L81" s="112">
        <v>36.26</v>
      </c>
      <c r="M81" s="112">
        <v>16.3</v>
      </c>
      <c r="N81" s="112">
        <v>0.7</v>
      </c>
      <c r="O81" s="112">
        <v>0</v>
      </c>
      <c r="P81" s="112">
        <v>0.51</v>
      </c>
      <c r="Q81" s="167" t="s">
        <v>14</v>
      </c>
    </row>
    <row r="82" spans="1:17" customFormat="1">
      <c r="A82" s="80">
        <v>45413.770833333336</v>
      </c>
      <c r="B82" s="112">
        <v>11.45</v>
      </c>
      <c r="C82" s="112">
        <v>13.11</v>
      </c>
      <c r="D82" s="112">
        <v>25.18</v>
      </c>
      <c r="E82" s="112">
        <v>15.56</v>
      </c>
      <c r="F82" s="112">
        <v>8.17</v>
      </c>
      <c r="G82" s="112">
        <v>59.57</v>
      </c>
      <c r="H82" s="112">
        <v>15.06</v>
      </c>
      <c r="I82" s="112">
        <v>5.62</v>
      </c>
      <c r="J82" s="112">
        <v>1.45</v>
      </c>
      <c r="K82" s="112">
        <v>300.42</v>
      </c>
      <c r="L82" s="112">
        <v>36.65</v>
      </c>
      <c r="M82" s="112">
        <v>15.57</v>
      </c>
      <c r="N82" s="112">
        <v>0</v>
      </c>
      <c r="O82" s="112">
        <v>0</v>
      </c>
      <c r="P82" s="112">
        <v>0.51</v>
      </c>
      <c r="Q82" s="167" t="s">
        <v>14</v>
      </c>
    </row>
    <row r="83" spans="1:17" customFormat="1">
      <c r="A83" s="80">
        <v>45413.78125</v>
      </c>
      <c r="B83" s="112">
        <v>11.41</v>
      </c>
      <c r="C83" s="112">
        <v>13.1</v>
      </c>
      <c r="D83" s="112">
        <v>25.14</v>
      </c>
      <c r="E83" s="112">
        <v>14.45</v>
      </c>
      <c r="F83" s="112">
        <v>7.07</v>
      </c>
      <c r="G83" s="112">
        <v>59.57</v>
      </c>
      <c r="H83" s="112">
        <v>15.06</v>
      </c>
      <c r="I83" s="112">
        <v>5.6</v>
      </c>
      <c r="J83" s="112">
        <v>1.19</v>
      </c>
      <c r="K83" s="112">
        <v>296.14999999999998</v>
      </c>
      <c r="L83" s="112">
        <v>36.729999999999997</v>
      </c>
      <c r="M83" s="112">
        <v>15.74</v>
      </c>
      <c r="N83" s="112">
        <v>0</v>
      </c>
      <c r="O83" s="112">
        <v>0</v>
      </c>
      <c r="P83" s="112">
        <v>0.51</v>
      </c>
      <c r="Q83" s="167" t="s">
        <v>14</v>
      </c>
    </row>
    <row r="84" spans="1:17" customFormat="1">
      <c r="A84" s="80">
        <v>45413.791666666664</v>
      </c>
      <c r="B84" s="112">
        <v>11.4</v>
      </c>
      <c r="C84" s="112">
        <v>13.1</v>
      </c>
      <c r="D84" s="112">
        <v>25.13</v>
      </c>
      <c r="E84" s="112">
        <v>13.4</v>
      </c>
      <c r="F84" s="112">
        <v>9.84</v>
      </c>
      <c r="G84" s="112">
        <v>59.57</v>
      </c>
      <c r="H84" s="112">
        <v>15.06</v>
      </c>
      <c r="I84" s="112">
        <v>5.69</v>
      </c>
      <c r="J84" s="112">
        <v>1.35</v>
      </c>
      <c r="K84" s="112">
        <v>298.64999999999998</v>
      </c>
      <c r="L84" s="112">
        <v>36.880000000000003</v>
      </c>
      <c r="M84" s="112">
        <v>15.49</v>
      </c>
      <c r="N84" s="112">
        <v>0</v>
      </c>
      <c r="O84" s="112">
        <v>0</v>
      </c>
      <c r="P84" s="112">
        <v>0.52</v>
      </c>
      <c r="Q84" s="167" t="s">
        <v>14</v>
      </c>
    </row>
    <row r="85" spans="1:17" customFormat="1">
      <c r="A85" s="80">
        <v>45413.802083333336</v>
      </c>
      <c r="B85" s="112">
        <v>11.43</v>
      </c>
      <c r="C85" s="112">
        <v>13.08</v>
      </c>
      <c r="D85" s="112">
        <v>25.14</v>
      </c>
      <c r="E85" s="112">
        <v>14.74</v>
      </c>
      <c r="F85" s="112">
        <v>10.3</v>
      </c>
      <c r="G85" s="112">
        <v>56.41</v>
      </c>
      <c r="H85" s="112">
        <v>15.42</v>
      </c>
      <c r="I85" s="112">
        <v>5.68</v>
      </c>
      <c r="J85" s="112">
        <v>1.32</v>
      </c>
      <c r="K85" s="112">
        <v>299.25</v>
      </c>
      <c r="L85" s="112">
        <v>36.68</v>
      </c>
      <c r="M85" s="112">
        <v>15.75</v>
      </c>
      <c r="N85" s="112">
        <v>0</v>
      </c>
      <c r="O85" s="112">
        <v>0</v>
      </c>
      <c r="P85" s="112">
        <v>0.53</v>
      </c>
      <c r="Q85" s="167" t="s">
        <v>14</v>
      </c>
    </row>
    <row r="86" spans="1:17" customFormat="1">
      <c r="A86" s="80">
        <v>45413.8125</v>
      </c>
      <c r="B86" s="112">
        <v>11.32</v>
      </c>
      <c r="C86" s="112">
        <v>13.1</v>
      </c>
      <c r="D86" s="112">
        <v>25.07</v>
      </c>
      <c r="E86" s="112">
        <v>15.14</v>
      </c>
      <c r="F86" s="112">
        <v>7.68</v>
      </c>
      <c r="G86" s="112">
        <v>55.57</v>
      </c>
      <c r="H86" s="112">
        <v>15.42</v>
      </c>
      <c r="I86" s="112">
        <v>5.58</v>
      </c>
      <c r="J86" s="112">
        <v>1.53</v>
      </c>
      <c r="K86" s="112">
        <v>301.27999999999997</v>
      </c>
      <c r="L86" s="112">
        <v>36.6</v>
      </c>
      <c r="M86" s="112">
        <v>15.78</v>
      </c>
      <c r="N86" s="112">
        <v>0</v>
      </c>
      <c r="O86" s="112">
        <v>0</v>
      </c>
      <c r="P86" s="112">
        <v>0.53</v>
      </c>
      <c r="Q86" s="167" t="s">
        <v>14</v>
      </c>
    </row>
    <row r="87" spans="1:17" customFormat="1">
      <c r="A87" s="80">
        <v>45413.822916666664</v>
      </c>
      <c r="B87" s="112">
        <v>11.26</v>
      </c>
      <c r="C87" s="112">
        <v>13.14</v>
      </c>
      <c r="D87" s="112">
        <v>25.04</v>
      </c>
      <c r="E87" s="112">
        <v>16.05</v>
      </c>
      <c r="F87" s="112">
        <v>10.01</v>
      </c>
      <c r="G87" s="112">
        <v>55.57</v>
      </c>
      <c r="H87" s="112">
        <v>15.42</v>
      </c>
      <c r="I87" s="112">
        <v>5.5</v>
      </c>
      <c r="J87" s="112">
        <v>0.72</v>
      </c>
      <c r="K87" s="112">
        <v>281.44</v>
      </c>
      <c r="L87" s="112">
        <v>36.19</v>
      </c>
      <c r="M87" s="112">
        <v>16.78</v>
      </c>
      <c r="N87" s="112">
        <v>0</v>
      </c>
      <c r="O87" s="112">
        <v>0</v>
      </c>
      <c r="P87" s="112">
        <v>0.54</v>
      </c>
      <c r="Q87" s="167" t="s">
        <v>14</v>
      </c>
    </row>
    <row r="88" spans="1:17" customFormat="1">
      <c r="A88" s="80">
        <v>45413.833333333336</v>
      </c>
      <c r="B88" s="112">
        <v>11.22</v>
      </c>
      <c r="C88" s="112">
        <v>13.16</v>
      </c>
      <c r="D88" s="112">
        <v>25.01</v>
      </c>
      <c r="E88" s="112">
        <v>14.32</v>
      </c>
      <c r="F88" s="112">
        <v>8.9499999999999993</v>
      </c>
      <c r="G88" s="112">
        <v>55.57</v>
      </c>
      <c r="H88" s="112">
        <v>15.42</v>
      </c>
      <c r="I88" s="112">
        <v>5.51</v>
      </c>
      <c r="J88" s="112">
        <v>1.05</v>
      </c>
      <c r="K88" s="112">
        <v>282.77999999999997</v>
      </c>
      <c r="L88" s="112">
        <v>36.03</v>
      </c>
      <c r="M88" s="112">
        <v>16.95</v>
      </c>
      <c r="N88" s="112">
        <v>0</v>
      </c>
      <c r="O88" s="112">
        <v>0</v>
      </c>
      <c r="P88" s="112">
        <v>0.56000000000000005</v>
      </c>
      <c r="Q88" s="167" t="s">
        <v>14</v>
      </c>
    </row>
    <row r="89" spans="1:17" customFormat="1">
      <c r="A89" s="80">
        <v>45413.84375</v>
      </c>
      <c r="B89" s="112">
        <v>11.22</v>
      </c>
      <c r="C89" s="112">
        <v>13.2</v>
      </c>
      <c r="D89" s="112">
        <v>25.04</v>
      </c>
      <c r="E89" s="112">
        <v>13.84</v>
      </c>
      <c r="F89" s="112">
        <v>9.5500000000000007</v>
      </c>
      <c r="G89" s="112">
        <v>57.55</v>
      </c>
      <c r="H89" s="112">
        <v>16.43</v>
      </c>
      <c r="I89" s="112">
        <v>5.49</v>
      </c>
      <c r="J89" s="112">
        <v>0.87</v>
      </c>
      <c r="K89" s="112">
        <v>283.27999999999997</v>
      </c>
      <c r="L89" s="112">
        <v>35.9</v>
      </c>
      <c r="M89" s="112">
        <v>17.489999999999998</v>
      </c>
      <c r="N89" s="112">
        <v>0</v>
      </c>
      <c r="O89" s="112">
        <v>0</v>
      </c>
      <c r="P89" s="112">
        <v>0.57999999999999996</v>
      </c>
      <c r="Q89" s="167" t="s">
        <v>14</v>
      </c>
    </row>
    <row r="90" spans="1:17" customFormat="1">
      <c r="A90" s="80">
        <v>45413.854166666664</v>
      </c>
      <c r="B90" s="112">
        <v>11.24</v>
      </c>
      <c r="C90" s="112">
        <v>13.27</v>
      </c>
      <c r="D90" s="112">
        <v>25.09</v>
      </c>
      <c r="E90" s="112">
        <v>13.55</v>
      </c>
      <c r="F90" s="112">
        <v>8.24</v>
      </c>
      <c r="G90" s="112">
        <v>58.09</v>
      </c>
      <c r="H90" s="112">
        <v>16.43</v>
      </c>
      <c r="I90" s="112">
        <v>5.77</v>
      </c>
      <c r="J90" s="112">
        <v>0.81</v>
      </c>
      <c r="K90" s="112">
        <v>284.64</v>
      </c>
      <c r="L90" s="112">
        <v>35.67</v>
      </c>
      <c r="M90" s="112">
        <v>18.190000000000001</v>
      </c>
      <c r="N90" s="112">
        <v>0</v>
      </c>
      <c r="O90" s="112">
        <v>0</v>
      </c>
      <c r="P90" s="112">
        <v>0.6</v>
      </c>
      <c r="Q90" s="167" t="s">
        <v>14</v>
      </c>
    </row>
    <row r="91" spans="1:17" customFormat="1">
      <c r="A91" s="80">
        <v>45413.864583333336</v>
      </c>
      <c r="B91" s="112">
        <v>11.22</v>
      </c>
      <c r="C91" s="112">
        <v>13.13</v>
      </c>
      <c r="D91" s="112">
        <v>25</v>
      </c>
      <c r="E91" s="112">
        <v>13.61</v>
      </c>
      <c r="F91" s="112">
        <v>8.5500000000000007</v>
      </c>
      <c r="G91" s="112">
        <v>58.09</v>
      </c>
      <c r="H91" s="112">
        <v>16.43</v>
      </c>
      <c r="I91" s="112">
        <v>5.71</v>
      </c>
      <c r="J91" s="112">
        <v>0.84</v>
      </c>
      <c r="K91" s="112">
        <v>295.37</v>
      </c>
      <c r="L91" s="112">
        <v>35.56</v>
      </c>
      <c r="M91" s="112">
        <v>18.309999999999999</v>
      </c>
      <c r="N91" s="112">
        <v>0</v>
      </c>
      <c r="O91" s="112">
        <v>0</v>
      </c>
      <c r="P91" s="112">
        <v>0.62</v>
      </c>
      <c r="Q91" s="167" t="s">
        <v>14</v>
      </c>
    </row>
    <row r="92" spans="1:17" customFormat="1">
      <c r="A92" s="80">
        <v>45413.875</v>
      </c>
      <c r="B92" s="112">
        <v>11.22</v>
      </c>
      <c r="C92" s="112">
        <v>13.13</v>
      </c>
      <c r="D92" s="112">
        <v>25</v>
      </c>
      <c r="E92" s="112">
        <v>14.24</v>
      </c>
      <c r="F92" s="112">
        <v>10.37</v>
      </c>
      <c r="G92" s="112">
        <v>58.09</v>
      </c>
      <c r="H92" s="112">
        <v>16.43</v>
      </c>
      <c r="I92" s="112">
        <v>5.83</v>
      </c>
      <c r="J92" s="112">
        <v>0.89</v>
      </c>
      <c r="K92" s="112">
        <v>304.60000000000002</v>
      </c>
      <c r="L92" s="112">
        <v>35.380000000000003</v>
      </c>
      <c r="M92" s="112">
        <v>18.98</v>
      </c>
      <c r="N92" s="112">
        <v>0</v>
      </c>
      <c r="O92" s="112">
        <v>0</v>
      </c>
      <c r="P92" s="112">
        <v>0.65</v>
      </c>
      <c r="Q92" s="167" t="s">
        <v>14</v>
      </c>
    </row>
    <row r="93" spans="1:17" customFormat="1">
      <c r="A93" s="80">
        <v>45413.885416666664</v>
      </c>
      <c r="B93" s="112">
        <v>11.21</v>
      </c>
      <c r="C93" s="112">
        <v>13.15</v>
      </c>
      <c r="D93" s="112">
        <v>25.01</v>
      </c>
      <c r="E93" s="112">
        <v>13.48</v>
      </c>
      <c r="F93" s="112">
        <v>8.39</v>
      </c>
      <c r="G93" s="112">
        <v>60.71</v>
      </c>
      <c r="H93" s="112">
        <v>18.260000000000002</v>
      </c>
      <c r="I93" s="112">
        <v>5.88</v>
      </c>
      <c r="J93" s="112">
        <v>0.89</v>
      </c>
      <c r="K93" s="112">
        <v>296.01</v>
      </c>
      <c r="L93" s="112">
        <v>35.159999999999997</v>
      </c>
      <c r="M93" s="112">
        <v>19.600000000000001</v>
      </c>
      <c r="N93" s="112">
        <v>0</v>
      </c>
      <c r="O93" s="112">
        <v>0</v>
      </c>
      <c r="P93" s="112">
        <v>0.65</v>
      </c>
      <c r="Q93" s="167" t="s">
        <v>14</v>
      </c>
    </row>
    <row r="94" spans="1:17" customFormat="1">
      <c r="A94" s="80">
        <v>45413.895833333336</v>
      </c>
      <c r="B94" s="112">
        <v>11.19</v>
      </c>
      <c r="C94" s="112">
        <v>13.18</v>
      </c>
      <c r="D94" s="112">
        <v>25</v>
      </c>
      <c r="E94" s="112">
        <v>14.21</v>
      </c>
      <c r="F94" s="112">
        <v>6.35</v>
      </c>
      <c r="G94" s="112">
        <v>61.41</v>
      </c>
      <c r="H94" s="112">
        <v>18.260000000000002</v>
      </c>
      <c r="I94" s="112">
        <v>5.99</v>
      </c>
      <c r="J94" s="112">
        <v>0.84</v>
      </c>
      <c r="K94" s="112">
        <v>296.99</v>
      </c>
      <c r="L94" s="112">
        <v>34.93</v>
      </c>
      <c r="M94" s="112">
        <v>19.8</v>
      </c>
      <c r="N94" s="112">
        <v>0</v>
      </c>
      <c r="O94" s="112">
        <v>0</v>
      </c>
      <c r="P94" s="112">
        <v>0.67</v>
      </c>
      <c r="Q94" s="167" t="s">
        <v>14</v>
      </c>
    </row>
    <row r="95" spans="1:17" customFormat="1">
      <c r="A95" s="80">
        <v>45413.90625</v>
      </c>
      <c r="B95" s="112">
        <v>11.19</v>
      </c>
      <c r="C95" s="112">
        <v>13.18</v>
      </c>
      <c r="D95" s="112">
        <v>25</v>
      </c>
      <c r="E95" s="112">
        <v>13.63</v>
      </c>
      <c r="F95" s="112">
        <v>7.61</v>
      </c>
      <c r="G95" s="112">
        <v>61.41</v>
      </c>
      <c r="H95" s="112">
        <v>18.260000000000002</v>
      </c>
      <c r="I95" s="112">
        <v>6.21</v>
      </c>
      <c r="J95" s="112">
        <v>0.7</v>
      </c>
      <c r="K95" s="112">
        <v>289.2</v>
      </c>
      <c r="L95" s="112">
        <v>34.729999999999997</v>
      </c>
      <c r="M95" s="112">
        <v>20.02</v>
      </c>
      <c r="N95" s="112">
        <v>0</v>
      </c>
      <c r="O95" s="112">
        <v>0</v>
      </c>
      <c r="P95" s="112">
        <v>0.67</v>
      </c>
      <c r="Q95" s="167" t="s">
        <v>14</v>
      </c>
    </row>
    <row r="96" spans="1:17" customFormat="1">
      <c r="A96" s="80">
        <v>45413.916666666664</v>
      </c>
      <c r="B96" s="112">
        <v>11.21</v>
      </c>
      <c r="C96" s="112">
        <v>13.16</v>
      </c>
      <c r="D96" s="112">
        <v>25.01</v>
      </c>
      <c r="E96" s="112">
        <v>13.52</v>
      </c>
      <c r="F96" s="112">
        <v>7</v>
      </c>
      <c r="G96" s="112">
        <v>61.41</v>
      </c>
      <c r="H96" s="112">
        <v>18.260000000000002</v>
      </c>
      <c r="I96" s="112">
        <v>6.3</v>
      </c>
      <c r="J96" s="112">
        <v>0.66</v>
      </c>
      <c r="K96" s="112">
        <v>292.54000000000002</v>
      </c>
      <c r="L96" s="112">
        <v>34.51</v>
      </c>
      <c r="M96" s="112">
        <v>20.34</v>
      </c>
      <c r="N96" s="112">
        <v>0</v>
      </c>
      <c r="O96" s="112">
        <v>0</v>
      </c>
      <c r="P96" s="112">
        <v>0.68</v>
      </c>
      <c r="Q96" s="167" t="s">
        <v>14</v>
      </c>
    </row>
    <row r="97" spans="1:22" customFormat="1">
      <c r="A97" s="80">
        <v>45413.927083333336</v>
      </c>
      <c r="B97" s="112">
        <v>11.22</v>
      </c>
      <c r="C97" s="112">
        <v>13.13</v>
      </c>
      <c r="D97" s="112">
        <v>25</v>
      </c>
      <c r="E97" s="112">
        <v>14.51</v>
      </c>
      <c r="F97" s="112">
        <v>5.59</v>
      </c>
      <c r="G97" s="112">
        <v>64.069999999999993</v>
      </c>
      <c r="H97" s="112">
        <v>17.07</v>
      </c>
      <c r="I97" s="112">
        <v>6.26</v>
      </c>
      <c r="J97" s="112">
        <v>0.67</v>
      </c>
      <c r="K97" s="112">
        <v>293.83999999999997</v>
      </c>
      <c r="L97" s="112">
        <v>34.29</v>
      </c>
      <c r="M97" s="112">
        <v>20.59</v>
      </c>
      <c r="N97" s="112">
        <v>0</v>
      </c>
      <c r="O97" s="112">
        <v>0</v>
      </c>
      <c r="P97" s="112">
        <v>0.68</v>
      </c>
      <c r="Q97" s="167" t="s">
        <v>14</v>
      </c>
    </row>
    <row r="98" spans="1:22" customFormat="1">
      <c r="A98" s="80">
        <v>45413.9375</v>
      </c>
      <c r="B98" s="112">
        <v>11.24</v>
      </c>
      <c r="C98" s="112">
        <v>13.17</v>
      </c>
      <c r="D98" s="112">
        <v>25.03</v>
      </c>
      <c r="E98" s="112">
        <v>15.56</v>
      </c>
      <c r="F98" s="112">
        <v>7.13</v>
      </c>
      <c r="G98" s="112">
        <v>64.78</v>
      </c>
      <c r="H98" s="112">
        <v>17.07</v>
      </c>
      <c r="I98" s="112">
        <v>6.27</v>
      </c>
      <c r="J98" s="112">
        <v>0.78</v>
      </c>
      <c r="K98" s="112">
        <v>290.57</v>
      </c>
      <c r="L98" s="112">
        <v>34.229999999999997</v>
      </c>
      <c r="M98" s="112">
        <v>20.46</v>
      </c>
      <c r="N98" s="112">
        <v>0</v>
      </c>
      <c r="O98" s="112">
        <v>0</v>
      </c>
      <c r="P98" s="112">
        <v>0.68</v>
      </c>
      <c r="Q98" s="167" t="s">
        <v>14</v>
      </c>
    </row>
    <row r="99" spans="1:22" customFormat="1">
      <c r="A99" s="80">
        <v>45413.947916666664</v>
      </c>
      <c r="B99" s="112">
        <v>11.28</v>
      </c>
      <c r="C99" s="112">
        <v>13.38</v>
      </c>
      <c r="D99" s="112">
        <v>25.18</v>
      </c>
      <c r="E99" s="112">
        <v>16.670000000000002</v>
      </c>
      <c r="F99" s="112">
        <v>6.99</v>
      </c>
      <c r="G99" s="112">
        <v>64.78</v>
      </c>
      <c r="H99" s="112">
        <v>17.07</v>
      </c>
      <c r="I99" s="112">
        <v>6.27</v>
      </c>
      <c r="J99" s="112">
        <v>0.56999999999999995</v>
      </c>
      <c r="K99" s="112">
        <v>300.20999999999998</v>
      </c>
      <c r="L99" s="112">
        <v>33.950000000000003</v>
      </c>
      <c r="M99" s="112">
        <v>21.13</v>
      </c>
      <c r="N99" s="112">
        <v>0</v>
      </c>
      <c r="O99" s="112">
        <v>0</v>
      </c>
      <c r="P99" s="112">
        <v>0.68</v>
      </c>
      <c r="Q99" s="167" t="s">
        <v>14</v>
      </c>
    </row>
    <row r="100" spans="1:22" customFormat="1">
      <c r="A100" s="80">
        <v>45413.958333333336</v>
      </c>
      <c r="B100" s="112">
        <v>11.24</v>
      </c>
      <c r="C100" s="112">
        <v>13.27</v>
      </c>
      <c r="D100" s="112">
        <v>25.09</v>
      </c>
      <c r="E100" s="112">
        <v>16.86</v>
      </c>
      <c r="F100" s="112">
        <v>6.54</v>
      </c>
      <c r="G100" s="112">
        <v>64.78</v>
      </c>
      <c r="H100" s="112">
        <v>17.07</v>
      </c>
      <c r="I100" s="112">
        <v>6.41</v>
      </c>
      <c r="J100" s="112">
        <v>0.49</v>
      </c>
      <c r="K100" s="112">
        <v>276.08</v>
      </c>
      <c r="L100" s="112">
        <v>33.69</v>
      </c>
      <c r="M100" s="112">
        <v>21.78</v>
      </c>
      <c r="N100" s="112">
        <v>0</v>
      </c>
      <c r="O100" s="112">
        <v>0</v>
      </c>
      <c r="P100" s="112">
        <v>0.68</v>
      </c>
      <c r="Q100" s="167" t="s">
        <v>14</v>
      </c>
    </row>
    <row r="101" spans="1:22" customFormat="1">
      <c r="A101" s="80">
        <v>45413.96875</v>
      </c>
      <c r="B101" s="112">
        <v>11.2</v>
      </c>
      <c r="C101" s="112">
        <v>13.17</v>
      </c>
      <c r="D101" s="112">
        <v>25</v>
      </c>
      <c r="E101" s="112">
        <v>17.47</v>
      </c>
      <c r="F101" s="112">
        <v>9.8699999999999992</v>
      </c>
      <c r="G101" s="112">
        <v>66.680000000000007</v>
      </c>
      <c r="H101" s="112">
        <v>19.63</v>
      </c>
      <c r="I101" s="112">
        <v>6.43</v>
      </c>
      <c r="J101" s="112">
        <v>0.54</v>
      </c>
      <c r="K101" s="112">
        <v>250.76</v>
      </c>
      <c r="L101" s="112">
        <v>33.57</v>
      </c>
      <c r="M101" s="112">
        <v>21.71</v>
      </c>
      <c r="N101" s="112">
        <v>0</v>
      </c>
      <c r="O101" s="112">
        <v>0</v>
      </c>
      <c r="P101" s="112">
        <v>0.66</v>
      </c>
      <c r="Q101" s="167" t="s">
        <v>14</v>
      </c>
    </row>
    <row r="102" spans="1:22" customFormat="1">
      <c r="A102" s="80">
        <v>45413.979166666664</v>
      </c>
      <c r="B102" s="112">
        <v>11.2</v>
      </c>
      <c r="C102" s="112">
        <v>13.23</v>
      </c>
      <c r="D102" s="112">
        <v>25.04</v>
      </c>
      <c r="E102" s="112">
        <v>25.4</v>
      </c>
      <c r="F102" s="112">
        <v>17.23</v>
      </c>
      <c r="G102" s="112">
        <v>67.19</v>
      </c>
      <c r="H102" s="112">
        <v>19.63</v>
      </c>
      <c r="I102" s="112">
        <v>6.47</v>
      </c>
      <c r="J102" s="112">
        <v>0.32</v>
      </c>
      <c r="K102" s="112">
        <v>225.58</v>
      </c>
      <c r="L102" s="112">
        <v>32.619999999999997</v>
      </c>
      <c r="M102" s="112">
        <v>24.42</v>
      </c>
      <c r="N102" s="112">
        <v>0</v>
      </c>
      <c r="O102" s="112">
        <v>0</v>
      </c>
      <c r="P102" s="112">
        <v>0.63</v>
      </c>
      <c r="Q102" s="167" t="s">
        <v>14</v>
      </c>
    </row>
    <row r="103" spans="1:22" customFormat="1">
      <c r="A103" s="80">
        <v>45413.989583333336</v>
      </c>
      <c r="B103" s="112">
        <v>11.25</v>
      </c>
      <c r="C103" s="112">
        <v>13.19</v>
      </c>
      <c r="D103" s="112">
        <v>25.06</v>
      </c>
      <c r="E103" s="112">
        <v>24.26</v>
      </c>
      <c r="F103" s="112">
        <v>12.15</v>
      </c>
      <c r="G103" s="112">
        <v>67.19</v>
      </c>
      <c r="H103" s="112">
        <v>19.63</v>
      </c>
      <c r="I103" s="112">
        <v>6.27</v>
      </c>
      <c r="J103" s="112">
        <v>0.33</v>
      </c>
      <c r="K103" s="112">
        <v>298.17</v>
      </c>
      <c r="L103" s="112">
        <v>32.46</v>
      </c>
      <c r="M103" s="112">
        <v>24.07</v>
      </c>
      <c r="N103" s="112">
        <v>0</v>
      </c>
      <c r="O103" s="112">
        <v>0</v>
      </c>
      <c r="P103" s="112">
        <v>0.65</v>
      </c>
      <c r="Q103" s="167" t="s">
        <v>14</v>
      </c>
    </row>
    <row r="104" spans="1:22" customFormat="1">
      <c r="A104" s="80">
        <v>45414</v>
      </c>
      <c r="B104" s="112">
        <v>11.32</v>
      </c>
      <c r="C104" s="112">
        <v>13.18</v>
      </c>
      <c r="D104" s="112">
        <v>25.11</v>
      </c>
      <c r="E104" s="112">
        <v>22.14</v>
      </c>
      <c r="F104" s="112">
        <v>10.19</v>
      </c>
      <c r="G104" s="112">
        <v>67.19</v>
      </c>
      <c r="H104" s="112">
        <v>19.63</v>
      </c>
      <c r="I104" s="112">
        <v>6.03</v>
      </c>
      <c r="J104" s="112">
        <v>0.48</v>
      </c>
      <c r="K104" s="112">
        <v>288.68</v>
      </c>
      <c r="L104" s="112">
        <v>32.590000000000003</v>
      </c>
      <c r="M104" s="112">
        <v>23.61</v>
      </c>
      <c r="N104" s="112">
        <v>0</v>
      </c>
      <c r="O104" s="112">
        <v>0</v>
      </c>
      <c r="P104" s="112">
        <v>0.68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11.19</v>
      </c>
      <c r="C106" s="183">
        <f>MIN(C9:C104)</f>
        <v>13.07</v>
      </c>
      <c r="D106" s="183">
        <f t="shared" ref="D106:Q106" si="0">MIN(D9:D104)</f>
        <v>25</v>
      </c>
      <c r="E106" s="183">
        <f t="shared" si="0"/>
        <v>8.7200000000000006</v>
      </c>
      <c r="F106" s="183">
        <f t="shared" si="0"/>
        <v>1</v>
      </c>
      <c r="G106" s="183">
        <f t="shared" si="0"/>
        <v>41.2</v>
      </c>
      <c r="H106" s="183">
        <f t="shared" si="0"/>
        <v>15.06</v>
      </c>
      <c r="I106" s="183">
        <f t="shared" si="0"/>
        <v>5.49</v>
      </c>
      <c r="J106" s="183">
        <f t="shared" si="0"/>
        <v>0.13</v>
      </c>
      <c r="K106" s="183">
        <f t="shared" si="0"/>
        <v>51.19</v>
      </c>
      <c r="L106" s="183">
        <f t="shared" si="0"/>
        <v>27.32</v>
      </c>
      <c r="M106" s="183">
        <f t="shared" si="0"/>
        <v>13.85</v>
      </c>
      <c r="N106" s="183">
        <f t="shared" si="0"/>
        <v>0</v>
      </c>
      <c r="O106" s="183">
        <f t="shared" si="0"/>
        <v>0</v>
      </c>
      <c r="P106" s="183">
        <f t="shared" si="0"/>
        <v>0.51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11.46</v>
      </c>
      <c r="C107" s="184">
        <f t="shared" ref="C107:Q107" si="1">MAX(C9:C104)</f>
        <v>13.38</v>
      </c>
      <c r="D107" s="184">
        <f t="shared" si="1"/>
        <v>25.3</v>
      </c>
      <c r="E107" s="184">
        <f t="shared" si="1"/>
        <v>25.4</v>
      </c>
      <c r="F107" s="184">
        <f t="shared" si="1"/>
        <v>27.51</v>
      </c>
      <c r="G107" s="184">
        <f t="shared" si="1"/>
        <v>70.94</v>
      </c>
      <c r="H107" s="184">
        <f t="shared" si="1"/>
        <v>26.39</v>
      </c>
      <c r="I107" s="184">
        <f t="shared" si="1"/>
        <v>8.24</v>
      </c>
      <c r="J107" s="184">
        <f t="shared" si="1"/>
        <v>1.96</v>
      </c>
      <c r="K107" s="184">
        <f t="shared" si="1"/>
        <v>304.60000000000002</v>
      </c>
      <c r="L107" s="184">
        <f t="shared" si="1"/>
        <v>40.85</v>
      </c>
      <c r="M107" s="184">
        <f t="shared" si="1"/>
        <v>67.430000000000007</v>
      </c>
      <c r="N107" s="184">
        <f t="shared" si="1"/>
        <v>790.1</v>
      </c>
      <c r="O107" s="184">
        <f t="shared" si="1"/>
        <v>0</v>
      </c>
      <c r="P107" s="184">
        <f t="shared" si="1"/>
        <v>0.87</v>
      </c>
      <c r="Q107" s="184">
        <f t="shared" si="1"/>
        <v>0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11.283020833333339</v>
      </c>
      <c r="C108" s="183">
        <f t="shared" ref="C108:P108" si="2">AVERAGE(C9:C104)</f>
        <v>13.154895833333343</v>
      </c>
      <c r="D108" s="183">
        <f t="shared" si="2"/>
        <v>25.064583333333346</v>
      </c>
      <c r="E108" s="183">
        <f t="shared" si="2"/>
        <v>14.002291666666666</v>
      </c>
      <c r="F108" s="183">
        <f t="shared" si="2"/>
        <v>10.946041666666668</v>
      </c>
      <c r="G108" s="183">
        <f t="shared" si="2"/>
        <v>58.595624999999949</v>
      </c>
      <c r="H108" s="183">
        <f t="shared" si="2"/>
        <v>20.210000000000012</v>
      </c>
      <c r="I108" s="183">
        <f t="shared" si="2"/>
        <v>6.9454166666666666</v>
      </c>
      <c r="J108" s="183">
        <f t="shared" si="2"/>
        <v>0.87937500000000002</v>
      </c>
      <c r="K108" s="183">
        <f t="shared" si="2"/>
        <v>247.76354166666661</v>
      </c>
      <c r="L108" s="183">
        <f t="shared" si="2"/>
        <v>34.700625000000009</v>
      </c>
      <c r="M108" s="183">
        <f t="shared" si="2"/>
        <v>33.196041666666687</v>
      </c>
      <c r="N108" s="183">
        <f t="shared" si="2"/>
        <v>198.50520833333334</v>
      </c>
      <c r="O108" s="183">
        <f t="shared" si="2"/>
        <v>0</v>
      </c>
      <c r="P108" s="183">
        <f t="shared" si="2"/>
        <v>0.6348958333333331</v>
      </c>
      <c r="Q108" s="167" t="s">
        <v>14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7.0009319555052088E-2</v>
      </c>
      <c r="C109" s="183">
        <f t="shared" ref="C109:P109" si="3">STDEV(C9:C104)</f>
        <v>5.7838155165793922E-2</v>
      </c>
      <c r="D109" s="183">
        <f t="shared" si="3"/>
        <v>6.3889982192526867E-2</v>
      </c>
      <c r="E109" s="183">
        <f t="shared" si="3"/>
        <v>3.7473028838764622</v>
      </c>
      <c r="F109" s="183">
        <f t="shared" si="3"/>
        <v>5.6204407916979644</v>
      </c>
      <c r="G109" s="183">
        <f t="shared" si="3"/>
        <v>7.3692620229682975</v>
      </c>
      <c r="H109" s="183">
        <f t="shared" si="3"/>
        <v>3.289296197317011</v>
      </c>
      <c r="I109" s="183">
        <f t="shared" si="3"/>
        <v>0.84099179126936696</v>
      </c>
      <c r="J109" s="183">
        <f t="shared" si="3"/>
        <v>0.54054906296624416</v>
      </c>
      <c r="K109" s="183">
        <f t="shared" si="3"/>
        <v>50.215755338008286</v>
      </c>
      <c r="L109" s="183">
        <f t="shared" si="3"/>
        <v>4.3000530749477965</v>
      </c>
      <c r="M109" s="183">
        <f t="shared" si="3"/>
        <v>19.29012065003695</v>
      </c>
      <c r="N109" s="183">
        <f t="shared" si="3"/>
        <v>280.75411882240587</v>
      </c>
      <c r="O109" s="183">
        <f t="shared" si="3"/>
        <v>0</v>
      </c>
      <c r="P109" s="183">
        <f t="shared" si="3"/>
        <v>0.10153552442026696</v>
      </c>
      <c r="Q109" s="167" t="s">
        <v>14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0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Q108" sqref="Q108:Q10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45414.010416666664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45414.010416666664</v>
      </c>
      <c r="B9" s="112">
        <v>11.29</v>
      </c>
      <c r="C9" s="112">
        <v>13.09</v>
      </c>
      <c r="D9" s="112">
        <v>25.03</v>
      </c>
      <c r="E9" s="112">
        <v>25.44</v>
      </c>
      <c r="F9" s="112">
        <v>13.65</v>
      </c>
      <c r="G9" s="112">
        <v>67.989999999999995</v>
      </c>
      <c r="H9" s="112">
        <v>20.77</v>
      </c>
      <c r="I9" s="112">
        <v>6.11</v>
      </c>
      <c r="J9" s="112">
        <v>0.76</v>
      </c>
      <c r="K9" s="112">
        <v>296.56</v>
      </c>
      <c r="L9" s="112">
        <v>32.68</v>
      </c>
      <c r="M9" s="112">
        <v>22.91</v>
      </c>
      <c r="N9" s="112">
        <v>0</v>
      </c>
      <c r="O9" s="112">
        <v>0</v>
      </c>
      <c r="P9" s="112">
        <v>0.71</v>
      </c>
      <c r="Q9" s="167" t="s">
        <v>14</v>
      </c>
    </row>
    <row r="10" spans="1:21" customFormat="1">
      <c r="A10" s="80">
        <v>45414.020833333336</v>
      </c>
      <c r="B10" s="112">
        <v>11.27</v>
      </c>
      <c r="C10" s="112">
        <v>13.12</v>
      </c>
      <c r="D10" s="112">
        <v>25.04</v>
      </c>
      <c r="E10" s="112">
        <v>22.86</v>
      </c>
      <c r="F10" s="112">
        <v>13.86</v>
      </c>
      <c r="G10" s="112">
        <v>68.2</v>
      </c>
      <c r="H10" s="112">
        <v>20.77</v>
      </c>
      <c r="I10" s="112">
        <v>6.48</v>
      </c>
      <c r="J10" s="112">
        <v>0.78</v>
      </c>
      <c r="K10" s="112">
        <v>298.66000000000003</v>
      </c>
      <c r="L10" s="112">
        <v>32.61</v>
      </c>
      <c r="M10" s="112">
        <v>22.79</v>
      </c>
      <c r="N10" s="112">
        <v>0</v>
      </c>
      <c r="O10" s="112">
        <v>0</v>
      </c>
      <c r="P10" s="112">
        <v>0.71</v>
      </c>
      <c r="Q10" s="167" t="s">
        <v>14</v>
      </c>
    </row>
    <row r="11" spans="1:21" customFormat="1">
      <c r="A11" s="80">
        <v>45414.03125</v>
      </c>
      <c r="B11" s="112">
        <v>11.26</v>
      </c>
      <c r="C11" s="112">
        <v>13.1</v>
      </c>
      <c r="D11" s="112">
        <v>25.02</v>
      </c>
      <c r="E11" s="112">
        <v>25.9</v>
      </c>
      <c r="F11" s="112">
        <v>14.05</v>
      </c>
      <c r="G11" s="112">
        <v>68.2</v>
      </c>
      <c r="H11" s="112">
        <v>20.77</v>
      </c>
      <c r="I11" s="112">
        <v>6.24</v>
      </c>
      <c r="J11" s="112">
        <v>0.73</v>
      </c>
      <c r="K11" s="112">
        <v>297.91000000000003</v>
      </c>
      <c r="L11" s="112">
        <v>32.25</v>
      </c>
      <c r="M11" s="112">
        <v>23.54</v>
      </c>
      <c r="N11" s="112">
        <v>0</v>
      </c>
      <c r="O11" s="112">
        <v>0</v>
      </c>
      <c r="P11" s="112">
        <v>0.7</v>
      </c>
      <c r="Q11" s="167" t="s">
        <v>14</v>
      </c>
    </row>
    <row r="12" spans="1:21" customFormat="1">
      <c r="A12" s="80">
        <v>45414.041666666664</v>
      </c>
      <c r="B12" s="112">
        <v>11.24</v>
      </c>
      <c r="C12" s="112">
        <v>13.12</v>
      </c>
      <c r="D12" s="112">
        <v>25.01</v>
      </c>
      <c r="E12" s="112">
        <v>29.62</v>
      </c>
      <c r="F12" s="112">
        <v>11.55</v>
      </c>
      <c r="G12" s="112">
        <v>68.2</v>
      </c>
      <c r="H12" s="112">
        <v>20.77</v>
      </c>
      <c r="I12" s="112">
        <v>6.02</v>
      </c>
      <c r="J12" s="112">
        <v>1.07</v>
      </c>
      <c r="K12" s="112">
        <v>301.37</v>
      </c>
      <c r="L12" s="112">
        <v>31.97</v>
      </c>
      <c r="M12" s="112">
        <v>23.32</v>
      </c>
      <c r="N12" s="112">
        <v>0</v>
      </c>
      <c r="O12" s="112">
        <v>0</v>
      </c>
      <c r="P12" s="112">
        <v>0.68</v>
      </c>
      <c r="Q12" s="167" t="s">
        <v>14</v>
      </c>
    </row>
    <row r="13" spans="1:21" customFormat="1">
      <c r="A13" s="80">
        <v>45414.052083333336</v>
      </c>
      <c r="B13" s="112">
        <v>11.26</v>
      </c>
      <c r="C13" s="112">
        <v>13.11</v>
      </c>
      <c r="D13" s="112">
        <v>25.02</v>
      </c>
      <c r="E13" s="112">
        <v>41.08</v>
      </c>
      <c r="F13" s="112">
        <v>11.88</v>
      </c>
      <c r="G13" s="112">
        <v>68.989999999999995</v>
      </c>
      <c r="H13" s="112">
        <v>21.59</v>
      </c>
      <c r="I13" s="112">
        <v>6.06</v>
      </c>
      <c r="J13" s="112">
        <v>0.75</v>
      </c>
      <c r="K13" s="112">
        <v>302.64999999999998</v>
      </c>
      <c r="L13" s="112">
        <v>31.77</v>
      </c>
      <c r="M13" s="112">
        <v>23.38</v>
      </c>
      <c r="N13" s="112">
        <v>0</v>
      </c>
      <c r="O13" s="112">
        <v>0</v>
      </c>
      <c r="P13" s="112">
        <v>0.64</v>
      </c>
      <c r="Q13" s="167" t="s">
        <v>14</v>
      </c>
    </row>
    <row r="14" spans="1:21" customFormat="1">
      <c r="A14" s="80">
        <v>45414.0625</v>
      </c>
      <c r="B14" s="112">
        <v>11.25</v>
      </c>
      <c r="C14" s="112">
        <v>13.16</v>
      </c>
      <c r="D14" s="112">
        <v>25.04</v>
      </c>
      <c r="E14" s="112">
        <v>51.14</v>
      </c>
      <c r="F14" s="112">
        <v>11.43</v>
      </c>
      <c r="G14" s="112">
        <v>69.2</v>
      </c>
      <c r="H14" s="112">
        <v>21.59</v>
      </c>
      <c r="I14" s="112">
        <v>6.4</v>
      </c>
      <c r="J14" s="112">
        <v>0.31</v>
      </c>
      <c r="K14" s="112">
        <v>300.12</v>
      </c>
      <c r="L14" s="112">
        <v>31.31</v>
      </c>
      <c r="M14" s="112">
        <v>24.46</v>
      </c>
      <c r="N14" s="112">
        <v>0</v>
      </c>
      <c r="O14" s="112">
        <v>0</v>
      </c>
      <c r="P14" s="112">
        <v>0.65</v>
      </c>
      <c r="Q14" s="167" t="s">
        <v>14</v>
      </c>
    </row>
    <row r="15" spans="1:21" customFormat="1">
      <c r="A15" s="80">
        <v>45414.072916666664</v>
      </c>
      <c r="B15" s="112">
        <v>11.22</v>
      </c>
      <c r="C15" s="112">
        <v>13.14</v>
      </c>
      <c r="D15" s="112">
        <v>25.01</v>
      </c>
      <c r="E15" s="112">
        <v>60.02</v>
      </c>
      <c r="F15" s="112">
        <v>10.210000000000001</v>
      </c>
      <c r="G15" s="112">
        <v>69.2</v>
      </c>
      <c r="H15" s="112">
        <v>21.59</v>
      </c>
      <c r="I15" s="112">
        <v>6.49</v>
      </c>
      <c r="J15" s="112">
        <v>0.35</v>
      </c>
      <c r="K15" s="112">
        <v>299.43</v>
      </c>
      <c r="L15" s="112">
        <v>30.92</v>
      </c>
      <c r="M15" s="112">
        <v>25.17</v>
      </c>
      <c r="N15" s="112">
        <v>0</v>
      </c>
      <c r="O15" s="112">
        <v>0</v>
      </c>
      <c r="P15" s="112">
        <v>0.68</v>
      </c>
      <c r="Q15" s="167" t="s">
        <v>14</v>
      </c>
    </row>
    <row r="16" spans="1:21" customFormat="1">
      <c r="A16" s="80">
        <v>45414.083333333336</v>
      </c>
      <c r="B16" s="112">
        <v>11.22</v>
      </c>
      <c r="C16" s="112">
        <v>13.13</v>
      </c>
      <c r="D16" s="112">
        <v>25</v>
      </c>
      <c r="E16" s="112">
        <v>53.81</v>
      </c>
      <c r="F16" s="112">
        <v>7.85</v>
      </c>
      <c r="G16" s="112">
        <v>69.2</v>
      </c>
      <c r="H16" s="112">
        <v>21.59</v>
      </c>
      <c r="I16" s="112">
        <v>6.72</v>
      </c>
      <c r="J16" s="112">
        <v>0.41</v>
      </c>
      <c r="K16" s="112">
        <v>289.70999999999998</v>
      </c>
      <c r="L16" s="112">
        <v>30.7</v>
      </c>
      <c r="M16" s="112">
        <v>25.45</v>
      </c>
      <c r="N16" s="112">
        <v>0</v>
      </c>
      <c r="O16" s="112">
        <v>0</v>
      </c>
      <c r="P16" s="112">
        <v>0.64</v>
      </c>
      <c r="Q16" s="167" t="s">
        <v>14</v>
      </c>
    </row>
    <row r="17" spans="1:17" customFormat="1">
      <c r="A17" s="80">
        <v>45414.09375</v>
      </c>
      <c r="B17" s="112">
        <v>11.22</v>
      </c>
      <c r="C17" s="112">
        <v>13.14</v>
      </c>
      <c r="D17" s="112">
        <v>25.01</v>
      </c>
      <c r="E17" s="112">
        <v>55.76</v>
      </c>
      <c r="F17" s="112">
        <v>6.62</v>
      </c>
      <c r="G17" s="112">
        <v>68.62</v>
      </c>
      <c r="H17" s="112">
        <v>24.62</v>
      </c>
      <c r="I17" s="112">
        <v>7.04</v>
      </c>
      <c r="J17" s="112">
        <v>0.41</v>
      </c>
      <c r="K17" s="112">
        <v>291.05</v>
      </c>
      <c r="L17" s="112">
        <v>30.51</v>
      </c>
      <c r="M17" s="112">
        <v>25.71</v>
      </c>
      <c r="N17" s="112">
        <v>0</v>
      </c>
      <c r="O17" s="112">
        <v>0</v>
      </c>
      <c r="P17" s="112">
        <v>0.64</v>
      </c>
      <c r="Q17" s="167" t="s">
        <v>14</v>
      </c>
    </row>
    <row r="18" spans="1:17" customFormat="1">
      <c r="A18" s="80">
        <v>45414.104166666664</v>
      </c>
      <c r="B18" s="112">
        <v>11.28</v>
      </c>
      <c r="C18" s="112">
        <v>13.27</v>
      </c>
      <c r="D18" s="112">
        <v>25.13</v>
      </c>
      <c r="E18" s="112">
        <v>64.08</v>
      </c>
      <c r="F18" s="112">
        <v>5.54</v>
      </c>
      <c r="G18" s="112">
        <v>68.459999999999994</v>
      </c>
      <c r="H18" s="112">
        <v>24.62</v>
      </c>
      <c r="I18" s="112">
        <v>7.18</v>
      </c>
      <c r="J18" s="112">
        <v>0.47</v>
      </c>
      <c r="K18" s="112">
        <v>298.27</v>
      </c>
      <c r="L18" s="112">
        <v>30.39</v>
      </c>
      <c r="M18" s="112">
        <v>25.8</v>
      </c>
      <c r="N18" s="112">
        <v>0</v>
      </c>
      <c r="O18" s="112">
        <v>0</v>
      </c>
      <c r="P18" s="112">
        <v>0.64</v>
      </c>
      <c r="Q18" s="167" t="s">
        <v>14</v>
      </c>
    </row>
    <row r="19" spans="1:17" customFormat="1">
      <c r="A19" s="80">
        <v>45414.114583333336</v>
      </c>
      <c r="B19" s="112">
        <v>11.23</v>
      </c>
      <c r="C19" s="112">
        <v>13.2</v>
      </c>
      <c r="D19" s="112">
        <v>25.05</v>
      </c>
      <c r="E19" s="112">
        <v>72.95</v>
      </c>
      <c r="F19" s="112">
        <v>5.0999999999999996</v>
      </c>
      <c r="G19" s="112">
        <v>68.459999999999994</v>
      </c>
      <c r="H19" s="112">
        <v>24.62</v>
      </c>
      <c r="I19" s="112">
        <v>7.09</v>
      </c>
      <c r="J19" s="112">
        <v>0.32</v>
      </c>
      <c r="K19" s="112">
        <v>301.42</v>
      </c>
      <c r="L19" s="112">
        <v>30.16</v>
      </c>
      <c r="M19" s="112">
        <v>26.33</v>
      </c>
      <c r="N19" s="112">
        <v>0</v>
      </c>
      <c r="O19" s="112">
        <v>0</v>
      </c>
      <c r="P19" s="112">
        <v>0.66</v>
      </c>
      <c r="Q19" s="167" t="s">
        <v>14</v>
      </c>
    </row>
    <row r="20" spans="1:17" customFormat="1">
      <c r="A20" s="80">
        <v>45414.125</v>
      </c>
      <c r="B20" s="112">
        <v>11.29</v>
      </c>
      <c r="C20" s="112">
        <v>13.34</v>
      </c>
      <c r="D20" s="112">
        <v>25.17</v>
      </c>
      <c r="E20" s="112">
        <v>43.97</v>
      </c>
      <c r="F20" s="112">
        <v>4.53</v>
      </c>
      <c r="G20" s="112">
        <v>68.459999999999994</v>
      </c>
      <c r="H20" s="112">
        <v>24.62</v>
      </c>
      <c r="I20" s="112">
        <v>6.9</v>
      </c>
      <c r="J20" s="112">
        <v>0.14000000000000001</v>
      </c>
      <c r="K20" s="112">
        <v>285.06</v>
      </c>
      <c r="L20" s="112">
        <v>29.83</v>
      </c>
      <c r="M20" s="112">
        <v>26.84</v>
      </c>
      <c r="N20" s="112">
        <v>0</v>
      </c>
      <c r="O20" s="112">
        <v>0</v>
      </c>
      <c r="P20" s="112">
        <v>0.68</v>
      </c>
      <c r="Q20" s="167" t="s">
        <v>14</v>
      </c>
    </row>
    <row r="21" spans="1:17" customFormat="1">
      <c r="A21" s="80">
        <v>45414.135416666664</v>
      </c>
      <c r="B21" s="112">
        <v>11.23</v>
      </c>
      <c r="C21" s="112">
        <v>13.25</v>
      </c>
      <c r="D21" s="112">
        <v>25.08</v>
      </c>
      <c r="E21" s="112">
        <v>56.54</v>
      </c>
      <c r="F21" s="112">
        <v>2.6</v>
      </c>
      <c r="G21" s="112">
        <v>77.19</v>
      </c>
      <c r="H21" s="112">
        <v>31.63</v>
      </c>
      <c r="I21" s="112">
        <v>6.74</v>
      </c>
      <c r="J21" s="112">
        <v>0.15</v>
      </c>
      <c r="K21" s="112">
        <v>153.33000000000001</v>
      </c>
      <c r="L21" s="112">
        <v>29.37</v>
      </c>
      <c r="M21" s="112">
        <v>30.26</v>
      </c>
      <c r="N21" s="112">
        <v>0</v>
      </c>
      <c r="O21" s="112">
        <v>0</v>
      </c>
      <c r="P21" s="112">
        <v>0.7</v>
      </c>
      <c r="Q21" s="167" t="s">
        <v>14</v>
      </c>
    </row>
    <row r="22" spans="1:17" customFormat="1">
      <c r="A22" s="80">
        <v>45414.145833333336</v>
      </c>
      <c r="B22" s="112">
        <v>11.21</v>
      </c>
      <c r="C22" s="112">
        <v>13.15</v>
      </c>
      <c r="D22" s="112">
        <v>25</v>
      </c>
      <c r="E22" s="112">
        <v>28.2</v>
      </c>
      <c r="F22" s="112">
        <v>1.52</v>
      </c>
      <c r="G22" s="112">
        <v>79.52</v>
      </c>
      <c r="H22" s="112">
        <v>31.63</v>
      </c>
      <c r="I22" s="112">
        <v>6.71</v>
      </c>
      <c r="J22" s="112">
        <v>0.33</v>
      </c>
      <c r="K22" s="112">
        <v>177.25</v>
      </c>
      <c r="L22" s="112">
        <v>27.51</v>
      </c>
      <c r="M22" s="112">
        <v>38.71</v>
      </c>
      <c r="N22" s="112">
        <v>0</v>
      </c>
      <c r="O22" s="112">
        <v>0</v>
      </c>
      <c r="P22" s="112">
        <v>0.68</v>
      </c>
      <c r="Q22" s="167" t="s">
        <v>14</v>
      </c>
    </row>
    <row r="23" spans="1:17" customFormat="1">
      <c r="A23" s="80">
        <v>45414.15625</v>
      </c>
      <c r="B23" s="112">
        <v>11.2</v>
      </c>
      <c r="C23" s="112">
        <v>13.16</v>
      </c>
      <c r="D23" s="112">
        <v>25</v>
      </c>
      <c r="E23" s="112">
        <v>17.97</v>
      </c>
      <c r="F23" s="112">
        <v>1.0900000000000001</v>
      </c>
      <c r="G23" s="112">
        <v>79.52</v>
      </c>
      <c r="H23" s="112">
        <v>31.63</v>
      </c>
      <c r="I23" s="112">
        <v>6.74</v>
      </c>
      <c r="J23" s="112">
        <v>0.3</v>
      </c>
      <c r="K23" s="112">
        <v>177.86</v>
      </c>
      <c r="L23" s="112">
        <v>26.34</v>
      </c>
      <c r="M23" s="112">
        <v>42.31</v>
      </c>
      <c r="N23" s="112">
        <v>0</v>
      </c>
      <c r="O23" s="112">
        <v>0</v>
      </c>
      <c r="P23" s="112">
        <v>0.68</v>
      </c>
      <c r="Q23" s="167" t="s">
        <v>14</v>
      </c>
    </row>
    <row r="24" spans="1:17" customFormat="1">
      <c r="A24" s="80">
        <v>45414.166666666664</v>
      </c>
      <c r="B24" s="112">
        <v>11.21</v>
      </c>
      <c r="C24" s="112">
        <v>13.14</v>
      </c>
      <c r="D24" s="112">
        <v>25</v>
      </c>
      <c r="E24" s="112">
        <v>15.39</v>
      </c>
      <c r="F24" s="112">
        <v>1</v>
      </c>
      <c r="G24" s="112">
        <v>79.52</v>
      </c>
      <c r="H24" s="112">
        <v>31.63</v>
      </c>
      <c r="I24" s="112">
        <v>7.06</v>
      </c>
      <c r="J24" s="112">
        <v>0.28999999999999998</v>
      </c>
      <c r="K24" s="112">
        <v>179.04</v>
      </c>
      <c r="L24" s="112">
        <v>26.13</v>
      </c>
      <c r="M24" s="112">
        <v>43.09</v>
      </c>
      <c r="N24" s="112">
        <v>0</v>
      </c>
      <c r="O24" s="112">
        <v>0</v>
      </c>
      <c r="P24" s="112">
        <v>0.69</v>
      </c>
      <c r="Q24" s="167" t="s">
        <v>14</v>
      </c>
    </row>
    <row r="25" spans="1:17" customFormat="1">
      <c r="A25" s="80">
        <v>45414.177083333336</v>
      </c>
      <c r="B25" s="112">
        <v>11.23</v>
      </c>
      <c r="C25" s="112">
        <v>13.12</v>
      </c>
      <c r="D25" s="112">
        <v>25.01</v>
      </c>
      <c r="E25" s="112">
        <v>14.54</v>
      </c>
      <c r="F25" s="112">
        <v>1</v>
      </c>
      <c r="G25" s="112">
        <v>86.82</v>
      </c>
      <c r="H25" s="112">
        <v>35.659999999999997</v>
      </c>
      <c r="I25" s="112">
        <v>7.04</v>
      </c>
      <c r="J25" s="112">
        <v>0.37</v>
      </c>
      <c r="K25" s="112">
        <v>170.79</v>
      </c>
      <c r="L25" s="112">
        <v>26.07</v>
      </c>
      <c r="M25" s="112">
        <v>44.23</v>
      </c>
      <c r="N25" s="112">
        <v>0</v>
      </c>
      <c r="O25" s="112">
        <v>0</v>
      </c>
      <c r="P25" s="112">
        <v>0.69</v>
      </c>
      <c r="Q25" s="167" t="s">
        <v>14</v>
      </c>
    </row>
    <row r="26" spans="1:17" customFormat="1">
      <c r="A26" s="80">
        <v>45414.1875</v>
      </c>
      <c r="B26" s="112">
        <v>11.22</v>
      </c>
      <c r="C26" s="112">
        <v>13.13</v>
      </c>
      <c r="D26" s="112">
        <v>25</v>
      </c>
      <c r="E26" s="112">
        <v>14.95</v>
      </c>
      <c r="F26" s="112">
        <v>1</v>
      </c>
      <c r="G26" s="112">
        <v>88.77</v>
      </c>
      <c r="H26" s="112">
        <v>35.659999999999997</v>
      </c>
      <c r="I26" s="112">
        <v>7.09</v>
      </c>
      <c r="J26" s="112">
        <v>0.38</v>
      </c>
      <c r="K26" s="112">
        <v>183.67</v>
      </c>
      <c r="L26" s="112">
        <v>25.88</v>
      </c>
      <c r="M26" s="112">
        <v>44.62</v>
      </c>
      <c r="N26" s="112">
        <v>0</v>
      </c>
      <c r="O26" s="112">
        <v>0</v>
      </c>
      <c r="P26" s="112">
        <v>0.68</v>
      </c>
      <c r="Q26" s="167" t="s">
        <v>14</v>
      </c>
    </row>
    <row r="27" spans="1:17" customFormat="1">
      <c r="A27" s="80">
        <v>45414.197916666664</v>
      </c>
      <c r="B27" s="112">
        <v>11.22</v>
      </c>
      <c r="C27" s="112">
        <v>13.15</v>
      </c>
      <c r="D27" s="112">
        <v>25.01</v>
      </c>
      <c r="E27" s="112">
        <v>13.56</v>
      </c>
      <c r="F27" s="112">
        <v>1</v>
      </c>
      <c r="G27" s="112">
        <v>88.77</v>
      </c>
      <c r="H27" s="112">
        <v>35.659999999999997</v>
      </c>
      <c r="I27" s="112">
        <v>7.07</v>
      </c>
      <c r="J27" s="112">
        <v>0.32</v>
      </c>
      <c r="K27" s="112">
        <v>186.01</v>
      </c>
      <c r="L27" s="112">
        <v>25.63</v>
      </c>
      <c r="M27" s="112">
        <v>46.03</v>
      </c>
      <c r="N27" s="112">
        <v>0</v>
      </c>
      <c r="O27" s="112">
        <v>0</v>
      </c>
      <c r="P27" s="112">
        <v>0.69</v>
      </c>
      <c r="Q27" s="167" t="s">
        <v>14</v>
      </c>
    </row>
    <row r="28" spans="1:17" customFormat="1">
      <c r="A28" s="80">
        <v>45414.208333333336</v>
      </c>
      <c r="B28" s="112">
        <v>11.25</v>
      </c>
      <c r="C28" s="112">
        <v>13.2</v>
      </c>
      <c r="D28" s="112">
        <v>25.06</v>
      </c>
      <c r="E28" s="112">
        <v>14.29</v>
      </c>
      <c r="F28" s="112">
        <v>1</v>
      </c>
      <c r="G28" s="112">
        <v>88.77</v>
      </c>
      <c r="H28" s="112">
        <v>35.659999999999997</v>
      </c>
      <c r="I28" s="112">
        <v>7.01</v>
      </c>
      <c r="J28" s="112">
        <v>0.32</v>
      </c>
      <c r="K28" s="112">
        <v>179.49</v>
      </c>
      <c r="L28" s="112">
        <v>25.64</v>
      </c>
      <c r="M28" s="112">
        <v>44.73</v>
      </c>
      <c r="N28" s="112">
        <v>0</v>
      </c>
      <c r="O28" s="112">
        <v>0</v>
      </c>
      <c r="P28" s="112">
        <v>0.68</v>
      </c>
      <c r="Q28" s="167" t="s">
        <v>14</v>
      </c>
    </row>
    <row r="29" spans="1:17" customFormat="1">
      <c r="A29" s="80">
        <v>45414.21875</v>
      </c>
      <c r="B29" s="112">
        <v>11.21</v>
      </c>
      <c r="C29" s="112">
        <v>13.15</v>
      </c>
      <c r="D29" s="112">
        <v>25</v>
      </c>
      <c r="E29" s="112">
        <v>13.83</v>
      </c>
      <c r="F29" s="112">
        <v>1</v>
      </c>
      <c r="G29" s="112">
        <v>87.54</v>
      </c>
      <c r="H29" s="112">
        <v>32.28</v>
      </c>
      <c r="I29" s="112">
        <v>6.96</v>
      </c>
      <c r="J29" s="112">
        <v>0.34</v>
      </c>
      <c r="K29" s="112">
        <v>166.71</v>
      </c>
      <c r="L29" s="112">
        <v>25.88</v>
      </c>
      <c r="M29" s="112">
        <v>42.64</v>
      </c>
      <c r="N29" s="112">
        <v>0</v>
      </c>
      <c r="O29" s="112">
        <v>0</v>
      </c>
      <c r="P29" s="112">
        <v>0.67</v>
      </c>
      <c r="Q29" s="167" t="s">
        <v>14</v>
      </c>
    </row>
    <row r="30" spans="1:17" customFormat="1">
      <c r="A30" s="80">
        <v>45414.229166666664</v>
      </c>
      <c r="B30" s="112">
        <v>11.2</v>
      </c>
      <c r="C30" s="112">
        <v>13.16</v>
      </c>
      <c r="D30" s="112">
        <v>25</v>
      </c>
      <c r="E30" s="112">
        <v>14.17</v>
      </c>
      <c r="F30" s="112">
        <v>1</v>
      </c>
      <c r="G30" s="112">
        <v>87.21</v>
      </c>
      <c r="H30" s="112">
        <v>32.28</v>
      </c>
      <c r="I30" s="112">
        <v>6.89</v>
      </c>
      <c r="J30" s="112">
        <v>0.26</v>
      </c>
      <c r="K30" s="112">
        <v>141.65</v>
      </c>
      <c r="L30" s="112">
        <v>26.06</v>
      </c>
      <c r="M30" s="112">
        <v>40.01</v>
      </c>
      <c r="N30" s="112">
        <v>0</v>
      </c>
      <c r="O30" s="112">
        <v>0</v>
      </c>
      <c r="P30" s="112">
        <v>0.67</v>
      </c>
      <c r="Q30" s="167" t="s">
        <v>14</v>
      </c>
    </row>
    <row r="31" spans="1:17" customFormat="1">
      <c r="A31" s="80">
        <v>45414.239583333336</v>
      </c>
      <c r="B31" s="112">
        <v>11.21</v>
      </c>
      <c r="C31" s="112">
        <v>13.19</v>
      </c>
      <c r="D31" s="112">
        <v>25.02</v>
      </c>
      <c r="E31" s="112">
        <v>15.13</v>
      </c>
      <c r="F31" s="112">
        <v>1</v>
      </c>
      <c r="G31" s="112">
        <v>87.21</v>
      </c>
      <c r="H31" s="112">
        <v>32.28</v>
      </c>
      <c r="I31" s="112">
        <v>6.9</v>
      </c>
      <c r="J31" s="112">
        <v>0.24</v>
      </c>
      <c r="K31" s="112">
        <v>72.56</v>
      </c>
      <c r="L31" s="112">
        <v>27.02</v>
      </c>
      <c r="M31" s="112">
        <v>30.71</v>
      </c>
      <c r="N31" s="112">
        <v>3.1</v>
      </c>
      <c r="O31" s="112">
        <v>0</v>
      </c>
      <c r="P31" s="112">
        <v>0.66</v>
      </c>
      <c r="Q31" s="167" t="s">
        <v>14</v>
      </c>
    </row>
    <row r="32" spans="1:17" customFormat="1">
      <c r="A32" s="80">
        <v>45414.25</v>
      </c>
      <c r="B32" s="112">
        <v>11.22</v>
      </c>
      <c r="C32" s="112">
        <v>13.18</v>
      </c>
      <c r="D32" s="112">
        <v>25.03</v>
      </c>
      <c r="E32" s="112">
        <v>15.75</v>
      </c>
      <c r="F32" s="112">
        <v>1</v>
      </c>
      <c r="G32" s="112">
        <v>87.21</v>
      </c>
      <c r="H32" s="112">
        <v>32.28</v>
      </c>
      <c r="I32" s="112">
        <v>6.8</v>
      </c>
      <c r="J32" s="112">
        <v>0.3</v>
      </c>
      <c r="K32" s="112">
        <v>47.86</v>
      </c>
      <c r="L32" s="112">
        <v>27.68</v>
      </c>
      <c r="M32" s="112">
        <v>26.77</v>
      </c>
      <c r="N32" s="112">
        <v>14.3</v>
      </c>
      <c r="O32" s="112">
        <v>0</v>
      </c>
      <c r="P32" s="112">
        <v>0.66</v>
      </c>
      <c r="Q32" s="167" t="s">
        <v>14</v>
      </c>
    </row>
    <row r="33" spans="1:17" customFormat="1">
      <c r="A33" s="80">
        <v>45414.260416666664</v>
      </c>
      <c r="B33" s="112">
        <v>11.23</v>
      </c>
      <c r="C33" s="112">
        <v>13.16</v>
      </c>
      <c r="D33" s="112">
        <v>25.03</v>
      </c>
      <c r="E33" s="112">
        <v>17.21</v>
      </c>
      <c r="F33" s="112">
        <v>1.62</v>
      </c>
      <c r="G33" s="112">
        <v>86.27</v>
      </c>
      <c r="H33" s="112">
        <v>34.4</v>
      </c>
      <c r="I33" s="112">
        <v>6.77</v>
      </c>
      <c r="J33" s="112">
        <v>0.19</v>
      </c>
      <c r="K33" s="112">
        <v>3.53</v>
      </c>
      <c r="L33" s="112">
        <v>27.87</v>
      </c>
      <c r="M33" s="112">
        <v>26.36</v>
      </c>
      <c r="N33" s="112">
        <v>26.6</v>
      </c>
      <c r="O33" s="112">
        <v>0</v>
      </c>
      <c r="P33" s="112">
        <v>0.67</v>
      </c>
      <c r="Q33" s="167" t="s">
        <v>14</v>
      </c>
    </row>
    <row r="34" spans="1:17" customFormat="1">
      <c r="A34" s="80">
        <v>45414.270833333336</v>
      </c>
      <c r="B34" s="112">
        <v>11.22</v>
      </c>
      <c r="C34" s="112">
        <v>13.15</v>
      </c>
      <c r="D34" s="112">
        <v>25.01</v>
      </c>
      <c r="E34" s="112">
        <v>15.25</v>
      </c>
      <c r="F34" s="112">
        <v>1.02</v>
      </c>
      <c r="G34" s="112">
        <v>86.01</v>
      </c>
      <c r="H34" s="112">
        <v>34.4</v>
      </c>
      <c r="I34" s="112">
        <v>6.75</v>
      </c>
      <c r="J34" s="112">
        <v>0.14000000000000001</v>
      </c>
      <c r="K34" s="112">
        <v>356.99</v>
      </c>
      <c r="L34" s="112">
        <v>28.09</v>
      </c>
      <c r="M34" s="112">
        <v>26.91</v>
      </c>
      <c r="N34" s="112">
        <v>37.5</v>
      </c>
      <c r="O34" s="112">
        <v>0</v>
      </c>
      <c r="P34" s="112">
        <v>0.66</v>
      </c>
      <c r="Q34" s="167" t="s">
        <v>14</v>
      </c>
    </row>
    <row r="35" spans="1:17" customFormat="1">
      <c r="A35" s="80">
        <v>45414.28125</v>
      </c>
      <c r="B35" s="112">
        <v>11.22</v>
      </c>
      <c r="C35" s="112">
        <v>13.17</v>
      </c>
      <c r="D35" s="112">
        <v>25.02</v>
      </c>
      <c r="E35" s="112">
        <v>16.61</v>
      </c>
      <c r="F35" s="112">
        <v>1.03</v>
      </c>
      <c r="G35" s="112">
        <v>86.01</v>
      </c>
      <c r="H35" s="112">
        <v>34.4</v>
      </c>
      <c r="I35" s="112">
        <v>6.76</v>
      </c>
      <c r="J35" s="112">
        <v>0.13</v>
      </c>
      <c r="K35" s="112">
        <v>356.37</v>
      </c>
      <c r="L35" s="112">
        <v>28.46</v>
      </c>
      <c r="M35" s="112">
        <v>26.8</v>
      </c>
      <c r="N35" s="112">
        <v>46.9</v>
      </c>
      <c r="O35" s="112">
        <v>0</v>
      </c>
      <c r="P35" s="112">
        <v>0.68</v>
      </c>
      <c r="Q35" s="167" t="s">
        <v>14</v>
      </c>
    </row>
    <row r="36" spans="1:17" customFormat="1">
      <c r="A36" s="80">
        <v>45414.291666666664</v>
      </c>
      <c r="B36" s="112">
        <v>11.22</v>
      </c>
      <c r="C36" s="112">
        <v>13.18</v>
      </c>
      <c r="D36" s="112">
        <v>25.03</v>
      </c>
      <c r="E36" s="112">
        <v>20.76</v>
      </c>
      <c r="F36" s="112">
        <v>1</v>
      </c>
      <c r="G36" s="112">
        <v>86.01</v>
      </c>
      <c r="H36" s="112">
        <v>34.4</v>
      </c>
      <c r="I36" s="112">
        <v>6.83</v>
      </c>
      <c r="J36" s="112">
        <v>0.56999999999999995</v>
      </c>
      <c r="K36" s="112">
        <v>36.200000000000003</v>
      </c>
      <c r="L36" s="112">
        <v>28.97</v>
      </c>
      <c r="M36" s="112">
        <v>26.21</v>
      </c>
      <c r="N36" s="112">
        <v>55.7</v>
      </c>
      <c r="O36" s="112">
        <v>0</v>
      </c>
      <c r="P36" s="112">
        <v>0.69</v>
      </c>
      <c r="Q36" s="167" t="s">
        <v>14</v>
      </c>
    </row>
    <row r="37" spans="1:17" customFormat="1">
      <c r="A37" s="80">
        <v>45414.302083333336</v>
      </c>
      <c r="B37" s="112">
        <v>11.26</v>
      </c>
      <c r="C37" s="112">
        <v>13.18</v>
      </c>
      <c r="D37" s="112">
        <v>25.06</v>
      </c>
      <c r="E37" s="112">
        <v>26.08</v>
      </c>
      <c r="F37" s="112">
        <v>1.54</v>
      </c>
      <c r="G37" s="112">
        <v>94.71</v>
      </c>
      <c r="H37" s="112">
        <v>35.1</v>
      </c>
      <c r="I37" s="112">
        <v>6.78</v>
      </c>
      <c r="J37" s="112">
        <v>0.91</v>
      </c>
      <c r="K37" s="112">
        <v>37.14</v>
      </c>
      <c r="L37" s="112">
        <v>29.51</v>
      </c>
      <c r="M37" s="112">
        <v>24.88</v>
      </c>
      <c r="N37" s="112">
        <v>64.3</v>
      </c>
      <c r="O37" s="112">
        <v>0</v>
      </c>
      <c r="P37" s="112">
        <v>0.71</v>
      </c>
      <c r="Q37" s="167" t="s">
        <v>14</v>
      </c>
    </row>
    <row r="38" spans="1:17" customFormat="1">
      <c r="A38" s="80">
        <v>45414.3125</v>
      </c>
      <c r="B38" s="112">
        <v>11.37</v>
      </c>
      <c r="C38" s="112">
        <v>13.5</v>
      </c>
      <c r="D38" s="112">
        <v>25.32</v>
      </c>
      <c r="E38" s="112">
        <v>18.510000000000002</v>
      </c>
      <c r="F38" s="112">
        <v>3.1</v>
      </c>
      <c r="G38" s="112">
        <v>97.03</v>
      </c>
      <c r="H38" s="112">
        <v>35.1</v>
      </c>
      <c r="I38" s="112">
        <v>6.83</v>
      </c>
      <c r="J38" s="112">
        <v>1.1599999999999999</v>
      </c>
      <c r="K38" s="112">
        <v>51.15</v>
      </c>
      <c r="L38" s="112">
        <v>30.2</v>
      </c>
      <c r="M38" s="112">
        <v>22.75</v>
      </c>
      <c r="N38" s="112">
        <v>72.8</v>
      </c>
      <c r="O38" s="112">
        <v>0</v>
      </c>
      <c r="P38" s="112">
        <v>0.71</v>
      </c>
      <c r="Q38" s="167" t="s">
        <v>14</v>
      </c>
    </row>
    <row r="39" spans="1:17" customFormat="1">
      <c r="A39" s="80">
        <v>45414.322916666664</v>
      </c>
      <c r="B39" s="112">
        <v>11.23</v>
      </c>
      <c r="C39" s="112">
        <v>13.19</v>
      </c>
      <c r="D39" s="112">
        <v>25.04</v>
      </c>
      <c r="E39" s="112">
        <v>16.510000000000002</v>
      </c>
      <c r="F39" s="112">
        <v>4.25</v>
      </c>
      <c r="G39" s="112">
        <v>97.03</v>
      </c>
      <c r="H39" s="112">
        <v>35.1</v>
      </c>
      <c r="I39" s="112">
        <v>6.96</v>
      </c>
      <c r="J39" s="112">
        <v>1.47</v>
      </c>
      <c r="K39" s="112">
        <v>55.1</v>
      </c>
      <c r="L39" s="112">
        <v>30.99</v>
      </c>
      <c r="M39" s="112">
        <v>19.43</v>
      </c>
      <c r="N39" s="112">
        <v>81.7</v>
      </c>
      <c r="O39" s="112">
        <v>0</v>
      </c>
      <c r="P39" s="112">
        <v>0.71</v>
      </c>
      <c r="Q39" s="167" t="s">
        <v>14</v>
      </c>
    </row>
    <row r="40" spans="1:17" customFormat="1">
      <c r="A40" s="80">
        <v>45414.333333333336</v>
      </c>
      <c r="B40" s="112">
        <v>11.22</v>
      </c>
      <c r="C40" s="112">
        <v>13.16</v>
      </c>
      <c r="D40" s="112">
        <v>25.02</v>
      </c>
      <c r="E40" s="112">
        <v>15.61</v>
      </c>
      <c r="F40" s="112">
        <v>5.47</v>
      </c>
      <c r="G40" s="112">
        <v>97.03</v>
      </c>
      <c r="H40" s="112">
        <v>35.1</v>
      </c>
      <c r="I40" s="112">
        <v>7.01</v>
      </c>
      <c r="J40" s="112">
        <v>1.44</v>
      </c>
      <c r="K40" s="112">
        <v>44.45</v>
      </c>
      <c r="L40" s="112">
        <v>31.67</v>
      </c>
      <c r="M40" s="112">
        <v>18.77</v>
      </c>
      <c r="N40" s="112">
        <v>92.3</v>
      </c>
      <c r="O40" s="112">
        <v>0</v>
      </c>
      <c r="P40" s="112">
        <v>0.69</v>
      </c>
      <c r="Q40" s="167" t="s">
        <v>14</v>
      </c>
    </row>
    <row r="41" spans="1:17" customFormat="1">
      <c r="A41" s="80">
        <v>45414.34375</v>
      </c>
      <c r="B41" s="112">
        <v>11.22</v>
      </c>
      <c r="C41" s="112">
        <v>13.15</v>
      </c>
      <c r="D41" s="112">
        <v>25.02</v>
      </c>
      <c r="E41" s="112">
        <v>16.23</v>
      </c>
      <c r="F41" s="112">
        <v>7.2</v>
      </c>
      <c r="G41" s="112">
        <v>96.77</v>
      </c>
      <c r="H41" s="112">
        <v>33.96</v>
      </c>
      <c r="I41" s="112">
        <v>6.97</v>
      </c>
      <c r="J41" s="112">
        <v>1.41</v>
      </c>
      <c r="K41" s="112">
        <v>56.21</v>
      </c>
      <c r="L41" s="112">
        <v>32.14</v>
      </c>
      <c r="M41" s="112">
        <v>18.86</v>
      </c>
      <c r="N41" s="112">
        <v>102.3</v>
      </c>
      <c r="O41" s="112">
        <v>0</v>
      </c>
      <c r="P41" s="112">
        <v>0.67</v>
      </c>
      <c r="Q41" s="167" t="s">
        <v>14</v>
      </c>
    </row>
    <row r="42" spans="1:17" customFormat="1">
      <c r="A42" s="80">
        <v>45414.354166666664</v>
      </c>
      <c r="B42" s="112">
        <v>11.24</v>
      </c>
      <c r="C42" s="112">
        <v>13.14</v>
      </c>
      <c r="D42" s="112">
        <v>25.02</v>
      </c>
      <c r="E42" s="112">
        <v>16</v>
      </c>
      <c r="F42" s="112">
        <v>5.71</v>
      </c>
      <c r="G42" s="112">
        <v>96.7</v>
      </c>
      <c r="H42" s="112">
        <v>33.96</v>
      </c>
      <c r="I42" s="112">
        <v>6.87</v>
      </c>
      <c r="J42" s="112">
        <v>1.0900000000000001</v>
      </c>
      <c r="K42" s="112">
        <v>47.12</v>
      </c>
      <c r="L42" s="112">
        <v>32.76</v>
      </c>
      <c r="M42" s="112">
        <v>19.21</v>
      </c>
      <c r="N42" s="112">
        <v>126.8</v>
      </c>
      <c r="O42" s="112">
        <v>0</v>
      </c>
      <c r="P42" s="112">
        <v>0.67</v>
      </c>
      <c r="Q42" s="167" t="s">
        <v>14</v>
      </c>
    </row>
    <row r="43" spans="1:17" customFormat="1">
      <c r="A43" s="80">
        <v>45414.364583333336</v>
      </c>
      <c r="B43" s="112">
        <v>11.21</v>
      </c>
      <c r="C43" s="112">
        <v>13.16</v>
      </c>
      <c r="D43" s="112">
        <v>25.01</v>
      </c>
      <c r="E43" s="112">
        <v>16.21</v>
      </c>
      <c r="F43" s="112">
        <v>8.2200000000000006</v>
      </c>
      <c r="G43" s="112">
        <v>96.7</v>
      </c>
      <c r="H43" s="112">
        <v>33.96</v>
      </c>
      <c r="I43" s="112">
        <v>6.73</v>
      </c>
      <c r="J43" s="112">
        <v>1.3</v>
      </c>
      <c r="K43" s="112">
        <v>58.2</v>
      </c>
      <c r="L43" s="112">
        <v>33.42</v>
      </c>
      <c r="M43" s="112">
        <v>18.86</v>
      </c>
      <c r="N43" s="112">
        <v>199.6</v>
      </c>
      <c r="O43" s="112">
        <v>0</v>
      </c>
      <c r="P43" s="112">
        <v>0.67</v>
      </c>
      <c r="Q43" s="167" t="s">
        <v>14</v>
      </c>
    </row>
    <row r="44" spans="1:17" customFormat="1">
      <c r="A44" s="80">
        <v>45414.375</v>
      </c>
      <c r="B44" s="112">
        <v>11.2</v>
      </c>
      <c r="C44" s="112">
        <v>13.18</v>
      </c>
      <c r="D44" s="112">
        <v>25.01</v>
      </c>
      <c r="E44" s="112">
        <v>17.09</v>
      </c>
      <c r="F44" s="112">
        <v>13.83</v>
      </c>
      <c r="G44" s="112">
        <v>96.7</v>
      </c>
      <c r="H44" s="112">
        <v>33.96</v>
      </c>
      <c r="I44" s="112">
        <v>6.74</v>
      </c>
      <c r="J44" s="112">
        <v>1.47</v>
      </c>
      <c r="K44" s="112">
        <v>54.51</v>
      </c>
      <c r="L44" s="112">
        <v>33.840000000000003</v>
      </c>
      <c r="M44" s="112">
        <v>17.170000000000002</v>
      </c>
      <c r="N44" s="112">
        <v>312</v>
      </c>
      <c r="O44" s="112">
        <v>0</v>
      </c>
      <c r="P44" s="112">
        <v>0.66</v>
      </c>
      <c r="Q44" s="167" t="s">
        <v>14</v>
      </c>
    </row>
    <row r="45" spans="1:17" customFormat="1">
      <c r="A45" s="80">
        <v>45414.385416666664</v>
      </c>
      <c r="B45" s="112">
        <v>11.28</v>
      </c>
      <c r="C45" s="112">
        <v>13.14</v>
      </c>
      <c r="D45" s="112">
        <v>25.06</v>
      </c>
      <c r="E45" s="112">
        <v>38.869999999999997</v>
      </c>
      <c r="F45" s="112">
        <v>19.22</v>
      </c>
      <c r="G45" s="112">
        <v>88.29</v>
      </c>
      <c r="H45" s="112">
        <v>31.47</v>
      </c>
      <c r="I45" s="112">
        <v>6.74</v>
      </c>
      <c r="J45" s="112">
        <v>1.32</v>
      </c>
      <c r="K45" s="112">
        <v>39.630000000000003</v>
      </c>
      <c r="L45" s="112">
        <v>34.880000000000003</v>
      </c>
      <c r="M45" s="112">
        <v>15.63</v>
      </c>
      <c r="N45" s="112">
        <v>189.5</v>
      </c>
      <c r="O45" s="112">
        <v>0</v>
      </c>
      <c r="P45" s="112">
        <v>0.65</v>
      </c>
      <c r="Q45" s="167" t="s">
        <v>14</v>
      </c>
    </row>
    <row r="46" spans="1:17" customFormat="1">
      <c r="A46" s="80">
        <v>45414.395833333336</v>
      </c>
      <c r="B46" s="112">
        <v>11.3</v>
      </c>
      <c r="C46" s="112">
        <v>13.08</v>
      </c>
      <c r="D46" s="112">
        <v>25.04</v>
      </c>
      <c r="E46" s="112">
        <v>37.97</v>
      </c>
      <c r="F46" s="112">
        <v>19.79</v>
      </c>
      <c r="G46" s="112">
        <v>86.04</v>
      </c>
      <c r="H46" s="112">
        <v>31.47</v>
      </c>
      <c r="I46" s="112">
        <v>6.61</v>
      </c>
      <c r="J46" s="112">
        <v>1.28</v>
      </c>
      <c r="K46" s="112">
        <v>40.31</v>
      </c>
      <c r="L46" s="112">
        <v>35.47</v>
      </c>
      <c r="M46" s="112">
        <v>15.1</v>
      </c>
      <c r="N46" s="112">
        <v>223.6</v>
      </c>
      <c r="O46" s="112">
        <v>0</v>
      </c>
      <c r="P46" s="112">
        <v>0.65</v>
      </c>
      <c r="Q46" s="167" t="s">
        <v>14</v>
      </c>
    </row>
    <row r="47" spans="1:17" customFormat="1">
      <c r="A47" s="80">
        <v>45414.40625</v>
      </c>
      <c r="B47" s="112">
        <v>11.26</v>
      </c>
      <c r="C47" s="112">
        <v>13.15</v>
      </c>
      <c r="D47" s="112">
        <v>25.05</v>
      </c>
      <c r="E47" s="112">
        <v>31.33</v>
      </c>
      <c r="F47" s="112">
        <v>17.98</v>
      </c>
      <c r="G47" s="112">
        <v>86.04</v>
      </c>
      <c r="H47" s="112">
        <v>31.47</v>
      </c>
      <c r="I47" s="112">
        <v>6.36</v>
      </c>
      <c r="J47" s="112">
        <v>1.41</v>
      </c>
      <c r="K47" s="112">
        <v>51.17</v>
      </c>
      <c r="L47" s="112">
        <v>35.94</v>
      </c>
      <c r="M47" s="112">
        <v>14.26</v>
      </c>
      <c r="N47" s="112">
        <v>181.5</v>
      </c>
      <c r="O47" s="112">
        <v>0</v>
      </c>
      <c r="P47" s="112">
        <v>0.63</v>
      </c>
      <c r="Q47" s="167" t="s">
        <v>14</v>
      </c>
    </row>
    <row r="48" spans="1:17" customFormat="1">
      <c r="A48" s="80">
        <v>45414.416666666664</v>
      </c>
      <c r="B48" s="112">
        <v>11.37</v>
      </c>
      <c r="C48" s="112">
        <v>13.42</v>
      </c>
      <c r="D48" s="112">
        <v>25.27</v>
      </c>
      <c r="E48" s="112">
        <v>39.79</v>
      </c>
      <c r="F48" s="112">
        <v>19.16</v>
      </c>
      <c r="G48" s="112">
        <v>86.04</v>
      </c>
      <c r="H48" s="112">
        <v>31.47</v>
      </c>
      <c r="I48" s="112">
        <v>6.36</v>
      </c>
      <c r="J48" s="112">
        <v>1.51</v>
      </c>
      <c r="K48" s="112">
        <v>60.02</v>
      </c>
      <c r="L48" s="112">
        <v>36.549999999999997</v>
      </c>
      <c r="M48" s="112">
        <v>13.18</v>
      </c>
      <c r="N48" s="112">
        <v>305.89999999999998</v>
      </c>
      <c r="O48" s="112">
        <v>0</v>
      </c>
      <c r="P48" s="112">
        <v>0.64</v>
      </c>
      <c r="Q48" s="167" t="s">
        <v>14</v>
      </c>
    </row>
    <row r="49" spans="1:17" customFormat="1">
      <c r="A49" s="80">
        <v>45414.427083333336</v>
      </c>
      <c r="B49" s="112">
        <v>11.29</v>
      </c>
      <c r="C49" s="112">
        <v>13.24</v>
      </c>
      <c r="D49" s="112">
        <v>25.12</v>
      </c>
      <c r="E49" s="112">
        <v>30.33</v>
      </c>
      <c r="F49" s="112">
        <v>24.05</v>
      </c>
      <c r="G49" s="112">
        <v>94.73</v>
      </c>
      <c r="H49" s="112">
        <v>28.53</v>
      </c>
      <c r="I49" s="112">
        <v>6.34</v>
      </c>
      <c r="J49" s="112">
        <v>1.41</v>
      </c>
      <c r="K49" s="112">
        <v>63.46</v>
      </c>
      <c r="L49" s="112">
        <v>36.799999999999997</v>
      </c>
      <c r="M49" s="112">
        <v>12.89</v>
      </c>
      <c r="N49" s="112">
        <v>373.1</v>
      </c>
      <c r="O49" s="112">
        <v>0</v>
      </c>
      <c r="P49" s="112">
        <v>0.61</v>
      </c>
      <c r="Q49" s="167" t="s">
        <v>14</v>
      </c>
    </row>
    <row r="50" spans="1:17" customFormat="1">
      <c r="A50" s="80">
        <v>45414.4375</v>
      </c>
      <c r="B50" s="112">
        <v>11.24</v>
      </c>
      <c r="C50" s="112">
        <v>13.16</v>
      </c>
      <c r="D50" s="112">
        <v>25.03</v>
      </c>
      <c r="E50" s="112">
        <v>48.26</v>
      </c>
      <c r="F50" s="112">
        <v>26.87</v>
      </c>
      <c r="G50" s="112">
        <v>97.06</v>
      </c>
      <c r="H50" s="112">
        <v>28.53</v>
      </c>
      <c r="I50" s="112">
        <v>6.33</v>
      </c>
      <c r="J50" s="112">
        <v>1.01</v>
      </c>
      <c r="K50" s="112">
        <v>53.87</v>
      </c>
      <c r="L50" s="112">
        <v>37.39</v>
      </c>
      <c r="M50" s="112">
        <v>12.61</v>
      </c>
      <c r="N50" s="112">
        <v>477.9</v>
      </c>
      <c r="O50" s="112">
        <v>0</v>
      </c>
      <c r="P50" s="112">
        <v>0.62</v>
      </c>
      <c r="Q50" s="167" t="s">
        <v>14</v>
      </c>
    </row>
    <row r="51" spans="1:17" customFormat="1">
      <c r="A51" s="80">
        <v>45414.447916666664</v>
      </c>
      <c r="B51" s="112">
        <v>11.24</v>
      </c>
      <c r="C51" s="112">
        <v>13.14</v>
      </c>
      <c r="D51" s="112">
        <v>25.02</v>
      </c>
      <c r="E51" s="112">
        <v>40.380000000000003</v>
      </c>
      <c r="F51" s="112">
        <v>27.6</v>
      </c>
      <c r="G51" s="112">
        <v>97.06</v>
      </c>
      <c r="H51" s="112">
        <v>28.53</v>
      </c>
      <c r="I51" s="112">
        <v>6.28</v>
      </c>
      <c r="J51" s="112">
        <v>0.65</v>
      </c>
      <c r="K51" s="112">
        <v>67.290000000000006</v>
      </c>
      <c r="L51" s="112">
        <v>37.92</v>
      </c>
      <c r="M51" s="112">
        <v>12.42</v>
      </c>
      <c r="N51" s="112">
        <v>734.8</v>
      </c>
      <c r="O51" s="112">
        <v>0</v>
      </c>
      <c r="P51" s="112">
        <v>0.61</v>
      </c>
      <c r="Q51" s="167" t="s">
        <v>14</v>
      </c>
    </row>
    <row r="52" spans="1:17" customFormat="1">
      <c r="A52" s="80">
        <v>45414.458333333336</v>
      </c>
      <c r="B52" s="112">
        <v>11.23</v>
      </c>
      <c r="C52" s="112">
        <v>13.12</v>
      </c>
      <c r="D52" s="112">
        <v>25</v>
      </c>
      <c r="E52" s="112">
        <v>39.57</v>
      </c>
      <c r="F52" s="112">
        <v>31.85</v>
      </c>
      <c r="G52" s="112">
        <v>97.06</v>
      </c>
      <c r="H52" s="112">
        <v>28.53</v>
      </c>
      <c r="I52" s="112">
        <v>6.12</v>
      </c>
      <c r="J52" s="112">
        <v>0.6</v>
      </c>
      <c r="K52" s="112">
        <v>88.94</v>
      </c>
      <c r="L52" s="112">
        <v>38.409999999999997</v>
      </c>
      <c r="M52" s="112">
        <v>12.75</v>
      </c>
      <c r="N52" s="112">
        <v>695.6</v>
      </c>
      <c r="O52" s="112">
        <v>0</v>
      </c>
      <c r="P52" s="112">
        <v>0.59</v>
      </c>
      <c r="Q52" s="167" t="s">
        <v>14</v>
      </c>
    </row>
    <row r="53" spans="1:17" customFormat="1">
      <c r="A53" s="80">
        <v>45414.46875</v>
      </c>
      <c r="B53" s="112">
        <v>11.23</v>
      </c>
      <c r="C53" s="112">
        <v>13.14</v>
      </c>
      <c r="D53" s="112">
        <v>25.02</v>
      </c>
      <c r="E53" s="112">
        <v>37.81</v>
      </c>
      <c r="F53" s="112">
        <v>28.3</v>
      </c>
      <c r="G53" s="112">
        <v>97.68</v>
      </c>
      <c r="H53" s="112">
        <v>31.04</v>
      </c>
      <c r="I53" s="112">
        <v>6.17</v>
      </c>
      <c r="J53" s="112">
        <v>0.72</v>
      </c>
      <c r="K53" s="112">
        <v>96.14</v>
      </c>
      <c r="L53" s="112">
        <v>38.82</v>
      </c>
      <c r="M53" s="112">
        <v>12.54</v>
      </c>
      <c r="N53" s="112">
        <v>705.5</v>
      </c>
      <c r="O53" s="112">
        <v>0</v>
      </c>
      <c r="P53" s="112">
        <v>0.6</v>
      </c>
      <c r="Q53" s="167" t="s">
        <v>14</v>
      </c>
    </row>
    <row r="54" spans="1:17" customFormat="1">
      <c r="A54" s="80">
        <v>45414.479166666664</v>
      </c>
      <c r="B54" s="112">
        <v>11.24</v>
      </c>
      <c r="C54" s="112">
        <v>13.14</v>
      </c>
      <c r="D54" s="112">
        <v>25.02</v>
      </c>
      <c r="E54" s="112">
        <v>43.12</v>
      </c>
      <c r="F54" s="112">
        <v>27</v>
      </c>
      <c r="G54" s="112">
        <v>97.84</v>
      </c>
      <c r="H54" s="112">
        <v>31.04</v>
      </c>
      <c r="I54" s="112">
        <v>6.11</v>
      </c>
      <c r="J54" s="112">
        <v>0.22</v>
      </c>
      <c r="K54" s="112">
        <v>98.03</v>
      </c>
      <c r="L54" s="112">
        <v>38.97</v>
      </c>
      <c r="M54" s="112">
        <v>12.67</v>
      </c>
      <c r="N54" s="112">
        <v>789.2</v>
      </c>
      <c r="O54" s="112">
        <v>0</v>
      </c>
      <c r="P54" s="112">
        <v>0.57999999999999996</v>
      </c>
      <c r="Q54" s="167" t="s">
        <v>14</v>
      </c>
    </row>
    <row r="55" spans="1:17" customFormat="1">
      <c r="A55" s="80">
        <v>45414.489583333336</v>
      </c>
      <c r="B55" s="112">
        <v>11.25</v>
      </c>
      <c r="C55" s="112">
        <v>13.18</v>
      </c>
      <c r="D55" s="112">
        <v>25.05</v>
      </c>
      <c r="E55" s="112">
        <v>47.79</v>
      </c>
      <c r="F55" s="112">
        <v>37.479999999999997</v>
      </c>
      <c r="G55" s="112">
        <v>97.84</v>
      </c>
      <c r="H55" s="112">
        <v>31.04</v>
      </c>
      <c r="I55" s="112">
        <v>6.26</v>
      </c>
      <c r="J55" s="112">
        <v>0.18</v>
      </c>
      <c r="K55" s="112">
        <v>283.47000000000003</v>
      </c>
      <c r="L55" s="112">
        <v>38.97</v>
      </c>
      <c r="M55" s="112">
        <v>12.12</v>
      </c>
      <c r="N55" s="112">
        <v>805</v>
      </c>
      <c r="O55" s="112">
        <v>0</v>
      </c>
      <c r="P55" s="112">
        <v>0.56000000000000005</v>
      </c>
      <c r="Q55" s="167" t="s">
        <v>14</v>
      </c>
    </row>
    <row r="56" spans="1:17" customFormat="1">
      <c r="A56" s="80">
        <v>45414.5</v>
      </c>
      <c r="B56" s="112">
        <v>11.23</v>
      </c>
      <c r="C56" s="112">
        <v>13.19</v>
      </c>
      <c r="D56" s="112">
        <v>25.04</v>
      </c>
      <c r="E56" s="112">
        <v>45.35</v>
      </c>
      <c r="F56" s="112">
        <v>31.38</v>
      </c>
      <c r="G56" s="112">
        <v>97.84</v>
      </c>
      <c r="H56" s="112">
        <v>31.04</v>
      </c>
      <c r="I56" s="112">
        <v>6.15</v>
      </c>
      <c r="J56" s="112">
        <v>0.51</v>
      </c>
      <c r="K56" s="112">
        <v>27</v>
      </c>
      <c r="L56" s="112">
        <v>38.86</v>
      </c>
      <c r="M56" s="112">
        <v>10.47</v>
      </c>
      <c r="N56" s="112">
        <v>831.7</v>
      </c>
      <c r="O56" s="112">
        <v>0</v>
      </c>
      <c r="P56" s="112">
        <v>0.56000000000000005</v>
      </c>
      <c r="Q56" s="167" t="s">
        <v>14</v>
      </c>
    </row>
    <row r="57" spans="1:17" customFormat="1">
      <c r="A57" s="80">
        <v>45414.510416666664</v>
      </c>
      <c r="B57" s="112">
        <v>11.23</v>
      </c>
      <c r="C57" s="112">
        <v>13.23</v>
      </c>
      <c r="D57" s="112">
        <v>25.06</v>
      </c>
      <c r="E57" s="112">
        <v>43.36</v>
      </c>
      <c r="F57" s="112">
        <v>42.96</v>
      </c>
      <c r="G57" s="112">
        <v>90</v>
      </c>
      <c r="H57" s="112">
        <v>29.45</v>
      </c>
      <c r="I57" s="112">
        <v>5.95</v>
      </c>
      <c r="J57" s="112">
        <v>0.37</v>
      </c>
      <c r="K57" s="112">
        <v>45.86</v>
      </c>
      <c r="L57" s="112">
        <v>39.85</v>
      </c>
      <c r="M57" s="112">
        <v>9.9700000000000006</v>
      </c>
      <c r="N57" s="112">
        <v>838.9</v>
      </c>
      <c r="O57" s="112">
        <v>0</v>
      </c>
      <c r="P57" s="112">
        <v>0.55000000000000004</v>
      </c>
      <c r="Q57" s="167" t="s">
        <v>14</v>
      </c>
    </row>
    <row r="58" spans="1:17" customFormat="1">
      <c r="A58" s="80">
        <v>45414.520833333336</v>
      </c>
      <c r="B58" s="112">
        <v>11.24</v>
      </c>
      <c r="C58" s="112">
        <v>13.16</v>
      </c>
      <c r="D58" s="112">
        <v>25.03</v>
      </c>
      <c r="E58" s="112">
        <v>40.86</v>
      </c>
      <c r="F58" s="112">
        <v>31.81</v>
      </c>
      <c r="G58" s="112">
        <v>87.9</v>
      </c>
      <c r="H58" s="112">
        <v>29.45</v>
      </c>
      <c r="I58" s="112">
        <v>5.98</v>
      </c>
      <c r="J58" s="112">
        <v>0.55000000000000004</v>
      </c>
      <c r="K58" s="112">
        <v>23.48</v>
      </c>
      <c r="L58" s="112">
        <v>39.74</v>
      </c>
      <c r="M58" s="112">
        <v>9.73</v>
      </c>
      <c r="N58" s="112">
        <v>840.2</v>
      </c>
      <c r="O58" s="112">
        <v>0</v>
      </c>
      <c r="P58" s="112">
        <v>0.54</v>
      </c>
      <c r="Q58" s="167" t="s">
        <v>14</v>
      </c>
    </row>
    <row r="59" spans="1:17" customFormat="1">
      <c r="A59" s="80">
        <v>45414.53125</v>
      </c>
      <c r="B59" s="112">
        <v>11.25</v>
      </c>
      <c r="C59" s="112">
        <v>13.12</v>
      </c>
      <c r="D59" s="112">
        <v>25.02</v>
      </c>
      <c r="E59" s="112">
        <v>44.38</v>
      </c>
      <c r="F59" s="112">
        <v>33.64</v>
      </c>
      <c r="G59" s="112">
        <v>87.9</v>
      </c>
      <c r="H59" s="112">
        <v>29.45</v>
      </c>
      <c r="I59" s="112">
        <v>5.62</v>
      </c>
      <c r="J59" s="112">
        <v>1.04</v>
      </c>
      <c r="K59" s="112">
        <v>33.340000000000003</v>
      </c>
      <c r="L59" s="112">
        <v>39.58</v>
      </c>
      <c r="M59" s="112">
        <v>9.75</v>
      </c>
      <c r="N59" s="112">
        <v>823.9</v>
      </c>
      <c r="O59" s="112">
        <v>0</v>
      </c>
      <c r="P59" s="112">
        <v>0.56000000000000005</v>
      </c>
      <c r="Q59" s="167" t="s">
        <v>14</v>
      </c>
    </row>
    <row r="60" spans="1:17" customFormat="1">
      <c r="A60" s="80">
        <v>45414.541666666664</v>
      </c>
      <c r="B60" s="112">
        <v>11.29</v>
      </c>
      <c r="C60" s="112">
        <v>13.1</v>
      </c>
      <c r="D60" s="112">
        <v>25.04</v>
      </c>
      <c r="E60" s="112">
        <v>44.32</v>
      </c>
      <c r="F60" s="112">
        <v>45.7</v>
      </c>
      <c r="G60" s="112">
        <v>87.9</v>
      </c>
      <c r="H60" s="112">
        <v>29.45</v>
      </c>
      <c r="I60" s="112">
        <v>5.72</v>
      </c>
      <c r="J60" s="112">
        <v>0.45</v>
      </c>
      <c r="K60" s="112">
        <v>343.36</v>
      </c>
      <c r="L60" s="112">
        <v>39.85</v>
      </c>
      <c r="M60" s="112">
        <v>9.64</v>
      </c>
      <c r="N60" s="112">
        <v>792.5</v>
      </c>
      <c r="O60" s="112">
        <v>0</v>
      </c>
      <c r="P60" s="112">
        <v>0.54</v>
      </c>
      <c r="Q60" s="167" t="s">
        <v>14</v>
      </c>
    </row>
    <row r="61" spans="1:17" customFormat="1">
      <c r="A61" s="80">
        <v>45414.552083333336</v>
      </c>
      <c r="B61" s="112">
        <v>11.3</v>
      </c>
      <c r="C61" s="112">
        <v>13.17</v>
      </c>
      <c r="D61" s="112">
        <v>25.09</v>
      </c>
      <c r="E61" s="112">
        <v>39.68</v>
      </c>
      <c r="F61" s="112">
        <v>33.65</v>
      </c>
      <c r="G61" s="112">
        <v>90.16</v>
      </c>
      <c r="H61" s="112">
        <v>27.22</v>
      </c>
      <c r="I61" s="112">
        <v>5.77</v>
      </c>
      <c r="J61" s="112">
        <v>0.2</v>
      </c>
      <c r="K61" s="112">
        <v>343.84</v>
      </c>
      <c r="L61" s="112">
        <v>40.340000000000003</v>
      </c>
      <c r="M61" s="112">
        <v>9.58</v>
      </c>
      <c r="N61" s="112">
        <v>777.6</v>
      </c>
      <c r="O61" s="112">
        <v>0</v>
      </c>
      <c r="P61" s="112">
        <v>0.55000000000000004</v>
      </c>
      <c r="Q61" s="167" t="s">
        <v>14</v>
      </c>
    </row>
    <row r="62" spans="1:17" customFormat="1">
      <c r="A62" s="80">
        <v>45414.5625</v>
      </c>
      <c r="B62" s="112">
        <v>11.28</v>
      </c>
      <c r="C62" s="112">
        <v>13.18</v>
      </c>
      <c r="D62" s="112">
        <v>25.07</v>
      </c>
      <c r="E62" s="112">
        <v>33.17</v>
      </c>
      <c r="F62" s="112">
        <v>19.87</v>
      </c>
      <c r="G62" s="112">
        <v>90.77</v>
      </c>
      <c r="H62" s="112">
        <v>27.22</v>
      </c>
      <c r="I62" s="112">
        <v>5.49</v>
      </c>
      <c r="J62" s="112">
        <v>0.9</v>
      </c>
      <c r="K62" s="112">
        <v>62.83</v>
      </c>
      <c r="L62" s="112">
        <v>40.28</v>
      </c>
      <c r="M62" s="112">
        <v>9.3800000000000008</v>
      </c>
      <c r="N62" s="112">
        <v>727.3</v>
      </c>
      <c r="O62" s="112">
        <v>0</v>
      </c>
      <c r="P62" s="112">
        <v>0.56999999999999995</v>
      </c>
      <c r="Q62" s="167" t="s">
        <v>14</v>
      </c>
    </row>
    <row r="63" spans="1:17" customFormat="1">
      <c r="A63" s="80">
        <v>45414.572916666664</v>
      </c>
      <c r="B63" s="112">
        <v>11.27</v>
      </c>
      <c r="C63" s="112">
        <v>13.13</v>
      </c>
      <c r="D63" s="112">
        <v>25.04</v>
      </c>
      <c r="E63" s="112">
        <v>33.229999999999997</v>
      </c>
      <c r="F63" s="112">
        <v>36.15</v>
      </c>
      <c r="G63" s="112">
        <v>90.77</v>
      </c>
      <c r="H63" s="112">
        <v>27.22</v>
      </c>
      <c r="I63" s="112">
        <v>5.78</v>
      </c>
      <c r="J63" s="112">
        <v>1.1100000000000001</v>
      </c>
      <c r="K63" s="112">
        <v>37.57</v>
      </c>
      <c r="L63" s="112">
        <v>40.31</v>
      </c>
      <c r="M63" s="112">
        <v>9.24</v>
      </c>
      <c r="N63" s="112">
        <v>623.9</v>
      </c>
      <c r="O63" s="112">
        <v>0</v>
      </c>
      <c r="P63" s="112">
        <v>0.55000000000000004</v>
      </c>
      <c r="Q63" s="167" t="s">
        <v>14</v>
      </c>
    </row>
    <row r="64" spans="1:17" customFormat="1">
      <c r="A64" s="80">
        <v>45414.583333333336</v>
      </c>
      <c r="B64" s="112">
        <v>11.3</v>
      </c>
      <c r="C64" s="112">
        <v>13.07</v>
      </c>
      <c r="D64" s="112">
        <v>25.03</v>
      </c>
      <c r="E64" s="112">
        <v>36.79</v>
      </c>
      <c r="F64" s="112">
        <v>25.66</v>
      </c>
      <c r="G64" s="112">
        <v>90.77</v>
      </c>
      <c r="H64" s="112">
        <v>27.22</v>
      </c>
      <c r="I64" s="112">
        <v>6.02</v>
      </c>
      <c r="J64" s="112">
        <v>0.71</v>
      </c>
      <c r="K64" s="112">
        <v>340.36</v>
      </c>
      <c r="L64" s="112">
        <v>40.33</v>
      </c>
      <c r="M64" s="112">
        <v>9.2100000000000009</v>
      </c>
      <c r="N64" s="112">
        <v>674.7</v>
      </c>
      <c r="O64" s="112">
        <v>0</v>
      </c>
      <c r="P64" s="112">
        <v>0.54</v>
      </c>
      <c r="Q64" s="167" t="s">
        <v>14</v>
      </c>
    </row>
    <row r="65" spans="1:17" customFormat="1">
      <c r="A65" s="80">
        <v>45414.59375</v>
      </c>
      <c r="B65" s="112">
        <v>11.3</v>
      </c>
      <c r="C65" s="112">
        <v>13.06</v>
      </c>
      <c r="D65" s="112">
        <v>25.03</v>
      </c>
      <c r="E65" s="112">
        <v>25.62</v>
      </c>
      <c r="F65" s="112">
        <v>25.35</v>
      </c>
      <c r="G65" s="112">
        <v>91.46</v>
      </c>
      <c r="H65" s="112">
        <v>26.58</v>
      </c>
      <c r="I65" s="112">
        <v>5.77</v>
      </c>
      <c r="J65" s="112">
        <v>0.35</v>
      </c>
      <c r="K65" s="112">
        <v>313.83999999999997</v>
      </c>
      <c r="L65" s="112">
        <v>41.21</v>
      </c>
      <c r="M65" s="112">
        <v>9.0500000000000007</v>
      </c>
      <c r="N65" s="112">
        <v>682.6</v>
      </c>
      <c r="O65" s="112">
        <v>0</v>
      </c>
      <c r="P65" s="112">
        <v>0.52</v>
      </c>
      <c r="Q65" s="167" t="s">
        <v>14</v>
      </c>
    </row>
    <row r="66" spans="1:17" customFormat="1">
      <c r="A66" s="80">
        <v>45414.604166666664</v>
      </c>
      <c r="B66" s="112">
        <v>11.31</v>
      </c>
      <c r="C66" s="112">
        <v>13.21</v>
      </c>
      <c r="D66" s="112">
        <v>25.12</v>
      </c>
      <c r="E66" s="112">
        <v>21.69</v>
      </c>
      <c r="F66" s="112">
        <v>22.45</v>
      </c>
      <c r="G66" s="112">
        <v>91.65</v>
      </c>
      <c r="H66" s="112">
        <v>26.58</v>
      </c>
      <c r="I66" s="112">
        <v>5.89</v>
      </c>
      <c r="J66" s="112">
        <v>1.03</v>
      </c>
      <c r="K66" s="112">
        <v>327.08999999999997</v>
      </c>
      <c r="L66" s="112">
        <v>40.6</v>
      </c>
      <c r="M66" s="112">
        <v>8.7899999999999991</v>
      </c>
      <c r="N66" s="112">
        <v>679.1</v>
      </c>
      <c r="O66" s="112">
        <v>0</v>
      </c>
      <c r="P66" s="112">
        <v>0.52</v>
      </c>
      <c r="Q66" s="167" t="s">
        <v>14</v>
      </c>
    </row>
    <row r="67" spans="1:17" customFormat="1">
      <c r="A67" s="80">
        <v>45414.614583333336</v>
      </c>
      <c r="B67" s="112">
        <v>11.28</v>
      </c>
      <c r="C67" s="112">
        <v>13.18</v>
      </c>
      <c r="D67" s="112">
        <v>25.08</v>
      </c>
      <c r="E67" s="112">
        <v>19.5</v>
      </c>
      <c r="F67" s="112">
        <v>34.9</v>
      </c>
      <c r="G67" s="112">
        <v>91.65</v>
      </c>
      <c r="H67" s="112">
        <v>26.58</v>
      </c>
      <c r="I67" s="112">
        <v>5.79</v>
      </c>
      <c r="J67" s="112">
        <v>0.96</v>
      </c>
      <c r="K67" s="112">
        <v>358.89</v>
      </c>
      <c r="L67" s="112">
        <v>40.01</v>
      </c>
      <c r="M67" s="112">
        <v>8.9499999999999993</v>
      </c>
      <c r="N67" s="112">
        <v>608</v>
      </c>
      <c r="O67" s="112">
        <v>0</v>
      </c>
      <c r="P67" s="112">
        <v>0.51</v>
      </c>
      <c r="Q67" s="167" t="s">
        <v>14</v>
      </c>
    </row>
    <row r="68" spans="1:17" customFormat="1">
      <c r="A68" s="80">
        <v>45414.625</v>
      </c>
      <c r="B68" s="112">
        <v>11.27</v>
      </c>
      <c r="C68" s="112">
        <v>13.14</v>
      </c>
      <c r="D68" s="112">
        <v>25.05</v>
      </c>
      <c r="E68" s="112">
        <v>17.510000000000002</v>
      </c>
      <c r="F68" s="112">
        <v>32.28</v>
      </c>
      <c r="G68" s="112">
        <v>91.65</v>
      </c>
      <c r="H68" s="112">
        <v>26.58</v>
      </c>
      <c r="I68" s="112">
        <v>5.8</v>
      </c>
      <c r="J68" s="112">
        <v>0.28999999999999998</v>
      </c>
      <c r="K68" s="112">
        <v>319.56</v>
      </c>
      <c r="L68" s="112">
        <v>40.49</v>
      </c>
      <c r="M68" s="112">
        <v>9.18</v>
      </c>
      <c r="N68" s="112">
        <v>599.6</v>
      </c>
      <c r="O68" s="112">
        <v>0</v>
      </c>
      <c r="P68" s="112">
        <v>0.51</v>
      </c>
      <c r="Q68" s="167" t="s">
        <v>14</v>
      </c>
    </row>
    <row r="69" spans="1:17" customFormat="1">
      <c r="A69" s="80">
        <v>45414.635416666664</v>
      </c>
      <c r="B69" s="112">
        <v>11.24</v>
      </c>
      <c r="C69" s="112">
        <v>13.13</v>
      </c>
      <c r="D69" s="112">
        <v>25.02</v>
      </c>
      <c r="E69" s="112">
        <v>16.86</v>
      </c>
      <c r="F69" s="112">
        <v>28.34</v>
      </c>
      <c r="G69" s="112">
        <v>83.63</v>
      </c>
      <c r="H69" s="112">
        <v>25.91</v>
      </c>
      <c r="I69" s="112">
        <v>5.63</v>
      </c>
      <c r="J69" s="112">
        <v>0.54</v>
      </c>
      <c r="K69" s="112">
        <v>279.87</v>
      </c>
      <c r="L69" s="112">
        <v>40.99</v>
      </c>
      <c r="M69" s="112">
        <v>8.99</v>
      </c>
      <c r="N69" s="112">
        <v>551.5</v>
      </c>
      <c r="O69" s="112">
        <v>0</v>
      </c>
      <c r="P69" s="112">
        <v>0.51</v>
      </c>
      <c r="Q69" s="167" t="s">
        <v>14</v>
      </c>
    </row>
    <row r="70" spans="1:17" customFormat="1">
      <c r="A70" s="80">
        <v>45414.645833333336</v>
      </c>
      <c r="B70" s="112">
        <v>11.22</v>
      </c>
      <c r="C70" s="112">
        <v>13.2</v>
      </c>
      <c r="D70" s="112">
        <v>25.04</v>
      </c>
      <c r="E70" s="112">
        <v>16.53</v>
      </c>
      <c r="F70" s="112">
        <v>21.81</v>
      </c>
      <c r="G70" s="112">
        <v>81.489999999999995</v>
      </c>
      <c r="H70" s="112">
        <v>25.91</v>
      </c>
      <c r="I70" s="112">
        <v>5.69</v>
      </c>
      <c r="J70" s="112">
        <v>0.81</v>
      </c>
      <c r="K70" s="112">
        <v>351.4</v>
      </c>
      <c r="L70" s="112">
        <v>40.479999999999997</v>
      </c>
      <c r="M70" s="112">
        <v>9.31</v>
      </c>
      <c r="N70" s="112">
        <v>485.4</v>
      </c>
      <c r="O70" s="112">
        <v>0</v>
      </c>
      <c r="P70" s="112">
        <v>0.51</v>
      </c>
      <c r="Q70" s="167" t="s">
        <v>14</v>
      </c>
    </row>
    <row r="71" spans="1:17" customFormat="1">
      <c r="A71" s="80">
        <v>45414.65625</v>
      </c>
      <c r="B71" s="112">
        <v>11.19</v>
      </c>
      <c r="C71" s="112">
        <v>13.17</v>
      </c>
      <c r="D71" s="112">
        <v>25</v>
      </c>
      <c r="E71" s="112">
        <v>17.57</v>
      </c>
      <c r="F71" s="112">
        <v>32.130000000000003</v>
      </c>
      <c r="G71" s="112">
        <v>81.489999999999995</v>
      </c>
      <c r="H71" s="112">
        <v>25.91</v>
      </c>
      <c r="I71" s="112">
        <v>5.71</v>
      </c>
      <c r="J71" s="112">
        <v>1.1100000000000001</v>
      </c>
      <c r="K71" s="112">
        <v>34.42</v>
      </c>
      <c r="L71" s="112">
        <v>40.049999999999997</v>
      </c>
      <c r="M71" s="112">
        <v>9.44</v>
      </c>
      <c r="N71" s="112">
        <v>445.5</v>
      </c>
      <c r="O71" s="112">
        <v>0</v>
      </c>
      <c r="P71" s="112">
        <v>0.51</v>
      </c>
      <c r="Q71" s="167" t="s">
        <v>14</v>
      </c>
    </row>
    <row r="72" spans="1:17" customFormat="1">
      <c r="A72" s="80">
        <v>45414.666666666664</v>
      </c>
      <c r="B72" s="112">
        <v>11.18</v>
      </c>
      <c r="C72" s="112">
        <v>13.19</v>
      </c>
      <c r="D72" s="112">
        <v>25</v>
      </c>
      <c r="E72" s="112">
        <v>19.34</v>
      </c>
      <c r="F72" s="112">
        <v>37.4</v>
      </c>
      <c r="G72" s="112">
        <v>81.489999999999995</v>
      </c>
      <c r="H72" s="112">
        <v>25.91</v>
      </c>
      <c r="I72" s="112">
        <v>5.79</v>
      </c>
      <c r="J72" s="112">
        <v>0.82</v>
      </c>
      <c r="K72" s="112">
        <v>50.41</v>
      </c>
      <c r="L72" s="112">
        <v>40.270000000000003</v>
      </c>
      <c r="M72" s="112">
        <v>9.5</v>
      </c>
      <c r="N72" s="112">
        <v>381.5</v>
      </c>
      <c r="O72" s="112">
        <v>0</v>
      </c>
      <c r="P72" s="112">
        <v>0.52</v>
      </c>
      <c r="Q72" s="167" t="s">
        <v>14</v>
      </c>
    </row>
    <row r="73" spans="1:17" customFormat="1">
      <c r="A73" s="80">
        <v>45414.677083333336</v>
      </c>
      <c r="B73" s="112">
        <v>11.17</v>
      </c>
      <c r="C73" s="112">
        <v>13.21</v>
      </c>
      <c r="D73" s="112">
        <v>25</v>
      </c>
      <c r="E73" s="112">
        <v>21.38</v>
      </c>
      <c r="F73" s="112">
        <v>38.5</v>
      </c>
      <c r="G73" s="112">
        <v>80.81</v>
      </c>
      <c r="H73" s="112">
        <v>25.53</v>
      </c>
      <c r="I73" s="112">
        <v>5.62</v>
      </c>
      <c r="J73" s="112">
        <v>0.8</v>
      </c>
      <c r="K73" s="112">
        <v>12.78</v>
      </c>
      <c r="L73" s="112">
        <v>40.04</v>
      </c>
      <c r="M73" s="112">
        <v>9.7799999999999994</v>
      </c>
      <c r="N73" s="112">
        <v>309.3</v>
      </c>
      <c r="O73" s="112">
        <v>0</v>
      </c>
      <c r="P73" s="112">
        <v>0.49</v>
      </c>
      <c r="Q73" s="167" t="s">
        <v>14</v>
      </c>
    </row>
    <row r="74" spans="1:17" customFormat="1">
      <c r="A74" s="80">
        <v>45414.6875</v>
      </c>
      <c r="B74" s="112">
        <v>11.15</v>
      </c>
      <c r="C74" s="112">
        <v>13.23</v>
      </c>
      <c r="D74" s="112">
        <v>25</v>
      </c>
      <c r="E74" s="112">
        <v>19.95</v>
      </c>
      <c r="F74" s="112">
        <v>37.75</v>
      </c>
      <c r="G74" s="112">
        <v>80.62</v>
      </c>
      <c r="H74" s="112">
        <v>25.53</v>
      </c>
      <c r="I74" s="112">
        <v>5.46</v>
      </c>
      <c r="J74" s="112">
        <v>0.8</v>
      </c>
      <c r="K74" s="112">
        <v>49.62</v>
      </c>
      <c r="L74" s="112">
        <v>39.93</v>
      </c>
      <c r="M74" s="112">
        <v>9.57</v>
      </c>
      <c r="N74" s="112">
        <v>202.4</v>
      </c>
      <c r="O74" s="112">
        <v>0</v>
      </c>
      <c r="P74" s="112">
        <v>0.51</v>
      </c>
      <c r="Q74" s="167" t="s">
        <v>14</v>
      </c>
    </row>
    <row r="75" spans="1:17" customFormat="1">
      <c r="A75" s="80">
        <v>45414.697916666664</v>
      </c>
      <c r="B75" s="112">
        <v>11.16</v>
      </c>
      <c r="C75" s="112">
        <v>13.22</v>
      </c>
      <c r="D75" s="112">
        <v>25</v>
      </c>
      <c r="E75" s="112">
        <v>20.3</v>
      </c>
      <c r="F75" s="112">
        <v>41.06</v>
      </c>
      <c r="G75" s="112">
        <v>80.62</v>
      </c>
      <c r="H75" s="112">
        <v>25.53</v>
      </c>
      <c r="I75" s="112">
        <v>5.38</v>
      </c>
      <c r="J75" s="112">
        <v>0.51</v>
      </c>
      <c r="K75" s="112">
        <v>38.119999999999997</v>
      </c>
      <c r="L75" s="112">
        <v>40.14</v>
      </c>
      <c r="M75" s="112">
        <v>9.8800000000000008</v>
      </c>
      <c r="N75" s="112">
        <v>157.1</v>
      </c>
      <c r="O75" s="112">
        <v>0</v>
      </c>
      <c r="P75" s="112">
        <v>0.52</v>
      </c>
      <c r="Q75" s="167" t="s">
        <v>14</v>
      </c>
    </row>
    <row r="76" spans="1:17" customFormat="1">
      <c r="A76" s="80">
        <v>45414.708333333336</v>
      </c>
      <c r="B76" s="112">
        <v>11.17</v>
      </c>
      <c r="C76" s="112">
        <v>13.22</v>
      </c>
      <c r="D76" s="112">
        <v>25.01</v>
      </c>
      <c r="E76" s="112">
        <v>20.66</v>
      </c>
      <c r="F76" s="112">
        <v>42.1</v>
      </c>
      <c r="G76" s="112">
        <v>80.62</v>
      </c>
      <c r="H76" s="112">
        <v>25.53</v>
      </c>
      <c r="I76" s="112">
        <v>5.39</v>
      </c>
      <c r="J76" s="112">
        <v>0.34</v>
      </c>
      <c r="K76" s="112">
        <v>75.709999999999994</v>
      </c>
      <c r="L76" s="112">
        <v>39.82</v>
      </c>
      <c r="M76" s="112">
        <v>11.82</v>
      </c>
      <c r="N76" s="112">
        <v>150.30000000000001</v>
      </c>
      <c r="O76" s="112">
        <v>0</v>
      </c>
      <c r="P76" s="112">
        <v>0.51</v>
      </c>
      <c r="Q76" s="167" t="s">
        <v>14</v>
      </c>
    </row>
    <row r="77" spans="1:17" customFormat="1">
      <c r="A77" s="80">
        <v>45414.71875</v>
      </c>
      <c r="B77" s="112">
        <v>11.17</v>
      </c>
      <c r="C77" s="112">
        <v>13.25</v>
      </c>
      <c r="D77" s="112">
        <v>25.03</v>
      </c>
      <c r="E77" s="112">
        <v>20.14</v>
      </c>
      <c r="F77" s="112">
        <v>47.11</v>
      </c>
      <c r="G77" s="112">
        <v>85.41</v>
      </c>
      <c r="H77" s="112">
        <v>26.4</v>
      </c>
      <c r="I77" s="112">
        <v>5.43</v>
      </c>
      <c r="J77" s="112">
        <v>0.3</v>
      </c>
      <c r="K77" s="112">
        <v>178.45</v>
      </c>
      <c r="L77" s="112">
        <v>39.479999999999997</v>
      </c>
      <c r="M77" s="112">
        <v>13.38</v>
      </c>
      <c r="N77" s="112">
        <v>91.3</v>
      </c>
      <c r="O77" s="112">
        <v>0</v>
      </c>
      <c r="P77" s="112">
        <v>0.5</v>
      </c>
      <c r="Q77" s="167" t="s">
        <v>14</v>
      </c>
    </row>
    <row r="78" spans="1:17" customFormat="1">
      <c r="A78" s="80">
        <v>45414.729166666664</v>
      </c>
      <c r="B78" s="112">
        <v>11.15</v>
      </c>
      <c r="C78" s="112">
        <v>13.23</v>
      </c>
      <c r="D78" s="112">
        <v>25</v>
      </c>
      <c r="E78" s="112">
        <v>19.66</v>
      </c>
      <c r="F78" s="112">
        <v>45.7</v>
      </c>
      <c r="G78" s="112">
        <v>86.69</v>
      </c>
      <c r="H78" s="112">
        <v>26.4</v>
      </c>
      <c r="I78" s="112">
        <v>5.42</v>
      </c>
      <c r="J78" s="112">
        <v>0.25</v>
      </c>
      <c r="K78" s="112">
        <v>175.92</v>
      </c>
      <c r="L78" s="112">
        <v>38.83</v>
      </c>
      <c r="M78" s="112">
        <v>15.05</v>
      </c>
      <c r="N78" s="112">
        <v>70.7</v>
      </c>
      <c r="O78" s="112">
        <v>0</v>
      </c>
      <c r="P78" s="112">
        <v>0.49</v>
      </c>
      <c r="Q78" s="167" t="s">
        <v>14</v>
      </c>
    </row>
    <row r="79" spans="1:17" customFormat="1">
      <c r="A79" s="80">
        <v>45414.739583333336</v>
      </c>
      <c r="B79" s="112">
        <v>11.15</v>
      </c>
      <c r="C79" s="112">
        <v>13.23</v>
      </c>
      <c r="D79" s="112">
        <v>25</v>
      </c>
      <c r="E79" s="112">
        <v>19.27</v>
      </c>
      <c r="F79" s="112">
        <v>42.82</v>
      </c>
      <c r="G79" s="112">
        <v>86.69</v>
      </c>
      <c r="H79" s="112">
        <v>26.4</v>
      </c>
      <c r="I79" s="112">
        <v>5.43</v>
      </c>
      <c r="J79" s="112">
        <v>0.34</v>
      </c>
      <c r="K79" s="112">
        <v>159.72</v>
      </c>
      <c r="L79" s="112">
        <v>37.82</v>
      </c>
      <c r="M79" s="112">
        <v>16.37</v>
      </c>
      <c r="N79" s="112">
        <v>40.6</v>
      </c>
      <c r="O79" s="112">
        <v>0</v>
      </c>
      <c r="P79" s="112">
        <v>0.5</v>
      </c>
      <c r="Q79" s="167" t="s">
        <v>14</v>
      </c>
    </row>
    <row r="80" spans="1:17" customFormat="1">
      <c r="A80" s="80">
        <v>45414.75</v>
      </c>
      <c r="B80" s="112">
        <v>11.14</v>
      </c>
      <c r="C80" s="112">
        <v>13.25</v>
      </c>
      <c r="D80" s="112">
        <v>25</v>
      </c>
      <c r="E80" s="112">
        <v>17.87</v>
      </c>
      <c r="F80" s="112">
        <v>39.9</v>
      </c>
      <c r="G80" s="112">
        <v>86.69</v>
      </c>
      <c r="H80" s="112">
        <v>26.4</v>
      </c>
      <c r="I80" s="112">
        <v>5.48</v>
      </c>
      <c r="J80" s="112">
        <v>0.27</v>
      </c>
      <c r="K80" s="112">
        <v>154.47</v>
      </c>
      <c r="L80" s="112">
        <v>36.69</v>
      </c>
      <c r="M80" s="112">
        <v>19.57</v>
      </c>
      <c r="N80" s="112">
        <v>14.9</v>
      </c>
      <c r="O80" s="112">
        <v>0</v>
      </c>
      <c r="P80" s="112">
        <v>0.52</v>
      </c>
      <c r="Q80" s="167" t="s">
        <v>14</v>
      </c>
    </row>
    <row r="81" spans="1:17" customFormat="1">
      <c r="A81" s="80">
        <v>45414.760416666664</v>
      </c>
      <c r="B81" s="112">
        <v>11.16</v>
      </c>
      <c r="C81" s="112">
        <v>13.22</v>
      </c>
      <c r="D81" s="112">
        <v>25</v>
      </c>
      <c r="E81" s="112">
        <v>16.89</v>
      </c>
      <c r="F81" s="112">
        <v>51.02</v>
      </c>
      <c r="G81" s="112">
        <v>81.150000000000006</v>
      </c>
      <c r="H81" s="112">
        <v>22.99</v>
      </c>
      <c r="I81" s="112">
        <v>5.53</v>
      </c>
      <c r="J81" s="112">
        <v>0.26</v>
      </c>
      <c r="K81" s="112">
        <v>163.79</v>
      </c>
      <c r="L81" s="112">
        <v>35.380000000000003</v>
      </c>
      <c r="M81" s="112">
        <v>21.56</v>
      </c>
      <c r="N81" s="112">
        <v>1.1000000000000001</v>
      </c>
      <c r="O81" s="112">
        <v>0</v>
      </c>
      <c r="P81" s="112">
        <v>0.52</v>
      </c>
      <c r="Q81" s="167" t="s">
        <v>14</v>
      </c>
    </row>
    <row r="82" spans="1:17" customFormat="1">
      <c r="A82" s="80">
        <v>45414.770833333336</v>
      </c>
      <c r="B82" s="112">
        <v>11.16</v>
      </c>
      <c r="C82" s="112">
        <v>13.22</v>
      </c>
      <c r="D82" s="112">
        <v>25</v>
      </c>
      <c r="E82" s="112">
        <v>20.58</v>
      </c>
      <c r="F82" s="112">
        <v>57.99</v>
      </c>
      <c r="G82" s="112">
        <v>79.67</v>
      </c>
      <c r="H82" s="112">
        <v>22.99</v>
      </c>
      <c r="I82" s="112">
        <v>5.69</v>
      </c>
      <c r="J82" s="112">
        <v>0.3</v>
      </c>
      <c r="K82" s="112">
        <v>169.55</v>
      </c>
      <c r="L82" s="112">
        <v>34.229999999999997</v>
      </c>
      <c r="M82" s="112">
        <v>24.75</v>
      </c>
      <c r="N82" s="112">
        <v>0</v>
      </c>
      <c r="O82" s="112">
        <v>0</v>
      </c>
      <c r="P82" s="112">
        <v>0.55000000000000004</v>
      </c>
      <c r="Q82" s="167" t="s">
        <v>14</v>
      </c>
    </row>
    <row r="83" spans="1:17" customFormat="1">
      <c r="A83" s="80">
        <v>45414.78125</v>
      </c>
      <c r="B83" s="112">
        <v>11.24</v>
      </c>
      <c r="C83" s="112">
        <v>13.13</v>
      </c>
      <c r="D83" s="112">
        <v>25.02</v>
      </c>
      <c r="E83" s="112">
        <v>20.079999999999998</v>
      </c>
      <c r="F83" s="112">
        <v>50.73</v>
      </c>
      <c r="G83" s="112">
        <v>79.67</v>
      </c>
      <c r="H83" s="112">
        <v>22.99</v>
      </c>
      <c r="I83" s="112">
        <v>5.7</v>
      </c>
      <c r="J83" s="112">
        <v>0.25</v>
      </c>
      <c r="K83" s="112">
        <v>152.85</v>
      </c>
      <c r="L83" s="112">
        <v>33.700000000000003</v>
      </c>
      <c r="M83" s="112">
        <v>24.94</v>
      </c>
      <c r="N83" s="112">
        <v>0</v>
      </c>
      <c r="O83" s="112">
        <v>0</v>
      </c>
      <c r="P83" s="112">
        <v>0.57999999999999996</v>
      </c>
      <c r="Q83" s="167" t="s">
        <v>14</v>
      </c>
    </row>
    <row r="84" spans="1:17" customFormat="1">
      <c r="A84" s="80">
        <v>45414.791666666664</v>
      </c>
      <c r="B84" s="112">
        <v>11.35</v>
      </c>
      <c r="C84" s="112">
        <v>13.22</v>
      </c>
      <c r="D84" s="112">
        <v>25.16</v>
      </c>
      <c r="E84" s="112">
        <v>20.85</v>
      </c>
      <c r="F84" s="112">
        <v>20.95</v>
      </c>
      <c r="G84" s="112">
        <v>79.67</v>
      </c>
      <c r="H84" s="112">
        <v>22.99</v>
      </c>
      <c r="I84" s="112">
        <v>6.16</v>
      </c>
      <c r="J84" s="112">
        <v>0.15</v>
      </c>
      <c r="K84" s="112">
        <v>152.34</v>
      </c>
      <c r="L84" s="112">
        <v>33.39</v>
      </c>
      <c r="M84" s="112">
        <v>24.67</v>
      </c>
      <c r="N84" s="112">
        <v>0</v>
      </c>
      <c r="O84" s="112">
        <v>0</v>
      </c>
      <c r="P84" s="112">
        <v>0.88</v>
      </c>
      <c r="Q84" s="167" t="s">
        <v>14</v>
      </c>
    </row>
    <row r="85" spans="1:17" customFormat="1">
      <c r="A85" s="80">
        <v>45414.802083333336</v>
      </c>
      <c r="B85" s="112">
        <v>11.29</v>
      </c>
      <c r="C85" s="112">
        <v>13.29</v>
      </c>
      <c r="D85" s="112">
        <v>25.14</v>
      </c>
      <c r="E85" s="112">
        <v>18.71</v>
      </c>
      <c r="F85" s="112">
        <v>4.62</v>
      </c>
      <c r="G85" s="112">
        <v>93.24</v>
      </c>
      <c r="H85" s="112">
        <v>27.22</v>
      </c>
      <c r="I85" s="112">
        <v>7.54</v>
      </c>
      <c r="J85" s="112">
        <v>0.43</v>
      </c>
      <c r="K85" s="112">
        <v>254.23</v>
      </c>
      <c r="L85" s="112">
        <v>32.619999999999997</v>
      </c>
      <c r="M85" s="112">
        <v>26.31</v>
      </c>
      <c r="N85" s="112">
        <v>0</v>
      </c>
      <c r="O85" s="112">
        <v>0</v>
      </c>
      <c r="P85" s="112">
        <v>0.93</v>
      </c>
      <c r="Q85" s="167" t="s">
        <v>14</v>
      </c>
    </row>
    <row r="86" spans="1:17" customFormat="1">
      <c r="A86" s="80">
        <v>45414.8125</v>
      </c>
      <c r="B86" s="112">
        <v>11.24</v>
      </c>
      <c r="C86" s="112">
        <v>13.24</v>
      </c>
      <c r="D86" s="112">
        <v>25.08</v>
      </c>
      <c r="E86" s="112">
        <v>20.69</v>
      </c>
      <c r="F86" s="112">
        <v>10.7</v>
      </c>
      <c r="G86" s="112">
        <v>96.87</v>
      </c>
      <c r="H86" s="112">
        <v>27.22</v>
      </c>
      <c r="I86" s="112">
        <v>8.17</v>
      </c>
      <c r="J86" s="112">
        <v>0.41</v>
      </c>
      <c r="K86" s="112">
        <v>328.92</v>
      </c>
      <c r="L86" s="112">
        <v>33.65</v>
      </c>
      <c r="M86" s="112">
        <v>21</v>
      </c>
      <c r="N86" s="112">
        <v>0</v>
      </c>
      <c r="O86" s="112">
        <v>0</v>
      </c>
      <c r="P86" s="112">
        <v>1</v>
      </c>
      <c r="Q86" s="167" t="s">
        <v>14</v>
      </c>
    </row>
    <row r="87" spans="1:17" customFormat="1">
      <c r="A87" s="80">
        <v>45414.822916666664</v>
      </c>
      <c r="B87" s="112">
        <v>11.23</v>
      </c>
      <c r="C87" s="112">
        <v>13.2</v>
      </c>
      <c r="D87" s="112">
        <v>25.05</v>
      </c>
      <c r="E87" s="112">
        <v>36.17</v>
      </c>
      <c r="F87" s="112">
        <v>12.81</v>
      </c>
      <c r="G87" s="112">
        <v>96.87</v>
      </c>
      <c r="H87" s="112">
        <v>27.22</v>
      </c>
      <c r="I87" s="112">
        <v>10.83</v>
      </c>
      <c r="J87" s="112">
        <v>0.98</v>
      </c>
      <c r="K87" s="112">
        <v>307.57</v>
      </c>
      <c r="L87" s="112">
        <v>34.369999999999997</v>
      </c>
      <c r="M87" s="112">
        <v>15.1</v>
      </c>
      <c r="N87" s="112">
        <v>0</v>
      </c>
      <c r="O87" s="112">
        <v>0</v>
      </c>
      <c r="P87" s="112">
        <v>0.76</v>
      </c>
      <c r="Q87" s="167" t="s">
        <v>14</v>
      </c>
    </row>
    <row r="88" spans="1:17" customFormat="1">
      <c r="A88" s="80">
        <v>45414.833333333336</v>
      </c>
      <c r="B88" s="112">
        <v>11.3</v>
      </c>
      <c r="C88" s="112">
        <v>13.39</v>
      </c>
      <c r="D88" s="112">
        <v>25.2</v>
      </c>
      <c r="E88" s="112">
        <v>43.53</v>
      </c>
      <c r="F88" s="112">
        <v>14.15</v>
      </c>
      <c r="G88" s="112">
        <v>96.87</v>
      </c>
      <c r="H88" s="112">
        <v>27.22</v>
      </c>
      <c r="I88" s="112">
        <v>10.64</v>
      </c>
      <c r="J88" s="112">
        <v>0.75</v>
      </c>
      <c r="K88" s="112">
        <v>304.79000000000002</v>
      </c>
      <c r="L88" s="112">
        <v>34.5</v>
      </c>
      <c r="M88" s="112">
        <v>13.46</v>
      </c>
      <c r="N88" s="112">
        <v>0</v>
      </c>
      <c r="O88" s="112">
        <v>0</v>
      </c>
      <c r="P88" s="112">
        <v>0.72</v>
      </c>
      <c r="Q88" s="167" t="s">
        <v>14</v>
      </c>
    </row>
    <row r="89" spans="1:17" customFormat="1">
      <c r="A89" s="80">
        <v>45414.84375</v>
      </c>
      <c r="B89" s="112">
        <v>11.27</v>
      </c>
      <c r="C89" s="112">
        <v>13.3</v>
      </c>
      <c r="D89" s="112">
        <v>25.13</v>
      </c>
      <c r="E89" s="112">
        <v>46.38</v>
      </c>
      <c r="F89" s="112">
        <v>16.13</v>
      </c>
      <c r="G89" s="112">
        <v>108.18</v>
      </c>
      <c r="H89" s="112">
        <v>29.38</v>
      </c>
      <c r="I89" s="112">
        <v>8.17</v>
      </c>
      <c r="J89" s="112">
        <v>0.59</v>
      </c>
      <c r="K89" s="112">
        <v>289.48</v>
      </c>
      <c r="L89" s="112">
        <v>34.020000000000003</v>
      </c>
      <c r="M89" s="112">
        <v>14.09</v>
      </c>
      <c r="N89" s="112">
        <v>0</v>
      </c>
      <c r="O89" s="112">
        <v>0</v>
      </c>
      <c r="P89" s="112">
        <v>0.75</v>
      </c>
      <c r="Q89" s="167" t="s">
        <v>14</v>
      </c>
    </row>
    <row r="90" spans="1:17" customFormat="1">
      <c r="A90" s="80">
        <v>45414.854166666664</v>
      </c>
      <c r="B90" s="112">
        <v>11.21</v>
      </c>
      <c r="C90" s="112">
        <v>13.23</v>
      </c>
      <c r="D90" s="112">
        <v>25.05</v>
      </c>
      <c r="E90" s="112">
        <v>28.29</v>
      </c>
      <c r="F90" s="112">
        <v>14.25</v>
      </c>
      <c r="G90" s="112">
        <v>111.21</v>
      </c>
      <c r="H90" s="112">
        <v>29.38</v>
      </c>
      <c r="I90" s="112">
        <v>7.42</v>
      </c>
      <c r="J90" s="112">
        <v>0.73</v>
      </c>
      <c r="K90" s="112">
        <v>300.57</v>
      </c>
      <c r="L90" s="112">
        <v>33.82</v>
      </c>
      <c r="M90" s="112">
        <v>13.75</v>
      </c>
      <c r="N90" s="112">
        <v>0</v>
      </c>
      <c r="O90" s="112">
        <v>0</v>
      </c>
      <c r="P90" s="112">
        <v>0.73</v>
      </c>
      <c r="Q90" s="167" t="s">
        <v>14</v>
      </c>
    </row>
    <row r="91" spans="1:17" customFormat="1">
      <c r="A91" s="80">
        <v>45414.864583333336</v>
      </c>
      <c r="B91" s="112">
        <v>11.19</v>
      </c>
      <c r="C91" s="112">
        <v>13.18</v>
      </c>
      <c r="D91" s="112">
        <v>25</v>
      </c>
      <c r="E91" s="112">
        <v>24</v>
      </c>
      <c r="F91" s="112">
        <v>14.54</v>
      </c>
      <c r="G91" s="112">
        <v>111.21</v>
      </c>
      <c r="H91" s="112">
        <v>29.38</v>
      </c>
      <c r="I91" s="112">
        <v>7.61</v>
      </c>
      <c r="J91" s="112">
        <v>0.67</v>
      </c>
      <c r="K91" s="112">
        <v>296.36</v>
      </c>
      <c r="L91" s="112">
        <v>33.6</v>
      </c>
      <c r="M91" s="112">
        <v>13.69</v>
      </c>
      <c r="N91" s="112">
        <v>0</v>
      </c>
      <c r="O91" s="112">
        <v>0</v>
      </c>
      <c r="P91" s="112">
        <v>0.76</v>
      </c>
      <c r="Q91" s="167" t="s">
        <v>14</v>
      </c>
    </row>
    <row r="92" spans="1:17" customFormat="1">
      <c r="A92" s="80">
        <v>45414.875</v>
      </c>
      <c r="B92" s="112">
        <v>11.17</v>
      </c>
      <c r="C92" s="112">
        <v>13.21</v>
      </c>
      <c r="D92" s="112">
        <v>25</v>
      </c>
      <c r="E92" s="112">
        <v>18.37</v>
      </c>
      <c r="F92" s="112">
        <v>15.5</v>
      </c>
      <c r="G92" s="112">
        <v>111.21</v>
      </c>
      <c r="H92" s="112">
        <v>29.38</v>
      </c>
      <c r="I92" s="112">
        <v>7.36</v>
      </c>
      <c r="J92" s="112">
        <v>0.61</v>
      </c>
      <c r="K92" s="112">
        <v>291.58999999999997</v>
      </c>
      <c r="L92" s="112">
        <v>33.36</v>
      </c>
      <c r="M92" s="112">
        <v>14.14</v>
      </c>
      <c r="N92" s="112">
        <v>0</v>
      </c>
      <c r="O92" s="112">
        <v>0</v>
      </c>
      <c r="P92" s="112">
        <v>0.76</v>
      </c>
      <c r="Q92" s="167" t="s">
        <v>14</v>
      </c>
    </row>
    <row r="93" spans="1:17" customFormat="1">
      <c r="A93" s="80">
        <v>45414.885416666664</v>
      </c>
      <c r="B93" s="112">
        <v>11.17</v>
      </c>
      <c r="C93" s="112">
        <v>13.2</v>
      </c>
      <c r="D93" s="112">
        <v>25</v>
      </c>
      <c r="E93" s="112">
        <v>16.89</v>
      </c>
      <c r="F93" s="112">
        <v>14.76</v>
      </c>
      <c r="G93" s="112">
        <v>104.46</v>
      </c>
      <c r="H93" s="112">
        <v>27.84</v>
      </c>
      <c r="I93" s="112">
        <v>7.44</v>
      </c>
      <c r="J93" s="112">
        <v>0.62</v>
      </c>
      <c r="K93" s="112">
        <v>295.64</v>
      </c>
      <c r="L93" s="112">
        <v>33.17</v>
      </c>
      <c r="M93" s="112">
        <v>14.4</v>
      </c>
      <c r="N93" s="112">
        <v>0</v>
      </c>
      <c r="O93" s="112">
        <v>0</v>
      </c>
      <c r="P93" s="112">
        <v>0.78</v>
      </c>
      <c r="Q93" s="167" t="s">
        <v>14</v>
      </c>
    </row>
    <row r="94" spans="1:17" customFormat="1">
      <c r="A94" s="80">
        <v>45414.895833333336</v>
      </c>
      <c r="B94" s="112">
        <v>11.17</v>
      </c>
      <c r="C94" s="112">
        <v>13.2</v>
      </c>
      <c r="D94" s="112">
        <v>25</v>
      </c>
      <c r="E94" s="112">
        <v>14.79</v>
      </c>
      <c r="F94" s="112">
        <v>13.24</v>
      </c>
      <c r="G94" s="112">
        <v>102.65</v>
      </c>
      <c r="H94" s="112">
        <v>27.84</v>
      </c>
      <c r="I94" s="112">
        <v>7.37</v>
      </c>
      <c r="J94" s="112">
        <v>0.81</v>
      </c>
      <c r="K94" s="112">
        <v>308.58999999999997</v>
      </c>
      <c r="L94" s="112">
        <v>32.92</v>
      </c>
      <c r="M94" s="112">
        <v>14.62</v>
      </c>
      <c r="N94" s="112">
        <v>0</v>
      </c>
      <c r="O94" s="112">
        <v>0</v>
      </c>
      <c r="P94" s="112">
        <v>0.8</v>
      </c>
      <c r="Q94" s="167" t="s">
        <v>14</v>
      </c>
    </row>
    <row r="95" spans="1:17" customFormat="1">
      <c r="A95" s="80">
        <v>45414.90625</v>
      </c>
      <c r="B95" s="112">
        <v>11.15</v>
      </c>
      <c r="C95" s="112">
        <v>13.23</v>
      </c>
      <c r="D95" s="112">
        <v>25</v>
      </c>
      <c r="E95" s="112">
        <v>15.13</v>
      </c>
      <c r="F95" s="112">
        <v>16.45</v>
      </c>
      <c r="G95" s="112">
        <v>102.65</v>
      </c>
      <c r="H95" s="112">
        <v>27.84</v>
      </c>
      <c r="I95" s="112">
        <v>7.27</v>
      </c>
      <c r="J95" s="112">
        <v>0.72</v>
      </c>
      <c r="K95" s="112">
        <v>289.19</v>
      </c>
      <c r="L95" s="112">
        <v>32.79</v>
      </c>
      <c r="M95" s="112">
        <v>14.41</v>
      </c>
      <c r="N95" s="112">
        <v>0</v>
      </c>
      <c r="O95" s="112">
        <v>0</v>
      </c>
      <c r="P95" s="112">
        <v>0.74</v>
      </c>
      <c r="Q95" s="167" t="s">
        <v>14</v>
      </c>
    </row>
    <row r="96" spans="1:17" customFormat="1">
      <c r="A96" s="80">
        <v>45414.916666666664</v>
      </c>
      <c r="B96" s="112">
        <v>11.16</v>
      </c>
      <c r="C96" s="112">
        <v>13.21</v>
      </c>
      <c r="D96" s="112">
        <v>25</v>
      </c>
      <c r="E96" s="112">
        <v>24.53</v>
      </c>
      <c r="F96" s="112">
        <v>17.399999999999999</v>
      </c>
      <c r="G96" s="112">
        <v>102.65</v>
      </c>
      <c r="H96" s="112">
        <v>27.84</v>
      </c>
      <c r="I96" s="112">
        <v>7.33</v>
      </c>
      <c r="J96" s="112">
        <v>0.33</v>
      </c>
      <c r="K96" s="112">
        <v>284.89</v>
      </c>
      <c r="L96" s="112">
        <v>32.42</v>
      </c>
      <c r="M96" s="112">
        <v>15.16</v>
      </c>
      <c r="N96" s="112">
        <v>0</v>
      </c>
      <c r="O96" s="112">
        <v>0</v>
      </c>
      <c r="P96" s="112">
        <v>0.74</v>
      </c>
      <c r="Q96" s="167" t="s">
        <v>14</v>
      </c>
    </row>
    <row r="97" spans="1:22" customFormat="1">
      <c r="A97" s="80">
        <v>45414.927083333336</v>
      </c>
      <c r="B97" s="112">
        <v>11.2</v>
      </c>
      <c r="C97" s="112">
        <v>13.18</v>
      </c>
      <c r="D97" s="112">
        <v>25.01</v>
      </c>
      <c r="E97" s="112">
        <v>39.409999999999997</v>
      </c>
      <c r="F97" s="112">
        <v>14.97</v>
      </c>
      <c r="G97" s="112">
        <v>93.33</v>
      </c>
      <c r="H97" s="112">
        <v>28.48</v>
      </c>
      <c r="I97" s="112">
        <v>6.92</v>
      </c>
      <c r="J97" s="112">
        <v>0.2</v>
      </c>
      <c r="K97" s="112">
        <v>272.02999999999997</v>
      </c>
      <c r="L97" s="112">
        <v>31.9</v>
      </c>
      <c r="M97" s="112">
        <v>16.63</v>
      </c>
      <c r="N97" s="112">
        <v>0</v>
      </c>
      <c r="O97" s="112">
        <v>0</v>
      </c>
      <c r="P97" s="112">
        <v>0.77</v>
      </c>
      <c r="Q97" s="167" t="s">
        <v>14</v>
      </c>
    </row>
    <row r="98" spans="1:22" customFormat="1">
      <c r="A98" s="80">
        <v>45414.9375</v>
      </c>
      <c r="B98" s="112">
        <v>11.19</v>
      </c>
      <c r="C98" s="112">
        <v>13.18</v>
      </c>
      <c r="D98" s="112">
        <v>25</v>
      </c>
      <c r="E98" s="112">
        <v>39.53</v>
      </c>
      <c r="F98" s="112">
        <v>14.54</v>
      </c>
      <c r="G98" s="112">
        <v>90.83</v>
      </c>
      <c r="H98" s="112">
        <v>28.48</v>
      </c>
      <c r="I98" s="112">
        <v>6.7</v>
      </c>
      <c r="J98" s="112">
        <v>0.23</v>
      </c>
      <c r="K98" s="112">
        <v>9.1</v>
      </c>
      <c r="L98" s="112">
        <v>31.61</v>
      </c>
      <c r="M98" s="112">
        <v>16.649999999999999</v>
      </c>
      <c r="N98" s="112">
        <v>0</v>
      </c>
      <c r="O98" s="112">
        <v>0</v>
      </c>
      <c r="P98" s="112">
        <v>0.77</v>
      </c>
      <c r="Q98" s="167" t="s">
        <v>14</v>
      </c>
    </row>
    <row r="99" spans="1:22" customFormat="1">
      <c r="A99" s="80">
        <v>45414.947916666664</v>
      </c>
      <c r="B99" s="112">
        <v>11.19</v>
      </c>
      <c r="C99" s="112">
        <v>13.19</v>
      </c>
      <c r="D99" s="112">
        <v>25.01</v>
      </c>
      <c r="E99" s="112">
        <v>37.200000000000003</v>
      </c>
      <c r="F99" s="112">
        <v>9.02</v>
      </c>
      <c r="G99" s="112">
        <v>90.83</v>
      </c>
      <c r="H99" s="112">
        <v>28.48</v>
      </c>
      <c r="I99" s="112">
        <v>6.93</v>
      </c>
      <c r="J99" s="112">
        <v>0.38</v>
      </c>
      <c r="K99" s="112">
        <v>20.350000000000001</v>
      </c>
      <c r="L99" s="112">
        <v>31.31</v>
      </c>
      <c r="M99" s="112">
        <v>17.079999999999998</v>
      </c>
      <c r="N99" s="112">
        <v>0</v>
      </c>
      <c r="O99" s="112">
        <v>0</v>
      </c>
      <c r="P99" s="112">
        <v>0.77</v>
      </c>
      <c r="Q99" s="167" t="s">
        <v>14</v>
      </c>
    </row>
    <row r="100" spans="1:22" customFormat="1">
      <c r="A100" s="80">
        <v>45414.958333333336</v>
      </c>
      <c r="B100" s="112">
        <v>11.16</v>
      </c>
      <c r="C100" s="112">
        <v>13.22</v>
      </c>
      <c r="D100" s="112">
        <v>25</v>
      </c>
      <c r="E100" s="112">
        <v>18.62</v>
      </c>
      <c r="F100" s="112">
        <v>4.2699999999999996</v>
      </c>
      <c r="G100" s="112">
        <v>90.83</v>
      </c>
      <c r="H100" s="112">
        <v>28.48</v>
      </c>
      <c r="I100" s="112">
        <v>7.15</v>
      </c>
      <c r="J100" s="112">
        <v>0.66</v>
      </c>
      <c r="K100" s="112">
        <v>298.23</v>
      </c>
      <c r="L100" s="112">
        <v>31.51</v>
      </c>
      <c r="M100" s="112">
        <v>16.059999999999999</v>
      </c>
      <c r="N100" s="112">
        <v>0</v>
      </c>
      <c r="O100" s="112">
        <v>0</v>
      </c>
      <c r="P100" s="112">
        <v>0.77</v>
      </c>
      <c r="Q100" s="167" t="s">
        <v>14</v>
      </c>
    </row>
    <row r="101" spans="1:22" customFormat="1">
      <c r="A101" s="80">
        <v>45414.96875</v>
      </c>
      <c r="B101" s="112">
        <v>11.16</v>
      </c>
      <c r="C101" s="112">
        <v>13.23</v>
      </c>
      <c r="D101" s="112">
        <v>25.01</v>
      </c>
      <c r="E101" s="112">
        <v>16.760000000000002</v>
      </c>
      <c r="F101" s="112">
        <v>9.08</v>
      </c>
      <c r="G101" s="112">
        <v>97.02</v>
      </c>
      <c r="H101" s="112">
        <v>29.47</v>
      </c>
      <c r="I101" s="112">
        <v>7.3</v>
      </c>
      <c r="J101" s="112">
        <v>0.81</v>
      </c>
      <c r="K101" s="112">
        <v>310.56</v>
      </c>
      <c r="L101" s="112">
        <v>31.91</v>
      </c>
      <c r="M101" s="112">
        <v>14.89</v>
      </c>
      <c r="N101" s="112">
        <v>0</v>
      </c>
      <c r="O101" s="112">
        <v>0</v>
      </c>
      <c r="P101" s="112">
        <v>0.76</v>
      </c>
      <c r="Q101" s="167" t="s">
        <v>14</v>
      </c>
    </row>
    <row r="102" spans="1:22" customFormat="1">
      <c r="A102" s="80">
        <v>45414.979166666664</v>
      </c>
      <c r="B102" s="112">
        <v>11.22</v>
      </c>
      <c r="C102" s="112">
        <v>13.37</v>
      </c>
      <c r="D102" s="112">
        <v>25.13</v>
      </c>
      <c r="E102" s="112">
        <v>15.27</v>
      </c>
      <c r="F102" s="112">
        <v>7.22</v>
      </c>
      <c r="G102" s="112">
        <v>98.67</v>
      </c>
      <c r="H102" s="112">
        <v>29.47</v>
      </c>
      <c r="I102" s="112">
        <v>7.47</v>
      </c>
      <c r="J102" s="112">
        <v>0.66</v>
      </c>
      <c r="K102" s="112">
        <v>354.46</v>
      </c>
      <c r="L102" s="112">
        <v>32.08</v>
      </c>
      <c r="M102" s="112">
        <v>14.48</v>
      </c>
      <c r="N102" s="112">
        <v>0</v>
      </c>
      <c r="O102" s="112">
        <v>0</v>
      </c>
      <c r="P102" s="112">
        <v>0.74</v>
      </c>
      <c r="Q102" s="167" t="s">
        <v>14</v>
      </c>
    </row>
    <row r="103" spans="1:22" customFormat="1">
      <c r="A103" s="80">
        <v>45414.989583333336</v>
      </c>
      <c r="B103" s="112">
        <v>11.24</v>
      </c>
      <c r="C103" s="112">
        <v>13.4</v>
      </c>
      <c r="D103" s="112">
        <v>25.16</v>
      </c>
      <c r="E103" s="112">
        <v>17.18</v>
      </c>
      <c r="F103" s="112">
        <v>6.01</v>
      </c>
      <c r="G103" s="112">
        <v>98.67</v>
      </c>
      <c r="H103" s="112">
        <v>29.47</v>
      </c>
      <c r="I103" s="112">
        <v>7.1</v>
      </c>
      <c r="J103" s="112">
        <v>0.56000000000000005</v>
      </c>
      <c r="K103" s="112">
        <v>353.92</v>
      </c>
      <c r="L103" s="112">
        <v>31.7</v>
      </c>
      <c r="M103" s="112">
        <v>15.58</v>
      </c>
      <c r="N103" s="112">
        <v>0</v>
      </c>
      <c r="O103" s="112">
        <v>0</v>
      </c>
      <c r="P103" s="112">
        <v>0.74</v>
      </c>
      <c r="Q103" s="167" t="s">
        <v>14</v>
      </c>
    </row>
    <row r="104" spans="1:22" customFormat="1">
      <c r="A104" s="80">
        <v>45415</v>
      </c>
      <c r="B104" s="112">
        <v>11.18</v>
      </c>
      <c r="C104" s="112">
        <v>13.19</v>
      </c>
      <c r="D104" s="112">
        <v>25.01</v>
      </c>
      <c r="E104" s="112">
        <v>15.65</v>
      </c>
      <c r="F104" s="112">
        <v>6.42</v>
      </c>
      <c r="G104" s="112">
        <v>98.67</v>
      </c>
      <c r="H104" s="112">
        <v>29.47</v>
      </c>
      <c r="I104" s="112">
        <v>7.04</v>
      </c>
      <c r="J104" s="112">
        <v>0.55000000000000004</v>
      </c>
      <c r="K104" s="112">
        <v>358.39</v>
      </c>
      <c r="L104" s="112">
        <v>30.82</v>
      </c>
      <c r="M104" s="112">
        <v>17.350000000000001</v>
      </c>
      <c r="N104" s="112">
        <v>0</v>
      </c>
      <c r="O104" s="112">
        <v>0</v>
      </c>
      <c r="P104" s="112">
        <v>0.73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11.14</v>
      </c>
      <c r="C106" s="183">
        <f>MIN(C9:C104)</f>
        <v>13.06</v>
      </c>
      <c r="D106" s="183">
        <f t="shared" ref="D106:Q106" si="0">MIN(D9:D104)</f>
        <v>25</v>
      </c>
      <c r="E106" s="183">
        <f t="shared" si="0"/>
        <v>13.56</v>
      </c>
      <c r="F106" s="183">
        <f t="shared" si="0"/>
        <v>1</v>
      </c>
      <c r="G106" s="183">
        <f t="shared" si="0"/>
        <v>67.989999999999995</v>
      </c>
      <c r="H106" s="183">
        <f t="shared" si="0"/>
        <v>20.77</v>
      </c>
      <c r="I106" s="183">
        <f t="shared" si="0"/>
        <v>5.38</v>
      </c>
      <c r="J106" s="183">
        <f t="shared" si="0"/>
        <v>0.13</v>
      </c>
      <c r="K106" s="183">
        <f t="shared" si="0"/>
        <v>3.53</v>
      </c>
      <c r="L106" s="183">
        <f t="shared" si="0"/>
        <v>25.63</v>
      </c>
      <c r="M106" s="183">
        <f t="shared" si="0"/>
        <v>8.7899999999999991</v>
      </c>
      <c r="N106" s="183">
        <f t="shared" si="0"/>
        <v>0</v>
      </c>
      <c r="O106" s="183">
        <f t="shared" si="0"/>
        <v>0</v>
      </c>
      <c r="P106" s="183">
        <f t="shared" si="0"/>
        <v>0.49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11.37</v>
      </c>
      <c r="C107" s="184">
        <f t="shared" ref="C107:Q107" si="1">MAX(C9:C104)</f>
        <v>13.5</v>
      </c>
      <c r="D107" s="184">
        <f t="shared" si="1"/>
        <v>25.32</v>
      </c>
      <c r="E107" s="184">
        <f t="shared" si="1"/>
        <v>72.95</v>
      </c>
      <c r="F107" s="184">
        <f t="shared" si="1"/>
        <v>57.99</v>
      </c>
      <c r="G107" s="184">
        <f t="shared" si="1"/>
        <v>111.21</v>
      </c>
      <c r="H107" s="184">
        <f t="shared" si="1"/>
        <v>35.659999999999997</v>
      </c>
      <c r="I107" s="184">
        <f t="shared" si="1"/>
        <v>10.83</v>
      </c>
      <c r="J107" s="184">
        <f t="shared" si="1"/>
        <v>1.51</v>
      </c>
      <c r="K107" s="184">
        <f t="shared" si="1"/>
        <v>358.89</v>
      </c>
      <c r="L107" s="184">
        <f t="shared" si="1"/>
        <v>41.21</v>
      </c>
      <c r="M107" s="184">
        <f t="shared" si="1"/>
        <v>46.03</v>
      </c>
      <c r="N107" s="184">
        <f t="shared" si="1"/>
        <v>840.2</v>
      </c>
      <c r="O107" s="184">
        <f t="shared" si="1"/>
        <v>0</v>
      </c>
      <c r="P107" s="184">
        <f t="shared" si="1"/>
        <v>1</v>
      </c>
      <c r="Q107" s="184">
        <f t="shared" si="1"/>
        <v>0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11.229687499999999</v>
      </c>
      <c r="C108" s="183">
        <f t="shared" ref="C108:P108" si="2">AVERAGE(C9:C104)</f>
        <v>13.18989583333334</v>
      </c>
      <c r="D108" s="183">
        <f t="shared" si="2"/>
        <v>25.041354166666665</v>
      </c>
      <c r="E108" s="183">
        <f t="shared" si="2"/>
        <v>28.007604166666656</v>
      </c>
      <c r="F108" s="183">
        <f t="shared" si="2"/>
        <v>18.239166666666666</v>
      </c>
      <c r="G108" s="183">
        <f t="shared" si="2"/>
        <v>88.308645833333287</v>
      </c>
      <c r="H108" s="183">
        <f t="shared" si="2"/>
        <v>28.646666666666658</v>
      </c>
      <c r="I108" s="183">
        <f t="shared" si="2"/>
        <v>6.5877083333333326</v>
      </c>
      <c r="J108" s="183">
        <f t="shared" si="2"/>
        <v>0.62197916666666653</v>
      </c>
      <c r="K108" s="183">
        <f t="shared" si="2"/>
        <v>185.44822916666666</v>
      </c>
      <c r="L108" s="183">
        <f t="shared" si="2"/>
        <v>33.949166666666663</v>
      </c>
      <c r="M108" s="183">
        <f t="shared" si="2"/>
        <v>19.401666666666671</v>
      </c>
      <c r="N108" s="183">
        <f t="shared" si="2"/>
        <v>199.15729166666665</v>
      </c>
      <c r="O108" s="183">
        <f t="shared" si="2"/>
        <v>0</v>
      </c>
      <c r="P108" s="183">
        <f t="shared" si="2"/>
        <v>0.64864583333333337</v>
      </c>
      <c r="Q108" s="167" t="s">
        <v>14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4.9042476218928828E-2</v>
      </c>
      <c r="C109" s="183">
        <f t="shared" ref="C109:P109" si="3">STDEV(C9:C104)</f>
        <v>7.3348408538207011E-2</v>
      </c>
      <c r="D109" s="183">
        <f t="shared" si="3"/>
        <v>5.7976761073393765E-2</v>
      </c>
      <c r="E109" s="183">
        <f t="shared" si="3"/>
        <v>13.705119423415773</v>
      </c>
      <c r="F109" s="183">
        <f t="shared" si="3"/>
        <v>14.903181056876248</v>
      </c>
      <c r="G109" s="183">
        <f t="shared" si="3"/>
        <v>10.529493177166209</v>
      </c>
      <c r="H109" s="183">
        <f t="shared" si="3"/>
        <v>4.0061065668003843</v>
      </c>
      <c r="I109" s="183">
        <f t="shared" si="3"/>
        <v>0.90033967761491207</v>
      </c>
      <c r="J109" s="183">
        <f t="shared" si="3"/>
        <v>0.37914757518930575</v>
      </c>
      <c r="K109" s="183">
        <f t="shared" si="3"/>
        <v>120.80107054243997</v>
      </c>
      <c r="L109" s="183">
        <f t="shared" si="3"/>
        <v>4.6191098861523576</v>
      </c>
      <c r="M109" s="183">
        <f t="shared" si="3"/>
        <v>9.7093834881159289</v>
      </c>
      <c r="N109" s="183">
        <f t="shared" si="3"/>
        <v>288.11998076269026</v>
      </c>
      <c r="O109" s="183">
        <f t="shared" si="3"/>
        <v>0</v>
      </c>
      <c r="P109" s="183">
        <f t="shared" si="3"/>
        <v>0.10067791051996761</v>
      </c>
      <c r="Q109" s="167" t="s">
        <v>14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0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Q108" sqref="Q108:Q10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45415.010416666664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45415.010416666664</v>
      </c>
      <c r="B9" s="112">
        <v>11.15</v>
      </c>
      <c r="C9" s="112">
        <v>13.24</v>
      </c>
      <c r="D9" s="112">
        <v>25</v>
      </c>
      <c r="E9" s="112">
        <v>12.06</v>
      </c>
      <c r="F9" s="112">
        <v>4.55</v>
      </c>
      <c r="G9" s="112">
        <v>93.98</v>
      </c>
      <c r="H9" s="112">
        <v>29.27</v>
      </c>
      <c r="I9" s="112">
        <v>7</v>
      </c>
      <c r="J9" s="112">
        <v>0.32</v>
      </c>
      <c r="K9" s="112">
        <v>334.49</v>
      </c>
      <c r="L9" s="112">
        <v>30.05</v>
      </c>
      <c r="M9" s="112">
        <v>18.91</v>
      </c>
      <c r="N9" s="112">
        <v>0</v>
      </c>
      <c r="O9" s="112">
        <v>0</v>
      </c>
      <c r="P9" s="112">
        <v>0.71</v>
      </c>
      <c r="Q9" s="167" t="s">
        <v>14</v>
      </c>
    </row>
    <row r="10" spans="1:21" customFormat="1">
      <c r="A10" s="80">
        <v>45415.020833333336</v>
      </c>
      <c r="B10" s="112">
        <v>11.18</v>
      </c>
      <c r="C10" s="112">
        <v>13.2</v>
      </c>
      <c r="D10" s="112">
        <v>25.01</v>
      </c>
      <c r="E10" s="112">
        <v>12.03</v>
      </c>
      <c r="F10" s="112">
        <v>4.24</v>
      </c>
      <c r="G10" s="112">
        <v>92.72</v>
      </c>
      <c r="H10" s="112">
        <v>29.27</v>
      </c>
      <c r="I10" s="112">
        <v>6.85</v>
      </c>
      <c r="J10" s="112">
        <v>0.31</v>
      </c>
      <c r="K10" s="112">
        <v>24.89</v>
      </c>
      <c r="L10" s="112">
        <v>29.54</v>
      </c>
      <c r="M10" s="112">
        <v>20.149999999999999</v>
      </c>
      <c r="N10" s="112">
        <v>0</v>
      </c>
      <c r="O10" s="112">
        <v>0</v>
      </c>
      <c r="P10" s="112">
        <v>0.7</v>
      </c>
      <c r="Q10" s="167" t="s">
        <v>14</v>
      </c>
    </row>
    <row r="11" spans="1:21" customFormat="1">
      <c r="A11" s="80">
        <v>45415.03125</v>
      </c>
      <c r="B11" s="112">
        <v>11.18</v>
      </c>
      <c r="C11" s="112">
        <v>13.23</v>
      </c>
      <c r="D11" s="112">
        <v>25.02</v>
      </c>
      <c r="E11" s="112">
        <v>11.62</v>
      </c>
      <c r="F11" s="112">
        <v>3.86</v>
      </c>
      <c r="G11" s="112">
        <v>92.72</v>
      </c>
      <c r="H11" s="112">
        <v>29.27</v>
      </c>
      <c r="I11" s="112">
        <v>6.76</v>
      </c>
      <c r="J11" s="112">
        <v>0.21</v>
      </c>
      <c r="K11" s="112">
        <v>50.17</v>
      </c>
      <c r="L11" s="112">
        <v>29.22</v>
      </c>
      <c r="M11" s="112">
        <v>21.07</v>
      </c>
      <c r="N11" s="112">
        <v>0</v>
      </c>
      <c r="O11" s="112">
        <v>0</v>
      </c>
      <c r="P11" s="112">
        <v>0.69</v>
      </c>
      <c r="Q11" s="167" t="s">
        <v>14</v>
      </c>
    </row>
    <row r="12" spans="1:21" customFormat="1">
      <c r="A12" s="80">
        <v>45415.041666666664</v>
      </c>
      <c r="B12" s="112">
        <v>11.18</v>
      </c>
      <c r="C12" s="112">
        <v>13.19</v>
      </c>
      <c r="D12" s="112">
        <v>25</v>
      </c>
      <c r="E12" s="112">
        <v>11.51</v>
      </c>
      <c r="F12" s="112">
        <v>3.99</v>
      </c>
      <c r="G12" s="112">
        <v>92.72</v>
      </c>
      <c r="H12" s="112">
        <v>29.27</v>
      </c>
      <c r="I12" s="112">
        <v>6.65</v>
      </c>
      <c r="J12" s="112">
        <v>0.44</v>
      </c>
      <c r="K12" s="112">
        <v>44.19</v>
      </c>
      <c r="L12" s="112">
        <v>28.92</v>
      </c>
      <c r="M12" s="112">
        <v>21.55</v>
      </c>
      <c r="N12" s="112">
        <v>0</v>
      </c>
      <c r="O12" s="112">
        <v>0</v>
      </c>
      <c r="P12" s="112">
        <v>0.68</v>
      </c>
      <c r="Q12" s="167" t="s">
        <v>14</v>
      </c>
    </row>
    <row r="13" spans="1:21" customFormat="1">
      <c r="A13" s="80">
        <v>45415.052083333336</v>
      </c>
      <c r="B13" s="112">
        <v>11.19</v>
      </c>
      <c r="C13" s="112">
        <v>13.17</v>
      </c>
      <c r="D13" s="112">
        <v>25</v>
      </c>
      <c r="E13" s="112">
        <v>17.18</v>
      </c>
      <c r="F13" s="112">
        <v>4.9800000000000004</v>
      </c>
      <c r="G13" s="112">
        <v>90.08</v>
      </c>
      <c r="H13" s="112">
        <v>27.59</v>
      </c>
      <c r="I13" s="112">
        <v>6.59</v>
      </c>
      <c r="J13" s="112">
        <v>0.33</v>
      </c>
      <c r="K13" s="112">
        <v>55.26</v>
      </c>
      <c r="L13" s="112">
        <v>28.91</v>
      </c>
      <c r="M13" s="112">
        <v>21.6</v>
      </c>
      <c r="N13" s="112">
        <v>0</v>
      </c>
      <c r="O13" s="112">
        <v>0</v>
      </c>
      <c r="P13" s="112">
        <v>0.67</v>
      </c>
      <c r="Q13" s="167" t="s">
        <v>14</v>
      </c>
    </row>
    <row r="14" spans="1:21" customFormat="1">
      <c r="A14" s="80">
        <v>45415.0625</v>
      </c>
      <c r="B14" s="112">
        <v>11.19</v>
      </c>
      <c r="C14" s="112">
        <v>13.17</v>
      </c>
      <c r="D14" s="112">
        <v>25</v>
      </c>
      <c r="E14" s="112">
        <v>16.55</v>
      </c>
      <c r="F14" s="112">
        <v>2.4</v>
      </c>
      <c r="G14" s="112">
        <v>89.37</v>
      </c>
      <c r="H14" s="112">
        <v>27.59</v>
      </c>
      <c r="I14" s="112">
        <v>6.56</v>
      </c>
      <c r="J14" s="112">
        <v>0.47</v>
      </c>
      <c r="K14" s="112">
        <v>60.23</v>
      </c>
      <c r="L14" s="112">
        <v>28.71</v>
      </c>
      <c r="M14" s="112">
        <v>22.41</v>
      </c>
      <c r="N14" s="112">
        <v>0</v>
      </c>
      <c r="O14" s="112">
        <v>0</v>
      </c>
      <c r="P14" s="112">
        <v>0.67</v>
      </c>
      <c r="Q14" s="167" t="s">
        <v>14</v>
      </c>
    </row>
    <row r="15" spans="1:21" customFormat="1">
      <c r="A15" s="80">
        <v>45415.072916666664</v>
      </c>
      <c r="B15" s="112">
        <v>11.19</v>
      </c>
      <c r="C15" s="112">
        <v>13.18</v>
      </c>
      <c r="D15" s="112">
        <v>25</v>
      </c>
      <c r="E15" s="112">
        <v>21.5</v>
      </c>
      <c r="F15" s="112">
        <v>3.04</v>
      </c>
      <c r="G15" s="112">
        <v>89.37</v>
      </c>
      <c r="H15" s="112">
        <v>27.59</v>
      </c>
      <c r="I15" s="112">
        <v>6.48</v>
      </c>
      <c r="J15" s="112">
        <v>0.65</v>
      </c>
      <c r="K15" s="112">
        <v>61.61</v>
      </c>
      <c r="L15" s="112">
        <v>28.38</v>
      </c>
      <c r="M15" s="112">
        <v>23.47</v>
      </c>
      <c r="N15" s="112">
        <v>0</v>
      </c>
      <c r="O15" s="112">
        <v>0</v>
      </c>
      <c r="P15" s="112">
        <v>0.67</v>
      </c>
      <c r="Q15" s="167" t="s">
        <v>14</v>
      </c>
    </row>
    <row r="16" spans="1:21" customFormat="1">
      <c r="A16" s="80">
        <v>45415.083333333336</v>
      </c>
      <c r="B16" s="112">
        <v>11.18</v>
      </c>
      <c r="C16" s="112">
        <v>13.18</v>
      </c>
      <c r="D16" s="112">
        <v>25</v>
      </c>
      <c r="E16" s="112">
        <v>14.06</v>
      </c>
      <c r="F16" s="112">
        <v>2.2599999999999998</v>
      </c>
      <c r="G16" s="112">
        <v>89.37</v>
      </c>
      <c r="H16" s="112">
        <v>27.59</v>
      </c>
      <c r="I16" s="112">
        <v>6.48</v>
      </c>
      <c r="J16" s="112">
        <v>0.48</v>
      </c>
      <c r="K16" s="112">
        <v>53.89</v>
      </c>
      <c r="L16" s="112">
        <v>27.96</v>
      </c>
      <c r="M16" s="112">
        <v>24.97</v>
      </c>
      <c r="N16" s="112">
        <v>0</v>
      </c>
      <c r="O16" s="112">
        <v>0</v>
      </c>
      <c r="P16" s="112">
        <v>0.68</v>
      </c>
      <c r="Q16" s="167" t="s">
        <v>14</v>
      </c>
    </row>
    <row r="17" spans="1:17" customFormat="1">
      <c r="A17" s="80">
        <v>45415.09375</v>
      </c>
      <c r="B17" s="112">
        <v>11.2</v>
      </c>
      <c r="C17" s="112">
        <v>13.23</v>
      </c>
      <c r="D17" s="112">
        <v>25.04</v>
      </c>
      <c r="E17" s="112">
        <v>13.25</v>
      </c>
      <c r="F17" s="112">
        <v>1.1299999999999999</v>
      </c>
      <c r="G17" s="112">
        <v>93.57</v>
      </c>
      <c r="H17" s="112">
        <v>32.4</v>
      </c>
      <c r="I17" s="112">
        <v>6.47</v>
      </c>
      <c r="J17" s="112">
        <v>0.57999999999999996</v>
      </c>
      <c r="K17" s="112">
        <v>54.37</v>
      </c>
      <c r="L17" s="112">
        <v>27.66</v>
      </c>
      <c r="M17" s="112">
        <v>25.39</v>
      </c>
      <c r="N17" s="112">
        <v>0</v>
      </c>
      <c r="O17" s="112">
        <v>0</v>
      </c>
      <c r="P17" s="112">
        <v>0.69</v>
      </c>
      <c r="Q17" s="167" t="s">
        <v>14</v>
      </c>
    </row>
    <row r="18" spans="1:17" customFormat="1">
      <c r="A18" s="80">
        <v>45415.104166666664</v>
      </c>
      <c r="B18" s="112">
        <v>11.22</v>
      </c>
      <c r="C18" s="112">
        <v>13.19</v>
      </c>
      <c r="D18" s="112">
        <v>25.04</v>
      </c>
      <c r="E18" s="112">
        <v>15.86</v>
      </c>
      <c r="F18" s="112">
        <v>2.61</v>
      </c>
      <c r="G18" s="112">
        <v>94.69</v>
      </c>
      <c r="H18" s="112">
        <v>32.4</v>
      </c>
      <c r="I18" s="112">
        <v>6.53</v>
      </c>
      <c r="J18" s="112">
        <v>0.53</v>
      </c>
      <c r="K18" s="112">
        <v>53.16</v>
      </c>
      <c r="L18" s="112">
        <v>27.78</v>
      </c>
      <c r="M18" s="112">
        <v>23.75</v>
      </c>
      <c r="N18" s="112">
        <v>0</v>
      </c>
      <c r="O18" s="112">
        <v>0</v>
      </c>
      <c r="P18" s="112">
        <v>0.68</v>
      </c>
      <c r="Q18" s="167" t="s">
        <v>14</v>
      </c>
    </row>
    <row r="19" spans="1:17" customFormat="1">
      <c r="A19" s="80">
        <v>45415.114583333336</v>
      </c>
      <c r="B19" s="112">
        <v>11.22</v>
      </c>
      <c r="C19" s="112">
        <v>13.18</v>
      </c>
      <c r="D19" s="112">
        <v>25.03</v>
      </c>
      <c r="E19" s="112">
        <v>14.46</v>
      </c>
      <c r="F19" s="112">
        <v>1.69</v>
      </c>
      <c r="G19" s="112">
        <v>94.69</v>
      </c>
      <c r="H19" s="112">
        <v>32.4</v>
      </c>
      <c r="I19" s="112">
        <v>6.64</v>
      </c>
      <c r="J19" s="112">
        <v>0.23</v>
      </c>
      <c r="K19" s="112">
        <v>144</v>
      </c>
      <c r="L19" s="112">
        <v>27.16</v>
      </c>
      <c r="M19" s="112">
        <v>30.1</v>
      </c>
      <c r="N19" s="112">
        <v>0</v>
      </c>
      <c r="O19" s="112">
        <v>0</v>
      </c>
      <c r="P19" s="112">
        <v>0.69</v>
      </c>
      <c r="Q19" s="167" t="s">
        <v>14</v>
      </c>
    </row>
    <row r="20" spans="1:17" customFormat="1">
      <c r="A20" s="80">
        <v>45415.125</v>
      </c>
      <c r="B20" s="112">
        <v>11.24</v>
      </c>
      <c r="C20" s="112">
        <v>13.28</v>
      </c>
      <c r="D20" s="112">
        <v>25.1</v>
      </c>
      <c r="E20" s="112">
        <v>13.52</v>
      </c>
      <c r="F20" s="112">
        <v>1</v>
      </c>
      <c r="G20" s="112">
        <v>94.69</v>
      </c>
      <c r="H20" s="112">
        <v>32.4</v>
      </c>
      <c r="I20" s="112">
        <v>6.87</v>
      </c>
      <c r="J20" s="112">
        <v>0.24</v>
      </c>
      <c r="K20" s="112">
        <v>161.66</v>
      </c>
      <c r="L20" s="112">
        <v>25.95</v>
      </c>
      <c r="M20" s="112">
        <v>33.950000000000003</v>
      </c>
      <c r="N20" s="112">
        <v>0</v>
      </c>
      <c r="O20" s="112">
        <v>0</v>
      </c>
      <c r="P20" s="112">
        <v>0.69</v>
      </c>
      <c r="Q20" s="167" t="s">
        <v>14</v>
      </c>
    </row>
    <row r="21" spans="1:17" customFormat="1">
      <c r="A21" s="80">
        <v>45415.135416666664</v>
      </c>
      <c r="B21" s="112">
        <v>11.22</v>
      </c>
      <c r="C21" s="112">
        <v>13.15</v>
      </c>
      <c r="D21" s="112">
        <v>25.01</v>
      </c>
      <c r="E21" s="112">
        <v>12.57</v>
      </c>
      <c r="F21" s="112">
        <v>1</v>
      </c>
      <c r="G21" s="112">
        <v>96.21</v>
      </c>
      <c r="H21" s="112">
        <v>33.39</v>
      </c>
      <c r="I21" s="112">
        <v>6.99</v>
      </c>
      <c r="J21" s="112">
        <v>0.28999999999999998</v>
      </c>
      <c r="K21" s="112">
        <v>162.6</v>
      </c>
      <c r="L21" s="112">
        <v>25.34</v>
      </c>
      <c r="M21" s="112">
        <v>37.270000000000003</v>
      </c>
      <c r="N21" s="112">
        <v>0</v>
      </c>
      <c r="O21" s="112">
        <v>0</v>
      </c>
      <c r="P21" s="112">
        <v>0.7</v>
      </c>
      <c r="Q21" s="167" t="s">
        <v>14</v>
      </c>
    </row>
    <row r="22" spans="1:17" customFormat="1">
      <c r="A22" s="80">
        <v>45415.145833333336</v>
      </c>
      <c r="B22" s="112">
        <v>11.23</v>
      </c>
      <c r="C22" s="112">
        <v>13.12</v>
      </c>
      <c r="D22" s="112">
        <v>25.01</v>
      </c>
      <c r="E22" s="112">
        <v>12.67</v>
      </c>
      <c r="F22" s="112">
        <v>1</v>
      </c>
      <c r="G22" s="112">
        <v>96.61</v>
      </c>
      <c r="H22" s="112">
        <v>33.39</v>
      </c>
      <c r="I22" s="112">
        <v>7.02</v>
      </c>
      <c r="J22" s="112">
        <v>0.19</v>
      </c>
      <c r="K22" s="112">
        <v>194.18</v>
      </c>
      <c r="L22" s="112">
        <v>24.6</v>
      </c>
      <c r="M22" s="112">
        <v>42.28</v>
      </c>
      <c r="N22" s="112">
        <v>0</v>
      </c>
      <c r="O22" s="112">
        <v>0</v>
      </c>
      <c r="P22" s="112">
        <v>0.69</v>
      </c>
      <c r="Q22" s="167" t="s">
        <v>14</v>
      </c>
    </row>
    <row r="23" spans="1:17" customFormat="1">
      <c r="A23" s="80">
        <v>45415.15625</v>
      </c>
      <c r="B23" s="112">
        <v>11.19</v>
      </c>
      <c r="C23" s="112">
        <v>13.18</v>
      </c>
      <c r="D23" s="112">
        <v>25</v>
      </c>
      <c r="E23" s="112">
        <v>12.46</v>
      </c>
      <c r="F23" s="112">
        <v>1</v>
      </c>
      <c r="G23" s="112">
        <v>96.61</v>
      </c>
      <c r="H23" s="112">
        <v>33.39</v>
      </c>
      <c r="I23" s="112">
        <v>7.02</v>
      </c>
      <c r="J23" s="112">
        <v>0.25</v>
      </c>
      <c r="K23" s="112">
        <v>163.89</v>
      </c>
      <c r="L23" s="112">
        <v>24.22</v>
      </c>
      <c r="M23" s="112">
        <v>39.18</v>
      </c>
      <c r="N23" s="112">
        <v>0</v>
      </c>
      <c r="O23" s="112">
        <v>0</v>
      </c>
      <c r="P23" s="112">
        <v>0.68</v>
      </c>
      <c r="Q23" s="167" t="s">
        <v>14</v>
      </c>
    </row>
    <row r="24" spans="1:17" customFormat="1">
      <c r="A24" s="80">
        <v>45415.166666666664</v>
      </c>
      <c r="B24" s="112">
        <v>11.17</v>
      </c>
      <c r="C24" s="112">
        <v>13.2</v>
      </c>
      <c r="D24" s="112">
        <v>25</v>
      </c>
      <c r="E24" s="112">
        <v>11.89</v>
      </c>
      <c r="F24" s="112">
        <v>1</v>
      </c>
      <c r="G24" s="112">
        <v>96.61</v>
      </c>
      <c r="H24" s="112">
        <v>33.39</v>
      </c>
      <c r="I24" s="112">
        <v>7.08</v>
      </c>
      <c r="J24" s="112">
        <v>0.19</v>
      </c>
      <c r="K24" s="112">
        <v>165.52</v>
      </c>
      <c r="L24" s="112">
        <v>23.59</v>
      </c>
      <c r="M24" s="112">
        <v>46.1</v>
      </c>
      <c r="N24" s="112">
        <v>0</v>
      </c>
      <c r="O24" s="112">
        <v>0</v>
      </c>
      <c r="P24" s="112">
        <v>0.69</v>
      </c>
      <c r="Q24" s="167" t="s">
        <v>14</v>
      </c>
    </row>
    <row r="25" spans="1:17" customFormat="1">
      <c r="A25" s="80">
        <v>45415.177083333336</v>
      </c>
      <c r="B25" s="112">
        <v>11.2</v>
      </c>
      <c r="C25" s="112">
        <v>13.16</v>
      </c>
      <c r="D25" s="112">
        <v>25</v>
      </c>
      <c r="E25" s="112">
        <v>11.21</v>
      </c>
      <c r="F25" s="112">
        <v>1</v>
      </c>
      <c r="G25" s="112">
        <v>84.22</v>
      </c>
      <c r="H25" s="112">
        <v>28.98</v>
      </c>
      <c r="I25" s="112">
        <v>7.06</v>
      </c>
      <c r="J25" s="112">
        <v>0.22</v>
      </c>
      <c r="K25" s="112">
        <v>173.31</v>
      </c>
      <c r="L25" s="112">
        <v>23.61</v>
      </c>
      <c r="M25" s="112">
        <v>44.16</v>
      </c>
      <c r="N25" s="112">
        <v>0</v>
      </c>
      <c r="O25" s="112">
        <v>0</v>
      </c>
      <c r="P25" s="112">
        <v>0.68</v>
      </c>
      <c r="Q25" s="167" t="s">
        <v>14</v>
      </c>
    </row>
    <row r="26" spans="1:17" customFormat="1">
      <c r="A26" s="80">
        <v>45415.1875</v>
      </c>
      <c r="B26" s="112">
        <v>11.27</v>
      </c>
      <c r="C26" s="112">
        <v>13.11</v>
      </c>
      <c r="D26" s="112">
        <v>25.03</v>
      </c>
      <c r="E26" s="112">
        <v>11.98</v>
      </c>
      <c r="F26" s="112">
        <v>1</v>
      </c>
      <c r="G26" s="112">
        <v>80.900000000000006</v>
      </c>
      <c r="H26" s="112">
        <v>28.98</v>
      </c>
      <c r="I26" s="112">
        <v>7.09</v>
      </c>
      <c r="J26" s="112">
        <v>0.23</v>
      </c>
      <c r="K26" s="112">
        <v>171.61</v>
      </c>
      <c r="L26" s="112">
        <v>22.91</v>
      </c>
      <c r="M26" s="112">
        <v>44.68</v>
      </c>
      <c r="N26" s="112">
        <v>0</v>
      </c>
      <c r="O26" s="112">
        <v>0</v>
      </c>
      <c r="P26" s="112">
        <v>0.67</v>
      </c>
      <c r="Q26" s="167" t="s">
        <v>14</v>
      </c>
    </row>
    <row r="27" spans="1:17" customFormat="1">
      <c r="A27" s="80">
        <v>45415.197916666664</v>
      </c>
      <c r="B27" s="112">
        <v>11.27</v>
      </c>
      <c r="C27" s="112">
        <v>13.11</v>
      </c>
      <c r="D27" s="112">
        <v>25.03</v>
      </c>
      <c r="E27" s="112">
        <v>11.98</v>
      </c>
      <c r="F27" s="112">
        <v>1</v>
      </c>
      <c r="G27" s="112">
        <v>80.900000000000006</v>
      </c>
      <c r="H27" s="112">
        <v>28.98</v>
      </c>
      <c r="I27" s="112">
        <v>7.05</v>
      </c>
      <c r="J27" s="112">
        <v>0.26</v>
      </c>
      <c r="K27" s="112">
        <v>195.09</v>
      </c>
      <c r="L27" s="112">
        <v>22.4</v>
      </c>
      <c r="M27" s="112">
        <v>47.64</v>
      </c>
      <c r="N27" s="112">
        <v>0</v>
      </c>
      <c r="O27" s="112">
        <v>0</v>
      </c>
      <c r="P27" s="112">
        <v>0.66</v>
      </c>
      <c r="Q27" s="167" t="s">
        <v>14</v>
      </c>
    </row>
    <row r="28" spans="1:17" customFormat="1">
      <c r="A28" s="80">
        <v>45415.208333333336</v>
      </c>
      <c r="B28" s="112">
        <v>11.27</v>
      </c>
      <c r="C28" s="112">
        <v>13.15</v>
      </c>
      <c r="D28" s="112">
        <v>25.05</v>
      </c>
      <c r="E28" s="112">
        <v>11.87</v>
      </c>
      <c r="F28" s="112">
        <v>1</v>
      </c>
      <c r="G28" s="112">
        <v>80.900000000000006</v>
      </c>
      <c r="H28" s="112">
        <v>28.98</v>
      </c>
      <c r="I28" s="112">
        <v>7.08</v>
      </c>
      <c r="J28" s="112">
        <v>0.15</v>
      </c>
      <c r="K28" s="112">
        <v>205.05</v>
      </c>
      <c r="L28" s="112">
        <v>22.11</v>
      </c>
      <c r="M28" s="112">
        <v>50.15</v>
      </c>
      <c r="N28" s="112">
        <v>0</v>
      </c>
      <c r="O28" s="112">
        <v>0</v>
      </c>
      <c r="P28" s="112">
        <v>0.67</v>
      </c>
      <c r="Q28" s="167" t="s">
        <v>14</v>
      </c>
    </row>
    <row r="29" spans="1:17" customFormat="1">
      <c r="A29" s="80">
        <v>45415.21875</v>
      </c>
      <c r="B29" s="112">
        <v>11.23</v>
      </c>
      <c r="C29" s="112">
        <v>13.14</v>
      </c>
      <c r="D29" s="112">
        <v>25.02</v>
      </c>
      <c r="E29" s="112">
        <v>11.86</v>
      </c>
      <c r="F29" s="112">
        <v>1</v>
      </c>
      <c r="G29" s="112">
        <v>83.73</v>
      </c>
      <c r="H29" s="112">
        <v>28.58</v>
      </c>
      <c r="I29" s="112">
        <v>7.19</v>
      </c>
      <c r="J29" s="112">
        <v>0.18</v>
      </c>
      <c r="K29" s="112">
        <v>168.92</v>
      </c>
      <c r="L29" s="112">
        <v>22.07</v>
      </c>
      <c r="M29" s="112">
        <v>53.2</v>
      </c>
      <c r="N29" s="112">
        <v>0</v>
      </c>
      <c r="O29" s="112">
        <v>0</v>
      </c>
      <c r="P29" s="112">
        <v>0.66</v>
      </c>
      <c r="Q29" s="167" t="s">
        <v>14</v>
      </c>
    </row>
    <row r="30" spans="1:17" customFormat="1">
      <c r="A30" s="80">
        <v>45415.229166666664</v>
      </c>
      <c r="B30" s="112">
        <v>11.21</v>
      </c>
      <c r="C30" s="112">
        <v>13.14</v>
      </c>
      <c r="D30" s="112">
        <v>25</v>
      </c>
      <c r="E30" s="112">
        <v>12.05</v>
      </c>
      <c r="F30" s="112">
        <v>1</v>
      </c>
      <c r="G30" s="112">
        <v>84.49</v>
      </c>
      <c r="H30" s="112">
        <v>28.58</v>
      </c>
      <c r="I30" s="112">
        <v>7.23</v>
      </c>
      <c r="J30" s="112">
        <v>0.21</v>
      </c>
      <c r="K30" s="112">
        <v>141.97</v>
      </c>
      <c r="L30" s="112">
        <v>22.48</v>
      </c>
      <c r="M30" s="112">
        <v>45.08</v>
      </c>
      <c r="N30" s="112">
        <v>0</v>
      </c>
      <c r="O30" s="112">
        <v>0</v>
      </c>
      <c r="P30" s="112">
        <v>0.66</v>
      </c>
      <c r="Q30" s="167" t="s">
        <v>14</v>
      </c>
    </row>
    <row r="31" spans="1:17" customFormat="1">
      <c r="A31" s="80">
        <v>45415.239583333336</v>
      </c>
      <c r="B31" s="112">
        <v>11.19</v>
      </c>
      <c r="C31" s="112">
        <v>13.18</v>
      </c>
      <c r="D31" s="112">
        <v>25</v>
      </c>
      <c r="E31" s="112">
        <v>12.62</v>
      </c>
      <c r="F31" s="112">
        <v>1</v>
      </c>
      <c r="G31" s="112">
        <v>84.49</v>
      </c>
      <c r="H31" s="112">
        <v>28.58</v>
      </c>
      <c r="I31" s="112">
        <v>7.27</v>
      </c>
      <c r="J31" s="112">
        <v>0.31</v>
      </c>
      <c r="K31" s="112">
        <v>180.16</v>
      </c>
      <c r="L31" s="112">
        <v>22.47</v>
      </c>
      <c r="M31" s="112">
        <v>46.03</v>
      </c>
      <c r="N31" s="112">
        <v>4.7</v>
      </c>
      <c r="O31" s="112">
        <v>0</v>
      </c>
      <c r="P31" s="112">
        <v>0.66</v>
      </c>
      <c r="Q31" s="167" t="s">
        <v>14</v>
      </c>
    </row>
    <row r="32" spans="1:17" customFormat="1">
      <c r="A32" s="80">
        <v>45415.25</v>
      </c>
      <c r="B32" s="112">
        <v>11.21</v>
      </c>
      <c r="C32" s="112">
        <v>13.15</v>
      </c>
      <c r="D32" s="112">
        <v>25</v>
      </c>
      <c r="E32" s="112">
        <v>12.52</v>
      </c>
      <c r="F32" s="112">
        <v>1</v>
      </c>
      <c r="G32" s="112">
        <v>84.49</v>
      </c>
      <c r="H32" s="112">
        <v>28.58</v>
      </c>
      <c r="I32" s="112">
        <v>7.26</v>
      </c>
      <c r="J32" s="112">
        <v>0.21</v>
      </c>
      <c r="K32" s="112">
        <v>186.11</v>
      </c>
      <c r="L32" s="112">
        <v>22.11</v>
      </c>
      <c r="M32" s="112">
        <v>53.12</v>
      </c>
      <c r="N32" s="112">
        <v>16.3</v>
      </c>
      <c r="O32" s="112">
        <v>0</v>
      </c>
      <c r="P32" s="112">
        <v>0.66</v>
      </c>
      <c r="Q32" s="167" t="s">
        <v>14</v>
      </c>
    </row>
    <row r="33" spans="1:17" customFormat="1">
      <c r="A33" s="80">
        <v>45415.260416666664</v>
      </c>
      <c r="B33" s="112">
        <v>11.24</v>
      </c>
      <c r="C33" s="112">
        <v>13.21</v>
      </c>
      <c r="D33" s="112">
        <v>25.06</v>
      </c>
      <c r="E33" s="112">
        <v>12.44</v>
      </c>
      <c r="F33" s="112">
        <v>1</v>
      </c>
      <c r="G33" s="112">
        <v>84.41</v>
      </c>
      <c r="H33" s="112">
        <v>27.26</v>
      </c>
      <c r="I33" s="112">
        <v>7.27</v>
      </c>
      <c r="J33" s="112">
        <v>0.14000000000000001</v>
      </c>
      <c r="K33" s="112">
        <v>171.83</v>
      </c>
      <c r="L33" s="112">
        <v>22.54</v>
      </c>
      <c r="M33" s="112">
        <v>53.46</v>
      </c>
      <c r="N33" s="112">
        <v>27.3</v>
      </c>
      <c r="O33" s="112">
        <v>0</v>
      </c>
      <c r="P33" s="112">
        <v>0.66</v>
      </c>
      <c r="Q33" s="167" t="s">
        <v>14</v>
      </c>
    </row>
    <row r="34" spans="1:17" customFormat="1">
      <c r="A34" s="80">
        <v>45415.270833333336</v>
      </c>
      <c r="B34" s="112">
        <v>11.22</v>
      </c>
      <c r="C34" s="112">
        <v>13.17</v>
      </c>
      <c r="D34" s="112">
        <v>25.02</v>
      </c>
      <c r="E34" s="112">
        <v>12.29</v>
      </c>
      <c r="F34" s="112">
        <v>1</v>
      </c>
      <c r="G34" s="112">
        <v>84.39</v>
      </c>
      <c r="H34" s="112">
        <v>27.26</v>
      </c>
      <c r="I34" s="112">
        <v>7.3</v>
      </c>
      <c r="J34" s="112">
        <v>0.19</v>
      </c>
      <c r="K34" s="112">
        <v>164.67</v>
      </c>
      <c r="L34" s="112">
        <v>23.43</v>
      </c>
      <c r="M34" s="112">
        <v>49.32</v>
      </c>
      <c r="N34" s="112">
        <v>37.4</v>
      </c>
      <c r="O34" s="112">
        <v>0</v>
      </c>
      <c r="P34" s="112">
        <v>0.66</v>
      </c>
      <c r="Q34" s="167" t="s">
        <v>14</v>
      </c>
    </row>
    <row r="35" spans="1:17" customFormat="1">
      <c r="A35" s="80">
        <v>45415.28125</v>
      </c>
      <c r="B35" s="112">
        <v>11.22</v>
      </c>
      <c r="C35" s="112">
        <v>13.13</v>
      </c>
      <c r="D35" s="112">
        <v>25</v>
      </c>
      <c r="E35" s="112">
        <v>12.51</v>
      </c>
      <c r="F35" s="112">
        <v>1</v>
      </c>
      <c r="G35" s="112">
        <v>84.39</v>
      </c>
      <c r="H35" s="112">
        <v>27.26</v>
      </c>
      <c r="I35" s="112">
        <v>7.3</v>
      </c>
      <c r="J35" s="112">
        <v>0.18</v>
      </c>
      <c r="K35" s="112">
        <v>137.77000000000001</v>
      </c>
      <c r="L35" s="112">
        <v>24.65</v>
      </c>
      <c r="M35" s="112">
        <v>46.47</v>
      </c>
      <c r="N35" s="112">
        <v>46</v>
      </c>
      <c r="O35" s="112">
        <v>0</v>
      </c>
      <c r="P35" s="112">
        <v>0.65</v>
      </c>
      <c r="Q35" s="167" t="s">
        <v>14</v>
      </c>
    </row>
    <row r="36" spans="1:17" customFormat="1">
      <c r="A36" s="80">
        <v>45415.291666666664</v>
      </c>
      <c r="B36" s="112">
        <v>11.23</v>
      </c>
      <c r="C36" s="112">
        <v>13.13</v>
      </c>
      <c r="D36" s="112">
        <v>25.01</v>
      </c>
      <c r="E36" s="112">
        <v>13.4</v>
      </c>
      <c r="F36" s="112">
        <v>1</v>
      </c>
      <c r="G36" s="112">
        <v>84.39</v>
      </c>
      <c r="H36" s="112">
        <v>27.26</v>
      </c>
      <c r="I36" s="112">
        <v>7.44</v>
      </c>
      <c r="J36" s="112">
        <v>0.28000000000000003</v>
      </c>
      <c r="K36" s="112">
        <v>189.49</v>
      </c>
      <c r="L36" s="112">
        <v>25.89</v>
      </c>
      <c r="M36" s="112">
        <v>44.17</v>
      </c>
      <c r="N36" s="112">
        <v>54.1</v>
      </c>
      <c r="O36" s="112">
        <v>0</v>
      </c>
      <c r="P36" s="112">
        <v>0.66</v>
      </c>
      <c r="Q36" s="167" t="s">
        <v>14</v>
      </c>
    </row>
    <row r="37" spans="1:17" customFormat="1">
      <c r="A37" s="80">
        <v>45415.302083333336</v>
      </c>
      <c r="B37" s="112">
        <v>11.23</v>
      </c>
      <c r="C37" s="112">
        <v>13.12</v>
      </c>
      <c r="D37" s="112">
        <v>25</v>
      </c>
      <c r="E37" s="112">
        <v>16.079999999999998</v>
      </c>
      <c r="F37" s="112">
        <v>3.9</v>
      </c>
      <c r="G37" s="112">
        <v>93.88</v>
      </c>
      <c r="H37" s="112">
        <v>29.74</v>
      </c>
      <c r="I37" s="112">
        <v>7.49</v>
      </c>
      <c r="J37" s="112">
        <v>0.16</v>
      </c>
      <c r="K37" s="112">
        <v>194.24</v>
      </c>
      <c r="L37" s="112">
        <v>26.92</v>
      </c>
      <c r="M37" s="112">
        <v>39.92</v>
      </c>
      <c r="N37" s="112">
        <v>62</v>
      </c>
      <c r="O37" s="112">
        <v>0</v>
      </c>
      <c r="P37" s="112">
        <v>0.68</v>
      </c>
      <c r="Q37" s="167" t="s">
        <v>14</v>
      </c>
    </row>
    <row r="38" spans="1:17" customFormat="1">
      <c r="A38" s="80">
        <v>45415.3125</v>
      </c>
      <c r="B38" s="112">
        <v>11.23</v>
      </c>
      <c r="C38" s="112">
        <v>13.15</v>
      </c>
      <c r="D38" s="112">
        <v>25.02</v>
      </c>
      <c r="E38" s="112">
        <v>15.92</v>
      </c>
      <c r="F38" s="112">
        <v>3.37</v>
      </c>
      <c r="G38" s="112">
        <v>96.42</v>
      </c>
      <c r="H38" s="112">
        <v>29.74</v>
      </c>
      <c r="I38" s="112">
        <v>7.68</v>
      </c>
      <c r="J38" s="112">
        <v>0.23</v>
      </c>
      <c r="K38" s="112">
        <v>231.61</v>
      </c>
      <c r="L38" s="112">
        <v>27.47</v>
      </c>
      <c r="M38" s="112">
        <v>37.32</v>
      </c>
      <c r="N38" s="112">
        <v>69.900000000000006</v>
      </c>
      <c r="O38" s="112">
        <v>0</v>
      </c>
      <c r="P38" s="112">
        <v>0.68</v>
      </c>
      <c r="Q38" s="167" t="s">
        <v>14</v>
      </c>
    </row>
    <row r="39" spans="1:17" customFormat="1">
      <c r="A39" s="80">
        <v>45415.322916666664</v>
      </c>
      <c r="B39" s="112">
        <v>11.22</v>
      </c>
      <c r="C39" s="112">
        <v>13.13</v>
      </c>
      <c r="D39" s="112">
        <v>25</v>
      </c>
      <c r="E39" s="112">
        <v>16.96</v>
      </c>
      <c r="F39" s="112">
        <v>4.33</v>
      </c>
      <c r="G39" s="112">
        <v>96.42</v>
      </c>
      <c r="H39" s="112">
        <v>29.74</v>
      </c>
      <c r="I39" s="112">
        <v>8</v>
      </c>
      <c r="J39" s="112">
        <v>0.56999999999999995</v>
      </c>
      <c r="K39" s="112">
        <v>265.27999999999997</v>
      </c>
      <c r="L39" s="112">
        <v>28.54</v>
      </c>
      <c r="M39" s="112">
        <v>31.53</v>
      </c>
      <c r="N39" s="112">
        <v>78.099999999999994</v>
      </c>
      <c r="O39" s="112">
        <v>0</v>
      </c>
      <c r="P39" s="112">
        <v>0.68</v>
      </c>
      <c r="Q39" s="167" t="s">
        <v>14</v>
      </c>
    </row>
    <row r="40" spans="1:17" customFormat="1">
      <c r="A40" s="80">
        <v>45415.333333333336</v>
      </c>
      <c r="B40" s="112">
        <v>11.21</v>
      </c>
      <c r="C40" s="112">
        <v>13.14</v>
      </c>
      <c r="D40" s="112">
        <v>25</v>
      </c>
      <c r="E40" s="112">
        <v>15.89</v>
      </c>
      <c r="F40" s="112">
        <v>6.49</v>
      </c>
      <c r="G40" s="112">
        <v>96.42</v>
      </c>
      <c r="H40" s="112">
        <v>29.74</v>
      </c>
      <c r="I40" s="112">
        <v>8.06</v>
      </c>
      <c r="J40" s="112">
        <v>0.34</v>
      </c>
      <c r="K40" s="112">
        <v>241.28</v>
      </c>
      <c r="L40" s="112">
        <v>29.88</v>
      </c>
      <c r="M40" s="112">
        <v>26.71</v>
      </c>
      <c r="N40" s="112">
        <v>86</v>
      </c>
      <c r="O40" s="112">
        <v>0</v>
      </c>
      <c r="P40" s="112">
        <v>0.67</v>
      </c>
      <c r="Q40" s="167" t="s">
        <v>14</v>
      </c>
    </row>
    <row r="41" spans="1:17" customFormat="1">
      <c r="A41" s="80">
        <v>45415.34375</v>
      </c>
      <c r="B41" s="112">
        <v>11.22</v>
      </c>
      <c r="C41" s="112">
        <v>13.12</v>
      </c>
      <c r="D41" s="112">
        <v>25</v>
      </c>
      <c r="E41" s="112">
        <v>20.34</v>
      </c>
      <c r="F41" s="112">
        <v>12.28</v>
      </c>
      <c r="G41" s="112">
        <v>92.42</v>
      </c>
      <c r="H41" s="112">
        <v>28.79</v>
      </c>
      <c r="I41" s="112">
        <v>8.06</v>
      </c>
      <c r="J41" s="112">
        <v>0.41</v>
      </c>
      <c r="K41" s="112">
        <v>266.95</v>
      </c>
      <c r="L41" s="112">
        <v>30.91</v>
      </c>
      <c r="M41" s="112">
        <v>22.84</v>
      </c>
      <c r="N41" s="112">
        <v>95.4</v>
      </c>
      <c r="O41" s="112">
        <v>0</v>
      </c>
      <c r="P41" s="112">
        <v>0.66</v>
      </c>
      <c r="Q41" s="167" t="s">
        <v>14</v>
      </c>
    </row>
    <row r="42" spans="1:17" customFormat="1">
      <c r="A42" s="80">
        <v>45415.354166666664</v>
      </c>
      <c r="B42" s="112">
        <v>11.23</v>
      </c>
      <c r="C42" s="112">
        <v>13.12</v>
      </c>
      <c r="D42" s="112">
        <v>25</v>
      </c>
      <c r="E42" s="112">
        <v>16.600000000000001</v>
      </c>
      <c r="F42" s="112">
        <v>6.12</v>
      </c>
      <c r="G42" s="112">
        <v>91.35</v>
      </c>
      <c r="H42" s="112">
        <v>28.79</v>
      </c>
      <c r="I42" s="112">
        <v>7.97</v>
      </c>
      <c r="J42" s="112">
        <v>0.21</v>
      </c>
      <c r="K42" s="112">
        <v>238.36</v>
      </c>
      <c r="L42" s="112">
        <v>32.07</v>
      </c>
      <c r="M42" s="112">
        <v>21.73</v>
      </c>
      <c r="N42" s="112">
        <v>111.4</v>
      </c>
      <c r="O42" s="112">
        <v>0</v>
      </c>
      <c r="P42" s="112">
        <v>0.67</v>
      </c>
      <c r="Q42" s="167" t="s">
        <v>14</v>
      </c>
    </row>
    <row r="43" spans="1:17" customFormat="1">
      <c r="A43" s="80">
        <v>45415.364583333336</v>
      </c>
      <c r="B43" s="112">
        <v>11.21</v>
      </c>
      <c r="C43" s="112">
        <v>13.14</v>
      </c>
      <c r="D43" s="112">
        <v>25</v>
      </c>
      <c r="E43" s="112">
        <v>15.66</v>
      </c>
      <c r="F43" s="112">
        <v>4.55</v>
      </c>
      <c r="G43" s="112">
        <v>91.35</v>
      </c>
      <c r="H43" s="112">
        <v>28.79</v>
      </c>
      <c r="I43" s="112">
        <v>7.71</v>
      </c>
      <c r="J43" s="112">
        <v>0.36</v>
      </c>
      <c r="K43" s="112">
        <v>230.05</v>
      </c>
      <c r="L43" s="112">
        <v>32.86</v>
      </c>
      <c r="M43" s="112">
        <v>20.239999999999998</v>
      </c>
      <c r="N43" s="112">
        <v>170.1</v>
      </c>
      <c r="O43" s="112">
        <v>0</v>
      </c>
      <c r="P43" s="112">
        <v>0.67</v>
      </c>
      <c r="Q43" s="167" t="s">
        <v>14</v>
      </c>
    </row>
    <row r="44" spans="1:17" customFormat="1">
      <c r="A44" s="80">
        <v>45415.375</v>
      </c>
      <c r="B44" s="112">
        <v>11.25</v>
      </c>
      <c r="C44" s="112">
        <v>13.23</v>
      </c>
      <c r="D44" s="112">
        <v>25.08</v>
      </c>
      <c r="E44" s="112">
        <v>19.5</v>
      </c>
      <c r="F44" s="112">
        <v>5.21</v>
      </c>
      <c r="G44" s="112">
        <v>91.35</v>
      </c>
      <c r="H44" s="112">
        <v>28.79</v>
      </c>
      <c r="I44" s="112">
        <v>7.88</v>
      </c>
      <c r="J44" s="112">
        <v>0.32</v>
      </c>
      <c r="K44" s="112">
        <v>46.75</v>
      </c>
      <c r="L44" s="112">
        <v>33.619999999999997</v>
      </c>
      <c r="M44" s="112">
        <v>17.260000000000002</v>
      </c>
      <c r="N44" s="112">
        <v>280.5</v>
      </c>
      <c r="O44" s="112">
        <v>0</v>
      </c>
      <c r="P44" s="112">
        <v>0.68</v>
      </c>
      <c r="Q44" s="167" t="s">
        <v>14</v>
      </c>
    </row>
    <row r="45" spans="1:17" customFormat="1">
      <c r="A45" s="80">
        <v>45415.385416666664</v>
      </c>
      <c r="B45" s="112">
        <v>11.26</v>
      </c>
      <c r="C45" s="112">
        <v>13.43</v>
      </c>
      <c r="D45" s="112">
        <v>25.19</v>
      </c>
      <c r="E45" s="112">
        <v>21.96</v>
      </c>
      <c r="F45" s="112">
        <v>9.2200000000000006</v>
      </c>
      <c r="G45" s="112">
        <v>86.96</v>
      </c>
      <c r="H45" s="112">
        <v>28.59</v>
      </c>
      <c r="I45" s="112">
        <v>7.81</v>
      </c>
      <c r="J45" s="112">
        <v>0.79</v>
      </c>
      <c r="K45" s="112">
        <v>53.71</v>
      </c>
      <c r="L45" s="112">
        <v>34.409999999999997</v>
      </c>
      <c r="M45" s="112">
        <v>15.46</v>
      </c>
      <c r="N45" s="112">
        <v>178.3</v>
      </c>
      <c r="O45" s="112">
        <v>0</v>
      </c>
      <c r="P45" s="112">
        <v>0.69</v>
      </c>
      <c r="Q45" s="167" t="s">
        <v>14</v>
      </c>
    </row>
    <row r="46" spans="1:17" customFormat="1">
      <c r="A46" s="80">
        <v>45415.395833333336</v>
      </c>
      <c r="B46" s="112">
        <v>11.2</v>
      </c>
      <c r="C46" s="112">
        <v>13.3</v>
      </c>
      <c r="D46" s="112">
        <v>25.07</v>
      </c>
      <c r="E46" s="112">
        <v>16.760000000000002</v>
      </c>
      <c r="F46" s="112">
        <v>6.79</v>
      </c>
      <c r="G46" s="112">
        <v>85.79</v>
      </c>
      <c r="H46" s="112">
        <v>28.59</v>
      </c>
      <c r="I46" s="112">
        <v>7.72</v>
      </c>
      <c r="J46" s="112">
        <v>0.43</v>
      </c>
      <c r="K46" s="112">
        <v>101.07</v>
      </c>
      <c r="L46" s="112">
        <v>35.51</v>
      </c>
      <c r="M46" s="112">
        <v>13.17</v>
      </c>
      <c r="N46" s="112">
        <v>201.3</v>
      </c>
      <c r="O46" s="112">
        <v>0</v>
      </c>
      <c r="P46" s="112">
        <v>0.67</v>
      </c>
      <c r="Q46" s="167" t="s">
        <v>14</v>
      </c>
    </row>
    <row r="47" spans="1:17" customFormat="1">
      <c r="A47" s="80">
        <v>45415.40625</v>
      </c>
      <c r="B47" s="112">
        <v>11.2</v>
      </c>
      <c r="C47" s="112">
        <v>13.22</v>
      </c>
      <c r="D47" s="112">
        <v>25.03</v>
      </c>
      <c r="E47" s="112">
        <v>17.04</v>
      </c>
      <c r="F47" s="112">
        <v>7.76</v>
      </c>
      <c r="G47" s="112">
        <v>85.79</v>
      </c>
      <c r="H47" s="112">
        <v>28.59</v>
      </c>
      <c r="I47" s="112">
        <v>7.94</v>
      </c>
      <c r="J47" s="112">
        <v>0.81</v>
      </c>
      <c r="K47" s="112">
        <v>75.78</v>
      </c>
      <c r="L47" s="112">
        <v>36.340000000000003</v>
      </c>
      <c r="M47" s="112">
        <v>12.04</v>
      </c>
      <c r="N47" s="112">
        <v>215</v>
      </c>
      <c r="O47" s="112">
        <v>0</v>
      </c>
      <c r="P47" s="112">
        <v>0.66</v>
      </c>
      <c r="Q47" s="167" t="s">
        <v>14</v>
      </c>
    </row>
    <row r="48" spans="1:17" customFormat="1">
      <c r="A48" s="80">
        <v>45415.416666666664</v>
      </c>
      <c r="B48" s="112">
        <v>11.2</v>
      </c>
      <c r="C48" s="112">
        <v>13.19</v>
      </c>
      <c r="D48" s="112">
        <v>25.02</v>
      </c>
      <c r="E48" s="112">
        <v>15.87</v>
      </c>
      <c r="F48" s="112">
        <v>8.07</v>
      </c>
      <c r="G48" s="112">
        <v>85.79</v>
      </c>
      <c r="H48" s="112">
        <v>28.59</v>
      </c>
      <c r="I48" s="112">
        <v>7.8</v>
      </c>
      <c r="J48" s="112">
        <v>0.8</v>
      </c>
      <c r="K48" s="112">
        <v>79.92</v>
      </c>
      <c r="L48" s="112">
        <v>37.22</v>
      </c>
      <c r="M48" s="112">
        <v>10.76</v>
      </c>
      <c r="N48" s="112">
        <v>252.4</v>
      </c>
      <c r="O48" s="112">
        <v>0</v>
      </c>
      <c r="P48" s="112">
        <v>0.65</v>
      </c>
      <c r="Q48" s="167" t="s">
        <v>14</v>
      </c>
    </row>
    <row r="49" spans="1:17" customFormat="1">
      <c r="A49" s="80">
        <v>45415.427083333336</v>
      </c>
      <c r="B49" s="112">
        <v>11.18</v>
      </c>
      <c r="C49" s="112">
        <v>13.18</v>
      </c>
      <c r="D49" s="112">
        <v>25</v>
      </c>
      <c r="E49" s="112">
        <v>14.23</v>
      </c>
      <c r="F49" s="112">
        <v>11.67</v>
      </c>
      <c r="G49" s="112">
        <v>84.08</v>
      </c>
      <c r="H49" s="112">
        <v>30.47</v>
      </c>
      <c r="I49" s="112">
        <v>7.67</v>
      </c>
      <c r="J49" s="112">
        <v>0.94</v>
      </c>
      <c r="K49" s="112">
        <v>65.8</v>
      </c>
      <c r="L49" s="112">
        <v>37.049999999999997</v>
      </c>
      <c r="M49" s="112">
        <v>10.52</v>
      </c>
      <c r="N49" s="112">
        <v>314.60000000000002</v>
      </c>
      <c r="O49" s="112">
        <v>0</v>
      </c>
      <c r="P49" s="112">
        <v>0.64</v>
      </c>
      <c r="Q49" s="167" t="s">
        <v>14</v>
      </c>
    </row>
    <row r="50" spans="1:17" customFormat="1">
      <c r="A50" s="80">
        <v>45415.4375</v>
      </c>
      <c r="B50" s="112">
        <v>11.17</v>
      </c>
      <c r="C50" s="112">
        <v>13.2</v>
      </c>
      <c r="D50" s="112">
        <v>25</v>
      </c>
      <c r="E50" s="112">
        <v>15.22</v>
      </c>
      <c r="F50" s="112">
        <v>10.42</v>
      </c>
      <c r="G50" s="112">
        <v>83.62</v>
      </c>
      <c r="H50" s="112">
        <v>30.47</v>
      </c>
      <c r="I50" s="112">
        <v>7.52</v>
      </c>
      <c r="J50" s="112">
        <v>0.4</v>
      </c>
      <c r="K50" s="112">
        <v>38.82</v>
      </c>
      <c r="L50" s="112">
        <v>37.54</v>
      </c>
      <c r="M50" s="112">
        <v>10.43</v>
      </c>
      <c r="N50" s="112">
        <v>439.2</v>
      </c>
      <c r="O50" s="112">
        <v>0</v>
      </c>
      <c r="P50" s="112">
        <v>0.63</v>
      </c>
      <c r="Q50" s="167" t="s">
        <v>14</v>
      </c>
    </row>
    <row r="51" spans="1:17" customFormat="1">
      <c r="A51" s="80">
        <v>45415.447916666664</v>
      </c>
      <c r="B51" s="112">
        <v>11.15</v>
      </c>
      <c r="C51" s="112">
        <v>13.23</v>
      </c>
      <c r="D51" s="112">
        <v>25</v>
      </c>
      <c r="E51" s="112">
        <v>22.04</v>
      </c>
      <c r="F51" s="112">
        <v>19.18</v>
      </c>
      <c r="G51" s="112">
        <v>83.62</v>
      </c>
      <c r="H51" s="112">
        <v>30.47</v>
      </c>
      <c r="I51" s="112">
        <v>7.29</v>
      </c>
      <c r="J51" s="112">
        <v>0.98</v>
      </c>
      <c r="K51" s="112">
        <v>60.18</v>
      </c>
      <c r="L51" s="112">
        <v>37.76</v>
      </c>
      <c r="M51" s="112">
        <v>10.16</v>
      </c>
      <c r="N51" s="112">
        <v>725.3</v>
      </c>
      <c r="O51" s="112">
        <v>0</v>
      </c>
      <c r="P51" s="112">
        <v>0.63</v>
      </c>
      <c r="Q51" s="167" t="s">
        <v>14</v>
      </c>
    </row>
    <row r="52" spans="1:17" customFormat="1">
      <c r="A52" s="80">
        <v>45415.458333333336</v>
      </c>
      <c r="B52" s="112">
        <v>11.19</v>
      </c>
      <c r="C52" s="112">
        <v>13.17</v>
      </c>
      <c r="D52" s="112">
        <v>25</v>
      </c>
      <c r="E52" s="112">
        <v>21.46</v>
      </c>
      <c r="F52" s="112">
        <v>14.11</v>
      </c>
      <c r="G52" s="112">
        <v>83.62</v>
      </c>
      <c r="H52" s="112">
        <v>30.47</v>
      </c>
      <c r="I52" s="112">
        <v>7.28</v>
      </c>
      <c r="J52" s="112">
        <v>0.55000000000000004</v>
      </c>
      <c r="K52" s="112">
        <v>69.86</v>
      </c>
      <c r="L52" s="112">
        <v>37.96</v>
      </c>
      <c r="M52" s="112">
        <v>9.26</v>
      </c>
      <c r="N52" s="112">
        <v>711.7</v>
      </c>
      <c r="O52" s="112">
        <v>0</v>
      </c>
      <c r="P52" s="112">
        <v>0.61</v>
      </c>
      <c r="Q52" s="167" t="s">
        <v>14</v>
      </c>
    </row>
    <row r="53" spans="1:17" customFormat="1">
      <c r="A53" s="80">
        <v>45415.46875</v>
      </c>
      <c r="B53" s="112">
        <v>11.2</v>
      </c>
      <c r="C53" s="112">
        <v>13.15</v>
      </c>
      <c r="D53" s="112">
        <v>25</v>
      </c>
      <c r="E53" s="112">
        <v>23.52</v>
      </c>
      <c r="F53" s="112">
        <v>25.78</v>
      </c>
      <c r="G53" s="112">
        <v>84.13</v>
      </c>
      <c r="H53" s="112">
        <v>31.31</v>
      </c>
      <c r="I53" s="112">
        <v>6.96</v>
      </c>
      <c r="J53" s="112">
        <v>0.48</v>
      </c>
      <c r="K53" s="112">
        <v>65.33</v>
      </c>
      <c r="L53" s="112">
        <v>38.71</v>
      </c>
      <c r="M53" s="112">
        <v>8.86</v>
      </c>
      <c r="N53" s="112">
        <v>712</v>
      </c>
      <c r="O53" s="112">
        <v>0</v>
      </c>
      <c r="P53" s="112">
        <v>0.57999999999999996</v>
      </c>
      <c r="Q53" s="167" t="s">
        <v>14</v>
      </c>
    </row>
    <row r="54" spans="1:17" customFormat="1">
      <c r="A54" s="80">
        <v>45415.479166666664</v>
      </c>
      <c r="B54" s="112">
        <v>11.22</v>
      </c>
      <c r="C54" s="112">
        <v>13.14</v>
      </c>
      <c r="D54" s="112">
        <v>25</v>
      </c>
      <c r="E54" s="112">
        <v>23.96</v>
      </c>
      <c r="F54" s="112">
        <v>22.48</v>
      </c>
      <c r="G54" s="112">
        <v>84.27</v>
      </c>
      <c r="H54" s="112">
        <v>31.31</v>
      </c>
      <c r="I54" s="112">
        <v>6.86</v>
      </c>
      <c r="J54" s="112">
        <v>1.28</v>
      </c>
      <c r="K54" s="112">
        <v>47.6</v>
      </c>
      <c r="L54" s="112">
        <v>38.72</v>
      </c>
      <c r="M54" s="112">
        <v>8.1199999999999992</v>
      </c>
      <c r="N54" s="112">
        <v>810.6</v>
      </c>
      <c r="O54" s="112">
        <v>0</v>
      </c>
      <c r="P54" s="112">
        <v>0.56999999999999995</v>
      </c>
      <c r="Q54" s="167" t="s">
        <v>14</v>
      </c>
    </row>
    <row r="55" spans="1:17" customFormat="1">
      <c r="A55" s="80">
        <v>45415.489583333336</v>
      </c>
      <c r="B55" s="112">
        <v>11.23</v>
      </c>
      <c r="C55" s="112">
        <v>13.2</v>
      </c>
      <c r="D55" s="112">
        <v>25.05</v>
      </c>
      <c r="E55" s="112">
        <v>19.41</v>
      </c>
      <c r="F55" s="112">
        <v>25.39</v>
      </c>
      <c r="G55" s="112">
        <v>84.27</v>
      </c>
      <c r="H55" s="112">
        <v>31.31</v>
      </c>
      <c r="I55" s="112">
        <v>6.52</v>
      </c>
      <c r="J55" s="112">
        <v>0.64</v>
      </c>
      <c r="K55" s="112">
        <v>4.17</v>
      </c>
      <c r="L55" s="112">
        <v>38.58</v>
      </c>
      <c r="M55" s="112">
        <v>7.2</v>
      </c>
      <c r="N55" s="112">
        <v>833.6</v>
      </c>
      <c r="O55" s="112">
        <v>0</v>
      </c>
      <c r="P55" s="112">
        <v>0.56000000000000005</v>
      </c>
      <c r="Q55" s="167" t="s">
        <v>14</v>
      </c>
    </row>
    <row r="56" spans="1:17" customFormat="1">
      <c r="A56" s="80">
        <v>45415.5</v>
      </c>
      <c r="B56" s="112">
        <v>11.22</v>
      </c>
      <c r="C56" s="112">
        <v>13.17</v>
      </c>
      <c r="D56" s="112">
        <v>25.02</v>
      </c>
      <c r="E56" s="112">
        <v>20.6</v>
      </c>
      <c r="F56" s="112">
        <v>36.119999999999997</v>
      </c>
      <c r="G56" s="112">
        <v>84.27</v>
      </c>
      <c r="H56" s="112">
        <v>31.31</v>
      </c>
      <c r="I56" s="112">
        <v>6.38</v>
      </c>
      <c r="J56" s="112">
        <v>1.1599999999999999</v>
      </c>
      <c r="K56" s="112">
        <v>36.799999999999997</v>
      </c>
      <c r="L56" s="112">
        <v>38.65</v>
      </c>
      <c r="M56" s="112">
        <v>7.56</v>
      </c>
      <c r="N56" s="112">
        <v>848.7</v>
      </c>
      <c r="O56" s="112">
        <v>0</v>
      </c>
      <c r="P56" s="112">
        <v>0.55000000000000004</v>
      </c>
      <c r="Q56" s="167" t="s">
        <v>14</v>
      </c>
    </row>
    <row r="57" spans="1:17" customFormat="1">
      <c r="A57" s="80">
        <v>45415.510416666664</v>
      </c>
      <c r="B57" s="112">
        <v>11.21</v>
      </c>
      <c r="C57" s="112">
        <v>13.21</v>
      </c>
      <c r="D57" s="112">
        <v>25.04</v>
      </c>
      <c r="E57" s="112">
        <v>20.6</v>
      </c>
      <c r="F57" s="112">
        <v>25.75</v>
      </c>
      <c r="G57" s="112">
        <v>86.08</v>
      </c>
      <c r="H57" s="112">
        <v>26.42</v>
      </c>
      <c r="I57" s="112">
        <v>6.15</v>
      </c>
      <c r="J57" s="112">
        <v>0.93</v>
      </c>
      <c r="K57" s="112">
        <v>66.12</v>
      </c>
      <c r="L57" s="112">
        <v>39.130000000000003</v>
      </c>
      <c r="M57" s="112">
        <v>7.49</v>
      </c>
      <c r="N57" s="112">
        <v>849.5</v>
      </c>
      <c r="O57" s="112">
        <v>0</v>
      </c>
      <c r="P57" s="112">
        <v>0.55000000000000004</v>
      </c>
      <c r="Q57" s="167" t="s">
        <v>14</v>
      </c>
    </row>
    <row r="58" spans="1:17" customFormat="1">
      <c r="A58" s="80">
        <v>45415.520833333336</v>
      </c>
      <c r="B58" s="112">
        <v>11.2</v>
      </c>
      <c r="C58" s="112">
        <v>13.17</v>
      </c>
      <c r="D58" s="112">
        <v>25</v>
      </c>
      <c r="E58" s="112">
        <v>17.25</v>
      </c>
      <c r="F58" s="112">
        <v>24.72</v>
      </c>
      <c r="G58" s="112">
        <v>86.56</v>
      </c>
      <c r="H58" s="112">
        <v>26.42</v>
      </c>
      <c r="I58" s="112">
        <v>5.92</v>
      </c>
      <c r="J58" s="112">
        <v>0.52</v>
      </c>
      <c r="K58" s="112">
        <v>63.49</v>
      </c>
      <c r="L58" s="112">
        <v>39.770000000000003</v>
      </c>
      <c r="M58" s="112">
        <v>7.61</v>
      </c>
      <c r="N58" s="112">
        <v>842.2</v>
      </c>
      <c r="O58" s="112">
        <v>0</v>
      </c>
      <c r="P58" s="112">
        <v>0.55000000000000004</v>
      </c>
      <c r="Q58" s="167" t="s">
        <v>14</v>
      </c>
    </row>
    <row r="59" spans="1:17" customFormat="1">
      <c r="A59" s="80">
        <v>45415.53125</v>
      </c>
      <c r="B59" s="112">
        <v>11.18</v>
      </c>
      <c r="C59" s="112">
        <v>13.19</v>
      </c>
      <c r="D59" s="112">
        <v>25</v>
      </c>
      <c r="E59" s="112">
        <v>16.62</v>
      </c>
      <c r="F59" s="112">
        <v>26.87</v>
      </c>
      <c r="G59" s="112">
        <v>86.56</v>
      </c>
      <c r="H59" s="112">
        <v>26.42</v>
      </c>
      <c r="I59" s="112">
        <v>5.94</v>
      </c>
      <c r="J59" s="112">
        <v>0.67</v>
      </c>
      <c r="K59" s="112">
        <v>70.040000000000006</v>
      </c>
      <c r="L59" s="112">
        <v>40.49</v>
      </c>
      <c r="M59" s="112">
        <v>7.67</v>
      </c>
      <c r="N59" s="112">
        <v>828.5</v>
      </c>
      <c r="O59" s="112">
        <v>0</v>
      </c>
      <c r="P59" s="112">
        <v>0.55000000000000004</v>
      </c>
      <c r="Q59" s="167" t="s">
        <v>14</v>
      </c>
    </row>
    <row r="60" spans="1:17" customFormat="1">
      <c r="A60" s="80">
        <v>45415.541666666664</v>
      </c>
      <c r="B60" s="112">
        <v>11.18</v>
      </c>
      <c r="C60" s="112">
        <v>13.19</v>
      </c>
      <c r="D60" s="112">
        <v>25</v>
      </c>
      <c r="E60" s="112">
        <v>17.03</v>
      </c>
      <c r="F60" s="112">
        <v>17.39</v>
      </c>
      <c r="G60" s="112">
        <v>86.56</v>
      </c>
      <c r="H60" s="112">
        <v>26.42</v>
      </c>
      <c r="I60" s="112">
        <v>5.91</v>
      </c>
      <c r="J60" s="112">
        <v>0.63</v>
      </c>
      <c r="K60" s="112">
        <v>84.81</v>
      </c>
      <c r="L60" s="112">
        <v>40.67</v>
      </c>
      <c r="M60" s="112">
        <v>7.6</v>
      </c>
      <c r="N60" s="112">
        <v>817.7</v>
      </c>
      <c r="O60" s="112">
        <v>0</v>
      </c>
      <c r="P60" s="112">
        <v>0.56000000000000005</v>
      </c>
      <c r="Q60" s="167" t="s">
        <v>14</v>
      </c>
    </row>
    <row r="61" spans="1:17" customFormat="1">
      <c r="A61" s="80">
        <v>45415.552083333336</v>
      </c>
      <c r="B61" s="112">
        <v>11.16</v>
      </c>
      <c r="C61" s="112">
        <v>13.22</v>
      </c>
      <c r="D61" s="112">
        <v>25</v>
      </c>
      <c r="E61" s="112">
        <v>18.28</v>
      </c>
      <c r="F61" s="112">
        <v>36.619999999999997</v>
      </c>
      <c r="G61" s="112">
        <v>82.31</v>
      </c>
      <c r="H61" s="112">
        <v>27.86</v>
      </c>
      <c r="I61" s="112">
        <v>5.89</v>
      </c>
      <c r="J61" s="112">
        <v>0.67</v>
      </c>
      <c r="K61" s="112">
        <v>271.70999999999998</v>
      </c>
      <c r="L61" s="112">
        <v>40.630000000000003</v>
      </c>
      <c r="M61" s="112">
        <v>8.09</v>
      </c>
      <c r="N61" s="112">
        <v>811.3</v>
      </c>
      <c r="O61" s="112">
        <v>0</v>
      </c>
      <c r="P61" s="112">
        <v>0.52</v>
      </c>
      <c r="Q61" s="167" t="s">
        <v>14</v>
      </c>
    </row>
    <row r="62" spans="1:17" customFormat="1">
      <c r="A62" s="80">
        <v>45415.5625</v>
      </c>
      <c r="B62" s="112">
        <v>11.19</v>
      </c>
      <c r="C62" s="112">
        <v>13.23</v>
      </c>
      <c r="D62" s="112">
        <v>25.03</v>
      </c>
      <c r="E62" s="112">
        <v>18.239999999999998</v>
      </c>
      <c r="F62" s="112">
        <v>33.89</v>
      </c>
      <c r="G62" s="112">
        <v>81.17</v>
      </c>
      <c r="H62" s="112">
        <v>27.86</v>
      </c>
      <c r="I62" s="112">
        <v>5.93</v>
      </c>
      <c r="J62" s="112">
        <v>0.61</v>
      </c>
      <c r="K62" s="112">
        <v>312.18</v>
      </c>
      <c r="L62" s="112">
        <v>40.299999999999997</v>
      </c>
      <c r="M62" s="112">
        <v>7.15</v>
      </c>
      <c r="N62" s="112">
        <v>750.4</v>
      </c>
      <c r="O62" s="112">
        <v>0</v>
      </c>
      <c r="P62" s="112">
        <v>0.53</v>
      </c>
      <c r="Q62" s="167" t="s">
        <v>14</v>
      </c>
    </row>
    <row r="63" spans="1:17" customFormat="1">
      <c r="A63" s="80">
        <v>45415.572916666664</v>
      </c>
      <c r="B63" s="112">
        <v>11.28</v>
      </c>
      <c r="C63" s="112">
        <v>13.15</v>
      </c>
      <c r="D63" s="112">
        <v>25.06</v>
      </c>
      <c r="E63" s="112">
        <v>26.03</v>
      </c>
      <c r="F63" s="112">
        <v>47.79</v>
      </c>
      <c r="G63" s="112">
        <v>81.17</v>
      </c>
      <c r="H63" s="112">
        <v>27.86</v>
      </c>
      <c r="I63" s="112">
        <v>5.47</v>
      </c>
      <c r="J63" s="112">
        <v>0.16</v>
      </c>
      <c r="K63" s="112">
        <v>341.03</v>
      </c>
      <c r="L63" s="112">
        <v>40.35</v>
      </c>
      <c r="M63" s="112">
        <v>7.36</v>
      </c>
      <c r="N63" s="112">
        <v>647.29999999999995</v>
      </c>
      <c r="O63" s="112">
        <v>0</v>
      </c>
      <c r="P63" s="112">
        <v>0.53</v>
      </c>
      <c r="Q63" s="167" t="s">
        <v>14</v>
      </c>
    </row>
    <row r="64" spans="1:17" customFormat="1">
      <c r="A64" s="80">
        <v>45415.583333333336</v>
      </c>
      <c r="B64" s="112">
        <v>11.34</v>
      </c>
      <c r="C64" s="112">
        <v>13.15</v>
      </c>
      <c r="D64" s="112">
        <v>25.1</v>
      </c>
      <c r="E64" s="112">
        <v>29.82</v>
      </c>
      <c r="F64" s="112">
        <v>34.85</v>
      </c>
      <c r="G64" s="112">
        <v>81.17</v>
      </c>
      <c r="H64" s="112">
        <v>27.86</v>
      </c>
      <c r="I64" s="112">
        <v>5.43</v>
      </c>
      <c r="J64" s="112">
        <v>0.76</v>
      </c>
      <c r="K64" s="112">
        <v>349.88</v>
      </c>
      <c r="L64" s="112">
        <v>40.17</v>
      </c>
      <c r="M64" s="112">
        <v>7.07</v>
      </c>
      <c r="N64" s="112">
        <v>682.7</v>
      </c>
      <c r="O64" s="112">
        <v>0</v>
      </c>
      <c r="P64" s="112">
        <v>0.55000000000000004</v>
      </c>
      <c r="Q64" s="167" t="s">
        <v>14</v>
      </c>
    </row>
    <row r="65" spans="1:17" customFormat="1">
      <c r="A65" s="80">
        <v>45415.59375</v>
      </c>
      <c r="B65" s="112">
        <v>11.35</v>
      </c>
      <c r="C65" s="112">
        <v>13.19</v>
      </c>
      <c r="D65" s="112">
        <v>25.14</v>
      </c>
      <c r="E65" s="112">
        <v>51.74</v>
      </c>
      <c r="F65" s="112">
        <v>55.98</v>
      </c>
      <c r="G65" s="112">
        <v>78.2</v>
      </c>
      <c r="H65" s="112">
        <v>25.39</v>
      </c>
      <c r="I65" s="112">
        <v>5.13</v>
      </c>
      <c r="J65" s="112">
        <v>0.25</v>
      </c>
      <c r="K65" s="112">
        <v>288.57</v>
      </c>
      <c r="L65" s="112">
        <v>40.479999999999997</v>
      </c>
      <c r="M65" s="112">
        <v>7.87</v>
      </c>
      <c r="N65" s="112">
        <v>655.8</v>
      </c>
      <c r="O65" s="112">
        <v>0</v>
      </c>
      <c r="P65" s="112">
        <v>0.46</v>
      </c>
      <c r="Q65" s="167" t="s">
        <v>14</v>
      </c>
    </row>
    <row r="66" spans="1:17" customFormat="1">
      <c r="A66" s="80">
        <v>45415.604166666664</v>
      </c>
      <c r="B66" s="112">
        <v>11.34</v>
      </c>
      <c r="C66" s="112">
        <v>13.12</v>
      </c>
      <c r="D66" s="112">
        <v>25.09</v>
      </c>
      <c r="E66" s="112">
        <v>43.64</v>
      </c>
      <c r="F66" s="112">
        <v>68.77</v>
      </c>
      <c r="G66" s="112">
        <v>77.400000000000006</v>
      </c>
      <c r="H66" s="112">
        <v>25.39</v>
      </c>
      <c r="I66" s="112">
        <v>5.44</v>
      </c>
      <c r="J66" s="112">
        <v>0.3</v>
      </c>
      <c r="K66" s="112">
        <v>46.22</v>
      </c>
      <c r="L66" s="112">
        <v>40.56</v>
      </c>
      <c r="M66" s="112">
        <v>7.23</v>
      </c>
      <c r="N66" s="112">
        <v>626.70000000000005</v>
      </c>
      <c r="O66" s="112">
        <v>0</v>
      </c>
      <c r="P66" s="112">
        <v>0.48</v>
      </c>
      <c r="Q66" s="167" t="s">
        <v>14</v>
      </c>
    </row>
    <row r="67" spans="1:17" customFormat="1">
      <c r="A67" s="80">
        <v>45415.614583333336</v>
      </c>
      <c r="B67" s="112">
        <v>11.32</v>
      </c>
      <c r="C67" s="112">
        <v>13.14</v>
      </c>
      <c r="D67" s="112">
        <v>25.09</v>
      </c>
      <c r="E67" s="112">
        <v>37.31</v>
      </c>
      <c r="F67" s="112">
        <v>43.73</v>
      </c>
      <c r="G67" s="112">
        <v>77.400000000000006</v>
      </c>
      <c r="H67" s="112">
        <v>25.39</v>
      </c>
      <c r="I67" s="112">
        <v>5</v>
      </c>
      <c r="J67" s="112">
        <v>0.47</v>
      </c>
      <c r="K67" s="112">
        <v>319.52999999999997</v>
      </c>
      <c r="L67" s="112">
        <v>41</v>
      </c>
      <c r="M67" s="112">
        <v>8.0299999999999994</v>
      </c>
      <c r="N67" s="112">
        <v>540</v>
      </c>
      <c r="O67" s="112">
        <v>0</v>
      </c>
      <c r="P67" s="112">
        <v>0.49</v>
      </c>
      <c r="Q67" s="167" t="s">
        <v>14</v>
      </c>
    </row>
    <row r="68" spans="1:17" customFormat="1">
      <c r="A68" s="80">
        <v>45415.625</v>
      </c>
      <c r="B68" s="112">
        <v>11.31</v>
      </c>
      <c r="C68" s="112">
        <v>13.12</v>
      </c>
      <c r="D68" s="112">
        <v>25.07</v>
      </c>
      <c r="E68" s="112">
        <v>46.89</v>
      </c>
      <c r="F68" s="112">
        <v>45.56</v>
      </c>
      <c r="G68" s="112">
        <v>77.400000000000006</v>
      </c>
      <c r="H68" s="112">
        <v>25.39</v>
      </c>
      <c r="I68" s="112">
        <v>4.84</v>
      </c>
      <c r="J68" s="112">
        <v>0.84</v>
      </c>
      <c r="K68" s="112">
        <v>46.02</v>
      </c>
      <c r="L68" s="112">
        <v>40.44</v>
      </c>
      <c r="M68" s="112">
        <v>7.72</v>
      </c>
      <c r="N68" s="112">
        <v>532</v>
      </c>
      <c r="O68" s="112">
        <v>0</v>
      </c>
      <c r="P68" s="112">
        <v>0.51</v>
      </c>
      <c r="Q68" s="167" t="s">
        <v>14</v>
      </c>
    </row>
    <row r="69" spans="1:17" customFormat="1">
      <c r="A69" s="80">
        <v>45415.635416666664</v>
      </c>
      <c r="B69" s="112">
        <v>11.4</v>
      </c>
      <c r="C69" s="112">
        <v>13.31</v>
      </c>
      <c r="D69" s="112">
        <v>25.24</v>
      </c>
      <c r="E69" s="112">
        <v>63.06</v>
      </c>
      <c r="F69" s="112">
        <v>51.81</v>
      </c>
      <c r="G69" s="112">
        <v>75.78</v>
      </c>
      <c r="H69" s="112">
        <v>22.72</v>
      </c>
      <c r="I69" s="112">
        <v>5.2</v>
      </c>
      <c r="J69" s="112">
        <v>0.82</v>
      </c>
      <c r="K69" s="112">
        <v>60.26</v>
      </c>
      <c r="L69" s="112">
        <v>40.43</v>
      </c>
      <c r="M69" s="112">
        <v>8.06</v>
      </c>
      <c r="N69" s="112">
        <v>480.7</v>
      </c>
      <c r="O69" s="112">
        <v>0</v>
      </c>
      <c r="P69" s="112">
        <v>0.51</v>
      </c>
      <c r="Q69" s="167" t="s">
        <v>14</v>
      </c>
    </row>
    <row r="70" spans="1:17" customFormat="1">
      <c r="A70" s="80">
        <v>45415.645833333336</v>
      </c>
      <c r="B70" s="112">
        <v>11.36</v>
      </c>
      <c r="C70" s="112">
        <v>13.3</v>
      </c>
      <c r="D70" s="112">
        <v>25.2</v>
      </c>
      <c r="E70" s="112">
        <v>60.99</v>
      </c>
      <c r="F70" s="112">
        <v>61.22</v>
      </c>
      <c r="G70" s="112">
        <v>75.34</v>
      </c>
      <c r="H70" s="112">
        <v>22.72</v>
      </c>
      <c r="I70" s="112">
        <v>5.19</v>
      </c>
      <c r="J70" s="112">
        <v>0.28000000000000003</v>
      </c>
      <c r="K70" s="112">
        <v>52.35</v>
      </c>
      <c r="L70" s="112">
        <v>40.58</v>
      </c>
      <c r="M70" s="112">
        <v>8.4</v>
      </c>
      <c r="N70" s="112">
        <v>434.3</v>
      </c>
      <c r="O70" s="112">
        <v>0</v>
      </c>
      <c r="P70" s="112">
        <v>0.51</v>
      </c>
      <c r="Q70" s="167" t="s">
        <v>14</v>
      </c>
    </row>
    <row r="71" spans="1:17" customFormat="1">
      <c r="A71" s="80">
        <v>45415.65625</v>
      </c>
      <c r="B71" s="112">
        <v>11.32</v>
      </c>
      <c r="C71" s="112">
        <v>13.22</v>
      </c>
      <c r="D71" s="112">
        <v>25.13</v>
      </c>
      <c r="E71" s="112">
        <v>46.53</v>
      </c>
      <c r="F71" s="112">
        <v>53.47</v>
      </c>
      <c r="G71" s="112">
        <v>75.34</v>
      </c>
      <c r="H71" s="112">
        <v>22.72</v>
      </c>
      <c r="I71" s="112">
        <v>5.09</v>
      </c>
      <c r="J71" s="112">
        <v>0.23</v>
      </c>
      <c r="K71" s="112">
        <v>354.52</v>
      </c>
      <c r="L71" s="112">
        <v>40.5</v>
      </c>
      <c r="M71" s="112">
        <v>8.2899999999999991</v>
      </c>
      <c r="N71" s="112">
        <v>399.4</v>
      </c>
      <c r="O71" s="112">
        <v>0</v>
      </c>
      <c r="P71" s="112">
        <v>0.51</v>
      </c>
      <c r="Q71" s="167" t="s">
        <v>14</v>
      </c>
    </row>
    <row r="72" spans="1:17" customFormat="1">
      <c r="A72" s="80">
        <v>45415.666666666664</v>
      </c>
      <c r="B72" s="112">
        <v>11.31</v>
      </c>
      <c r="C72" s="112">
        <v>13.14</v>
      </c>
      <c r="D72" s="112">
        <v>25.08</v>
      </c>
      <c r="E72" s="112">
        <v>38.950000000000003</v>
      </c>
      <c r="F72" s="112">
        <v>54.91</v>
      </c>
      <c r="G72" s="112">
        <v>75.34</v>
      </c>
      <c r="H72" s="112">
        <v>22.72</v>
      </c>
      <c r="I72" s="112">
        <v>5.03</v>
      </c>
      <c r="J72" s="112">
        <v>0.36</v>
      </c>
      <c r="K72" s="112">
        <v>252.14</v>
      </c>
      <c r="L72" s="112">
        <v>40.119999999999997</v>
      </c>
      <c r="M72" s="112">
        <v>9.2899999999999991</v>
      </c>
      <c r="N72" s="112">
        <v>362.6</v>
      </c>
      <c r="O72" s="112">
        <v>0</v>
      </c>
      <c r="P72" s="112">
        <v>0.51</v>
      </c>
      <c r="Q72" s="167" t="s">
        <v>14</v>
      </c>
    </row>
    <row r="73" spans="1:17" customFormat="1">
      <c r="A73" s="80">
        <v>45415.677083333336</v>
      </c>
      <c r="B73" s="112">
        <v>11.3</v>
      </c>
      <c r="C73" s="112">
        <v>13.09</v>
      </c>
      <c r="D73" s="112">
        <v>25.05</v>
      </c>
      <c r="E73" s="112">
        <v>49.2</v>
      </c>
      <c r="F73" s="112">
        <v>67.7</v>
      </c>
      <c r="G73" s="112">
        <v>78.34</v>
      </c>
      <c r="H73" s="112">
        <v>23.79</v>
      </c>
      <c r="I73" s="112">
        <v>5</v>
      </c>
      <c r="J73" s="112">
        <v>0.6</v>
      </c>
      <c r="K73" s="112">
        <v>329.06</v>
      </c>
      <c r="L73" s="112">
        <v>40.4</v>
      </c>
      <c r="M73" s="112">
        <v>8.0500000000000007</v>
      </c>
      <c r="N73" s="112">
        <v>289.2</v>
      </c>
      <c r="O73" s="112">
        <v>0</v>
      </c>
      <c r="P73" s="112">
        <v>0.52</v>
      </c>
      <c r="Q73" s="167" t="s">
        <v>14</v>
      </c>
    </row>
    <row r="74" spans="1:17" customFormat="1">
      <c r="A74" s="80">
        <v>45415.6875</v>
      </c>
      <c r="B74" s="112">
        <v>11.33</v>
      </c>
      <c r="C74" s="112">
        <v>13.13</v>
      </c>
      <c r="D74" s="112">
        <v>25.08</v>
      </c>
      <c r="E74" s="112">
        <v>35.049999999999997</v>
      </c>
      <c r="F74" s="112">
        <v>47.82</v>
      </c>
      <c r="G74" s="112">
        <v>79.14</v>
      </c>
      <c r="H74" s="112">
        <v>23.79</v>
      </c>
      <c r="I74" s="112">
        <v>4.99</v>
      </c>
      <c r="J74" s="112">
        <v>0.54</v>
      </c>
      <c r="K74" s="112">
        <v>3.34</v>
      </c>
      <c r="L74" s="112">
        <v>40.159999999999997</v>
      </c>
      <c r="M74" s="112">
        <v>8.06</v>
      </c>
      <c r="N74" s="112">
        <v>185.5</v>
      </c>
      <c r="O74" s="112">
        <v>0</v>
      </c>
      <c r="P74" s="112">
        <v>0.52</v>
      </c>
      <c r="Q74" s="167" t="s">
        <v>14</v>
      </c>
    </row>
    <row r="75" spans="1:17" customFormat="1">
      <c r="A75" s="80">
        <v>45415.697916666664</v>
      </c>
      <c r="B75" s="112">
        <v>11.36</v>
      </c>
      <c r="C75" s="112">
        <v>13.1</v>
      </c>
      <c r="D75" s="112">
        <v>25.09</v>
      </c>
      <c r="E75" s="112">
        <v>26.91</v>
      </c>
      <c r="F75" s="112">
        <v>45.83</v>
      </c>
      <c r="G75" s="112">
        <v>79.14</v>
      </c>
      <c r="H75" s="112">
        <v>23.79</v>
      </c>
      <c r="I75" s="112">
        <v>4.79</v>
      </c>
      <c r="J75" s="112">
        <v>0.52</v>
      </c>
      <c r="K75" s="112">
        <v>346.16</v>
      </c>
      <c r="L75" s="112">
        <v>40.020000000000003</v>
      </c>
      <c r="M75" s="112">
        <v>8.0399999999999991</v>
      </c>
      <c r="N75" s="112">
        <v>153.80000000000001</v>
      </c>
      <c r="O75" s="112">
        <v>0</v>
      </c>
      <c r="P75" s="112">
        <v>0.51</v>
      </c>
      <c r="Q75" s="167" t="s">
        <v>14</v>
      </c>
    </row>
    <row r="76" spans="1:17" customFormat="1">
      <c r="A76" s="80">
        <v>45415.708333333336</v>
      </c>
      <c r="B76" s="112">
        <v>11.33</v>
      </c>
      <c r="C76" s="112">
        <v>13.17</v>
      </c>
      <c r="D76" s="112">
        <v>25.11</v>
      </c>
      <c r="E76" s="112">
        <v>22.54</v>
      </c>
      <c r="F76" s="112">
        <v>44.28</v>
      </c>
      <c r="G76" s="112">
        <v>79.14</v>
      </c>
      <c r="H76" s="112">
        <v>23.79</v>
      </c>
      <c r="I76" s="112">
        <v>4.78</v>
      </c>
      <c r="J76" s="112">
        <v>0.6</v>
      </c>
      <c r="K76" s="112">
        <v>299.41000000000003</v>
      </c>
      <c r="L76" s="112">
        <v>39.35</v>
      </c>
      <c r="M76" s="112">
        <v>8.09</v>
      </c>
      <c r="N76" s="112">
        <v>171.3</v>
      </c>
      <c r="O76" s="112">
        <v>0</v>
      </c>
      <c r="P76" s="112">
        <v>0.49</v>
      </c>
      <c r="Q76" s="167" t="s">
        <v>14</v>
      </c>
    </row>
    <row r="77" spans="1:17" customFormat="1">
      <c r="A77" s="80">
        <v>45415.71875</v>
      </c>
      <c r="B77" s="112">
        <v>11.35</v>
      </c>
      <c r="C77" s="112">
        <v>13.22</v>
      </c>
      <c r="D77" s="112">
        <v>25.16</v>
      </c>
      <c r="E77" s="112">
        <v>21.6</v>
      </c>
      <c r="F77" s="112">
        <v>46.54</v>
      </c>
      <c r="G77" s="112">
        <v>77.92</v>
      </c>
      <c r="H77" s="112">
        <v>25.49</v>
      </c>
      <c r="I77" s="112">
        <v>4.66</v>
      </c>
      <c r="J77" s="112">
        <v>0.47</v>
      </c>
      <c r="K77" s="112">
        <v>5.36</v>
      </c>
      <c r="L77" s="112">
        <v>39.32</v>
      </c>
      <c r="M77" s="112">
        <v>8.7100000000000009</v>
      </c>
      <c r="N77" s="112">
        <v>110.7</v>
      </c>
      <c r="O77" s="112">
        <v>0</v>
      </c>
      <c r="P77" s="112">
        <v>0.54</v>
      </c>
      <c r="Q77" s="167" t="s">
        <v>14</v>
      </c>
    </row>
    <row r="78" spans="1:17" customFormat="1">
      <c r="A78" s="80">
        <v>45415.729166666664</v>
      </c>
      <c r="B78" s="112">
        <v>11.39</v>
      </c>
      <c r="C78" s="112">
        <v>13.25</v>
      </c>
      <c r="D78" s="112">
        <v>25.2</v>
      </c>
      <c r="E78" s="112">
        <v>23.66</v>
      </c>
      <c r="F78" s="112">
        <v>43.79</v>
      </c>
      <c r="G78" s="112">
        <v>77.599999999999994</v>
      </c>
      <c r="H78" s="112">
        <v>25.49</v>
      </c>
      <c r="I78" s="112">
        <v>4.67</v>
      </c>
      <c r="J78" s="112">
        <v>0.4</v>
      </c>
      <c r="K78" s="112">
        <v>34.200000000000003</v>
      </c>
      <c r="L78" s="112">
        <v>38.950000000000003</v>
      </c>
      <c r="M78" s="112">
        <v>9.33</v>
      </c>
      <c r="N78" s="112">
        <v>70.599999999999994</v>
      </c>
      <c r="O78" s="112">
        <v>0</v>
      </c>
      <c r="P78" s="112">
        <v>0.6</v>
      </c>
      <c r="Q78" s="167" t="s">
        <v>14</v>
      </c>
    </row>
    <row r="79" spans="1:17" customFormat="1">
      <c r="A79" s="80">
        <v>45415.739583333336</v>
      </c>
      <c r="B79" s="112">
        <v>11.38</v>
      </c>
      <c r="C79" s="112">
        <v>13.22</v>
      </c>
      <c r="D79" s="112">
        <v>25.17</v>
      </c>
      <c r="E79" s="112">
        <v>30.91</v>
      </c>
      <c r="F79" s="112">
        <v>30.79</v>
      </c>
      <c r="G79" s="112">
        <v>77.599999999999994</v>
      </c>
      <c r="H79" s="112">
        <v>25.49</v>
      </c>
      <c r="I79" s="112">
        <v>4.58</v>
      </c>
      <c r="J79" s="112">
        <v>0.52</v>
      </c>
      <c r="K79" s="112">
        <v>45.42</v>
      </c>
      <c r="L79" s="112">
        <v>38.26</v>
      </c>
      <c r="M79" s="112">
        <v>9.8699999999999992</v>
      </c>
      <c r="N79" s="112">
        <v>46.4</v>
      </c>
      <c r="O79" s="112">
        <v>0</v>
      </c>
      <c r="P79" s="112">
        <v>0.62</v>
      </c>
      <c r="Q79" s="167" t="s">
        <v>14</v>
      </c>
    </row>
    <row r="80" spans="1:17" customFormat="1">
      <c r="A80" s="80">
        <v>45415.75</v>
      </c>
      <c r="B80" s="112">
        <v>11.4</v>
      </c>
      <c r="C80" s="112">
        <v>13.34</v>
      </c>
      <c r="D80" s="112">
        <v>25.25</v>
      </c>
      <c r="E80" s="112">
        <v>22.27</v>
      </c>
      <c r="F80" s="112">
        <v>16.09</v>
      </c>
      <c r="G80" s="112">
        <v>77.599999999999994</v>
      </c>
      <c r="H80" s="112">
        <v>25.49</v>
      </c>
      <c r="I80" s="112">
        <v>4.8600000000000003</v>
      </c>
      <c r="J80" s="112">
        <v>0.28999999999999998</v>
      </c>
      <c r="K80" s="112">
        <v>140.97</v>
      </c>
      <c r="L80" s="112">
        <v>37.28</v>
      </c>
      <c r="M80" s="112">
        <v>14.15</v>
      </c>
      <c r="N80" s="112">
        <v>15.6</v>
      </c>
      <c r="O80" s="112">
        <v>0</v>
      </c>
      <c r="P80" s="112">
        <v>0.6</v>
      </c>
      <c r="Q80" s="167" t="s">
        <v>14</v>
      </c>
    </row>
    <row r="81" spans="1:17" customFormat="1">
      <c r="A81" s="80">
        <v>45415.760416666664</v>
      </c>
      <c r="B81" s="112">
        <v>11.36</v>
      </c>
      <c r="C81" s="112">
        <v>13.28</v>
      </c>
      <c r="D81" s="112">
        <v>25.2</v>
      </c>
      <c r="E81" s="112">
        <v>13.67</v>
      </c>
      <c r="F81" s="112">
        <v>16.59</v>
      </c>
      <c r="G81" s="112">
        <v>84.29</v>
      </c>
      <c r="H81" s="112">
        <v>26.72</v>
      </c>
      <c r="I81" s="112">
        <v>5.24</v>
      </c>
      <c r="J81" s="112">
        <v>0.27</v>
      </c>
      <c r="K81" s="112">
        <v>157.6</v>
      </c>
      <c r="L81" s="112">
        <v>35.42</v>
      </c>
      <c r="M81" s="112">
        <v>19.66</v>
      </c>
      <c r="N81" s="112">
        <v>1.4</v>
      </c>
      <c r="O81" s="112">
        <v>0</v>
      </c>
      <c r="P81" s="112">
        <v>0.6</v>
      </c>
      <c r="Q81" s="167" t="s">
        <v>14</v>
      </c>
    </row>
    <row r="82" spans="1:17" customFormat="1">
      <c r="A82" s="80">
        <v>45415.770833333336</v>
      </c>
      <c r="B82" s="112">
        <v>11.37</v>
      </c>
      <c r="C82" s="112">
        <v>13.15</v>
      </c>
      <c r="D82" s="112">
        <v>25.14</v>
      </c>
      <c r="E82" s="112">
        <v>16.59</v>
      </c>
      <c r="F82" s="112">
        <v>20.53</v>
      </c>
      <c r="G82" s="112">
        <v>86.08</v>
      </c>
      <c r="H82" s="112">
        <v>26.72</v>
      </c>
      <c r="I82" s="112">
        <v>5.6</v>
      </c>
      <c r="J82" s="112">
        <v>0.25</v>
      </c>
      <c r="K82" s="112">
        <v>148.47</v>
      </c>
      <c r="L82" s="112">
        <v>34.22</v>
      </c>
      <c r="M82" s="112">
        <v>19.899999999999999</v>
      </c>
      <c r="N82" s="112">
        <v>0</v>
      </c>
      <c r="O82" s="112">
        <v>0</v>
      </c>
      <c r="P82" s="112">
        <v>0.59</v>
      </c>
      <c r="Q82" s="167" t="s">
        <v>14</v>
      </c>
    </row>
    <row r="83" spans="1:17" customFormat="1">
      <c r="A83" s="80">
        <v>45415.78125</v>
      </c>
      <c r="B83" s="112">
        <v>11.37</v>
      </c>
      <c r="C83" s="112">
        <v>13.08</v>
      </c>
      <c r="D83" s="112">
        <v>25.09</v>
      </c>
      <c r="E83" s="112">
        <v>15.17</v>
      </c>
      <c r="F83" s="112">
        <v>10.52</v>
      </c>
      <c r="G83" s="112">
        <v>86.08</v>
      </c>
      <c r="H83" s="112">
        <v>26.72</v>
      </c>
      <c r="I83" s="112">
        <v>5.61</v>
      </c>
      <c r="J83" s="112">
        <v>0.3</v>
      </c>
      <c r="K83" s="112">
        <v>161.97999999999999</v>
      </c>
      <c r="L83" s="112">
        <v>33.39</v>
      </c>
      <c r="M83" s="112">
        <v>25.06</v>
      </c>
      <c r="N83" s="112">
        <v>0</v>
      </c>
      <c r="O83" s="112">
        <v>0</v>
      </c>
      <c r="P83" s="112">
        <v>0.61</v>
      </c>
      <c r="Q83" s="167" t="s">
        <v>14</v>
      </c>
    </row>
    <row r="84" spans="1:17" customFormat="1">
      <c r="A84" s="80">
        <v>45415.791666666664</v>
      </c>
      <c r="B84" s="112">
        <v>11.33</v>
      </c>
      <c r="C84" s="112">
        <v>13.12</v>
      </c>
      <c r="D84" s="112">
        <v>25.09</v>
      </c>
      <c r="E84" s="112">
        <v>15.05</v>
      </c>
      <c r="F84" s="112">
        <v>7.22</v>
      </c>
      <c r="G84" s="112">
        <v>86.08</v>
      </c>
      <c r="H84" s="112">
        <v>26.72</v>
      </c>
      <c r="I84" s="112">
        <v>5.59</v>
      </c>
      <c r="J84" s="112">
        <v>0.28000000000000003</v>
      </c>
      <c r="K84" s="112">
        <v>151.85</v>
      </c>
      <c r="L84" s="112">
        <v>32.97</v>
      </c>
      <c r="M84" s="112">
        <v>23.41</v>
      </c>
      <c r="N84" s="112">
        <v>0</v>
      </c>
      <c r="O84" s="112">
        <v>0</v>
      </c>
      <c r="P84" s="112">
        <v>0.72</v>
      </c>
      <c r="Q84" s="167" t="s">
        <v>14</v>
      </c>
    </row>
    <row r="85" spans="1:17" customFormat="1">
      <c r="A85" s="80">
        <v>45415.802083333336</v>
      </c>
      <c r="B85" s="112">
        <v>11.31</v>
      </c>
      <c r="C85" s="112">
        <v>13.13</v>
      </c>
      <c r="D85" s="112">
        <v>25.07</v>
      </c>
      <c r="E85" s="112">
        <v>13.32</v>
      </c>
      <c r="F85" s="112">
        <v>5.44</v>
      </c>
      <c r="G85" s="112">
        <v>89.22</v>
      </c>
      <c r="H85" s="112">
        <v>27.59</v>
      </c>
      <c r="I85" s="112">
        <v>5.82</v>
      </c>
      <c r="J85" s="112">
        <v>0.22</v>
      </c>
      <c r="K85" s="112">
        <v>192.74</v>
      </c>
      <c r="L85" s="112">
        <v>31.71</v>
      </c>
      <c r="M85" s="112">
        <v>30.28</v>
      </c>
      <c r="N85" s="112">
        <v>0</v>
      </c>
      <c r="O85" s="112">
        <v>0</v>
      </c>
      <c r="P85" s="112">
        <v>0.66</v>
      </c>
      <c r="Q85" s="167" t="s">
        <v>14</v>
      </c>
    </row>
    <row r="86" spans="1:17" customFormat="1">
      <c r="A86" s="80">
        <v>45415.8125</v>
      </c>
      <c r="B86" s="112">
        <v>11.26</v>
      </c>
      <c r="C86" s="112">
        <v>13.15</v>
      </c>
      <c r="D86" s="112">
        <v>25.05</v>
      </c>
      <c r="E86" s="112">
        <v>13.71</v>
      </c>
      <c r="F86" s="112">
        <v>6.6</v>
      </c>
      <c r="G86" s="112">
        <v>90.06</v>
      </c>
      <c r="H86" s="112">
        <v>27.59</v>
      </c>
      <c r="I86" s="112">
        <v>6.56</v>
      </c>
      <c r="J86" s="112">
        <v>0.25</v>
      </c>
      <c r="K86" s="112">
        <v>163.55000000000001</v>
      </c>
      <c r="L86" s="112">
        <v>31.41</v>
      </c>
      <c r="M86" s="112">
        <v>27.51</v>
      </c>
      <c r="N86" s="112">
        <v>0</v>
      </c>
      <c r="O86" s="112">
        <v>0</v>
      </c>
      <c r="P86" s="112">
        <v>0.67</v>
      </c>
      <c r="Q86" s="167" t="s">
        <v>14</v>
      </c>
    </row>
    <row r="87" spans="1:17" customFormat="1">
      <c r="A87" s="80">
        <v>45415.822916666664</v>
      </c>
      <c r="B87" s="112">
        <v>11.25</v>
      </c>
      <c r="C87" s="112">
        <v>13.12</v>
      </c>
      <c r="D87" s="112">
        <v>25.02</v>
      </c>
      <c r="E87" s="112">
        <v>13.31</v>
      </c>
      <c r="F87" s="112">
        <v>4.93</v>
      </c>
      <c r="G87" s="112">
        <v>90.06</v>
      </c>
      <c r="H87" s="112">
        <v>27.59</v>
      </c>
      <c r="I87" s="112">
        <v>6.49</v>
      </c>
      <c r="J87" s="112">
        <v>0.25</v>
      </c>
      <c r="K87" s="112">
        <v>170.88</v>
      </c>
      <c r="L87" s="112">
        <v>30.88</v>
      </c>
      <c r="M87" s="112">
        <v>31.77</v>
      </c>
      <c r="N87" s="112">
        <v>0</v>
      </c>
      <c r="O87" s="112">
        <v>0</v>
      </c>
      <c r="P87" s="112">
        <v>0.67</v>
      </c>
      <c r="Q87" s="167" t="s">
        <v>14</v>
      </c>
    </row>
    <row r="88" spans="1:17" customFormat="1">
      <c r="A88" s="80">
        <v>45415.833333333336</v>
      </c>
      <c r="B88" s="112">
        <v>11.25</v>
      </c>
      <c r="C88" s="112">
        <v>13.16</v>
      </c>
      <c r="D88" s="112">
        <v>25.04</v>
      </c>
      <c r="E88" s="112">
        <v>13.46</v>
      </c>
      <c r="F88" s="112">
        <v>5.67</v>
      </c>
      <c r="G88" s="112">
        <v>90.06</v>
      </c>
      <c r="H88" s="112">
        <v>27.59</v>
      </c>
      <c r="I88" s="112">
        <v>6.82</v>
      </c>
      <c r="J88" s="112">
        <v>0.21</v>
      </c>
      <c r="K88" s="112">
        <v>162.43</v>
      </c>
      <c r="L88" s="112">
        <v>30.75</v>
      </c>
      <c r="M88" s="112">
        <v>27.67</v>
      </c>
      <c r="N88" s="112">
        <v>0</v>
      </c>
      <c r="O88" s="112">
        <v>0</v>
      </c>
      <c r="P88" s="112">
        <v>0.7</v>
      </c>
      <c r="Q88" s="167" t="s">
        <v>14</v>
      </c>
    </row>
    <row r="89" spans="1:17" customFormat="1">
      <c r="A89" s="80">
        <v>45415.84375</v>
      </c>
      <c r="B89" s="112">
        <v>11.24</v>
      </c>
      <c r="C89" s="112">
        <v>13.17</v>
      </c>
      <c r="D89" s="112">
        <v>25.04</v>
      </c>
      <c r="E89" s="112">
        <v>14.12</v>
      </c>
      <c r="F89" s="112">
        <v>4.25</v>
      </c>
      <c r="G89" s="112">
        <v>105.44</v>
      </c>
      <c r="H89" s="112">
        <v>28</v>
      </c>
      <c r="I89" s="112">
        <v>7.24</v>
      </c>
      <c r="J89" s="112">
        <v>0.22</v>
      </c>
      <c r="K89" s="112">
        <v>165.52</v>
      </c>
      <c r="L89" s="112">
        <v>30.42</v>
      </c>
      <c r="M89" s="112">
        <v>29.42</v>
      </c>
      <c r="N89" s="112">
        <v>0</v>
      </c>
      <c r="O89" s="112">
        <v>0</v>
      </c>
      <c r="P89" s="112">
        <v>0.7</v>
      </c>
      <c r="Q89" s="167" t="s">
        <v>14</v>
      </c>
    </row>
    <row r="90" spans="1:17" customFormat="1">
      <c r="A90" s="80">
        <v>45415.854166666664</v>
      </c>
      <c r="B90" s="112">
        <v>11.24</v>
      </c>
      <c r="C90" s="112">
        <v>13.14</v>
      </c>
      <c r="D90" s="112">
        <v>25.02</v>
      </c>
      <c r="E90" s="112">
        <v>12.72</v>
      </c>
      <c r="F90" s="112">
        <v>2.4</v>
      </c>
      <c r="G90" s="112">
        <v>109.55</v>
      </c>
      <c r="H90" s="112">
        <v>28</v>
      </c>
      <c r="I90" s="112">
        <v>8.01</v>
      </c>
      <c r="J90" s="112">
        <v>0.22</v>
      </c>
      <c r="K90" s="112">
        <v>175.57</v>
      </c>
      <c r="L90" s="112">
        <v>29.97</v>
      </c>
      <c r="M90" s="112">
        <v>36.020000000000003</v>
      </c>
      <c r="N90" s="112">
        <v>0</v>
      </c>
      <c r="O90" s="112">
        <v>0</v>
      </c>
      <c r="P90" s="112">
        <v>0.71</v>
      </c>
      <c r="Q90" s="167" t="s">
        <v>14</v>
      </c>
    </row>
    <row r="91" spans="1:17" customFormat="1">
      <c r="A91" s="80">
        <v>45415.864583333336</v>
      </c>
      <c r="B91" s="112">
        <v>11.27</v>
      </c>
      <c r="C91" s="112">
        <v>13.22</v>
      </c>
      <c r="D91" s="112">
        <v>25.09</v>
      </c>
      <c r="E91" s="112">
        <v>12.81</v>
      </c>
      <c r="F91" s="112">
        <v>1.27</v>
      </c>
      <c r="G91" s="112">
        <v>109.55</v>
      </c>
      <c r="H91" s="112">
        <v>28</v>
      </c>
      <c r="I91" s="112">
        <v>8.0299999999999994</v>
      </c>
      <c r="J91" s="112">
        <v>0.21</v>
      </c>
      <c r="K91" s="112">
        <v>198.68</v>
      </c>
      <c r="L91" s="112">
        <v>29.4</v>
      </c>
      <c r="M91" s="112">
        <v>35.68</v>
      </c>
      <c r="N91" s="112">
        <v>0</v>
      </c>
      <c r="O91" s="112">
        <v>0</v>
      </c>
      <c r="P91" s="112">
        <v>0.73</v>
      </c>
      <c r="Q91" s="167" t="s">
        <v>14</v>
      </c>
    </row>
    <row r="92" spans="1:17" customFormat="1">
      <c r="A92" s="80">
        <v>45415.875</v>
      </c>
      <c r="B92" s="112">
        <v>11.26</v>
      </c>
      <c r="C92" s="112">
        <v>13.17</v>
      </c>
      <c r="D92" s="112">
        <v>25.06</v>
      </c>
      <c r="E92" s="112">
        <v>12.61</v>
      </c>
      <c r="F92" s="112">
        <v>1</v>
      </c>
      <c r="G92" s="112">
        <v>109.55</v>
      </c>
      <c r="H92" s="112">
        <v>28</v>
      </c>
      <c r="I92" s="112">
        <v>7.99</v>
      </c>
      <c r="J92" s="112">
        <v>0.19</v>
      </c>
      <c r="K92" s="112">
        <v>218.64</v>
      </c>
      <c r="L92" s="112">
        <v>29.37</v>
      </c>
      <c r="M92" s="112">
        <v>31.05</v>
      </c>
      <c r="N92" s="112">
        <v>0</v>
      </c>
      <c r="O92" s="112">
        <v>0</v>
      </c>
      <c r="P92" s="112">
        <v>0.75</v>
      </c>
      <c r="Q92" s="167" t="s">
        <v>14</v>
      </c>
    </row>
    <row r="93" spans="1:17" customFormat="1">
      <c r="A93" s="80">
        <v>45415.885416666664</v>
      </c>
      <c r="B93" s="112">
        <v>11.28</v>
      </c>
      <c r="C93" s="112">
        <v>13.18</v>
      </c>
      <c r="D93" s="112">
        <v>25.08</v>
      </c>
      <c r="E93" s="112">
        <v>13.03</v>
      </c>
      <c r="F93" s="112">
        <v>1.63</v>
      </c>
      <c r="G93" s="112">
        <v>109.55</v>
      </c>
      <c r="H93" s="112">
        <v>35.380000000000003</v>
      </c>
      <c r="I93" s="112">
        <v>8.18</v>
      </c>
      <c r="J93" s="112">
        <v>0.15</v>
      </c>
      <c r="K93" s="112">
        <v>212.47</v>
      </c>
      <c r="L93" s="112">
        <v>29.3</v>
      </c>
      <c r="M93" s="112">
        <v>30.88</v>
      </c>
      <c r="N93" s="112">
        <v>0</v>
      </c>
      <c r="O93" s="112">
        <v>0</v>
      </c>
      <c r="P93" s="112">
        <v>0.75</v>
      </c>
      <c r="Q93" s="167" t="s">
        <v>14</v>
      </c>
    </row>
    <row r="94" spans="1:17" customFormat="1">
      <c r="A94" s="80">
        <v>45415.895833333336</v>
      </c>
      <c r="B94" s="112">
        <v>11.28</v>
      </c>
      <c r="C94" s="112">
        <v>13.18</v>
      </c>
      <c r="D94" s="112">
        <v>25.07</v>
      </c>
      <c r="E94" s="112">
        <v>11.99</v>
      </c>
      <c r="F94" s="112">
        <v>2.2200000000000002</v>
      </c>
      <c r="G94" s="112">
        <v>296.22000000000003</v>
      </c>
      <c r="H94" s="112">
        <v>35.380000000000003</v>
      </c>
      <c r="I94" s="112">
        <v>8.35</v>
      </c>
      <c r="J94" s="112">
        <v>0.25</v>
      </c>
      <c r="K94" s="112">
        <v>162.79</v>
      </c>
      <c r="L94" s="112">
        <v>29.41</v>
      </c>
      <c r="M94" s="112">
        <v>32.619999999999997</v>
      </c>
      <c r="N94" s="112">
        <v>0</v>
      </c>
      <c r="O94" s="112">
        <v>0</v>
      </c>
      <c r="P94" s="112">
        <v>0.75</v>
      </c>
      <c r="Q94" s="167" t="s">
        <v>14</v>
      </c>
    </row>
    <row r="95" spans="1:17" customFormat="1">
      <c r="A95" s="80">
        <v>45415.90625</v>
      </c>
      <c r="B95" s="112">
        <v>11.25</v>
      </c>
      <c r="C95" s="112">
        <v>13.13</v>
      </c>
      <c r="D95" s="112">
        <v>25.02</v>
      </c>
      <c r="E95" s="112">
        <v>11.78</v>
      </c>
      <c r="F95" s="112">
        <v>2.72</v>
      </c>
      <c r="G95" s="112">
        <v>296.22000000000003</v>
      </c>
      <c r="H95" s="112">
        <v>35.380000000000003</v>
      </c>
      <c r="I95" s="112">
        <v>8.4700000000000006</v>
      </c>
      <c r="J95" s="112">
        <v>0.26</v>
      </c>
      <c r="K95" s="112">
        <v>163.28</v>
      </c>
      <c r="L95" s="112">
        <v>28.77</v>
      </c>
      <c r="M95" s="112">
        <v>35.590000000000003</v>
      </c>
      <c r="N95" s="112">
        <v>0</v>
      </c>
      <c r="O95" s="112">
        <v>0</v>
      </c>
      <c r="P95" s="112">
        <v>0.76</v>
      </c>
      <c r="Q95" s="167" t="s">
        <v>14</v>
      </c>
    </row>
    <row r="96" spans="1:17" customFormat="1">
      <c r="A96" s="80">
        <v>45415.916666666664</v>
      </c>
      <c r="B96" s="112">
        <v>11.24</v>
      </c>
      <c r="C96" s="112">
        <v>13.16</v>
      </c>
      <c r="D96" s="112">
        <v>25.03</v>
      </c>
      <c r="E96" s="112">
        <v>12</v>
      </c>
      <c r="F96" s="112">
        <v>1.55</v>
      </c>
      <c r="G96" s="112">
        <v>296.22000000000003</v>
      </c>
      <c r="H96" s="112">
        <v>35.380000000000003</v>
      </c>
      <c r="I96" s="112">
        <v>8.5299999999999994</v>
      </c>
      <c r="J96" s="112">
        <v>0.2</v>
      </c>
      <c r="K96" s="112">
        <v>212.73</v>
      </c>
      <c r="L96" s="112">
        <v>28.46</v>
      </c>
      <c r="M96" s="112">
        <v>35.409999999999997</v>
      </c>
      <c r="N96" s="112">
        <v>0</v>
      </c>
      <c r="O96" s="112">
        <v>0</v>
      </c>
      <c r="P96" s="112">
        <v>0.78</v>
      </c>
      <c r="Q96" s="167" t="s">
        <v>14</v>
      </c>
    </row>
    <row r="97" spans="1:22" customFormat="1">
      <c r="A97" s="80">
        <v>45415.927083333336</v>
      </c>
      <c r="B97" s="112">
        <v>11.29</v>
      </c>
      <c r="C97" s="112">
        <v>13.2</v>
      </c>
      <c r="D97" s="112">
        <v>25.09</v>
      </c>
      <c r="E97" s="112">
        <v>13.11</v>
      </c>
      <c r="F97" s="112">
        <v>1</v>
      </c>
      <c r="G97" s="112">
        <v>129.62</v>
      </c>
      <c r="H97" s="112">
        <v>36.840000000000003</v>
      </c>
      <c r="I97" s="112">
        <v>8.58</v>
      </c>
      <c r="J97" s="112">
        <v>0.31</v>
      </c>
      <c r="K97" s="112">
        <v>205.22</v>
      </c>
      <c r="L97" s="112">
        <v>28.89</v>
      </c>
      <c r="M97" s="112">
        <v>32.83</v>
      </c>
      <c r="N97" s="112">
        <v>0</v>
      </c>
      <c r="O97" s="112">
        <v>0</v>
      </c>
      <c r="P97" s="112">
        <v>0.84</v>
      </c>
      <c r="Q97" s="167" t="s">
        <v>14</v>
      </c>
    </row>
    <row r="98" spans="1:22" customFormat="1">
      <c r="A98" s="80">
        <v>45415.9375</v>
      </c>
      <c r="B98" s="112">
        <v>11.25</v>
      </c>
      <c r="C98" s="112">
        <v>13.14</v>
      </c>
      <c r="D98" s="112">
        <v>25.03</v>
      </c>
      <c r="E98" s="112">
        <v>11.68</v>
      </c>
      <c r="F98" s="112">
        <v>1</v>
      </c>
      <c r="G98" s="112">
        <v>129.62</v>
      </c>
      <c r="H98" s="112">
        <v>36.840000000000003</v>
      </c>
      <c r="I98" s="112">
        <v>8.7899999999999991</v>
      </c>
      <c r="J98" s="112">
        <v>0.24</v>
      </c>
      <c r="K98" s="112">
        <v>175.1</v>
      </c>
      <c r="L98" s="112">
        <v>28.32</v>
      </c>
      <c r="M98" s="112">
        <v>37.92</v>
      </c>
      <c r="N98" s="112">
        <v>0</v>
      </c>
      <c r="O98" s="112">
        <v>0</v>
      </c>
      <c r="P98" s="112">
        <v>0.83</v>
      </c>
      <c r="Q98" s="167" t="s">
        <v>14</v>
      </c>
    </row>
    <row r="99" spans="1:22" customFormat="1">
      <c r="A99" s="80">
        <v>45415.947916666664</v>
      </c>
      <c r="B99" s="112">
        <v>11.23</v>
      </c>
      <c r="C99" s="112">
        <v>13.11</v>
      </c>
      <c r="D99" s="112">
        <v>25</v>
      </c>
      <c r="E99" s="112">
        <v>11.69</v>
      </c>
      <c r="F99" s="112">
        <v>1</v>
      </c>
      <c r="G99" s="112">
        <v>129.62</v>
      </c>
      <c r="H99" s="112">
        <v>36.840000000000003</v>
      </c>
      <c r="I99" s="112">
        <v>9.18</v>
      </c>
      <c r="J99" s="112">
        <v>0.28000000000000003</v>
      </c>
      <c r="K99" s="112">
        <v>167.94</v>
      </c>
      <c r="L99" s="112">
        <v>27.87</v>
      </c>
      <c r="M99" s="112">
        <v>40.83</v>
      </c>
      <c r="N99" s="112">
        <v>0</v>
      </c>
      <c r="O99" s="112">
        <v>0</v>
      </c>
      <c r="P99" s="112">
        <v>0.87</v>
      </c>
      <c r="Q99" s="167" t="s">
        <v>14</v>
      </c>
    </row>
    <row r="100" spans="1:22" customFormat="1">
      <c r="A100" s="80">
        <v>45415.958333333336</v>
      </c>
      <c r="B100" s="112">
        <v>11.25</v>
      </c>
      <c r="C100" s="112">
        <v>13.13</v>
      </c>
      <c r="D100" s="112">
        <v>25.02</v>
      </c>
      <c r="E100" s="112">
        <v>12.71</v>
      </c>
      <c r="F100" s="112">
        <v>1.07</v>
      </c>
      <c r="G100" s="112">
        <v>129.62</v>
      </c>
      <c r="H100" s="112">
        <v>36.840000000000003</v>
      </c>
      <c r="I100" s="112">
        <v>9.31</v>
      </c>
      <c r="J100" s="112">
        <v>0.28000000000000003</v>
      </c>
      <c r="K100" s="112">
        <v>160.04</v>
      </c>
      <c r="L100" s="112">
        <v>27.71</v>
      </c>
      <c r="M100" s="112">
        <v>40.14</v>
      </c>
      <c r="N100" s="112">
        <v>0</v>
      </c>
      <c r="O100" s="112">
        <v>0</v>
      </c>
      <c r="P100" s="112">
        <v>0.95</v>
      </c>
      <c r="Q100" s="167" t="s">
        <v>14</v>
      </c>
    </row>
    <row r="101" spans="1:22" customFormat="1">
      <c r="A101" s="80">
        <v>45415.96875</v>
      </c>
      <c r="B101" s="112">
        <v>11.33</v>
      </c>
      <c r="C101" s="112">
        <v>13.21</v>
      </c>
      <c r="D101" s="112">
        <v>25.13</v>
      </c>
      <c r="E101" s="112">
        <v>12.21</v>
      </c>
      <c r="F101" s="112">
        <v>1.1100000000000001</v>
      </c>
      <c r="G101" s="112">
        <v>105.7</v>
      </c>
      <c r="H101" s="112">
        <v>36.450000000000003</v>
      </c>
      <c r="I101" s="112">
        <v>9.52</v>
      </c>
      <c r="J101" s="112">
        <v>0.32</v>
      </c>
      <c r="K101" s="112">
        <v>171.03</v>
      </c>
      <c r="L101" s="112">
        <v>26.82</v>
      </c>
      <c r="M101" s="112">
        <v>44.15</v>
      </c>
      <c r="N101" s="112">
        <v>0</v>
      </c>
      <c r="O101" s="112">
        <v>0</v>
      </c>
      <c r="P101" s="112">
        <v>0.94</v>
      </c>
      <c r="Q101" s="167" t="s">
        <v>14</v>
      </c>
    </row>
    <row r="102" spans="1:22" customFormat="1">
      <c r="A102" s="80">
        <v>45415.979166666664</v>
      </c>
      <c r="B102" s="112">
        <v>11.34</v>
      </c>
      <c r="C102" s="112">
        <v>13.24</v>
      </c>
      <c r="D102" s="112">
        <v>25.16</v>
      </c>
      <c r="E102" s="112">
        <v>12.54</v>
      </c>
      <c r="F102" s="112">
        <v>1.28</v>
      </c>
      <c r="G102" s="112">
        <v>99.3</v>
      </c>
      <c r="H102" s="112">
        <v>36.450000000000003</v>
      </c>
      <c r="I102" s="112">
        <v>10.16</v>
      </c>
      <c r="J102" s="112">
        <v>0.13</v>
      </c>
      <c r="K102" s="112">
        <v>154.69</v>
      </c>
      <c r="L102" s="112">
        <v>26.66</v>
      </c>
      <c r="M102" s="112">
        <v>40.07</v>
      </c>
      <c r="N102" s="112">
        <v>0</v>
      </c>
      <c r="O102" s="112">
        <v>0</v>
      </c>
      <c r="P102" s="112">
        <v>0.96</v>
      </c>
      <c r="Q102" s="167" t="s">
        <v>14</v>
      </c>
    </row>
    <row r="103" spans="1:22" customFormat="1">
      <c r="A103" s="80">
        <v>45415.989583333336</v>
      </c>
      <c r="B103" s="112">
        <v>11.31</v>
      </c>
      <c r="C103" s="112">
        <v>13.18</v>
      </c>
      <c r="D103" s="112">
        <v>25.1</v>
      </c>
      <c r="E103" s="112">
        <v>12.84</v>
      </c>
      <c r="F103" s="112">
        <v>2.13</v>
      </c>
      <c r="G103" s="112">
        <v>99.3</v>
      </c>
      <c r="H103" s="112">
        <v>36.450000000000003</v>
      </c>
      <c r="I103" s="112">
        <v>9.9499999999999993</v>
      </c>
      <c r="J103" s="112">
        <v>0.24</v>
      </c>
      <c r="K103" s="112">
        <v>162.77000000000001</v>
      </c>
      <c r="L103" s="112">
        <v>26.78</v>
      </c>
      <c r="M103" s="112">
        <v>39.590000000000003</v>
      </c>
      <c r="N103" s="112">
        <v>0</v>
      </c>
      <c r="O103" s="112">
        <v>0</v>
      </c>
      <c r="P103" s="112">
        <v>0.95</v>
      </c>
      <c r="Q103" s="167" t="s">
        <v>14</v>
      </c>
    </row>
    <row r="104" spans="1:22" customFormat="1">
      <c r="A104" s="80">
        <v>45416</v>
      </c>
      <c r="B104" s="112">
        <v>11.37</v>
      </c>
      <c r="C104" s="112">
        <v>13.26</v>
      </c>
      <c r="D104" s="112">
        <v>25.19</v>
      </c>
      <c r="E104" s="112">
        <v>13.04</v>
      </c>
      <c r="F104" s="112">
        <v>1.97</v>
      </c>
      <c r="G104" s="112">
        <v>99.3</v>
      </c>
      <c r="H104" s="112">
        <v>36.450000000000003</v>
      </c>
      <c r="I104" s="112">
        <v>10.38</v>
      </c>
      <c r="J104" s="112">
        <v>0.21</v>
      </c>
      <c r="K104" s="112">
        <v>154.08000000000001</v>
      </c>
      <c r="L104" s="112">
        <v>26.54</v>
      </c>
      <c r="M104" s="112">
        <v>42.03</v>
      </c>
      <c r="N104" s="112">
        <v>0</v>
      </c>
      <c r="O104" s="112">
        <v>0</v>
      </c>
      <c r="P104" s="112">
        <v>0.96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11.15</v>
      </c>
      <c r="C106" s="183">
        <f>MIN(C9:C104)</f>
        <v>13.08</v>
      </c>
      <c r="D106" s="183">
        <f t="shared" ref="D106:Q106" si="0">MIN(D9:D104)</f>
        <v>25</v>
      </c>
      <c r="E106" s="183">
        <f t="shared" si="0"/>
        <v>11.21</v>
      </c>
      <c r="F106" s="183">
        <f t="shared" si="0"/>
        <v>1</v>
      </c>
      <c r="G106" s="183">
        <f t="shared" si="0"/>
        <v>75.34</v>
      </c>
      <c r="H106" s="183">
        <f t="shared" si="0"/>
        <v>22.72</v>
      </c>
      <c r="I106" s="183">
        <f t="shared" si="0"/>
        <v>4.58</v>
      </c>
      <c r="J106" s="183">
        <f t="shared" si="0"/>
        <v>0.13</v>
      </c>
      <c r="K106" s="183">
        <f t="shared" si="0"/>
        <v>3.34</v>
      </c>
      <c r="L106" s="183">
        <f t="shared" si="0"/>
        <v>22.07</v>
      </c>
      <c r="M106" s="183">
        <f t="shared" si="0"/>
        <v>7.07</v>
      </c>
      <c r="N106" s="183">
        <f t="shared" si="0"/>
        <v>0</v>
      </c>
      <c r="O106" s="183">
        <f t="shared" si="0"/>
        <v>0</v>
      </c>
      <c r="P106" s="183">
        <f t="shared" si="0"/>
        <v>0.46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11.4</v>
      </c>
      <c r="C107" s="184">
        <f t="shared" ref="C107:Q107" si="1">MAX(C9:C104)</f>
        <v>13.43</v>
      </c>
      <c r="D107" s="184">
        <f t="shared" si="1"/>
        <v>25.25</v>
      </c>
      <c r="E107" s="184">
        <f t="shared" si="1"/>
        <v>63.06</v>
      </c>
      <c r="F107" s="184">
        <f t="shared" si="1"/>
        <v>68.77</v>
      </c>
      <c r="G107" s="184">
        <f t="shared" si="1"/>
        <v>296.22000000000003</v>
      </c>
      <c r="H107" s="184">
        <f t="shared" si="1"/>
        <v>36.840000000000003</v>
      </c>
      <c r="I107" s="184">
        <f t="shared" si="1"/>
        <v>10.38</v>
      </c>
      <c r="J107" s="184">
        <f t="shared" si="1"/>
        <v>1.28</v>
      </c>
      <c r="K107" s="184">
        <f t="shared" si="1"/>
        <v>354.52</v>
      </c>
      <c r="L107" s="184">
        <f t="shared" si="1"/>
        <v>41</v>
      </c>
      <c r="M107" s="184">
        <f t="shared" si="1"/>
        <v>53.46</v>
      </c>
      <c r="N107" s="184">
        <f t="shared" si="1"/>
        <v>849.5</v>
      </c>
      <c r="O107" s="184">
        <f t="shared" si="1"/>
        <v>0</v>
      </c>
      <c r="P107" s="184">
        <f t="shared" si="1"/>
        <v>0.96</v>
      </c>
      <c r="Q107" s="184">
        <f t="shared" si="1"/>
        <v>0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11.253437499999997</v>
      </c>
      <c r="C108" s="183">
        <f t="shared" ref="C108:P108" si="2">AVERAGE(C9:C104)</f>
        <v>13.178958333333343</v>
      </c>
      <c r="D108" s="183">
        <f t="shared" si="2"/>
        <v>25.053854166666667</v>
      </c>
      <c r="E108" s="183">
        <f t="shared" si="2"/>
        <v>19.158541666666665</v>
      </c>
      <c r="F108" s="183">
        <f t="shared" si="2"/>
        <v>14.856874999999995</v>
      </c>
      <c r="G108" s="183">
        <f t="shared" si="2"/>
        <v>96.126041666666723</v>
      </c>
      <c r="H108" s="183">
        <f t="shared" si="2"/>
        <v>29.125833333333333</v>
      </c>
      <c r="I108" s="183">
        <f t="shared" si="2"/>
        <v>6.8689583333333326</v>
      </c>
      <c r="J108" s="183">
        <f t="shared" si="2"/>
        <v>0.39906250000000015</v>
      </c>
      <c r="K108" s="183">
        <f t="shared" si="2"/>
        <v>152.46343750000003</v>
      </c>
      <c r="L108" s="183">
        <f t="shared" si="2"/>
        <v>32.085208333333334</v>
      </c>
      <c r="M108" s="183">
        <f t="shared" si="2"/>
        <v>24.577500000000001</v>
      </c>
      <c r="N108" s="183">
        <f t="shared" si="2"/>
        <v>194.66145833333334</v>
      </c>
      <c r="O108" s="183">
        <f t="shared" si="2"/>
        <v>0</v>
      </c>
      <c r="P108" s="183">
        <f t="shared" si="2"/>
        <v>0.65552083333333333</v>
      </c>
      <c r="Q108" s="167" t="s">
        <v>14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6.4918217782067911E-2</v>
      </c>
      <c r="C109" s="183">
        <f t="shared" ref="C109:P109" si="3">STDEV(C9:C104)</f>
        <v>5.7096025609063905E-2</v>
      </c>
      <c r="D109" s="183">
        <f t="shared" si="3"/>
        <v>6.2447785206466488E-2</v>
      </c>
      <c r="E109" s="183">
        <f t="shared" si="3"/>
        <v>10.937517083695937</v>
      </c>
      <c r="F109" s="183">
        <f t="shared" si="3"/>
        <v>18.687870330778736</v>
      </c>
      <c r="G109" s="183">
        <f t="shared" si="3"/>
        <v>37.952911086715496</v>
      </c>
      <c r="H109" s="183">
        <f t="shared" si="3"/>
        <v>3.6112338368708476</v>
      </c>
      <c r="I109" s="183">
        <f t="shared" si="3"/>
        <v>1.3153150346403322</v>
      </c>
      <c r="J109" s="183">
        <f t="shared" si="3"/>
        <v>0.24079289255553812</v>
      </c>
      <c r="K109" s="183">
        <f t="shared" si="3"/>
        <v>90.541286654828511</v>
      </c>
      <c r="L109" s="183">
        <f t="shared" si="3"/>
        <v>6.1615362027008329</v>
      </c>
      <c r="M109" s="183">
        <f t="shared" si="3"/>
        <v>14.62668102799597</v>
      </c>
      <c r="N109" s="183">
        <f t="shared" si="3"/>
        <v>286.50670254667108</v>
      </c>
      <c r="O109" s="183">
        <f t="shared" si="3"/>
        <v>0</v>
      </c>
      <c r="P109" s="183">
        <f t="shared" si="3"/>
        <v>0.10768247466917348</v>
      </c>
      <c r="Q109" s="167" t="s">
        <v>14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0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3" activePane="bottomRight" state="frozen"/>
      <selection activeCell="A9" sqref="A9"/>
      <selection pane="topRight" activeCell="A9" sqref="A9"/>
      <selection pane="bottomLeft" activeCell="A9" sqref="A9"/>
      <selection pane="bottomRight" activeCell="Q64" sqref="Q64:Q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45416.010416666664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45416.010416666664</v>
      </c>
      <c r="B9" s="112">
        <v>11.36</v>
      </c>
      <c r="C9" s="112">
        <v>13.3</v>
      </c>
      <c r="D9" s="112">
        <v>25.2</v>
      </c>
      <c r="E9" s="112">
        <v>13.41</v>
      </c>
      <c r="F9" s="112">
        <v>1.0900000000000001</v>
      </c>
      <c r="G9" s="112">
        <v>109.52</v>
      </c>
      <c r="H9" s="112">
        <v>33.72</v>
      </c>
      <c r="I9" s="112">
        <v>10.39</v>
      </c>
      <c r="J9" s="112">
        <v>0.25</v>
      </c>
      <c r="K9" s="112">
        <v>165.81</v>
      </c>
      <c r="L9" s="112">
        <v>26.32</v>
      </c>
      <c r="M9" s="112">
        <v>45.88</v>
      </c>
      <c r="N9" s="112">
        <v>0</v>
      </c>
      <c r="O9" s="112">
        <v>0</v>
      </c>
      <c r="P9" s="112">
        <v>1</v>
      </c>
      <c r="Q9" s="167" t="s">
        <v>14</v>
      </c>
    </row>
    <row r="10" spans="1:21" customFormat="1">
      <c r="A10" s="80">
        <v>45416.020833333336</v>
      </c>
      <c r="B10" s="112">
        <v>11.3</v>
      </c>
      <c r="C10" s="112">
        <v>13.19</v>
      </c>
      <c r="D10" s="112">
        <v>25.1</v>
      </c>
      <c r="E10" s="112">
        <v>13.54</v>
      </c>
      <c r="F10" s="112">
        <v>1</v>
      </c>
      <c r="G10" s="112">
        <v>112.26</v>
      </c>
      <c r="H10" s="112">
        <v>33.72</v>
      </c>
      <c r="I10" s="112">
        <v>10.62</v>
      </c>
      <c r="J10" s="112">
        <v>0.25</v>
      </c>
      <c r="K10" s="112">
        <v>113.45</v>
      </c>
      <c r="L10" s="112">
        <v>26.18</v>
      </c>
      <c r="M10" s="112">
        <v>43.56</v>
      </c>
      <c r="N10" s="112">
        <v>0</v>
      </c>
      <c r="O10" s="112">
        <v>0</v>
      </c>
      <c r="P10" s="112">
        <v>1.01</v>
      </c>
      <c r="Q10" s="167" t="s">
        <v>14</v>
      </c>
    </row>
    <row r="11" spans="1:21" customFormat="1">
      <c r="A11" s="80">
        <v>45416.03125</v>
      </c>
      <c r="B11" s="112">
        <v>11.3</v>
      </c>
      <c r="C11" s="112">
        <v>13.15</v>
      </c>
      <c r="D11" s="112">
        <v>25.08</v>
      </c>
      <c r="E11" s="112">
        <v>12.24</v>
      </c>
      <c r="F11" s="112">
        <v>1</v>
      </c>
      <c r="G11" s="112">
        <v>112.26</v>
      </c>
      <c r="H11" s="112">
        <v>33.72</v>
      </c>
      <c r="I11" s="112">
        <v>10.74</v>
      </c>
      <c r="J11" s="112">
        <v>0.25</v>
      </c>
      <c r="K11" s="112">
        <v>177.4</v>
      </c>
      <c r="L11" s="112">
        <v>25.86</v>
      </c>
      <c r="M11" s="112">
        <v>48.32</v>
      </c>
      <c r="N11" s="112">
        <v>0</v>
      </c>
      <c r="O11" s="112">
        <v>0</v>
      </c>
      <c r="P11" s="112">
        <v>0.99</v>
      </c>
      <c r="Q11" s="167" t="s">
        <v>14</v>
      </c>
    </row>
    <row r="12" spans="1:21" customFormat="1">
      <c r="A12" s="80">
        <v>45416.041666666664</v>
      </c>
      <c r="B12" s="112">
        <v>11.28</v>
      </c>
      <c r="C12" s="112">
        <v>13.11</v>
      </c>
      <c r="D12" s="112">
        <v>25.04</v>
      </c>
      <c r="E12" s="112">
        <v>13.45</v>
      </c>
      <c r="F12" s="112">
        <v>1</v>
      </c>
      <c r="G12" s="112">
        <v>112.26</v>
      </c>
      <c r="H12" s="112">
        <v>33.72</v>
      </c>
      <c r="I12" s="112">
        <v>10.96</v>
      </c>
      <c r="J12" s="112">
        <v>0.19</v>
      </c>
      <c r="K12" s="112">
        <v>108.4</v>
      </c>
      <c r="L12" s="112">
        <v>25.74</v>
      </c>
      <c r="M12" s="112">
        <v>44.47</v>
      </c>
      <c r="N12" s="112">
        <v>0</v>
      </c>
      <c r="O12" s="112">
        <v>0</v>
      </c>
      <c r="P12" s="112">
        <v>1.02</v>
      </c>
      <c r="Q12" s="167" t="s">
        <v>14</v>
      </c>
    </row>
    <row r="13" spans="1:21" customFormat="1">
      <c r="A13" s="80">
        <v>45416.052083333336</v>
      </c>
      <c r="B13" s="112">
        <v>11.28</v>
      </c>
      <c r="C13" s="112">
        <v>13.13</v>
      </c>
      <c r="D13" s="112">
        <v>25.05</v>
      </c>
      <c r="E13" s="112">
        <v>13.95</v>
      </c>
      <c r="F13" s="112">
        <v>1</v>
      </c>
      <c r="G13" s="112">
        <v>118.47</v>
      </c>
      <c r="H13" s="112">
        <v>37.67</v>
      </c>
      <c r="I13" s="112">
        <v>10.78</v>
      </c>
      <c r="J13" s="112">
        <v>0.24</v>
      </c>
      <c r="K13" s="112">
        <v>168.77</v>
      </c>
      <c r="L13" s="112">
        <v>25.81</v>
      </c>
      <c r="M13" s="112">
        <v>46.61</v>
      </c>
      <c r="N13" s="112">
        <v>0</v>
      </c>
      <c r="O13" s="112">
        <v>0</v>
      </c>
      <c r="P13" s="112">
        <v>1.04</v>
      </c>
      <c r="Q13" s="167" t="s">
        <v>14</v>
      </c>
    </row>
    <row r="14" spans="1:21" customFormat="1">
      <c r="A14" s="80">
        <v>45416.0625</v>
      </c>
      <c r="B14" s="112">
        <v>11.28</v>
      </c>
      <c r="C14" s="112">
        <v>13.1</v>
      </c>
      <c r="D14" s="112">
        <v>25.03</v>
      </c>
      <c r="E14" s="112">
        <v>12.25</v>
      </c>
      <c r="F14" s="112">
        <v>1</v>
      </c>
      <c r="G14" s="112">
        <v>120.13</v>
      </c>
      <c r="H14" s="112">
        <v>37.67</v>
      </c>
      <c r="I14" s="112">
        <v>11.23</v>
      </c>
      <c r="J14" s="112">
        <v>0.23</v>
      </c>
      <c r="K14" s="112">
        <v>186.75</v>
      </c>
      <c r="L14" s="112">
        <v>25.18</v>
      </c>
      <c r="M14" s="112">
        <v>49.69</v>
      </c>
      <c r="N14" s="112">
        <v>0</v>
      </c>
      <c r="O14" s="112">
        <v>0</v>
      </c>
      <c r="P14" s="112">
        <v>1.02</v>
      </c>
      <c r="Q14" s="167" t="s">
        <v>14</v>
      </c>
    </row>
    <row r="15" spans="1:21" customFormat="1">
      <c r="A15" s="80">
        <v>45416.072916666664</v>
      </c>
      <c r="B15" s="112">
        <v>11.42</v>
      </c>
      <c r="C15" s="112">
        <v>13.29</v>
      </c>
      <c r="D15" s="112">
        <v>25.25</v>
      </c>
      <c r="E15" s="112">
        <v>12.3</v>
      </c>
      <c r="F15" s="112">
        <v>1</v>
      </c>
      <c r="G15" s="112">
        <v>120.13</v>
      </c>
      <c r="H15" s="112">
        <v>37.67</v>
      </c>
      <c r="I15" s="112">
        <v>11.13</v>
      </c>
      <c r="J15" s="112">
        <v>0.18</v>
      </c>
      <c r="K15" s="112">
        <v>218.23</v>
      </c>
      <c r="L15" s="112">
        <v>24.42</v>
      </c>
      <c r="M15" s="112">
        <v>51.61</v>
      </c>
      <c r="N15" s="112">
        <v>0</v>
      </c>
      <c r="O15" s="112">
        <v>0</v>
      </c>
      <c r="P15" s="112">
        <v>1.02</v>
      </c>
      <c r="Q15" s="167" t="s">
        <v>14</v>
      </c>
    </row>
    <row r="16" spans="1:21" customFormat="1">
      <c r="A16" s="80">
        <v>45416.083333333336</v>
      </c>
      <c r="B16" s="112">
        <v>11.29</v>
      </c>
      <c r="C16" s="112">
        <v>13.17</v>
      </c>
      <c r="D16" s="112">
        <v>25.08</v>
      </c>
      <c r="E16" s="112">
        <v>11.64</v>
      </c>
      <c r="F16" s="112">
        <v>1</v>
      </c>
      <c r="G16" s="112">
        <v>120.13</v>
      </c>
      <c r="H16" s="112">
        <v>37.67</v>
      </c>
      <c r="I16" s="112">
        <v>11.15</v>
      </c>
      <c r="J16" s="112">
        <v>0.18</v>
      </c>
      <c r="K16" s="112">
        <v>185.92</v>
      </c>
      <c r="L16" s="112">
        <v>24.58</v>
      </c>
      <c r="M16" s="112">
        <v>49.91</v>
      </c>
      <c r="N16" s="112">
        <v>0</v>
      </c>
      <c r="O16" s="112">
        <v>0</v>
      </c>
      <c r="P16" s="112">
        <v>1.03</v>
      </c>
      <c r="Q16" s="167" t="s">
        <v>14</v>
      </c>
    </row>
    <row r="17" spans="1:17" customFormat="1">
      <c r="A17" s="80">
        <v>45416.09375</v>
      </c>
      <c r="B17" s="112">
        <v>11.33</v>
      </c>
      <c r="C17" s="112">
        <v>13.23</v>
      </c>
      <c r="D17" s="112">
        <v>25.15</v>
      </c>
      <c r="E17" s="112">
        <v>12.8</v>
      </c>
      <c r="F17" s="112">
        <v>1</v>
      </c>
      <c r="G17" s="112">
        <v>96.43</v>
      </c>
      <c r="H17" s="112">
        <v>37.89</v>
      </c>
      <c r="I17" s="112">
        <v>11.14</v>
      </c>
      <c r="J17" s="112">
        <v>0.23</v>
      </c>
      <c r="K17" s="112">
        <v>185.67</v>
      </c>
      <c r="L17" s="112">
        <v>23.84</v>
      </c>
      <c r="M17" s="112">
        <v>55.4</v>
      </c>
      <c r="N17" s="112">
        <v>0</v>
      </c>
      <c r="O17" s="112">
        <v>0</v>
      </c>
      <c r="P17" s="112">
        <v>1.04</v>
      </c>
      <c r="Q17" s="167" t="s">
        <v>14</v>
      </c>
    </row>
    <row r="18" spans="1:17" customFormat="1">
      <c r="A18" s="80">
        <v>45416.104166666664</v>
      </c>
      <c r="B18" s="112">
        <v>11.3</v>
      </c>
      <c r="C18" s="112">
        <v>13.13</v>
      </c>
      <c r="D18" s="112">
        <v>25.07</v>
      </c>
      <c r="E18" s="112">
        <v>14.16</v>
      </c>
      <c r="F18" s="112">
        <v>1</v>
      </c>
      <c r="G18" s="112">
        <v>90.09</v>
      </c>
      <c r="H18" s="112">
        <v>37.89</v>
      </c>
      <c r="I18" s="112">
        <v>11.2</v>
      </c>
      <c r="J18" s="112">
        <v>0.22</v>
      </c>
      <c r="K18" s="112">
        <v>163.93</v>
      </c>
      <c r="L18" s="112">
        <v>23.85</v>
      </c>
      <c r="M18" s="112">
        <v>52.93</v>
      </c>
      <c r="N18" s="112">
        <v>0</v>
      </c>
      <c r="O18" s="112">
        <v>0</v>
      </c>
      <c r="P18" s="112">
        <v>1.03</v>
      </c>
      <c r="Q18" s="112">
        <v>4.9800000000000004</v>
      </c>
    </row>
    <row r="19" spans="1:17" customFormat="1">
      <c r="A19" s="80">
        <v>45416.114583333336</v>
      </c>
      <c r="B19" s="112">
        <v>11.27</v>
      </c>
      <c r="C19" s="112">
        <v>13.08</v>
      </c>
      <c r="D19" s="112">
        <v>25.02</v>
      </c>
      <c r="E19" s="112">
        <v>15.63</v>
      </c>
      <c r="F19" s="112">
        <v>1</v>
      </c>
      <c r="G19" s="112">
        <v>90.09</v>
      </c>
      <c r="H19" s="112">
        <v>37.89</v>
      </c>
      <c r="I19" s="112">
        <v>11.28</v>
      </c>
      <c r="J19" s="112">
        <v>0.12</v>
      </c>
      <c r="K19" s="112">
        <v>157.46</v>
      </c>
      <c r="L19" s="112">
        <v>24.03</v>
      </c>
      <c r="M19" s="112">
        <v>52.48</v>
      </c>
      <c r="N19" s="112">
        <v>0</v>
      </c>
      <c r="O19" s="112">
        <v>0</v>
      </c>
      <c r="P19" s="112">
        <v>1.05</v>
      </c>
      <c r="Q19" s="167" t="s">
        <v>14</v>
      </c>
    </row>
    <row r="20" spans="1:17" customFormat="1">
      <c r="A20" s="80">
        <v>45416.125</v>
      </c>
      <c r="B20" s="112">
        <v>11.29</v>
      </c>
      <c r="C20" s="112">
        <v>13.08</v>
      </c>
      <c r="D20" s="112">
        <v>25.03</v>
      </c>
      <c r="E20" s="112">
        <v>15.35</v>
      </c>
      <c r="F20" s="112">
        <v>1</v>
      </c>
      <c r="G20" s="112">
        <v>90.09</v>
      </c>
      <c r="H20" s="112">
        <v>37.89</v>
      </c>
      <c r="I20" s="112">
        <v>11.34</v>
      </c>
      <c r="J20" s="112">
        <v>0.28000000000000003</v>
      </c>
      <c r="K20" s="112">
        <v>181.47</v>
      </c>
      <c r="L20" s="112">
        <v>23.91</v>
      </c>
      <c r="M20" s="112">
        <v>56.06</v>
      </c>
      <c r="N20" s="112">
        <v>0</v>
      </c>
      <c r="O20" s="112">
        <v>0</v>
      </c>
      <c r="P20" s="112">
        <v>1.05</v>
      </c>
      <c r="Q20" s="167" t="s">
        <v>14</v>
      </c>
    </row>
    <row r="21" spans="1:17" customFormat="1">
      <c r="A21" s="80">
        <v>45416.135416666664</v>
      </c>
      <c r="B21" s="112">
        <v>11.32</v>
      </c>
      <c r="C21" s="112">
        <v>13.05</v>
      </c>
      <c r="D21" s="112">
        <v>25.04</v>
      </c>
      <c r="E21" s="112">
        <v>15.01</v>
      </c>
      <c r="F21" s="112">
        <v>1</v>
      </c>
      <c r="G21" s="112">
        <v>88.02</v>
      </c>
      <c r="H21" s="112">
        <v>34.4</v>
      </c>
      <c r="I21" s="112">
        <v>11.38</v>
      </c>
      <c r="J21" s="112">
        <v>0.24</v>
      </c>
      <c r="K21" s="112">
        <v>72.569999999999993</v>
      </c>
      <c r="L21" s="112">
        <v>23.3</v>
      </c>
      <c r="M21" s="112">
        <v>54.43</v>
      </c>
      <c r="N21" s="112">
        <v>0</v>
      </c>
      <c r="O21" s="112">
        <v>0</v>
      </c>
      <c r="P21" s="112">
        <v>1.06</v>
      </c>
      <c r="Q21" s="167" t="s">
        <v>14</v>
      </c>
    </row>
    <row r="22" spans="1:17" customFormat="1">
      <c r="A22" s="80">
        <v>45416.145833333336</v>
      </c>
      <c r="B22" s="112">
        <v>11.39</v>
      </c>
      <c r="C22" s="112">
        <v>13.18</v>
      </c>
      <c r="D22" s="112">
        <v>25.16</v>
      </c>
      <c r="E22" s="112">
        <v>16.61</v>
      </c>
      <c r="F22" s="112">
        <v>1</v>
      </c>
      <c r="G22" s="112">
        <v>87.47</v>
      </c>
      <c r="H22" s="112">
        <v>34.4</v>
      </c>
      <c r="I22" s="112">
        <v>11.49</v>
      </c>
      <c r="J22" s="112">
        <v>0.28999999999999998</v>
      </c>
      <c r="K22" s="112">
        <v>70.680000000000007</v>
      </c>
      <c r="L22" s="112">
        <v>25.19</v>
      </c>
      <c r="M22" s="112">
        <v>43.31</v>
      </c>
      <c r="N22" s="112">
        <v>0</v>
      </c>
      <c r="O22" s="112">
        <v>0</v>
      </c>
      <c r="P22" s="112">
        <v>1.07</v>
      </c>
      <c r="Q22" s="167" t="s">
        <v>14</v>
      </c>
    </row>
    <row r="23" spans="1:17" customFormat="1">
      <c r="A23" s="80">
        <v>45416.15625</v>
      </c>
      <c r="B23" s="112">
        <v>11.37</v>
      </c>
      <c r="C23" s="112">
        <v>13.24</v>
      </c>
      <c r="D23" s="112">
        <v>25.18</v>
      </c>
      <c r="E23" s="112">
        <v>16</v>
      </c>
      <c r="F23" s="112">
        <v>1</v>
      </c>
      <c r="G23" s="112">
        <v>87.47</v>
      </c>
      <c r="H23" s="112">
        <v>34.4</v>
      </c>
      <c r="I23" s="112">
        <v>11.53</v>
      </c>
      <c r="J23" s="112">
        <v>0.3</v>
      </c>
      <c r="K23" s="112">
        <v>164.55</v>
      </c>
      <c r="L23" s="112">
        <v>24.22</v>
      </c>
      <c r="M23" s="112">
        <v>52.46</v>
      </c>
      <c r="N23" s="112">
        <v>0</v>
      </c>
      <c r="O23" s="112">
        <v>0</v>
      </c>
      <c r="P23" s="112">
        <v>1.07</v>
      </c>
      <c r="Q23" s="167" t="s">
        <v>14</v>
      </c>
    </row>
    <row r="24" spans="1:17" customFormat="1">
      <c r="A24" s="80">
        <v>45416.166666666664</v>
      </c>
      <c r="B24" s="112">
        <v>11.33</v>
      </c>
      <c r="C24" s="112">
        <v>13.17</v>
      </c>
      <c r="D24" s="112">
        <v>25.11</v>
      </c>
      <c r="E24" s="112">
        <v>16.07</v>
      </c>
      <c r="F24" s="112">
        <v>1</v>
      </c>
      <c r="G24" s="112">
        <v>87.47</v>
      </c>
      <c r="H24" s="112">
        <v>34.4</v>
      </c>
      <c r="I24" s="112">
        <v>11.68</v>
      </c>
      <c r="J24" s="112">
        <v>0.22</v>
      </c>
      <c r="K24" s="112">
        <v>34.11</v>
      </c>
      <c r="L24" s="112">
        <v>24.24</v>
      </c>
      <c r="M24" s="112">
        <v>46.01</v>
      </c>
      <c r="N24" s="112">
        <v>0</v>
      </c>
      <c r="O24" s="112">
        <v>0</v>
      </c>
      <c r="P24" s="112">
        <v>1.08</v>
      </c>
      <c r="Q24" s="167" t="s">
        <v>14</v>
      </c>
    </row>
    <row r="25" spans="1:17" customFormat="1">
      <c r="A25" s="80">
        <v>45416.177083333336</v>
      </c>
      <c r="B25" s="112">
        <v>11.27</v>
      </c>
      <c r="C25" s="112">
        <v>13.1</v>
      </c>
      <c r="D25" s="112">
        <v>25.03</v>
      </c>
      <c r="E25" s="112">
        <v>17.53</v>
      </c>
      <c r="F25" s="112">
        <v>1</v>
      </c>
      <c r="G25" s="112">
        <v>124.48</v>
      </c>
      <c r="H25" s="112">
        <v>40.869999999999997</v>
      </c>
      <c r="I25" s="112">
        <v>11.7</v>
      </c>
      <c r="J25" s="112">
        <v>0.81</v>
      </c>
      <c r="K25" s="112">
        <v>57.42</v>
      </c>
      <c r="L25" s="112">
        <v>25.44</v>
      </c>
      <c r="M25" s="112">
        <v>37.24</v>
      </c>
      <c r="N25" s="112">
        <v>0</v>
      </c>
      <c r="O25" s="112">
        <v>0</v>
      </c>
      <c r="P25" s="112">
        <v>1.1000000000000001</v>
      </c>
      <c r="Q25" s="167" t="s">
        <v>14</v>
      </c>
    </row>
    <row r="26" spans="1:17" customFormat="1">
      <c r="A26" s="80">
        <v>45416.1875</v>
      </c>
      <c r="B26" s="112">
        <v>11.3</v>
      </c>
      <c r="C26" s="112">
        <v>13.08</v>
      </c>
      <c r="D26" s="112">
        <v>25.04</v>
      </c>
      <c r="E26" s="112">
        <v>17.47</v>
      </c>
      <c r="F26" s="112">
        <v>1</v>
      </c>
      <c r="G26" s="112">
        <v>134.38999999999999</v>
      </c>
      <c r="H26" s="112">
        <v>40.869999999999997</v>
      </c>
      <c r="I26" s="112">
        <v>11.82</v>
      </c>
      <c r="J26" s="112">
        <v>0.63</v>
      </c>
      <c r="K26" s="112">
        <v>42.13</v>
      </c>
      <c r="L26" s="112">
        <v>25.85</v>
      </c>
      <c r="M26" s="112">
        <v>34.29</v>
      </c>
      <c r="N26" s="112">
        <v>0</v>
      </c>
      <c r="O26" s="112">
        <v>0</v>
      </c>
      <c r="P26" s="112">
        <v>1.1000000000000001</v>
      </c>
      <c r="Q26" s="167" t="s">
        <v>14</v>
      </c>
    </row>
    <row r="27" spans="1:17" customFormat="1">
      <c r="A27" s="80">
        <v>45416.197916666664</v>
      </c>
      <c r="B27" s="112">
        <v>11.31</v>
      </c>
      <c r="C27" s="112">
        <v>13.05</v>
      </c>
      <c r="D27" s="112">
        <v>25.03</v>
      </c>
      <c r="E27" s="112">
        <v>16.309999999999999</v>
      </c>
      <c r="F27" s="112">
        <v>1</v>
      </c>
      <c r="G27" s="112">
        <v>134.38999999999999</v>
      </c>
      <c r="H27" s="112">
        <v>40.869999999999997</v>
      </c>
      <c r="I27" s="112">
        <v>11.97</v>
      </c>
      <c r="J27" s="112">
        <v>0.25</v>
      </c>
      <c r="K27" s="112">
        <v>164.88</v>
      </c>
      <c r="L27" s="112">
        <v>25.02</v>
      </c>
      <c r="M27" s="112">
        <v>41.24</v>
      </c>
      <c r="N27" s="112">
        <v>0</v>
      </c>
      <c r="O27" s="112">
        <v>0</v>
      </c>
      <c r="P27" s="112">
        <v>1.1100000000000001</v>
      </c>
      <c r="Q27" s="167" t="s">
        <v>14</v>
      </c>
    </row>
    <row r="28" spans="1:17" customFormat="1">
      <c r="A28" s="80">
        <v>45416.208333333336</v>
      </c>
      <c r="B28" s="112">
        <v>11.36</v>
      </c>
      <c r="C28" s="112">
        <v>13.14</v>
      </c>
      <c r="D28" s="112">
        <v>25.12</v>
      </c>
      <c r="E28" s="112">
        <v>16.22</v>
      </c>
      <c r="F28" s="112">
        <v>1</v>
      </c>
      <c r="G28" s="112">
        <v>134.38999999999999</v>
      </c>
      <c r="H28" s="112">
        <v>40.869999999999997</v>
      </c>
      <c r="I28" s="112">
        <v>11.98</v>
      </c>
      <c r="J28" s="112">
        <v>0.19</v>
      </c>
      <c r="K28" s="112">
        <v>118.98</v>
      </c>
      <c r="L28" s="112">
        <v>24.11</v>
      </c>
      <c r="M28" s="112">
        <v>44.42</v>
      </c>
      <c r="N28" s="112">
        <v>0</v>
      </c>
      <c r="O28" s="112">
        <v>0</v>
      </c>
      <c r="P28" s="112">
        <v>1.1100000000000001</v>
      </c>
      <c r="Q28" s="167" t="s">
        <v>14</v>
      </c>
    </row>
    <row r="29" spans="1:17" customFormat="1">
      <c r="A29" s="80">
        <v>45416.21875</v>
      </c>
      <c r="B29" s="112">
        <v>11.34</v>
      </c>
      <c r="C29" s="112">
        <v>13.16</v>
      </c>
      <c r="D29" s="112">
        <v>25.11</v>
      </c>
      <c r="E29" s="112">
        <v>16.559999999999999</v>
      </c>
      <c r="F29" s="112">
        <v>1</v>
      </c>
      <c r="G29" s="112">
        <v>148.26</v>
      </c>
      <c r="H29" s="112">
        <v>49.01</v>
      </c>
      <c r="I29" s="112">
        <v>12.02</v>
      </c>
      <c r="J29" s="112">
        <v>0.97</v>
      </c>
      <c r="K29" s="112">
        <v>61.96</v>
      </c>
      <c r="L29" s="112">
        <v>24.23</v>
      </c>
      <c r="M29" s="112">
        <v>41.78</v>
      </c>
      <c r="N29" s="112">
        <v>0</v>
      </c>
      <c r="O29" s="112">
        <v>0</v>
      </c>
      <c r="P29" s="112">
        <v>1.1200000000000001</v>
      </c>
      <c r="Q29" s="167" t="s">
        <v>14</v>
      </c>
    </row>
    <row r="30" spans="1:17" customFormat="1">
      <c r="A30" s="80">
        <v>45416.229166666664</v>
      </c>
      <c r="B30" s="112">
        <v>11.29</v>
      </c>
      <c r="C30" s="112">
        <v>13.11</v>
      </c>
      <c r="D30" s="112">
        <v>25.04</v>
      </c>
      <c r="E30" s="112">
        <v>16.21</v>
      </c>
      <c r="F30" s="112">
        <v>1</v>
      </c>
      <c r="G30" s="112">
        <v>151.97</v>
      </c>
      <c r="H30" s="112">
        <v>49.01</v>
      </c>
      <c r="I30" s="112">
        <v>12.04</v>
      </c>
      <c r="J30" s="112">
        <v>0.01</v>
      </c>
      <c r="K30" s="112">
        <v>98.96</v>
      </c>
      <c r="L30" s="112">
        <v>24.1</v>
      </c>
      <c r="M30" s="112">
        <v>42.81</v>
      </c>
      <c r="N30" s="112">
        <v>0</v>
      </c>
      <c r="O30" s="112">
        <v>0</v>
      </c>
      <c r="P30" s="112">
        <v>1.1299999999999999</v>
      </c>
      <c r="Q30" s="167" t="s">
        <v>14</v>
      </c>
    </row>
    <row r="31" spans="1:17" customFormat="1">
      <c r="A31" s="80">
        <v>45416.239583333336</v>
      </c>
      <c r="B31" s="112">
        <v>11.38</v>
      </c>
      <c r="C31" s="112">
        <v>13.24</v>
      </c>
      <c r="D31" s="112">
        <v>25.19</v>
      </c>
      <c r="E31" s="112">
        <v>15.41</v>
      </c>
      <c r="F31" s="112">
        <v>1</v>
      </c>
      <c r="G31" s="112">
        <v>151.97</v>
      </c>
      <c r="H31" s="112">
        <v>49.01</v>
      </c>
      <c r="I31" s="112">
        <v>12.15</v>
      </c>
      <c r="J31" s="112">
        <v>0.18</v>
      </c>
      <c r="K31" s="112">
        <v>120.05</v>
      </c>
      <c r="L31" s="112">
        <v>23.16</v>
      </c>
      <c r="M31" s="112">
        <v>49.38</v>
      </c>
      <c r="N31" s="112">
        <v>4.8</v>
      </c>
      <c r="O31" s="112">
        <v>0</v>
      </c>
      <c r="P31" s="112">
        <v>1.1200000000000001</v>
      </c>
      <c r="Q31" s="167" t="s">
        <v>14</v>
      </c>
    </row>
    <row r="32" spans="1:17" customFormat="1">
      <c r="A32" s="80">
        <v>45416.25</v>
      </c>
      <c r="B32" s="112">
        <v>11.31</v>
      </c>
      <c r="C32" s="112">
        <v>13.17</v>
      </c>
      <c r="D32" s="112">
        <v>25.09</v>
      </c>
      <c r="E32" s="112">
        <v>15.38</v>
      </c>
      <c r="F32" s="112">
        <v>1</v>
      </c>
      <c r="G32" s="112">
        <v>151.97</v>
      </c>
      <c r="H32" s="112">
        <v>49.01</v>
      </c>
      <c r="I32" s="112">
        <v>12.16</v>
      </c>
      <c r="J32" s="112">
        <v>0.15</v>
      </c>
      <c r="K32" s="112">
        <v>144.16999999999999</v>
      </c>
      <c r="L32" s="112">
        <v>22.78</v>
      </c>
      <c r="M32" s="112">
        <v>53.02</v>
      </c>
      <c r="N32" s="112">
        <v>16.399999999999999</v>
      </c>
      <c r="O32" s="112">
        <v>0</v>
      </c>
      <c r="P32" s="112">
        <v>1.1299999999999999</v>
      </c>
      <c r="Q32" s="167" t="s">
        <v>14</v>
      </c>
    </row>
    <row r="33" spans="1:17" customFormat="1">
      <c r="A33" s="80">
        <v>45416.260416666664</v>
      </c>
      <c r="B33" s="112">
        <v>11.26</v>
      </c>
      <c r="C33" s="112">
        <v>13.12</v>
      </c>
      <c r="D33" s="112">
        <v>25.03</v>
      </c>
      <c r="E33" s="112">
        <v>15.17</v>
      </c>
      <c r="F33" s="112">
        <v>1</v>
      </c>
      <c r="G33" s="112">
        <v>177.78</v>
      </c>
      <c r="H33" s="112">
        <v>54.32</v>
      </c>
      <c r="I33" s="112">
        <v>12.32</v>
      </c>
      <c r="J33" s="112">
        <v>0.22</v>
      </c>
      <c r="K33" s="112">
        <v>163.71</v>
      </c>
      <c r="L33" s="112">
        <v>23.04</v>
      </c>
      <c r="M33" s="112">
        <v>53.09</v>
      </c>
      <c r="N33" s="112">
        <v>27.6</v>
      </c>
      <c r="O33" s="112">
        <v>0</v>
      </c>
      <c r="P33" s="112">
        <v>1.1499999999999999</v>
      </c>
      <c r="Q33" s="167" t="s">
        <v>14</v>
      </c>
    </row>
    <row r="34" spans="1:17" customFormat="1">
      <c r="A34" s="80">
        <v>45416.270833333336</v>
      </c>
      <c r="B34" s="112">
        <v>11.42</v>
      </c>
      <c r="C34" s="112">
        <v>13.29</v>
      </c>
      <c r="D34" s="112">
        <v>25.25</v>
      </c>
      <c r="E34" s="112">
        <v>14.59</v>
      </c>
      <c r="F34" s="112">
        <v>1</v>
      </c>
      <c r="G34" s="112">
        <v>184.68</v>
      </c>
      <c r="H34" s="112">
        <v>54.32</v>
      </c>
      <c r="I34" s="112">
        <v>12.33</v>
      </c>
      <c r="J34" s="112">
        <v>0.16</v>
      </c>
      <c r="K34" s="112">
        <v>189.21</v>
      </c>
      <c r="L34" s="112">
        <v>23.32</v>
      </c>
      <c r="M34" s="112">
        <v>53.72</v>
      </c>
      <c r="N34" s="112">
        <v>38.700000000000003</v>
      </c>
      <c r="O34" s="112">
        <v>0</v>
      </c>
      <c r="P34" s="112">
        <v>1.1499999999999999</v>
      </c>
      <c r="Q34" s="167" t="s">
        <v>14</v>
      </c>
    </row>
    <row r="35" spans="1:17" customFormat="1">
      <c r="A35" s="80">
        <v>45416.28125</v>
      </c>
      <c r="B35" s="112">
        <v>11.29</v>
      </c>
      <c r="C35" s="112">
        <v>13.18</v>
      </c>
      <c r="D35" s="112">
        <v>25.08</v>
      </c>
      <c r="E35" s="112">
        <v>15.95</v>
      </c>
      <c r="F35" s="112">
        <v>1</v>
      </c>
      <c r="G35" s="112">
        <v>184.68</v>
      </c>
      <c r="H35" s="112">
        <v>54.32</v>
      </c>
      <c r="I35" s="112">
        <v>12.43</v>
      </c>
      <c r="J35" s="112">
        <v>0.24</v>
      </c>
      <c r="K35" s="112">
        <v>163.52000000000001</v>
      </c>
      <c r="L35" s="112">
        <v>24.27</v>
      </c>
      <c r="M35" s="112">
        <v>49.35</v>
      </c>
      <c r="N35" s="112">
        <v>48</v>
      </c>
      <c r="O35" s="112">
        <v>0</v>
      </c>
      <c r="P35" s="112">
        <v>1.1599999999999999</v>
      </c>
      <c r="Q35" s="167" t="s">
        <v>14</v>
      </c>
    </row>
    <row r="36" spans="1:17" customFormat="1">
      <c r="A36" s="80">
        <v>45416.291666666664</v>
      </c>
      <c r="B36" s="112">
        <v>11.24</v>
      </c>
      <c r="C36" s="112">
        <v>13.11</v>
      </c>
      <c r="D36" s="112">
        <v>25.01</v>
      </c>
      <c r="E36" s="112">
        <v>15.22</v>
      </c>
      <c r="F36" s="112">
        <v>1</v>
      </c>
      <c r="G36" s="112">
        <v>184.68</v>
      </c>
      <c r="H36" s="112">
        <v>54.32</v>
      </c>
      <c r="I36" s="112">
        <v>12.45</v>
      </c>
      <c r="J36" s="112">
        <v>0.14000000000000001</v>
      </c>
      <c r="K36" s="112">
        <v>177.05</v>
      </c>
      <c r="L36" s="112">
        <v>25.12</v>
      </c>
      <c r="M36" s="112">
        <v>48.67</v>
      </c>
      <c r="N36" s="112">
        <v>57.5</v>
      </c>
      <c r="O36" s="112">
        <v>0</v>
      </c>
      <c r="P36" s="112">
        <v>1.1599999999999999</v>
      </c>
      <c r="Q36" s="167" t="s">
        <v>14</v>
      </c>
    </row>
    <row r="37" spans="1:17" customFormat="1">
      <c r="A37" s="80">
        <v>45416.302083333336</v>
      </c>
      <c r="B37" s="112">
        <v>11.26</v>
      </c>
      <c r="C37" s="112">
        <v>13.13</v>
      </c>
      <c r="D37" s="112">
        <v>25.03</v>
      </c>
      <c r="E37" s="112">
        <v>15.65</v>
      </c>
      <c r="F37" s="112">
        <v>1</v>
      </c>
      <c r="G37" s="112">
        <v>165.12</v>
      </c>
      <c r="H37" s="112">
        <v>57.34</v>
      </c>
      <c r="I37" s="112">
        <v>12.51</v>
      </c>
      <c r="J37" s="112">
        <v>0.14000000000000001</v>
      </c>
      <c r="K37" s="112">
        <v>228.29</v>
      </c>
      <c r="L37" s="112">
        <v>26.14</v>
      </c>
      <c r="M37" s="112">
        <v>45.31</v>
      </c>
      <c r="N37" s="112">
        <v>66.400000000000006</v>
      </c>
      <c r="O37" s="112">
        <v>0</v>
      </c>
      <c r="P37" s="112">
        <v>1.17</v>
      </c>
      <c r="Q37" s="167" t="s">
        <v>14</v>
      </c>
    </row>
    <row r="38" spans="1:17" customFormat="1">
      <c r="A38" s="80">
        <v>45416.3125</v>
      </c>
      <c r="B38" s="112">
        <v>11.29</v>
      </c>
      <c r="C38" s="112">
        <v>13.18</v>
      </c>
      <c r="D38" s="112">
        <v>25.09</v>
      </c>
      <c r="E38" s="112">
        <v>15.41</v>
      </c>
      <c r="F38" s="112">
        <v>1.01</v>
      </c>
      <c r="G38" s="112">
        <v>159.88999999999999</v>
      </c>
      <c r="H38" s="112">
        <v>57.34</v>
      </c>
      <c r="I38" s="112">
        <v>12.6</v>
      </c>
      <c r="J38" s="112">
        <v>0.15</v>
      </c>
      <c r="K38" s="112">
        <v>213.73</v>
      </c>
      <c r="L38" s="112">
        <v>27.19</v>
      </c>
      <c r="M38" s="112">
        <v>40.65</v>
      </c>
      <c r="N38" s="112">
        <v>74.400000000000006</v>
      </c>
      <c r="O38" s="112">
        <v>0</v>
      </c>
      <c r="P38" s="112">
        <v>1.17</v>
      </c>
      <c r="Q38" s="167" t="s">
        <v>14</v>
      </c>
    </row>
    <row r="39" spans="1:17" customFormat="1">
      <c r="A39" s="80">
        <v>45416.322916666664</v>
      </c>
      <c r="B39" s="112">
        <v>11.26</v>
      </c>
      <c r="C39" s="112">
        <v>13.16</v>
      </c>
      <c r="D39" s="112">
        <v>25.05</v>
      </c>
      <c r="E39" s="112">
        <v>16.8</v>
      </c>
      <c r="F39" s="112">
        <v>1.36</v>
      </c>
      <c r="G39" s="112">
        <v>159.88999999999999</v>
      </c>
      <c r="H39" s="112">
        <v>57.34</v>
      </c>
      <c r="I39" s="112">
        <v>12.65</v>
      </c>
      <c r="J39" s="112">
        <v>0.39</v>
      </c>
      <c r="K39" s="112">
        <v>263.3</v>
      </c>
      <c r="L39" s="112">
        <v>28.18</v>
      </c>
      <c r="M39" s="112">
        <v>36.270000000000003</v>
      </c>
      <c r="N39" s="112">
        <v>82.5</v>
      </c>
      <c r="O39" s="112">
        <v>0</v>
      </c>
      <c r="P39" s="112">
        <v>1.1599999999999999</v>
      </c>
      <c r="Q39" s="167" t="s">
        <v>14</v>
      </c>
    </row>
    <row r="40" spans="1:17" customFormat="1">
      <c r="A40" s="80">
        <v>45416.333333333336</v>
      </c>
      <c r="B40" s="112">
        <v>11.25</v>
      </c>
      <c r="C40" s="112">
        <v>13.16</v>
      </c>
      <c r="D40" s="112">
        <v>25.04</v>
      </c>
      <c r="E40" s="112">
        <v>17.03</v>
      </c>
      <c r="F40" s="112">
        <v>2.3199999999999998</v>
      </c>
      <c r="G40" s="112">
        <v>159.88999999999999</v>
      </c>
      <c r="H40" s="112">
        <v>57.34</v>
      </c>
      <c r="I40" s="112">
        <v>12.77</v>
      </c>
      <c r="J40" s="112">
        <v>0.42</v>
      </c>
      <c r="K40" s="112">
        <v>257.41000000000003</v>
      </c>
      <c r="L40" s="112">
        <v>29.39</v>
      </c>
      <c r="M40" s="112">
        <v>33.08</v>
      </c>
      <c r="N40" s="112">
        <v>91.7</v>
      </c>
      <c r="O40" s="112">
        <v>0</v>
      </c>
      <c r="P40" s="112">
        <v>1.1599999999999999</v>
      </c>
      <c r="Q40" s="167" t="s">
        <v>14</v>
      </c>
    </row>
    <row r="41" spans="1:17" customFormat="1">
      <c r="A41" s="80">
        <v>45416.34375</v>
      </c>
      <c r="B41" s="112">
        <v>11.25</v>
      </c>
      <c r="C41" s="112">
        <v>13.12</v>
      </c>
      <c r="D41" s="112">
        <v>25.02</v>
      </c>
      <c r="E41" s="112">
        <v>20.65</v>
      </c>
      <c r="F41" s="112">
        <v>5.94</v>
      </c>
      <c r="G41" s="112">
        <v>151.94</v>
      </c>
      <c r="H41" s="112">
        <v>57.9</v>
      </c>
      <c r="I41" s="112">
        <v>12.74</v>
      </c>
      <c r="J41" s="112">
        <v>0.26</v>
      </c>
      <c r="K41" s="112">
        <v>245.76</v>
      </c>
      <c r="L41" s="112">
        <v>30.78</v>
      </c>
      <c r="M41" s="112">
        <v>31.27</v>
      </c>
      <c r="N41" s="112">
        <v>100.3</v>
      </c>
      <c r="O41" s="112">
        <v>0</v>
      </c>
      <c r="P41" s="112">
        <v>1.1499999999999999</v>
      </c>
      <c r="Q41" s="167" t="s">
        <v>14</v>
      </c>
    </row>
    <row r="42" spans="1:17" customFormat="1">
      <c r="A42" s="80">
        <v>45416.354166666664</v>
      </c>
      <c r="B42" s="112">
        <v>11.28</v>
      </c>
      <c r="C42" s="112">
        <v>13.17</v>
      </c>
      <c r="D42" s="112">
        <v>25.07</v>
      </c>
      <c r="E42" s="112">
        <v>25.69</v>
      </c>
      <c r="F42" s="112">
        <v>12.03</v>
      </c>
      <c r="G42" s="112">
        <v>149.81</v>
      </c>
      <c r="H42" s="112">
        <v>57.9</v>
      </c>
      <c r="I42" s="112">
        <v>12.63</v>
      </c>
      <c r="J42" s="112">
        <v>0.14000000000000001</v>
      </c>
      <c r="K42" s="112">
        <v>282.32</v>
      </c>
      <c r="L42" s="112">
        <v>32</v>
      </c>
      <c r="M42" s="112">
        <v>27.71</v>
      </c>
      <c r="N42" s="112">
        <v>111.3</v>
      </c>
      <c r="O42" s="112">
        <v>0</v>
      </c>
      <c r="P42" s="112">
        <v>1.1299999999999999</v>
      </c>
      <c r="Q42" s="167" t="s">
        <v>14</v>
      </c>
    </row>
    <row r="43" spans="1:17" customFormat="1">
      <c r="A43" s="80">
        <v>45416.364583333336</v>
      </c>
      <c r="B43" s="112">
        <v>11.27</v>
      </c>
      <c r="C43" s="112">
        <v>13.12</v>
      </c>
      <c r="D43" s="112">
        <v>25.04</v>
      </c>
      <c r="E43" s="112">
        <v>26.93</v>
      </c>
      <c r="F43" s="112">
        <v>16.18</v>
      </c>
      <c r="G43" s="112">
        <v>149.81</v>
      </c>
      <c r="H43" s="112">
        <v>57.9</v>
      </c>
      <c r="I43" s="112">
        <v>12.45</v>
      </c>
      <c r="J43" s="112">
        <v>0.23</v>
      </c>
      <c r="K43" s="112">
        <v>112.02</v>
      </c>
      <c r="L43" s="112">
        <v>33.47</v>
      </c>
      <c r="M43" s="112">
        <v>23.34</v>
      </c>
      <c r="N43" s="112">
        <v>150.4</v>
      </c>
      <c r="O43" s="112">
        <v>0</v>
      </c>
      <c r="P43" s="112">
        <v>1.1100000000000001</v>
      </c>
      <c r="Q43" s="167" t="s">
        <v>14</v>
      </c>
    </row>
    <row r="44" spans="1:17" customFormat="1">
      <c r="A44" s="80">
        <v>45416.375</v>
      </c>
      <c r="B44" s="112">
        <v>11.31</v>
      </c>
      <c r="C44" s="112">
        <v>13.08</v>
      </c>
      <c r="D44" s="112">
        <v>25.05</v>
      </c>
      <c r="E44" s="112">
        <v>27.03</v>
      </c>
      <c r="F44" s="112">
        <v>19.350000000000001</v>
      </c>
      <c r="G44" s="112">
        <v>149.81</v>
      </c>
      <c r="H44" s="112">
        <v>57.9</v>
      </c>
      <c r="I44" s="112">
        <v>12.24</v>
      </c>
      <c r="J44" s="112">
        <v>0.15</v>
      </c>
      <c r="K44" s="112">
        <v>146.41</v>
      </c>
      <c r="L44" s="112">
        <v>34.409999999999997</v>
      </c>
      <c r="M44" s="112">
        <v>21.87</v>
      </c>
      <c r="N44" s="112">
        <v>238.4</v>
      </c>
      <c r="O44" s="112">
        <v>0</v>
      </c>
      <c r="P44" s="112">
        <v>1.08</v>
      </c>
      <c r="Q44" s="167" t="s">
        <v>14</v>
      </c>
    </row>
    <row r="45" spans="1:17" customFormat="1">
      <c r="A45" s="80">
        <v>45416.385416666664</v>
      </c>
      <c r="B45" s="112">
        <v>11.31</v>
      </c>
      <c r="C45" s="112">
        <v>13.09</v>
      </c>
      <c r="D45" s="112">
        <v>25.05</v>
      </c>
      <c r="E45" s="112">
        <v>32.33</v>
      </c>
      <c r="F45" s="112">
        <v>34.08</v>
      </c>
      <c r="G45" s="112">
        <v>128.13</v>
      </c>
      <c r="H45" s="112">
        <v>50.97</v>
      </c>
      <c r="I45" s="112">
        <v>12.02</v>
      </c>
      <c r="J45" s="112">
        <v>0.3</v>
      </c>
      <c r="K45" s="112">
        <v>54.88</v>
      </c>
      <c r="L45" s="112">
        <v>35.36</v>
      </c>
      <c r="M45" s="112">
        <v>18.98</v>
      </c>
      <c r="N45" s="112">
        <v>176.1</v>
      </c>
      <c r="O45" s="112">
        <v>0</v>
      </c>
      <c r="P45" s="112">
        <v>1.05</v>
      </c>
      <c r="Q45" s="167" t="s">
        <v>14</v>
      </c>
    </row>
    <row r="46" spans="1:17" customFormat="1">
      <c r="A46" s="80">
        <v>45416.395833333336</v>
      </c>
      <c r="B46" s="112">
        <v>11.32</v>
      </c>
      <c r="C46" s="112">
        <v>13.07</v>
      </c>
      <c r="D46" s="112">
        <v>25.05</v>
      </c>
      <c r="E46" s="112">
        <v>40.89</v>
      </c>
      <c r="F46" s="112">
        <v>36.799999999999997</v>
      </c>
      <c r="G46" s="112">
        <v>122.33</v>
      </c>
      <c r="H46" s="112">
        <v>50.97</v>
      </c>
      <c r="I46" s="112">
        <v>11.72</v>
      </c>
      <c r="J46" s="112">
        <v>0.19</v>
      </c>
      <c r="K46" s="112">
        <v>78.17</v>
      </c>
      <c r="L46" s="112">
        <v>35.9</v>
      </c>
      <c r="M46" s="112">
        <v>17.05</v>
      </c>
      <c r="N46" s="112">
        <v>186.4</v>
      </c>
      <c r="O46" s="112">
        <v>0</v>
      </c>
      <c r="P46" s="112">
        <v>1.01</v>
      </c>
      <c r="Q46" s="167" t="s">
        <v>14</v>
      </c>
    </row>
    <row r="47" spans="1:17" customFormat="1">
      <c r="A47" s="80">
        <v>45416.40625</v>
      </c>
      <c r="B47" s="112">
        <v>11.31</v>
      </c>
      <c r="C47" s="112">
        <v>13.14</v>
      </c>
      <c r="D47" s="112">
        <v>25.08</v>
      </c>
      <c r="E47" s="112">
        <v>42.81</v>
      </c>
      <c r="F47" s="112">
        <v>36.42</v>
      </c>
      <c r="G47" s="112">
        <v>122.33</v>
      </c>
      <c r="H47" s="112">
        <v>50.97</v>
      </c>
      <c r="I47" s="112">
        <v>11.22</v>
      </c>
      <c r="J47" s="112">
        <v>7.0000000000000007E-2</v>
      </c>
      <c r="K47" s="112">
        <v>121.4</v>
      </c>
      <c r="L47" s="112">
        <v>36.56</v>
      </c>
      <c r="M47" s="112">
        <v>15.98</v>
      </c>
      <c r="N47" s="112">
        <v>258.10000000000002</v>
      </c>
      <c r="O47" s="112">
        <v>0</v>
      </c>
      <c r="P47" s="112">
        <v>0.99</v>
      </c>
      <c r="Q47" s="167" t="s">
        <v>14</v>
      </c>
    </row>
    <row r="48" spans="1:17" customFormat="1">
      <c r="A48" s="80">
        <v>45416.416666666664</v>
      </c>
      <c r="B48" s="112">
        <v>11.29</v>
      </c>
      <c r="C48" s="112">
        <v>13.2</v>
      </c>
      <c r="D48" s="112">
        <v>25.09</v>
      </c>
      <c r="E48" s="112">
        <v>36.19</v>
      </c>
      <c r="F48" s="112">
        <v>45.67</v>
      </c>
      <c r="G48" s="112">
        <v>122.33</v>
      </c>
      <c r="H48" s="112">
        <v>50.97</v>
      </c>
      <c r="I48" s="112">
        <v>10.88</v>
      </c>
      <c r="J48" s="167" t="s">
        <v>14</v>
      </c>
      <c r="K48" s="167" t="s">
        <v>14</v>
      </c>
      <c r="L48" s="112">
        <v>37.340000000000003</v>
      </c>
      <c r="M48" s="112">
        <v>15.53</v>
      </c>
      <c r="N48" s="112">
        <v>216.7</v>
      </c>
      <c r="O48" s="112">
        <v>0</v>
      </c>
      <c r="P48" s="112">
        <v>0.93</v>
      </c>
      <c r="Q48" s="167" t="s">
        <v>14</v>
      </c>
    </row>
    <row r="49" spans="1:17" customFormat="1">
      <c r="A49" s="80">
        <v>45416.427083333336</v>
      </c>
      <c r="B49" s="149" t="s">
        <v>4</v>
      </c>
      <c r="C49" s="149" t="s">
        <v>4</v>
      </c>
      <c r="D49" s="149" t="s">
        <v>4</v>
      </c>
      <c r="E49" s="149" t="s">
        <v>4</v>
      </c>
      <c r="F49" s="149" t="s">
        <v>4</v>
      </c>
      <c r="G49" s="149" t="s">
        <v>4</v>
      </c>
      <c r="H49" s="149" t="s">
        <v>4</v>
      </c>
      <c r="I49" s="149" t="s">
        <v>4</v>
      </c>
      <c r="J49" s="149" t="s">
        <v>4</v>
      </c>
      <c r="K49" s="149" t="s">
        <v>4</v>
      </c>
      <c r="L49" s="149" t="s">
        <v>4</v>
      </c>
      <c r="M49" s="149" t="s">
        <v>4</v>
      </c>
      <c r="N49" s="149" t="s">
        <v>4</v>
      </c>
      <c r="O49" s="149" t="s">
        <v>4</v>
      </c>
      <c r="P49" s="149" t="s">
        <v>4</v>
      </c>
      <c r="Q49" s="149" t="s">
        <v>4</v>
      </c>
    </row>
    <row r="50" spans="1:17" customFormat="1">
      <c r="A50" s="80">
        <v>45416.4375</v>
      </c>
      <c r="B50" s="149" t="s">
        <v>4</v>
      </c>
      <c r="C50" s="149" t="s">
        <v>4</v>
      </c>
      <c r="D50" s="149" t="s">
        <v>4</v>
      </c>
      <c r="E50" s="149" t="s">
        <v>4</v>
      </c>
      <c r="F50" s="149" t="s">
        <v>4</v>
      </c>
      <c r="G50" s="149" t="s">
        <v>4</v>
      </c>
      <c r="H50" s="149" t="s">
        <v>4</v>
      </c>
      <c r="I50" s="149" t="s">
        <v>4</v>
      </c>
      <c r="J50" s="149" t="s">
        <v>4</v>
      </c>
      <c r="K50" s="149" t="s">
        <v>4</v>
      </c>
      <c r="L50" s="149" t="s">
        <v>4</v>
      </c>
      <c r="M50" s="149" t="s">
        <v>4</v>
      </c>
      <c r="N50" s="149" t="s">
        <v>4</v>
      </c>
      <c r="O50" s="149" t="s">
        <v>4</v>
      </c>
      <c r="P50" s="149" t="s">
        <v>4</v>
      </c>
      <c r="Q50" s="149" t="s">
        <v>4</v>
      </c>
    </row>
    <row r="51" spans="1:17" customFormat="1">
      <c r="A51" s="80">
        <v>45416.447916666664</v>
      </c>
      <c r="B51" s="149" t="s">
        <v>4</v>
      </c>
      <c r="C51" s="149" t="s">
        <v>4</v>
      </c>
      <c r="D51" s="149" t="s">
        <v>4</v>
      </c>
      <c r="E51" s="149" t="s">
        <v>4</v>
      </c>
      <c r="F51" s="149" t="s">
        <v>4</v>
      </c>
      <c r="G51" s="149" t="s">
        <v>4</v>
      </c>
      <c r="H51" s="149" t="s">
        <v>4</v>
      </c>
      <c r="I51" s="149" t="s">
        <v>4</v>
      </c>
      <c r="J51" s="149" t="s">
        <v>4</v>
      </c>
      <c r="K51" s="149" t="s">
        <v>4</v>
      </c>
      <c r="L51" s="149" t="s">
        <v>4</v>
      </c>
      <c r="M51" s="149" t="s">
        <v>4</v>
      </c>
      <c r="N51" s="149" t="s">
        <v>4</v>
      </c>
      <c r="O51" s="149" t="s">
        <v>4</v>
      </c>
      <c r="P51" s="149" t="s">
        <v>4</v>
      </c>
      <c r="Q51" s="149" t="s">
        <v>4</v>
      </c>
    </row>
    <row r="52" spans="1:17" customFormat="1">
      <c r="A52" s="80">
        <v>45416.458333333336</v>
      </c>
      <c r="B52" s="149" t="s">
        <v>4</v>
      </c>
      <c r="C52" s="149" t="s">
        <v>4</v>
      </c>
      <c r="D52" s="149" t="s">
        <v>4</v>
      </c>
      <c r="E52" s="149" t="s">
        <v>4</v>
      </c>
      <c r="F52" s="149" t="s">
        <v>4</v>
      </c>
      <c r="G52" s="149" t="s">
        <v>4</v>
      </c>
      <c r="H52" s="149" t="s">
        <v>4</v>
      </c>
      <c r="I52" s="149" t="s">
        <v>4</v>
      </c>
      <c r="J52" s="149" t="s">
        <v>4</v>
      </c>
      <c r="K52" s="149" t="s">
        <v>4</v>
      </c>
      <c r="L52" s="149" t="s">
        <v>4</v>
      </c>
      <c r="M52" s="149" t="s">
        <v>4</v>
      </c>
      <c r="N52" s="149" t="s">
        <v>4</v>
      </c>
      <c r="O52" s="149" t="s">
        <v>4</v>
      </c>
      <c r="P52" s="149" t="s">
        <v>4</v>
      </c>
      <c r="Q52" s="149" t="s">
        <v>4</v>
      </c>
    </row>
    <row r="53" spans="1:17" customFormat="1">
      <c r="A53" s="80">
        <v>45416.46875</v>
      </c>
      <c r="B53" s="149" t="s">
        <v>4</v>
      </c>
      <c r="C53" s="149" t="s">
        <v>4</v>
      </c>
      <c r="D53" s="149" t="s">
        <v>4</v>
      </c>
      <c r="E53" s="149" t="s">
        <v>4</v>
      </c>
      <c r="F53" s="149" t="s">
        <v>4</v>
      </c>
      <c r="G53" s="149" t="s">
        <v>4</v>
      </c>
      <c r="H53" s="149" t="s">
        <v>4</v>
      </c>
      <c r="I53" s="149" t="s">
        <v>4</v>
      </c>
      <c r="J53" s="149" t="s">
        <v>4</v>
      </c>
      <c r="K53" s="149" t="s">
        <v>4</v>
      </c>
      <c r="L53" s="149" t="s">
        <v>4</v>
      </c>
      <c r="M53" s="149" t="s">
        <v>4</v>
      </c>
      <c r="N53" s="149" t="s">
        <v>4</v>
      </c>
      <c r="O53" s="149" t="s">
        <v>4</v>
      </c>
      <c r="P53" s="149" t="s">
        <v>4</v>
      </c>
      <c r="Q53" s="149" t="s">
        <v>4</v>
      </c>
    </row>
    <row r="54" spans="1:17" customFormat="1">
      <c r="A54" s="80">
        <v>45416.479166666664</v>
      </c>
      <c r="B54" s="149" t="s">
        <v>4</v>
      </c>
      <c r="C54" s="149" t="s">
        <v>4</v>
      </c>
      <c r="D54" s="149" t="s">
        <v>4</v>
      </c>
      <c r="E54" s="149" t="s">
        <v>4</v>
      </c>
      <c r="F54" s="149" t="s">
        <v>4</v>
      </c>
      <c r="G54" s="149" t="s">
        <v>4</v>
      </c>
      <c r="H54" s="149" t="s">
        <v>4</v>
      </c>
      <c r="I54" s="149" t="s">
        <v>4</v>
      </c>
      <c r="J54" s="149" t="s">
        <v>4</v>
      </c>
      <c r="K54" s="149" t="s">
        <v>4</v>
      </c>
      <c r="L54" s="149" t="s">
        <v>4</v>
      </c>
      <c r="M54" s="149" t="s">
        <v>4</v>
      </c>
      <c r="N54" s="149" t="s">
        <v>4</v>
      </c>
      <c r="O54" s="149" t="s">
        <v>4</v>
      </c>
      <c r="P54" s="149" t="s">
        <v>4</v>
      </c>
      <c r="Q54" s="149" t="s">
        <v>4</v>
      </c>
    </row>
    <row r="55" spans="1:17" customFormat="1">
      <c r="A55" s="80">
        <v>45416.489583333336</v>
      </c>
      <c r="B55" s="170" t="s">
        <v>21</v>
      </c>
      <c r="C55" s="170" t="s">
        <v>21</v>
      </c>
      <c r="D55" s="170" t="s">
        <v>21</v>
      </c>
      <c r="E55" s="112">
        <v>123.23</v>
      </c>
      <c r="F55" s="112">
        <v>101.86</v>
      </c>
      <c r="G55" s="112">
        <v>15.4</v>
      </c>
      <c r="H55" s="112">
        <v>32.340000000000003</v>
      </c>
      <c r="I55" s="170" t="s">
        <v>21</v>
      </c>
      <c r="J55" s="112">
        <v>0.54</v>
      </c>
      <c r="K55" s="112">
        <v>284.10000000000002</v>
      </c>
      <c r="L55" s="112">
        <v>40.03</v>
      </c>
      <c r="M55" s="112">
        <v>12.16</v>
      </c>
      <c r="N55" s="112">
        <v>750.3</v>
      </c>
      <c r="O55" s="112">
        <v>0</v>
      </c>
      <c r="P55" s="112">
        <v>0.63</v>
      </c>
      <c r="Q55" s="170" t="s">
        <v>21</v>
      </c>
    </row>
    <row r="56" spans="1:17" customFormat="1">
      <c r="A56" s="80">
        <v>45416.5</v>
      </c>
      <c r="B56" s="112">
        <v>12.6</v>
      </c>
      <c r="C56" s="112">
        <v>13.24</v>
      </c>
      <c r="D56" s="112">
        <v>26.17</v>
      </c>
      <c r="E56" s="112">
        <v>27.77</v>
      </c>
      <c r="F56" s="112">
        <v>91.49</v>
      </c>
      <c r="G56" s="112">
        <v>0</v>
      </c>
      <c r="H56" s="112">
        <v>32.340000000000003</v>
      </c>
      <c r="I56" s="170" t="s">
        <v>21</v>
      </c>
      <c r="J56" s="112">
        <v>0.7</v>
      </c>
      <c r="K56" s="112">
        <v>251.17</v>
      </c>
      <c r="L56" s="112">
        <v>40.729999999999997</v>
      </c>
      <c r="M56" s="112">
        <v>12.06</v>
      </c>
      <c r="N56" s="112">
        <v>765.9</v>
      </c>
      <c r="O56" s="112">
        <v>0</v>
      </c>
      <c r="P56" s="112">
        <v>0.51</v>
      </c>
      <c r="Q56" s="170" t="s">
        <v>21</v>
      </c>
    </row>
    <row r="57" spans="1:17" customFormat="1">
      <c r="A57" s="80">
        <v>45416.510416666664</v>
      </c>
      <c r="B57" s="112">
        <v>10.74</v>
      </c>
      <c r="C57" s="112">
        <v>13.98</v>
      </c>
      <c r="D57" s="112">
        <v>25.06</v>
      </c>
      <c r="E57" s="112">
        <v>14.05</v>
      </c>
      <c r="F57" s="112">
        <v>130.1</v>
      </c>
      <c r="G57" s="112">
        <v>16.04</v>
      </c>
      <c r="H57" s="112">
        <v>33.47</v>
      </c>
      <c r="I57" s="112">
        <v>6.46</v>
      </c>
      <c r="J57" s="112">
        <v>0.53</v>
      </c>
      <c r="K57" s="112">
        <v>281.54000000000002</v>
      </c>
      <c r="L57" s="112">
        <v>40.869999999999997</v>
      </c>
      <c r="M57" s="112">
        <v>11.48</v>
      </c>
      <c r="N57" s="112">
        <v>769.1</v>
      </c>
      <c r="O57" s="112">
        <v>0</v>
      </c>
      <c r="P57" s="112">
        <v>0.36</v>
      </c>
      <c r="Q57" s="112">
        <v>4.88</v>
      </c>
    </row>
    <row r="58" spans="1:17" customFormat="1">
      <c r="A58" s="80">
        <v>45416.520833333336</v>
      </c>
      <c r="B58" s="112">
        <v>10</v>
      </c>
      <c r="C58" s="112">
        <v>15</v>
      </c>
      <c r="D58" s="112">
        <v>25</v>
      </c>
      <c r="E58" s="112">
        <v>19.57</v>
      </c>
      <c r="F58" s="112">
        <v>115.45</v>
      </c>
      <c r="G58" s="112">
        <v>66.83</v>
      </c>
      <c r="H58" s="112">
        <v>33.47</v>
      </c>
      <c r="I58" s="112">
        <v>8.3699999999999992</v>
      </c>
      <c r="J58" s="112">
        <v>1.07</v>
      </c>
      <c r="K58" s="112">
        <v>296.42</v>
      </c>
      <c r="L58" s="112">
        <v>40.85</v>
      </c>
      <c r="M58" s="112">
        <v>10.49</v>
      </c>
      <c r="N58" s="112">
        <v>715.3</v>
      </c>
      <c r="O58" s="112">
        <v>0</v>
      </c>
      <c r="P58" s="112">
        <v>0.33</v>
      </c>
      <c r="Q58" s="112">
        <v>4.7300000000000004</v>
      </c>
    </row>
    <row r="59" spans="1:17" customFormat="1">
      <c r="A59" s="80">
        <v>45416.53125</v>
      </c>
      <c r="B59" s="112">
        <v>10</v>
      </c>
      <c r="C59" s="112">
        <v>15</v>
      </c>
      <c r="D59" s="112">
        <v>25</v>
      </c>
      <c r="E59" s="112">
        <v>20.3</v>
      </c>
      <c r="F59" s="112">
        <v>103.26</v>
      </c>
      <c r="G59" s="112">
        <v>66.83</v>
      </c>
      <c r="H59" s="112">
        <v>33.47</v>
      </c>
      <c r="I59" s="112">
        <v>7.28</v>
      </c>
      <c r="J59" s="112">
        <v>0.6</v>
      </c>
      <c r="K59" s="112">
        <v>20.64</v>
      </c>
      <c r="L59" s="112">
        <v>40.799999999999997</v>
      </c>
      <c r="M59" s="112">
        <v>10.1</v>
      </c>
      <c r="N59" s="112">
        <v>692</v>
      </c>
      <c r="O59" s="112">
        <v>0</v>
      </c>
      <c r="P59" s="112">
        <v>0.33</v>
      </c>
      <c r="Q59" s="112">
        <v>4.67</v>
      </c>
    </row>
    <row r="60" spans="1:17" customFormat="1">
      <c r="A60" s="80">
        <v>45416.541666666664</v>
      </c>
      <c r="B60" s="112">
        <v>10</v>
      </c>
      <c r="C60" s="112">
        <v>15</v>
      </c>
      <c r="D60" s="112">
        <v>25</v>
      </c>
      <c r="E60" s="112">
        <v>25.83</v>
      </c>
      <c r="F60" s="112">
        <v>117.26</v>
      </c>
      <c r="G60" s="151" t="s">
        <v>12</v>
      </c>
      <c r="H60" s="151" t="s">
        <v>12</v>
      </c>
      <c r="I60" s="112">
        <v>6.54</v>
      </c>
      <c r="J60" s="112">
        <v>0.68</v>
      </c>
      <c r="K60" s="112">
        <v>309.13</v>
      </c>
      <c r="L60" s="112">
        <v>40.94</v>
      </c>
      <c r="M60" s="112">
        <v>10.32</v>
      </c>
      <c r="N60" s="112">
        <v>674.7</v>
      </c>
      <c r="O60" s="112">
        <v>0</v>
      </c>
      <c r="P60" s="112">
        <v>0.32</v>
      </c>
      <c r="Q60" s="112">
        <v>4.6399999999999997</v>
      </c>
    </row>
    <row r="61" spans="1:17" customFormat="1">
      <c r="A61" s="80">
        <v>45416.552083333336</v>
      </c>
      <c r="B61" s="112">
        <v>10</v>
      </c>
      <c r="C61" s="112">
        <v>15</v>
      </c>
      <c r="D61" s="112">
        <v>25</v>
      </c>
      <c r="E61" s="112">
        <v>55.49</v>
      </c>
      <c r="F61" s="112">
        <v>120.48</v>
      </c>
      <c r="G61" s="151" t="s">
        <v>12</v>
      </c>
      <c r="H61" s="151" t="s">
        <v>12</v>
      </c>
      <c r="I61" s="112">
        <v>6.48</v>
      </c>
      <c r="J61" s="112">
        <v>0.92</v>
      </c>
      <c r="K61" s="112">
        <v>19.61</v>
      </c>
      <c r="L61" s="112">
        <v>41.26</v>
      </c>
      <c r="M61" s="112">
        <v>10.050000000000001</v>
      </c>
      <c r="N61" s="112">
        <v>615.70000000000005</v>
      </c>
      <c r="O61" s="112">
        <v>0</v>
      </c>
      <c r="P61" s="112">
        <v>0.33</v>
      </c>
      <c r="Q61" s="112">
        <v>4.6500000000000004</v>
      </c>
    </row>
    <row r="62" spans="1:17" customFormat="1">
      <c r="A62" s="80">
        <v>45416.5625</v>
      </c>
      <c r="B62" s="112">
        <v>10</v>
      </c>
      <c r="C62" s="112">
        <v>15</v>
      </c>
      <c r="D62" s="112">
        <v>25</v>
      </c>
      <c r="E62" s="112">
        <v>71.3</v>
      </c>
      <c r="F62" s="112">
        <v>148.36000000000001</v>
      </c>
      <c r="G62" s="151" t="s">
        <v>12</v>
      </c>
      <c r="H62" s="151" t="s">
        <v>12</v>
      </c>
      <c r="I62" s="112">
        <v>6.49</v>
      </c>
      <c r="J62" s="112">
        <v>0.52</v>
      </c>
      <c r="K62" s="112">
        <v>314.48</v>
      </c>
      <c r="L62" s="112">
        <v>41.28</v>
      </c>
      <c r="M62" s="112">
        <v>10.130000000000001</v>
      </c>
      <c r="N62" s="112">
        <v>587</v>
      </c>
      <c r="O62" s="112">
        <v>0</v>
      </c>
      <c r="P62" s="112">
        <v>0.27</v>
      </c>
      <c r="Q62" s="112">
        <v>4.66</v>
      </c>
    </row>
    <row r="63" spans="1:17" customFormat="1">
      <c r="A63" s="80">
        <v>45416.572916666664</v>
      </c>
      <c r="B63" s="112">
        <v>10</v>
      </c>
      <c r="C63" s="112">
        <v>15</v>
      </c>
      <c r="D63" s="112">
        <v>25</v>
      </c>
      <c r="E63" s="112">
        <v>48.8</v>
      </c>
      <c r="F63" s="112">
        <v>129.66</v>
      </c>
      <c r="G63" s="151" t="s">
        <v>12</v>
      </c>
      <c r="H63" s="151" t="s">
        <v>12</v>
      </c>
      <c r="I63" s="112">
        <v>6.1</v>
      </c>
      <c r="J63" s="112">
        <v>0.56999999999999995</v>
      </c>
      <c r="K63" s="112">
        <v>342.99</v>
      </c>
      <c r="L63" s="112">
        <v>41.44</v>
      </c>
      <c r="M63" s="112">
        <v>10.61</v>
      </c>
      <c r="N63" s="112">
        <v>551.1</v>
      </c>
      <c r="O63" s="112">
        <v>0</v>
      </c>
      <c r="P63" s="112">
        <v>0.28000000000000003</v>
      </c>
      <c r="Q63" s="112">
        <v>4.66</v>
      </c>
    </row>
    <row r="64" spans="1:17" customFormat="1">
      <c r="A64" s="80">
        <v>45416.583333333336</v>
      </c>
      <c r="B64" s="112">
        <v>10</v>
      </c>
      <c r="C64" s="112">
        <v>15</v>
      </c>
      <c r="D64" s="112">
        <v>25</v>
      </c>
      <c r="E64" s="112">
        <v>35.47</v>
      </c>
      <c r="F64" s="112">
        <v>143.09</v>
      </c>
      <c r="G64" s="151" t="s">
        <v>12</v>
      </c>
      <c r="H64" s="151" t="s">
        <v>12</v>
      </c>
      <c r="I64" s="112">
        <v>5.59</v>
      </c>
      <c r="J64" s="112">
        <v>0.66</v>
      </c>
      <c r="K64" s="112">
        <v>320.27999999999997</v>
      </c>
      <c r="L64" s="112">
        <v>41.12</v>
      </c>
      <c r="M64" s="112">
        <v>10.44</v>
      </c>
      <c r="N64" s="112">
        <v>552.9</v>
      </c>
      <c r="O64" s="112">
        <v>0</v>
      </c>
      <c r="P64" s="112">
        <v>0.28000000000000003</v>
      </c>
      <c r="Q64" s="167" t="s">
        <v>14</v>
      </c>
    </row>
    <row r="65" spans="1:17" customFormat="1">
      <c r="A65" s="80">
        <v>45416.59375</v>
      </c>
      <c r="B65" s="112">
        <v>10</v>
      </c>
      <c r="C65" s="112">
        <v>15</v>
      </c>
      <c r="D65" s="112">
        <v>25</v>
      </c>
      <c r="E65" s="112">
        <v>27.88</v>
      </c>
      <c r="F65" s="112">
        <v>125.44</v>
      </c>
      <c r="G65" s="151" t="s">
        <v>12</v>
      </c>
      <c r="H65" s="151" t="s">
        <v>12</v>
      </c>
      <c r="I65" s="112">
        <v>5.58</v>
      </c>
      <c r="J65" s="112">
        <v>0.53</v>
      </c>
      <c r="K65" s="112">
        <v>290.43</v>
      </c>
      <c r="L65" s="112">
        <v>41.29</v>
      </c>
      <c r="M65" s="112">
        <v>10.51</v>
      </c>
      <c r="N65" s="112">
        <v>572.79999999999995</v>
      </c>
      <c r="O65" s="112">
        <v>0</v>
      </c>
      <c r="P65" s="112">
        <v>0.62</v>
      </c>
      <c r="Q65" s="167" t="s">
        <v>14</v>
      </c>
    </row>
    <row r="66" spans="1:17" customFormat="1">
      <c r="A66" s="80">
        <v>45416.604166666664</v>
      </c>
      <c r="B66" s="112">
        <v>10</v>
      </c>
      <c r="C66" s="112">
        <v>15</v>
      </c>
      <c r="D66" s="112">
        <v>25</v>
      </c>
      <c r="E66" s="112">
        <v>10.039999999999999</v>
      </c>
      <c r="F66" s="112">
        <v>120.03</v>
      </c>
      <c r="G66" s="151" t="s">
        <v>12</v>
      </c>
      <c r="H66" s="151" t="s">
        <v>12</v>
      </c>
      <c r="I66" s="112">
        <v>5.86</v>
      </c>
      <c r="J66" s="112">
        <v>0.45</v>
      </c>
      <c r="K66" s="112">
        <v>36.43</v>
      </c>
      <c r="L66" s="112">
        <v>41.4</v>
      </c>
      <c r="M66" s="112">
        <v>9.35</v>
      </c>
      <c r="N66" s="112">
        <v>475</v>
      </c>
      <c r="O66" s="112">
        <v>0</v>
      </c>
      <c r="P66" s="112">
        <v>0.6</v>
      </c>
      <c r="Q66" s="167" t="s">
        <v>14</v>
      </c>
    </row>
    <row r="67" spans="1:17" customFormat="1">
      <c r="A67" s="80">
        <v>45416.614583333336</v>
      </c>
      <c r="B67" s="112">
        <v>10</v>
      </c>
      <c r="C67" s="112">
        <v>15</v>
      </c>
      <c r="D67" s="112">
        <v>25</v>
      </c>
      <c r="E67" s="112">
        <v>67.67</v>
      </c>
      <c r="F67" s="112">
        <v>124.87</v>
      </c>
      <c r="G67" s="151" t="s">
        <v>12</v>
      </c>
      <c r="H67" s="151" t="s">
        <v>12</v>
      </c>
      <c r="I67" s="112">
        <v>5.93</v>
      </c>
      <c r="J67" s="112">
        <v>0.71</v>
      </c>
      <c r="K67" s="112">
        <v>28.27</v>
      </c>
      <c r="L67" s="112">
        <v>41.9</v>
      </c>
      <c r="M67" s="112">
        <v>8.2100000000000009</v>
      </c>
      <c r="N67" s="112">
        <v>549.5</v>
      </c>
      <c r="O67" s="112">
        <v>0</v>
      </c>
      <c r="P67" s="112">
        <v>0.57999999999999996</v>
      </c>
      <c r="Q67" s="167" t="s">
        <v>14</v>
      </c>
    </row>
    <row r="68" spans="1:17" customFormat="1">
      <c r="A68" s="80">
        <v>45416.625</v>
      </c>
      <c r="B68" s="112">
        <v>10</v>
      </c>
      <c r="C68" s="112">
        <v>15</v>
      </c>
      <c r="D68" s="112">
        <v>25</v>
      </c>
      <c r="E68" s="112">
        <v>49.4</v>
      </c>
      <c r="F68" s="112">
        <v>99.21</v>
      </c>
      <c r="G68" s="112">
        <v>76.739999999999995</v>
      </c>
      <c r="H68" s="112">
        <v>29.46</v>
      </c>
      <c r="I68" s="112">
        <v>5.65</v>
      </c>
      <c r="J68" s="112">
        <v>0.78</v>
      </c>
      <c r="K68" s="112">
        <v>352.85</v>
      </c>
      <c r="L68" s="112">
        <v>41.75</v>
      </c>
      <c r="M68" s="112">
        <v>7.63</v>
      </c>
      <c r="N68" s="112">
        <v>550</v>
      </c>
      <c r="O68" s="112">
        <v>0</v>
      </c>
      <c r="P68" s="112">
        <v>0.5</v>
      </c>
      <c r="Q68" s="167" t="s">
        <v>14</v>
      </c>
    </row>
    <row r="69" spans="1:17" customFormat="1">
      <c r="A69" s="80">
        <v>45416.635416666664</v>
      </c>
      <c r="B69" s="112">
        <v>10</v>
      </c>
      <c r="C69" s="112">
        <v>15</v>
      </c>
      <c r="D69" s="112">
        <v>25</v>
      </c>
      <c r="E69" s="112">
        <v>33.78</v>
      </c>
      <c r="F69" s="112">
        <v>94.88</v>
      </c>
      <c r="G69" s="112">
        <v>95.93</v>
      </c>
      <c r="H69" s="112">
        <v>29.46</v>
      </c>
      <c r="I69" s="112">
        <v>5.01</v>
      </c>
      <c r="J69" s="112">
        <v>0.99</v>
      </c>
      <c r="K69" s="112">
        <v>14.63</v>
      </c>
      <c r="L69" s="112">
        <v>41.7</v>
      </c>
      <c r="M69" s="112">
        <v>7.11</v>
      </c>
      <c r="N69" s="112">
        <v>498</v>
      </c>
      <c r="O69" s="112">
        <v>0</v>
      </c>
      <c r="P69" s="112">
        <v>0.47</v>
      </c>
      <c r="Q69" s="167" t="s">
        <v>14</v>
      </c>
    </row>
    <row r="70" spans="1:17" customFormat="1">
      <c r="A70" s="80">
        <v>45416.645833333336</v>
      </c>
      <c r="B70" s="112">
        <v>10</v>
      </c>
      <c r="C70" s="112">
        <v>15</v>
      </c>
      <c r="D70" s="112">
        <v>25</v>
      </c>
      <c r="E70" s="112">
        <v>28.7</v>
      </c>
      <c r="F70" s="112">
        <v>90.51</v>
      </c>
      <c r="G70" s="112">
        <v>95.93</v>
      </c>
      <c r="H70" s="112">
        <v>29.46</v>
      </c>
      <c r="I70" s="112">
        <v>4.38</v>
      </c>
      <c r="J70" s="112">
        <v>0.92</v>
      </c>
      <c r="K70" s="112">
        <v>26.62</v>
      </c>
      <c r="L70" s="112">
        <v>41.51</v>
      </c>
      <c r="M70" s="112">
        <v>7.58</v>
      </c>
      <c r="N70" s="112">
        <v>455.3</v>
      </c>
      <c r="O70" s="112">
        <v>0</v>
      </c>
      <c r="P70" s="112">
        <v>0.44</v>
      </c>
      <c r="Q70" s="167" t="s">
        <v>14</v>
      </c>
    </row>
    <row r="71" spans="1:17" customFormat="1">
      <c r="A71" s="80">
        <v>45416.65625</v>
      </c>
      <c r="B71" s="112">
        <v>10</v>
      </c>
      <c r="C71" s="112">
        <v>15</v>
      </c>
      <c r="D71" s="112">
        <v>25</v>
      </c>
      <c r="E71" s="112">
        <v>20.82</v>
      </c>
      <c r="F71" s="112">
        <v>99.75</v>
      </c>
      <c r="G71" s="112">
        <v>95.93</v>
      </c>
      <c r="H71" s="112">
        <v>29.46</v>
      </c>
      <c r="I71" s="112">
        <v>3.85</v>
      </c>
      <c r="J71" s="112">
        <v>0.84</v>
      </c>
      <c r="K71" s="112">
        <v>13.56</v>
      </c>
      <c r="L71" s="112">
        <v>41.41</v>
      </c>
      <c r="M71" s="112">
        <v>7.55</v>
      </c>
      <c r="N71" s="112">
        <v>430.7</v>
      </c>
      <c r="O71" s="112">
        <v>0</v>
      </c>
      <c r="P71" s="112">
        <v>0.43</v>
      </c>
      <c r="Q71" s="167" t="s">
        <v>14</v>
      </c>
    </row>
    <row r="72" spans="1:17" customFormat="1">
      <c r="A72" s="80">
        <v>45416.666666666664</v>
      </c>
      <c r="B72" s="112">
        <v>10</v>
      </c>
      <c r="C72" s="112">
        <v>15</v>
      </c>
      <c r="D72" s="112">
        <v>25</v>
      </c>
      <c r="E72" s="112">
        <v>24.08</v>
      </c>
      <c r="F72" s="112">
        <v>108.76</v>
      </c>
      <c r="G72" s="112">
        <v>84.69</v>
      </c>
      <c r="H72" s="112">
        <v>26.9</v>
      </c>
      <c r="I72" s="112">
        <v>3.72</v>
      </c>
      <c r="J72" s="112">
        <v>0.83</v>
      </c>
      <c r="K72" s="112">
        <v>22.64</v>
      </c>
      <c r="L72" s="112">
        <v>41.11</v>
      </c>
      <c r="M72" s="112">
        <v>8.01</v>
      </c>
      <c r="N72" s="112">
        <v>276.2</v>
      </c>
      <c r="O72" s="112">
        <v>0</v>
      </c>
      <c r="P72" s="112">
        <v>0.43</v>
      </c>
      <c r="Q72" s="167" t="s">
        <v>14</v>
      </c>
    </row>
    <row r="73" spans="1:17" customFormat="1">
      <c r="A73" s="80">
        <v>45416.677083333336</v>
      </c>
      <c r="B73" s="112">
        <v>10</v>
      </c>
      <c r="C73" s="112">
        <v>15</v>
      </c>
      <c r="D73" s="112">
        <v>25</v>
      </c>
      <c r="E73" s="112">
        <v>19.54</v>
      </c>
      <c r="F73" s="112">
        <v>96.86</v>
      </c>
      <c r="G73" s="112">
        <v>81.88</v>
      </c>
      <c r="H73" s="112">
        <v>26.9</v>
      </c>
      <c r="I73" s="112">
        <v>3.58</v>
      </c>
      <c r="J73" s="112">
        <v>0.7</v>
      </c>
      <c r="K73" s="112">
        <v>350.23</v>
      </c>
      <c r="L73" s="112">
        <v>41.68</v>
      </c>
      <c r="M73" s="112">
        <v>8.24</v>
      </c>
      <c r="N73" s="112">
        <v>285.2</v>
      </c>
      <c r="O73" s="112">
        <v>0</v>
      </c>
      <c r="P73" s="112">
        <v>0.44</v>
      </c>
      <c r="Q73" s="167" t="s">
        <v>14</v>
      </c>
    </row>
    <row r="74" spans="1:17" customFormat="1">
      <c r="A74" s="80">
        <v>45416.6875</v>
      </c>
      <c r="B74" s="112">
        <v>10</v>
      </c>
      <c r="C74" s="112">
        <v>15</v>
      </c>
      <c r="D74" s="112">
        <v>25</v>
      </c>
      <c r="E74" s="112">
        <v>11.8</v>
      </c>
      <c r="F74" s="112">
        <v>84.05</v>
      </c>
      <c r="G74" s="112">
        <v>81.88</v>
      </c>
      <c r="H74" s="112">
        <v>26.9</v>
      </c>
      <c r="I74" s="112">
        <v>3.32</v>
      </c>
      <c r="J74" s="112">
        <v>1.06</v>
      </c>
      <c r="K74" s="112">
        <v>302.58999999999997</v>
      </c>
      <c r="L74" s="112">
        <v>40.799999999999997</v>
      </c>
      <c r="M74" s="112">
        <v>7.95</v>
      </c>
      <c r="N74" s="112">
        <v>122</v>
      </c>
      <c r="O74" s="112">
        <v>0</v>
      </c>
      <c r="P74" s="112">
        <v>0.43</v>
      </c>
      <c r="Q74" s="167" t="s">
        <v>14</v>
      </c>
    </row>
    <row r="75" spans="1:17" customFormat="1">
      <c r="A75" s="80">
        <v>45416.697916666664</v>
      </c>
      <c r="B75" s="112">
        <v>10</v>
      </c>
      <c r="C75" s="112">
        <v>15</v>
      </c>
      <c r="D75" s="112">
        <v>25</v>
      </c>
      <c r="E75" s="112">
        <v>9.42</v>
      </c>
      <c r="F75" s="112">
        <v>93.69</v>
      </c>
      <c r="G75" s="112">
        <v>81.88</v>
      </c>
      <c r="H75" s="112">
        <v>26.9</v>
      </c>
      <c r="I75" s="112">
        <v>3.36</v>
      </c>
      <c r="J75" s="112">
        <v>0.44</v>
      </c>
      <c r="K75" s="112">
        <v>338.45</v>
      </c>
      <c r="L75" s="112">
        <v>40.619999999999997</v>
      </c>
      <c r="M75" s="112">
        <v>8.41</v>
      </c>
      <c r="N75" s="112">
        <v>194</v>
      </c>
      <c r="O75" s="112">
        <v>0</v>
      </c>
      <c r="P75" s="112">
        <v>0.4</v>
      </c>
      <c r="Q75" s="167" t="s">
        <v>14</v>
      </c>
    </row>
    <row r="76" spans="1:17" customFormat="1">
      <c r="A76" s="80">
        <v>45416.708333333336</v>
      </c>
      <c r="B76" s="112">
        <v>10</v>
      </c>
      <c r="C76" s="112">
        <v>15</v>
      </c>
      <c r="D76" s="112">
        <v>25</v>
      </c>
      <c r="E76" s="112">
        <v>9.3000000000000007</v>
      </c>
      <c r="F76" s="112">
        <v>73.459999999999994</v>
      </c>
      <c r="G76" s="112">
        <v>83.64</v>
      </c>
      <c r="H76" s="112">
        <v>25.9</v>
      </c>
      <c r="I76" s="112">
        <v>3.23</v>
      </c>
      <c r="J76" s="112">
        <v>0.38</v>
      </c>
      <c r="K76" s="112">
        <v>337.11</v>
      </c>
      <c r="L76" s="112">
        <v>40.76</v>
      </c>
      <c r="M76" s="112">
        <v>8.6999999999999993</v>
      </c>
      <c r="N76" s="112">
        <v>160.6</v>
      </c>
      <c r="O76" s="112">
        <v>0</v>
      </c>
      <c r="P76" s="112">
        <v>0.43</v>
      </c>
      <c r="Q76" s="167" t="s">
        <v>14</v>
      </c>
    </row>
    <row r="77" spans="1:17" customFormat="1">
      <c r="A77" s="80">
        <v>45416.71875</v>
      </c>
      <c r="B77" s="112">
        <v>10</v>
      </c>
      <c r="C77" s="112">
        <v>15</v>
      </c>
      <c r="D77" s="112">
        <v>25</v>
      </c>
      <c r="E77" s="112">
        <v>8.09</v>
      </c>
      <c r="F77" s="112">
        <v>43.31</v>
      </c>
      <c r="G77" s="112">
        <v>84.08</v>
      </c>
      <c r="H77" s="112">
        <v>25.9</v>
      </c>
      <c r="I77" s="112">
        <v>3.08</v>
      </c>
      <c r="J77" s="112">
        <v>0.5</v>
      </c>
      <c r="K77" s="112">
        <v>42.15</v>
      </c>
      <c r="L77" s="112">
        <v>40.42</v>
      </c>
      <c r="M77" s="112">
        <v>9.35</v>
      </c>
      <c r="N77" s="112">
        <v>88.4</v>
      </c>
      <c r="O77" s="112">
        <v>0</v>
      </c>
      <c r="P77" s="112">
        <v>0.49</v>
      </c>
      <c r="Q77" s="167" t="s">
        <v>14</v>
      </c>
    </row>
    <row r="78" spans="1:17" customFormat="1">
      <c r="A78" s="80">
        <v>45416.729166666664</v>
      </c>
      <c r="B78" s="112">
        <v>10</v>
      </c>
      <c r="C78" s="112">
        <v>15</v>
      </c>
      <c r="D78" s="112">
        <v>25</v>
      </c>
      <c r="E78" s="112">
        <v>5.98</v>
      </c>
      <c r="F78" s="112">
        <v>25.55</v>
      </c>
      <c r="G78" s="112">
        <v>84.08</v>
      </c>
      <c r="H78" s="112">
        <v>25.9</v>
      </c>
      <c r="I78" s="112">
        <v>3.34</v>
      </c>
      <c r="J78" s="112">
        <v>0.4</v>
      </c>
      <c r="K78" s="112">
        <v>73.599999999999994</v>
      </c>
      <c r="L78" s="112">
        <v>39.69</v>
      </c>
      <c r="M78" s="112">
        <v>11.08</v>
      </c>
      <c r="N78" s="112">
        <v>64.400000000000006</v>
      </c>
      <c r="O78" s="112">
        <v>0</v>
      </c>
      <c r="P78" s="112">
        <v>0.5</v>
      </c>
      <c r="Q78" s="167" t="s">
        <v>14</v>
      </c>
    </row>
    <row r="79" spans="1:17" customFormat="1">
      <c r="A79" s="80">
        <v>45416.739583333336</v>
      </c>
      <c r="B79" s="112">
        <v>10</v>
      </c>
      <c r="C79" s="112">
        <v>15</v>
      </c>
      <c r="D79" s="112">
        <v>25</v>
      </c>
      <c r="E79" s="112">
        <v>6.89</v>
      </c>
      <c r="F79" s="112">
        <v>33.520000000000003</v>
      </c>
      <c r="G79" s="112">
        <v>84.08</v>
      </c>
      <c r="H79" s="112">
        <v>25.9</v>
      </c>
      <c r="I79" s="112">
        <v>3.9</v>
      </c>
      <c r="J79" s="112">
        <v>0.32</v>
      </c>
      <c r="K79" s="112">
        <v>153.4</v>
      </c>
      <c r="L79" s="112">
        <v>38.75</v>
      </c>
      <c r="M79" s="112">
        <v>14.69</v>
      </c>
      <c r="N79" s="112">
        <v>29.6</v>
      </c>
      <c r="O79" s="112">
        <v>0</v>
      </c>
      <c r="P79" s="112">
        <v>0.52</v>
      </c>
      <c r="Q79" s="167" t="s">
        <v>14</v>
      </c>
    </row>
    <row r="80" spans="1:17" customFormat="1">
      <c r="A80" s="80">
        <v>45416.75</v>
      </c>
      <c r="B80" s="112">
        <v>10</v>
      </c>
      <c r="C80" s="112">
        <v>15</v>
      </c>
      <c r="D80" s="112">
        <v>25</v>
      </c>
      <c r="E80" s="112">
        <v>8.5</v>
      </c>
      <c r="F80" s="112">
        <v>27.8</v>
      </c>
      <c r="G80" s="112">
        <v>82.24</v>
      </c>
      <c r="H80" s="112">
        <v>25.05</v>
      </c>
      <c r="I80" s="112">
        <v>4.24</v>
      </c>
      <c r="J80" s="112">
        <v>0.28000000000000003</v>
      </c>
      <c r="K80" s="112">
        <v>165.17</v>
      </c>
      <c r="L80" s="112">
        <v>37.43</v>
      </c>
      <c r="M80" s="112">
        <v>17.27</v>
      </c>
      <c r="N80" s="112">
        <v>19.2</v>
      </c>
      <c r="O80" s="112">
        <v>0</v>
      </c>
      <c r="P80" s="112">
        <v>0.62</v>
      </c>
      <c r="Q80" s="167" t="s">
        <v>14</v>
      </c>
    </row>
    <row r="81" spans="1:17" customFormat="1">
      <c r="A81" s="80">
        <v>45416.760416666664</v>
      </c>
      <c r="B81" s="112">
        <v>10</v>
      </c>
      <c r="C81" s="112">
        <v>15</v>
      </c>
      <c r="D81" s="112">
        <v>25</v>
      </c>
      <c r="E81" s="112">
        <v>10.02</v>
      </c>
      <c r="F81" s="112">
        <v>21.04</v>
      </c>
      <c r="G81" s="112">
        <v>81.78</v>
      </c>
      <c r="H81" s="112">
        <v>25.05</v>
      </c>
      <c r="I81" s="112">
        <v>4.7300000000000004</v>
      </c>
      <c r="J81" s="112">
        <v>0.31</v>
      </c>
      <c r="K81" s="112">
        <v>223.94</v>
      </c>
      <c r="L81" s="112">
        <v>35.659999999999997</v>
      </c>
      <c r="M81" s="112">
        <v>21.79</v>
      </c>
      <c r="N81" s="112">
        <v>2.9</v>
      </c>
      <c r="O81" s="112">
        <v>0</v>
      </c>
      <c r="P81" s="112">
        <v>0.56999999999999995</v>
      </c>
      <c r="Q81" s="167" t="s">
        <v>14</v>
      </c>
    </row>
    <row r="82" spans="1:17" customFormat="1">
      <c r="A82" s="80">
        <v>45416.770833333336</v>
      </c>
      <c r="B82" s="112">
        <v>10</v>
      </c>
      <c r="C82" s="112">
        <v>15</v>
      </c>
      <c r="D82" s="112">
        <v>25</v>
      </c>
      <c r="E82" s="112">
        <v>12.66</v>
      </c>
      <c r="F82" s="112">
        <v>28.69</v>
      </c>
      <c r="G82" s="112">
        <v>81.78</v>
      </c>
      <c r="H82" s="112">
        <v>25.05</v>
      </c>
      <c r="I82" s="112">
        <v>5.58</v>
      </c>
      <c r="J82" s="112">
        <v>0.2</v>
      </c>
      <c r="K82" s="112">
        <v>180.4</v>
      </c>
      <c r="L82" s="112">
        <v>34.479999999999997</v>
      </c>
      <c r="M82" s="112">
        <v>24.01</v>
      </c>
      <c r="N82" s="112">
        <v>0</v>
      </c>
      <c r="O82" s="112">
        <v>0</v>
      </c>
      <c r="P82" s="112">
        <v>0.53</v>
      </c>
      <c r="Q82" s="167" t="s">
        <v>14</v>
      </c>
    </row>
    <row r="83" spans="1:17" customFormat="1">
      <c r="A83" s="80">
        <v>45416.78125</v>
      </c>
      <c r="B83" s="112">
        <v>10</v>
      </c>
      <c r="C83" s="112">
        <v>15</v>
      </c>
      <c r="D83" s="112">
        <v>25</v>
      </c>
      <c r="E83" s="112">
        <v>12.82</v>
      </c>
      <c r="F83" s="112">
        <v>25.55</v>
      </c>
      <c r="G83" s="112">
        <v>81.78</v>
      </c>
      <c r="H83" s="112">
        <v>25.05</v>
      </c>
      <c r="I83" s="112">
        <v>5.83</v>
      </c>
      <c r="J83" s="112">
        <v>0.16</v>
      </c>
      <c r="K83" s="112">
        <v>172.95</v>
      </c>
      <c r="L83" s="112">
        <v>33.82</v>
      </c>
      <c r="M83" s="112">
        <v>27.22</v>
      </c>
      <c r="N83" s="112">
        <v>0</v>
      </c>
      <c r="O83" s="112">
        <v>0</v>
      </c>
      <c r="P83" s="112">
        <v>0.55000000000000004</v>
      </c>
      <c r="Q83" s="167" t="s">
        <v>14</v>
      </c>
    </row>
    <row r="84" spans="1:17" customFormat="1">
      <c r="A84" s="80">
        <v>45416.791666666664</v>
      </c>
      <c r="B84" s="112">
        <v>10</v>
      </c>
      <c r="C84" s="112">
        <v>15</v>
      </c>
      <c r="D84" s="112">
        <v>25</v>
      </c>
      <c r="E84" s="112">
        <v>11.55</v>
      </c>
      <c r="F84" s="112">
        <v>12.46</v>
      </c>
      <c r="G84" s="112">
        <v>86.76</v>
      </c>
      <c r="H84" s="112">
        <v>27.35</v>
      </c>
      <c r="I84" s="112">
        <v>5.24</v>
      </c>
      <c r="J84" s="112">
        <v>0.23</v>
      </c>
      <c r="K84" s="112">
        <v>183.52</v>
      </c>
      <c r="L84" s="112">
        <v>33.270000000000003</v>
      </c>
      <c r="M84" s="112">
        <v>28.83</v>
      </c>
      <c r="N84" s="112">
        <v>0</v>
      </c>
      <c r="O84" s="112">
        <v>0</v>
      </c>
      <c r="P84" s="112">
        <v>0.56999999999999995</v>
      </c>
      <c r="Q84" s="167" t="s">
        <v>14</v>
      </c>
    </row>
    <row r="85" spans="1:17" customFormat="1">
      <c r="A85" s="80">
        <v>45416.802083333336</v>
      </c>
      <c r="B85" s="112">
        <v>10</v>
      </c>
      <c r="C85" s="112">
        <v>15</v>
      </c>
      <c r="D85" s="112">
        <v>25</v>
      </c>
      <c r="E85" s="112">
        <v>11.76</v>
      </c>
      <c r="F85" s="112">
        <v>16.350000000000001</v>
      </c>
      <c r="G85" s="112">
        <v>88</v>
      </c>
      <c r="H85" s="112">
        <v>27.35</v>
      </c>
      <c r="I85" s="112">
        <v>5.37</v>
      </c>
      <c r="J85" s="112">
        <v>0.19</v>
      </c>
      <c r="K85" s="112">
        <v>185.82</v>
      </c>
      <c r="L85" s="112">
        <v>32.69</v>
      </c>
      <c r="M85" s="112">
        <v>27.74</v>
      </c>
      <c r="N85" s="112">
        <v>0</v>
      </c>
      <c r="O85" s="112">
        <v>0</v>
      </c>
      <c r="P85" s="112">
        <v>0.6</v>
      </c>
      <c r="Q85" s="167" t="s">
        <v>14</v>
      </c>
    </row>
    <row r="86" spans="1:17" customFormat="1">
      <c r="A86" s="80">
        <v>45416.8125</v>
      </c>
      <c r="B86" s="112">
        <v>10</v>
      </c>
      <c r="C86" s="112">
        <v>15</v>
      </c>
      <c r="D86" s="112">
        <v>25</v>
      </c>
      <c r="E86" s="112">
        <v>12.12</v>
      </c>
      <c r="F86" s="112">
        <v>15.78</v>
      </c>
      <c r="G86" s="112">
        <v>88</v>
      </c>
      <c r="H86" s="112">
        <v>27.35</v>
      </c>
      <c r="I86" s="112">
        <v>5.64</v>
      </c>
      <c r="J86" s="112">
        <v>0.36</v>
      </c>
      <c r="K86" s="112">
        <v>157.91999999999999</v>
      </c>
      <c r="L86" s="112">
        <v>32.65</v>
      </c>
      <c r="M86" s="112">
        <v>28.33</v>
      </c>
      <c r="N86" s="112">
        <v>0</v>
      </c>
      <c r="O86" s="112">
        <v>0</v>
      </c>
      <c r="P86" s="112">
        <v>0.66</v>
      </c>
      <c r="Q86" s="167" t="s">
        <v>14</v>
      </c>
    </row>
    <row r="87" spans="1:17" customFormat="1">
      <c r="A87" s="80">
        <v>45416.822916666664</v>
      </c>
      <c r="B87" s="112">
        <v>10</v>
      </c>
      <c r="C87" s="112">
        <v>15</v>
      </c>
      <c r="D87" s="112">
        <v>25</v>
      </c>
      <c r="E87" s="112">
        <v>11.01</v>
      </c>
      <c r="F87" s="112">
        <v>13.19</v>
      </c>
      <c r="G87" s="112">
        <v>88</v>
      </c>
      <c r="H87" s="112">
        <v>27.35</v>
      </c>
      <c r="I87" s="112">
        <v>5.97</v>
      </c>
      <c r="J87" s="112">
        <v>0.21</v>
      </c>
      <c r="K87" s="112">
        <v>194.98</v>
      </c>
      <c r="L87" s="112">
        <v>31.97</v>
      </c>
      <c r="M87" s="112">
        <v>29.33</v>
      </c>
      <c r="N87" s="112">
        <v>0</v>
      </c>
      <c r="O87" s="112">
        <v>0</v>
      </c>
      <c r="P87" s="112">
        <v>0.62</v>
      </c>
      <c r="Q87" s="167" t="s">
        <v>14</v>
      </c>
    </row>
    <row r="88" spans="1:17" customFormat="1">
      <c r="A88" s="80">
        <v>45416.833333333336</v>
      </c>
      <c r="B88" s="112">
        <v>10</v>
      </c>
      <c r="C88" s="112">
        <v>15</v>
      </c>
      <c r="D88" s="112">
        <v>25</v>
      </c>
      <c r="E88" s="112">
        <v>12.2</v>
      </c>
      <c r="F88" s="112">
        <v>12.8</v>
      </c>
      <c r="G88" s="112">
        <v>82.57</v>
      </c>
      <c r="H88" s="112">
        <v>26.29</v>
      </c>
      <c r="I88" s="112">
        <v>6.25</v>
      </c>
      <c r="J88" s="112">
        <v>0.15</v>
      </c>
      <c r="K88" s="112">
        <v>213.74</v>
      </c>
      <c r="L88" s="112">
        <v>31.09</v>
      </c>
      <c r="M88" s="112">
        <v>29.71</v>
      </c>
      <c r="N88" s="112">
        <v>0</v>
      </c>
      <c r="O88" s="112">
        <v>0</v>
      </c>
      <c r="P88" s="112">
        <v>0.69</v>
      </c>
      <c r="Q88" s="167" t="s">
        <v>14</v>
      </c>
    </row>
    <row r="89" spans="1:17" customFormat="1">
      <c r="A89" s="80">
        <v>45416.84375</v>
      </c>
      <c r="B89" s="112">
        <v>10</v>
      </c>
      <c r="C89" s="112">
        <v>15</v>
      </c>
      <c r="D89" s="112">
        <v>25</v>
      </c>
      <c r="E89" s="112">
        <v>11.14</v>
      </c>
      <c r="F89" s="112">
        <v>7.27</v>
      </c>
      <c r="G89" s="112">
        <v>81.22</v>
      </c>
      <c r="H89" s="112">
        <v>26.29</v>
      </c>
      <c r="I89" s="112">
        <v>6.78</v>
      </c>
      <c r="J89" s="112">
        <v>0.3</v>
      </c>
      <c r="K89" s="112">
        <v>235.57</v>
      </c>
      <c r="L89" s="112">
        <v>30.75</v>
      </c>
      <c r="M89" s="112">
        <v>32.159999999999997</v>
      </c>
      <c r="N89" s="112">
        <v>0</v>
      </c>
      <c r="O89" s="112">
        <v>0</v>
      </c>
      <c r="P89" s="112">
        <v>0.69</v>
      </c>
      <c r="Q89" s="167" t="s">
        <v>14</v>
      </c>
    </row>
    <row r="90" spans="1:17" customFormat="1">
      <c r="A90" s="80">
        <v>45416.854166666664</v>
      </c>
      <c r="B90" s="112">
        <v>10</v>
      </c>
      <c r="C90" s="112">
        <v>15</v>
      </c>
      <c r="D90" s="112">
        <v>25</v>
      </c>
      <c r="E90" s="112">
        <v>11.91</v>
      </c>
      <c r="F90" s="112">
        <v>4.5</v>
      </c>
      <c r="G90" s="112">
        <v>81.22</v>
      </c>
      <c r="H90" s="112">
        <v>26.29</v>
      </c>
      <c r="I90" s="112">
        <v>7.45</v>
      </c>
      <c r="J90" s="112">
        <v>0.23</v>
      </c>
      <c r="K90" s="112">
        <v>168.38</v>
      </c>
      <c r="L90" s="112">
        <v>31.12</v>
      </c>
      <c r="M90" s="112">
        <v>33.159999999999997</v>
      </c>
      <c r="N90" s="112">
        <v>0</v>
      </c>
      <c r="O90" s="112">
        <v>0</v>
      </c>
      <c r="P90" s="112">
        <v>0.71</v>
      </c>
      <c r="Q90" s="167" t="s">
        <v>14</v>
      </c>
    </row>
    <row r="91" spans="1:17" customFormat="1">
      <c r="A91" s="80">
        <v>45416.864583333336</v>
      </c>
      <c r="B91" s="112">
        <v>10</v>
      </c>
      <c r="C91" s="112">
        <v>15</v>
      </c>
      <c r="D91" s="112">
        <v>25</v>
      </c>
      <c r="E91" s="112">
        <v>12.04</v>
      </c>
      <c r="F91" s="112">
        <v>3.6</v>
      </c>
      <c r="G91" s="112">
        <v>81.22</v>
      </c>
      <c r="H91" s="112">
        <v>26.29</v>
      </c>
      <c r="I91" s="112">
        <v>7.57</v>
      </c>
      <c r="J91" s="112">
        <v>0.18</v>
      </c>
      <c r="K91" s="112">
        <v>180.42</v>
      </c>
      <c r="L91" s="112">
        <v>30.47</v>
      </c>
      <c r="M91" s="112">
        <v>35.49</v>
      </c>
      <c r="N91" s="112">
        <v>0</v>
      </c>
      <c r="O91" s="112">
        <v>0</v>
      </c>
      <c r="P91" s="112">
        <v>0.76</v>
      </c>
      <c r="Q91" s="167" t="s">
        <v>14</v>
      </c>
    </row>
    <row r="92" spans="1:17" customFormat="1">
      <c r="A92" s="80">
        <v>45416.875</v>
      </c>
      <c r="B92" s="112">
        <v>10</v>
      </c>
      <c r="C92" s="112">
        <v>15</v>
      </c>
      <c r="D92" s="112">
        <v>25</v>
      </c>
      <c r="E92" s="112">
        <v>12.48</v>
      </c>
      <c r="F92" s="112">
        <v>7.88</v>
      </c>
      <c r="G92" s="112">
        <v>84.6</v>
      </c>
      <c r="H92" s="112">
        <v>27.58</v>
      </c>
      <c r="I92" s="112">
        <v>7.76</v>
      </c>
      <c r="J92" s="112">
        <v>0.18</v>
      </c>
      <c r="K92" s="112">
        <v>154.96</v>
      </c>
      <c r="L92" s="112">
        <v>30.39</v>
      </c>
      <c r="M92" s="112">
        <v>32.950000000000003</v>
      </c>
      <c r="N92" s="112">
        <v>0</v>
      </c>
      <c r="O92" s="112">
        <v>0</v>
      </c>
      <c r="P92" s="112">
        <v>0.83</v>
      </c>
      <c r="Q92" s="167" t="s">
        <v>14</v>
      </c>
    </row>
    <row r="93" spans="1:17" customFormat="1">
      <c r="A93" s="80">
        <v>45416.885416666664</v>
      </c>
      <c r="B93" s="112">
        <v>10</v>
      </c>
      <c r="C93" s="112">
        <v>15</v>
      </c>
      <c r="D93" s="112">
        <v>25</v>
      </c>
      <c r="E93" s="112">
        <v>14.52</v>
      </c>
      <c r="F93" s="112">
        <v>12.18</v>
      </c>
      <c r="G93" s="112">
        <v>85.45</v>
      </c>
      <c r="H93" s="112">
        <v>27.58</v>
      </c>
      <c r="I93" s="112">
        <v>8.24</v>
      </c>
      <c r="J93" s="112">
        <v>0.25</v>
      </c>
      <c r="K93" s="112">
        <v>162.66999999999999</v>
      </c>
      <c r="L93" s="112">
        <v>30.32</v>
      </c>
      <c r="M93" s="112">
        <v>32.86</v>
      </c>
      <c r="N93" s="112">
        <v>0</v>
      </c>
      <c r="O93" s="112">
        <v>0</v>
      </c>
      <c r="P93" s="112">
        <v>0.83</v>
      </c>
      <c r="Q93" s="167" t="s">
        <v>14</v>
      </c>
    </row>
    <row r="94" spans="1:17" customFormat="1">
      <c r="A94" s="80">
        <v>45416.895833333336</v>
      </c>
      <c r="B94" s="112">
        <v>10</v>
      </c>
      <c r="C94" s="112">
        <v>15</v>
      </c>
      <c r="D94" s="112">
        <v>25</v>
      </c>
      <c r="E94" s="112">
        <v>16.09</v>
      </c>
      <c r="F94" s="112">
        <v>13.89</v>
      </c>
      <c r="G94" s="112">
        <v>85.45</v>
      </c>
      <c r="H94" s="112">
        <v>27.58</v>
      </c>
      <c r="I94" s="112">
        <v>8.61</v>
      </c>
      <c r="J94" s="112">
        <v>0.14000000000000001</v>
      </c>
      <c r="K94" s="112">
        <v>172.99</v>
      </c>
      <c r="L94" s="112">
        <v>29.83</v>
      </c>
      <c r="M94" s="112">
        <v>35.78</v>
      </c>
      <c r="N94" s="112">
        <v>0</v>
      </c>
      <c r="O94" s="112">
        <v>0</v>
      </c>
      <c r="P94" s="112">
        <v>0.86</v>
      </c>
      <c r="Q94" s="167" t="s">
        <v>14</v>
      </c>
    </row>
    <row r="95" spans="1:17" customFormat="1">
      <c r="A95" s="80">
        <v>45416.90625</v>
      </c>
      <c r="B95" s="112">
        <v>10</v>
      </c>
      <c r="C95" s="112">
        <v>15</v>
      </c>
      <c r="D95" s="112">
        <v>25</v>
      </c>
      <c r="E95" s="112">
        <v>14.56</v>
      </c>
      <c r="F95" s="112">
        <v>11.84</v>
      </c>
      <c r="G95" s="112">
        <v>85.45</v>
      </c>
      <c r="H95" s="112">
        <v>27.58</v>
      </c>
      <c r="I95" s="112">
        <v>8.7200000000000006</v>
      </c>
      <c r="J95" s="112">
        <v>0.21</v>
      </c>
      <c r="K95" s="112">
        <v>171</v>
      </c>
      <c r="L95" s="112">
        <v>29.19</v>
      </c>
      <c r="M95" s="112">
        <v>40.450000000000003</v>
      </c>
      <c r="N95" s="112">
        <v>0</v>
      </c>
      <c r="O95" s="112">
        <v>0</v>
      </c>
      <c r="P95" s="112">
        <v>0.86</v>
      </c>
      <c r="Q95" s="167" t="s">
        <v>14</v>
      </c>
    </row>
    <row r="96" spans="1:17" customFormat="1">
      <c r="A96" s="80">
        <v>45416.916666666664</v>
      </c>
      <c r="B96" s="112">
        <v>10</v>
      </c>
      <c r="C96" s="112">
        <v>15</v>
      </c>
      <c r="D96" s="112">
        <v>25</v>
      </c>
      <c r="E96" s="112">
        <v>17.45</v>
      </c>
      <c r="F96" s="112">
        <v>22.97</v>
      </c>
      <c r="G96" s="112">
        <v>91.95</v>
      </c>
      <c r="H96" s="112">
        <v>26.28</v>
      </c>
      <c r="I96" s="112">
        <v>9.0500000000000007</v>
      </c>
      <c r="J96" s="112">
        <v>0.16</v>
      </c>
      <c r="K96" s="112">
        <v>163.22</v>
      </c>
      <c r="L96" s="112">
        <v>29.11</v>
      </c>
      <c r="M96" s="112">
        <v>33.89</v>
      </c>
      <c r="N96" s="112">
        <v>0</v>
      </c>
      <c r="O96" s="112">
        <v>0</v>
      </c>
      <c r="P96" s="112">
        <v>0.85</v>
      </c>
      <c r="Q96" s="167" t="s">
        <v>14</v>
      </c>
    </row>
    <row r="97" spans="1:22" customFormat="1">
      <c r="A97" s="80">
        <v>45416.927083333336</v>
      </c>
      <c r="B97" s="112">
        <v>10</v>
      </c>
      <c r="C97" s="112">
        <v>15</v>
      </c>
      <c r="D97" s="112">
        <v>25</v>
      </c>
      <c r="E97" s="112">
        <v>17.84</v>
      </c>
      <c r="F97" s="112">
        <v>22.24</v>
      </c>
      <c r="G97" s="112">
        <v>93.57</v>
      </c>
      <c r="H97" s="112">
        <v>26.28</v>
      </c>
      <c r="I97" s="112">
        <v>9.08</v>
      </c>
      <c r="J97" s="112">
        <v>0.23</v>
      </c>
      <c r="K97" s="112">
        <v>166.1</v>
      </c>
      <c r="L97" s="112">
        <v>29.2</v>
      </c>
      <c r="M97" s="112">
        <v>32.51</v>
      </c>
      <c r="N97" s="112">
        <v>0</v>
      </c>
      <c r="O97" s="112">
        <v>0</v>
      </c>
      <c r="P97" s="112">
        <v>0.83</v>
      </c>
      <c r="Q97" s="167" t="s">
        <v>14</v>
      </c>
    </row>
    <row r="98" spans="1:22" customFormat="1">
      <c r="A98" s="80">
        <v>45416.9375</v>
      </c>
      <c r="B98" s="112">
        <v>10</v>
      </c>
      <c r="C98" s="112">
        <v>15</v>
      </c>
      <c r="D98" s="112">
        <v>25</v>
      </c>
      <c r="E98" s="112">
        <v>16.72</v>
      </c>
      <c r="F98" s="112">
        <v>20.32</v>
      </c>
      <c r="G98" s="112">
        <v>93.57</v>
      </c>
      <c r="H98" s="112">
        <v>26.28</v>
      </c>
      <c r="I98" s="112">
        <v>9</v>
      </c>
      <c r="J98" s="112">
        <v>0.21</v>
      </c>
      <c r="K98" s="112">
        <v>163.44999999999999</v>
      </c>
      <c r="L98" s="112">
        <v>29.04</v>
      </c>
      <c r="M98" s="112">
        <v>35.049999999999997</v>
      </c>
      <c r="N98" s="112">
        <v>0</v>
      </c>
      <c r="O98" s="112">
        <v>0</v>
      </c>
      <c r="P98" s="112">
        <v>0.83</v>
      </c>
      <c r="Q98" s="167" t="s">
        <v>14</v>
      </c>
    </row>
    <row r="99" spans="1:22" customFormat="1">
      <c r="A99" s="80">
        <v>45416.947916666664</v>
      </c>
      <c r="B99" s="112">
        <v>10</v>
      </c>
      <c r="C99" s="112">
        <v>15</v>
      </c>
      <c r="D99" s="112">
        <v>25</v>
      </c>
      <c r="E99" s="112">
        <v>14.7</v>
      </c>
      <c r="F99" s="112">
        <v>14.93</v>
      </c>
      <c r="G99" s="112">
        <v>93.57</v>
      </c>
      <c r="H99" s="112">
        <v>26.28</v>
      </c>
      <c r="I99" s="112">
        <v>8.89</v>
      </c>
      <c r="J99" s="112">
        <v>0.22</v>
      </c>
      <c r="K99" s="112">
        <v>162.54</v>
      </c>
      <c r="L99" s="112">
        <v>28.61</v>
      </c>
      <c r="M99" s="112">
        <v>37.11</v>
      </c>
      <c r="N99" s="112">
        <v>0</v>
      </c>
      <c r="O99" s="112">
        <v>0</v>
      </c>
      <c r="P99" s="112">
        <v>0.83</v>
      </c>
      <c r="Q99" s="167" t="s">
        <v>14</v>
      </c>
    </row>
    <row r="100" spans="1:22" customFormat="1">
      <c r="A100" s="80">
        <v>45416.958333333336</v>
      </c>
      <c r="B100" s="112">
        <v>10</v>
      </c>
      <c r="C100" s="112">
        <v>15</v>
      </c>
      <c r="D100" s="112">
        <v>25</v>
      </c>
      <c r="E100" s="112">
        <v>17.63</v>
      </c>
      <c r="F100" s="112">
        <v>25.85</v>
      </c>
      <c r="G100" s="112">
        <v>90.03</v>
      </c>
      <c r="H100" s="112">
        <v>33.520000000000003</v>
      </c>
      <c r="I100" s="112">
        <v>8.89</v>
      </c>
      <c r="J100" s="112">
        <v>0.19</v>
      </c>
      <c r="K100" s="112">
        <v>163.61000000000001</v>
      </c>
      <c r="L100" s="112">
        <v>28.63</v>
      </c>
      <c r="M100" s="112">
        <v>33.01</v>
      </c>
      <c r="N100" s="112">
        <v>0</v>
      </c>
      <c r="O100" s="112">
        <v>0</v>
      </c>
      <c r="P100" s="112">
        <v>0.8</v>
      </c>
      <c r="Q100" s="167" t="s">
        <v>14</v>
      </c>
    </row>
    <row r="101" spans="1:22" customFormat="1">
      <c r="A101" s="80">
        <v>45416.96875</v>
      </c>
      <c r="B101" s="112">
        <v>10</v>
      </c>
      <c r="C101" s="112">
        <v>15</v>
      </c>
      <c r="D101" s="112">
        <v>25</v>
      </c>
      <c r="E101" s="112">
        <v>14.93</v>
      </c>
      <c r="F101" s="112">
        <v>12.01</v>
      </c>
      <c r="G101" s="112">
        <v>89.14</v>
      </c>
      <c r="H101" s="112">
        <v>33.520000000000003</v>
      </c>
      <c r="I101" s="112">
        <v>8.86</v>
      </c>
      <c r="J101" s="112">
        <v>0.28999999999999998</v>
      </c>
      <c r="K101" s="112">
        <v>159.86000000000001</v>
      </c>
      <c r="L101" s="112">
        <v>28.6</v>
      </c>
      <c r="M101" s="112">
        <v>35.14</v>
      </c>
      <c r="N101" s="112">
        <v>0</v>
      </c>
      <c r="O101" s="112">
        <v>0</v>
      </c>
      <c r="P101" s="112">
        <v>0.81</v>
      </c>
      <c r="Q101" s="167" t="s">
        <v>14</v>
      </c>
    </row>
    <row r="102" spans="1:22" customFormat="1">
      <c r="A102" s="80">
        <v>45416.979166666664</v>
      </c>
      <c r="B102" s="112">
        <v>10</v>
      </c>
      <c r="C102" s="112">
        <v>15</v>
      </c>
      <c r="D102" s="112">
        <v>25</v>
      </c>
      <c r="E102" s="112">
        <v>13.83</v>
      </c>
      <c r="F102" s="112">
        <v>10.27</v>
      </c>
      <c r="G102" s="112">
        <v>89.14</v>
      </c>
      <c r="H102" s="112">
        <v>33.520000000000003</v>
      </c>
      <c r="I102" s="112">
        <v>8.77</v>
      </c>
      <c r="J102" s="112">
        <v>0.28999999999999998</v>
      </c>
      <c r="K102" s="112">
        <v>168.86</v>
      </c>
      <c r="L102" s="112">
        <v>28.2</v>
      </c>
      <c r="M102" s="112">
        <v>37.619999999999997</v>
      </c>
      <c r="N102" s="112">
        <v>0</v>
      </c>
      <c r="O102" s="112">
        <v>0</v>
      </c>
      <c r="P102" s="112">
        <v>0.82</v>
      </c>
      <c r="Q102" s="167" t="s">
        <v>14</v>
      </c>
    </row>
    <row r="103" spans="1:22" customFormat="1">
      <c r="A103" s="80">
        <v>45416.989583333336</v>
      </c>
      <c r="B103" s="112">
        <v>10</v>
      </c>
      <c r="C103" s="112">
        <v>15</v>
      </c>
      <c r="D103" s="112">
        <v>25</v>
      </c>
      <c r="E103" s="112">
        <v>13.25</v>
      </c>
      <c r="F103" s="112">
        <v>7.92</v>
      </c>
      <c r="G103" s="112">
        <v>89.14</v>
      </c>
      <c r="H103" s="112">
        <v>33.520000000000003</v>
      </c>
      <c r="I103" s="112">
        <v>8.76</v>
      </c>
      <c r="J103" s="112">
        <v>0.23</v>
      </c>
      <c r="K103" s="112">
        <v>176.28</v>
      </c>
      <c r="L103" s="112">
        <v>27.66</v>
      </c>
      <c r="M103" s="112">
        <v>39.659999999999997</v>
      </c>
      <c r="N103" s="112">
        <v>0</v>
      </c>
      <c r="O103" s="112">
        <v>0</v>
      </c>
      <c r="P103" s="112">
        <v>0.81</v>
      </c>
      <c r="Q103" s="167" t="s">
        <v>14</v>
      </c>
    </row>
    <row r="104" spans="1:22" customFormat="1">
      <c r="A104" s="80">
        <v>45417</v>
      </c>
      <c r="B104" s="112">
        <v>10</v>
      </c>
      <c r="C104" s="112">
        <v>15</v>
      </c>
      <c r="D104" s="112">
        <v>25</v>
      </c>
      <c r="E104" s="112">
        <v>12.93</v>
      </c>
      <c r="F104" s="112">
        <v>7.1</v>
      </c>
      <c r="G104" s="112">
        <v>87.59</v>
      </c>
      <c r="H104" s="112">
        <v>30.03</v>
      </c>
      <c r="I104" s="112">
        <v>8.9</v>
      </c>
      <c r="J104" s="112">
        <v>0.26</v>
      </c>
      <c r="K104" s="112">
        <v>168.6</v>
      </c>
      <c r="L104" s="112">
        <v>27.34</v>
      </c>
      <c r="M104" s="112">
        <v>38.74</v>
      </c>
      <c r="N104" s="112">
        <v>0</v>
      </c>
      <c r="O104" s="112">
        <v>0</v>
      </c>
      <c r="P104" s="112">
        <v>0.83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10</v>
      </c>
      <c r="C106" s="183">
        <f>MIN(C9:C104)</f>
        <v>13.05</v>
      </c>
      <c r="D106" s="183">
        <f t="shared" ref="D106:Q106" si="0">MIN(D9:D104)</f>
        <v>25</v>
      </c>
      <c r="E106" s="183">
        <f t="shared" si="0"/>
        <v>5.98</v>
      </c>
      <c r="F106" s="183">
        <f t="shared" si="0"/>
        <v>1</v>
      </c>
      <c r="G106" s="183">
        <f t="shared" si="0"/>
        <v>0</v>
      </c>
      <c r="H106" s="183">
        <f t="shared" si="0"/>
        <v>25.05</v>
      </c>
      <c r="I106" s="183">
        <f t="shared" si="0"/>
        <v>3.08</v>
      </c>
      <c r="J106" s="183">
        <f t="shared" si="0"/>
        <v>0.01</v>
      </c>
      <c r="K106" s="183">
        <f t="shared" si="0"/>
        <v>13.56</v>
      </c>
      <c r="L106" s="183">
        <f t="shared" si="0"/>
        <v>22.78</v>
      </c>
      <c r="M106" s="183">
        <f t="shared" si="0"/>
        <v>7.11</v>
      </c>
      <c r="N106" s="183">
        <f t="shared" si="0"/>
        <v>0</v>
      </c>
      <c r="O106" s="183">
        <f t="shared" si="0"/>
        <v>0</v>
      </c>
      <c r="P106" s="183">
        <f t="shared" si="0"/>
        <v>0.27</v>
      </c>
      <c r="Q106" s="183">
        <f t="shared" si="0"/>
        <v>4.6399999999999997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12.6</v>
      </c>
      <c r="C107" s="184">
        <f t="shared" ref="C107:Q107" si="1">MAX(C9:C104)</f>
        <v>15</v>
      </c>
      <c r="D107" s="184">
        <f t="shared" si="1"/>
        <v>26.17</v>
      </c>
      <c r="E107" s="184">
        <f t="shared" si="1"/>
        <v>123.23</v>
      </c>
      <c r="F107" s="184">
        <f t="shared" si="1"/>
        <v>148.36000000000001</v>
      </c>
      <c r="G107" s="184">
        <f t="shared" si="1"/>
        <v>184.68</v>
      </c>
      <c r="H107" s="184">
        <f t="shared" si="1"/>
        <v>57.9</v>
      </c>
      <c r="I107" s="184">
        <f t="shared" si="1"/>
        <v>12.77</v>
      </c>
      <c r="J107" s="184">
        <f t="shared" si="1"/>
        <v>1.07</v>
      </c>
      <c r="K107" s="184">
        <f t="shared" si="1"/>
        <v>352.85</v>
      </c>
      <c r="L107" s="184">
        <f t="shared" si="1"/>
        <v>41.9</v>
      </c>
      <c r="M107" s="184">
        <f t="shared" si="1"/>
        <v>56.06</v>
      </c>
      <c r="N107" s="184">
        <f t="shared" si="1"/>
        <v>769.1</v>
      </c>
      <c r="O107" s="184">
        <f t="shared" si="1"/>
        <v>0</v>
      </c>
      <c r="P107" s="184">
        <f t="shared" si="1"/>
        <v>1.17</v>
      </c>
      <c r="Q107" s="184">
        <f t="shared" si="1"/>
        <v>4.9800000000000004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10.62494382022472</v>
      </c>
      <c r="C108" s="183">
        <f t="shared" ref="C108:Q108" si="2">AVERAGE(C9:C104)</f>
        <v>14.136966292134835</v>
      </c>
      <c r="D108" s="183">
        <f t="shared" si="2"/>
        <v>25.05056179775281</v>
      </c>
      <c r="E108" s="183">
        <f t="shared" si="2"/>
        <v>20.485555555555557</v>
      </c>
      <c r="F108" s="183">
        <f t="shared" si="2"/>
        <v>34.817555555555572</v>
      </c>
      <c r="G108" s="183">
        <f t="shared" si="2"/>
        <v>104.95451219512191</v>
      </c>
      <c r="H108" s="183">
        <f t="shared" si="2"/>
        <v>36.643902439024409</v>
      </c>
      <c r="I108" s="183">
        <f t="shared" si="2"/>
        <v>8.7627272727272771</v>
      </c>
      <c r="J108" s="183">
        <f t="shared" si="2"/>
        <v>0.36359550561797743</v>
      </c>
      <c r="K108" s="183">
        <f t="shared" si="2"/>
        <v>169.67606741573039</v>
      </c>
      <c r="L108" s="183">
        <f t="shared" si="2"/>
        <v>31.882888888888878</v>
      </c>
      <c r="M108" s="183">
        <f t="shared" si="2"/>
        <v>30.124444444444428</v>
      </c>
      <c r="N108" s="183">
        <f t="shared" si="2"/>
        <v>148.81666666666669</v>
      </c>
      <c r="O108" s="183">
        <f t="shared" si="2"/>
        <v>0</v>
      </c>
      <c r="P108" s="183">
        <f t="shared" si="2"/>
        <v>0.80566666666666609</v>
      </c>
      <c r="Q108" s="183">
        <f t="shared" si="2"/>
        <v>4.7337499999999988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0.6821975247074975</v>
      </c>
      <c r="C109" s="183">
        <f t="shared" ref="C109:Q109" si="3">STDEV(C9:C104)</f>
        <v>0.92328391734751969</v>
      </c>
      <c r="D109" s="183">
        <f t="shared" si="3"/>
        <v>0.13328335801593594</v>
      </c>
      <c r="E109" s="183">
        <f t="shared" si="3"/>
        <v>16.323301199433914</v>
      </c>
      <c r="F109" s="183">
        <f t="shared" si="3"/>
        <v>45.065049047381997</v>
      </c>
      <c r="G109" s="183">
        <f t="shared" si="3"/>
        <v>35.964855793235976</v>
      </c>
      <c r="H109" s="183">
        <f t="shared" si="3"/>
        <v>10.890839706892578</v>
      </c>
      <c r="I109" s="183">
        <f t="shared" si="3"/>
        <v>3.1179770657007864</v>
      </c>
      <c r="J109" s="183">
        <f t="shared" si="3"/>
        <v>0.25255623672133665</v>
      </c>
      <c r="K109" s="183">
        <f t="shared" si="3"/>
        <v>87.535288087121586</v>
      </c>
      <c r="L109" s="183">
        <f t="shared" si="3"/>
        <v>6.6721570126158998</v>
      </c>
      <c r="M109" s="183">
        <f t="shared" si="3"/>
        <v>15.821465088703375</v>
      </c>
      <c r="N109" s="183">
        <f t="shared" si="3"/>
        <v>234.3861680784872</v>
      </c>
      <c r="O109" s="183">
        <f t="shared" si="3"/>
        <v>0</v>
      </c>
      <c r="P109" s="183">
        <f t="shared" si="3"/>
        <v>0.28610931359507241</v>
      </c>
      <c r="Q109" s="183">
        <f t="shared" si="3"/>
        <v>0.1269350227479068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Q108" sqref="Q108:Q10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45417.010416666664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45417.010416666664</v>
      </c>
      <c r="B9" s="112">
        <v>11.27</v>
      </c>
      <c r="C9" s="112">
        <v>13.18</v>
      </c>
      <c r="D9" s="112">
        <v>25.07</v>
      </c>
      <c r="E9" s="112">
        <v>14.06</v>
      </c>
      <c r="F9" s="112">
        <v>6.96</v>
      </c>
      <c r="G9" s="112">
        <v>87.2</v>
      </c>
      <c r="H9" s="112">
        <v>30.03</v>
      </c>
      <c r="I9" s="112">
        <v>8.91</v>
      </c>
      <c r="J9" s="112">
        <v>0.25</v>
      </c>
      <c r="K9" s="112">
        <v>172.97</v>
      </c>
      <c r="L9" s="112">
        <v>27.25</v>
      </c>
      <c r="M9" s="112">
        <v>38.869999999999997</v>
      </c>
      <c r="N9" s="112">
        <v>0</v>
      </c>
      <c r="O9" s="112">
        <v>0</v>
      </c>
      <c r="P9" s="112">
        <v>0.83</v>
      </c>
      <c r="Q9" s="167" t="s">
        <v>14</v>
      </c>
    </row>
    <row r="10" spans="1:21" customFormat="1">
      <c r="A10" s="80">
        <v>45417.020833333336</v>
      </c>
      <c r="B10" s="112">
        <v>11.35</v>
      </c>
      <c r="C10" s="112">
        <v>13.26</v>
      </c>
      <c r="D10" s="112">
        <v>25.17</v>
      </c>
      <c r="E10" s="112">
        <v>14.25</v>
      </c>
      <c r="F10" s="112">
        <v>5.99</v>
      </c>
      <c r="G10" s="112">
        <v>87.2</v>
      </c>
      <c r="H10" s="112">
        <v>30.03</v>
      </c>
      <c r="I10" s="112">
        <v>8.9600000000000009</v>
      </c>
      <c r="J10" s="112">
        <v>0.24</v>
      </c>
      <c r="K10" s="112">
        <v>169.91</v>
      </c>
      <c r="L10" s="112">
        <v>27.18</v>
      </c>
      <c r="M10" s="112">
        <v>42.33</v>
      </c>
      <c r="N10" s="112">
        <v>0</v>
      </c>
      <c r="O10" s="112">
        <v>0</v>
      </c>
      <c r="P10" s="112">
        <v>0.83</v>
      </c>
      <c r="Q10" s="167" t="s">
        <v>14</v>
      </c>
    </row>
    <row r="11" spans="1:21" customFormat="1">
      <c r="A11" s="80">
        <v>45417.03125</v>
      </c>
      <c r="B11" s="112">
        <v>11.33</v>
      </c>
      <c r="C11" s="112">
        <v>13.2</v>
      </c>
      <c r="D11" s="112">
        <v>25.13</v>
      </c>
      <c r="E11" s="112">
        <v>14.02</v>
      </c>
      <c r="F11" s="112">
        <v>4.7300000000000004</v>
      </c>
      <c r="G11" s="112">
        <v>87.2</v>
      </c>
      <c r="H11" s="112">
        <v>30.03</v>
      </c>
      <c r="I11" s="112">
        <v>9.07</v>
      </c>
      <c r="J11" s="112">
        <v>0.32</v>
      </c>
      <c r="K11" s="112">
        <v>170.09</v>
      </c>
      <c r="L11" s="112">
        <v>27.12</v>
      </c>
      <c r="M11" s="112">
        <v>41</v>
      </c>
      <c r="N11" s="112">
        <v>0</v>
      </c>
      <c r="O11" s="112">
        <v>0</v>
      </c>
      <c r="P11" s="112">
        <v>0.83</v>
      </c>
      <c r="Q11" s="167" t="s">
        <v>14</v>
      </c>
    </row>
    <row r="12" spans="1:21" customFormat="1">
      <c r="A12" s="80">
        <v>45417.041666666664</v>
      </c>
      <c r="B12" s="112">
        <v>11.3</v>
      </c>
      <c r="C12" s="112">
        <v>13.12</v>
      </c>
      <c r="D12" s="112">
        <v>25.06</v>
      </c>
      <c r="E12" s="112">
        <v>13.34</v>
      </c>
      <c r="F12" s="112">
        <v>3.65</v>
      </c>
      <c r="G12" s="112">
        <v>83.88</v>
      </c>
      <c r="H12" s="112">
        <v>29.02</v>
      </c>
      <c r="I12" s="112">
        <v>9.1300000000000008</v>
      </c>
      <c r="J12" s="112">
        <v>0.25</v>
      </c>
      <c r="K12" s="112">
        <v>180.54</v>
      </c>
      <c r="L12" s="112">
        <v>26.53</v>
      </c>
      <c r="M12" s="112">
        <v>43.97</v>
      </c>
      <c r="N12" s="112">
        <v>0</v>
      </c>
      <c r="O12" s="112">
        <v>0</v>
      </c>
      <c r="P12" s="112">
        <v>0.84</v>
      </c>
      <c r="Q12" s="167" t="s">
        <v>14</v>
      </c>
    </row>
    <row r="13" spans="1:21" customFormat="1">
      <c r="A13" s="80">
        <v>45417.052083333336</v>
      </c>
      <c r="B13" s="112">
        <v>11.29</v>
      </c>
      <c r="C13" s="112">
        <v>13.12</v>
      </c>
      <c r="D13" s="112">
        <v>25.05</v>
      </c>
      <c r="E13" s="112">
        <v>12.98</v>
      </c>
      <c r="F13" s="112">
        <v>1.63</v>
      </c>
      <c r="G13" s="112">
        <v>83.05</v>
      </c>
      <c r="H13" s="112">
        <v>29.02</v>
      </c>
      <c r="I13" s="112">
        <v>9.17</v>
      </c>
      <c r="J13" s="112">
        <v>0.2</v>
      </c>
      <c r="K13" s="112">
        <v>167.25</v>
      </c>
      <c r="L13" s="112">
        <v>26.26</v>
      </c>
      <c r="M13" s="112">
        <v>42.98</v>
      </c>
      <c r="N13" s="112">
        <v>0</v>
      </c>
      <c r="O13" s="112">
        <v>0</v>
      </c>
      <c r="P13" s="112">
        <v>0.84</v>
      </c>
      <c r="Q13" s="167" t="s">
        <v>14</v>
      </c>
    </row>
    <row r="14" spans="1:21" customFormat="1">
      <c r="A14" s="80">
        <v>45417.0625</v>
      </c>
      <c r="B14" s="112">
        <v>11.26</v>
      </c>
      <c r="C14" s="112">
        <v>13.07</v>
      </c>
      <c r="D14" s="112">
        <v>25</v>
      </c>
      <c r="E14" s="112">
        <v>14.32</v>
      </c>
      <c r="F14" s="112">
        <v>2.63</v>
      </c>
      <c r="G14" s="112">
        <v>83.05</v>
      </c>
      <c r="H14" s="112">
        <v>29.02</v>
      </c>
      <c r="I14" s="112">
        <v>9.2100000000000009</v>
      </c>
      <c r="J14" s="112">
        <v>0.22</v>
      </c>
      <c r="K14" s="112">
        <v>130.07</v>
      </c>
      <c r="L14" s="112">
        <v>26.61</v>
      </c>
      <c r="M14" s="112">
        <v>40.93</v>
      </c>
      <c r="N14" s="112">
        <v>0</v>
      </c>
      <c r="O14" s="112">
        <v>0</v>
      </c>
      <c r="P14" s="112">
        <v>0.86</v>
      </c>
      <c r="Q14" s="167" t="s">
        <v>14</v>
      </c>
    </row>
    <row r="15" spans="1:21" customFormat="1">
      <c r="A15" s="80">
        <v>45417.072916666664</v>
      </c>
      <c r="B15" s="112">
        <v>11.26</v>
      </c>
      <c r="C15" s="112">
        <v>13.11</v>
      </c>
      <c r="D15" s="112">
        <v>25.02</v>
      </c>
      <c r="E15" s="112">
        <v>14.77</v>
      </c>
      <c r="F15" s="112">
        <v>2.5499999999999998</v>
      </c>
      <c r="G15" s="112">
        <v>83.05</v>
      </c>
      <c r="H15" s="112">
        <v>29.02</v>
      </c>
      <c r="I15" s="112">
        <v>9.34</v>
      </c>
      <c r="J15" s="112">
        <v>0.24</v>
      </c>
      <c r="K15" s="112">
        <v>138.30000000000001</v>
      </c>
      <c r="L15" s="112">
        <v>26.64</v>
      </c>
      <c r="M15" s="112">
        <v>41.05</v>
      </c>
      <c r="N15" s="112">
        <v>0</v>
      </c>
      <c r="O15" s="112">
        <v>0</v>
      </c>
      <c r="P15" s="112">
        <v>0.87</v>
      </c>
      <c r="Q15" s="167" t="s">
        <v>14</v>
      </c>
    </row>
    <row r="16" spans="1:21" customFormat="1">
      <c r="A16" s="80">
        <v>45417.083333333336</v>
      </c>
      <c r="B16" s="112">
        <v>11.28</v>
      </c>
      <c r="C16" s="112">
        <v>13.12</v>
      </c>
      <c r="D16" s="112">
        <v>25.04</v>
      </c>
      <c r="E16" s="112">
        <v>13.31</v>
      </c>
      <c r="F16" s="112">
        <v>1.01</v>
      </c>
      <c r="G16" s="112">
        <v>89.88</v>
      </c>
      <c r="H16" s="112">
        <v>31.34</v>
      </c>
      <c r="I16" s="112">
        <v>9.65</v>
      </c>
      <c r="J16" s="112">
        <v>0.28999999999999998</v>
      </c>
      <c r="K16" s="112">
        <v>165.76</v>
      </c>
      <c r="L16" s="112">
        <v>26.56</v>
      </c>
      <c r="M16" s="112">
        <v>41.62</v>
      </c>
      <c r="N16" s="112">
        <v>0</v>
      </c>
      <c r="O16" s="112">
        <v>0</v>
      </c>
      <c r="P16" s="112">
        <v>0.89</v>
      </c>
      <c r="Q16" s="167" t="s">
        <v>14</v>
      </c>
    </row>
    <row r="17" spans="1:17" customFormat="1">
      <c r="A17" s="80">
        <v>45417.09375</v>
      </c>
      <c r="B17" s="112">
        <v>11.3</v>
      </c>
      <c r="C17" s="112">
        <v>13.12</v>
      </c>
      <c r="D17" s="112">
        <v>25.05</v>
      </c>
      <c r="E17" s="112">
        <v>7</v>
      </c>
      <c r="F17" s="112">
        <v>1</v>
      </c>
      <c r="G17" s="112">
        <v>91.59</v>
      </c>
      <c r="H17" s="112">
        <v>31.34</v>
      </c>
      <c r="I17" s="112">
        <v>9.85</v>
      </c>
      <c r="J17" s="112">
        <v>0.21</v>
      </c>
      <c r="K17" s="112">
        <v>174.71</v>
      </c>
      <c r="L17" s="112">
        <v>25.97</v>
      </c>
      <c r="M17" s="112">
        <v>46.05</v>
      </c>
      <c r="N17" s="112">
        <v>0</v>
      </c>
      <c r="O17" s="112">
        <v>0</v>
      </c>
      <c r="P17" s="112">
        <v>0.9</v>
      </c>
      <c r="Q17" s="167" t="s">
        <v>14</v>
      </c>
    </row>
    <row r="18" spans="1:17" customFormat="1">
      <c r="A18" s="80">
        <v>45417.104166666664</v>
      </c>
      <c r="B18" s="112">
        <v>11.26</v>
      </c>
      <c r="C18" s="112">
        <v>13.1</v>
      </c>
      <c r="D18" s="112">
        <v>25.02</v>
      </c>
      <c r="E18" s="112">
        <v>8.2899999999999991</v>
      </c>
      <c r="F18" s="112">
        <v>1</v>
      </c>
      <c r="G18" s="112">
        <v>91.59</v>
      </c>
      <c r="H18" s="112">
        <v>31.34</v>
      </c>
      <c r="I18" s="112">
        <v>9.8000000000000007</v>
      </c>
      <c r="J18" s="112">
        <v>0.17</v>
      </c>
      <c r="K18" s="112">
        <v>168.84</v>
      </c>
      <c r="L18" s="112">
        <v>25.59</v>
      </c>
      <c r="M18" s="112">
        <v>43.6</v>
      </c>
      <c r="N18" s="112">
        <v>0</v>
      </c>
      <c r="O18" s="112">
        <v>0</v>
      </c>
      <c r="P18" s="112">
        <v>0.91</v>
      </c>
      <c r="Q18" s="167" t="s">
        <v>14</v>
      </c>
    </row>
    <row r="19" spans="1:17" customFormat="1">
      <c r="A19" s="80">
        <v>45417.114583333336</v>
      </c>
      <c r="B19" s="112">
        <v>11.25</v>
      </c>
      <c r="C19" s="112">
        <v>13.12</v>
      </c>
      <c r="D19" s="112">
        <v>25.02</v>
      </c>
      <c r="E19" s="112">
        <v>8.27</v>
      </c>
      <c r="F19" s="112">
        <v>1</v>
      </c>
      <c r="G19" s="112">
        <v>91.59</v>
      </c>
      <c r="H19" s="112">
        <v>31.34</v>
      </c>
      <c r="I19" s="112">
        <v>10.06</v>
      </c>
      <c r="J19" s="112">
        <v>0.17</v>
      </c>
      <c r="K19" s="112">
        <v>189.63</v>
      </c>
      <c r="L19" s="112">
        <v>25.31</v>
      </c>
      <c r="M19" s="112">
        <v>47.27</v>
      </c>
      <c r="N19" s="112">
        <v>0</v>
      </c>
      <c r="O19" s="112">
        <v>0</v>
      </c>
      <c r="P19" s="112">
        <v>0.92</v>
      </c>
      <c r="Q19" s="167" t="s">
        <v>14</v>
      </c>
    </row>
    <row r="20" spans="1:17" customFormat="1">
      <c r="A20" s="80">
        <v>45417.125</v>
      </c>
      <c r="B20" s="112">
        <v>11.26</v>
      </c>
      <c r="C20" s="112">
        <v>13.14</v>
      </c>
      <c r="D20" s="112">
        <v>25.04</v>
      </c>
      <c r="E20" s="112">
        <v>8.3000000000000007</v>
      </c>
      <c r="F20" s="112">
        <v>1</v>
      </c>
      <c r="G20" s="112">
        <v>88.69</v>
      </c>
      <c r="H20" s="112">
        <v>32.369999999999997</v>
      </c>
      <c r="I20" s="112">
        <v>10.26</v>
      </c>
      <c r="J20" s="112">
        <v>0.15</v>
      </c>
      <c r="K20" s="112">
        <v>158.91999999999999</v>
      </c>
      <c r="L20" s="112">
        <v>24.9</v>
      </c>
      <c r="M20" s="112">
        <v>45.73</v>
      </c>
      <c r="N20" s="112">
        <v>0</v>
      </c>
      <c r="O20" s="112">
        <v>0</v>
      </c>
      <c r="P20" s="112">
        <v>0.92</v>
      </c>
      <c r="Q20" s="167" t="s">
        <v>14</v>
      </c>
    </row>
    <row r="21" spans="1:17" customFormat="1">
      <c r="A21" s="80">
        <v>45417.135416666664</v>
      </c>
      <c r="B21" s="112">
        <v>11.27</v>
      </c>
      <c r="C21" s="112">
        <v>13.12</v>
      </c>
      <c r="D21" s="112">
        <v>25.04</v>
      </c>
      <c r="E21" s="112">
        <v>8.3800000000000008</v>
      </c>
      <c r="F21" s="112">
        <v>1</v>
      </c>
      <c r="G21" s="112">
        <v>87.97</v>
      </c>
      <c r="H21" s="112">
        <v>32.369999999999997</v>
      </c>
      <c r="I21" s="112">
        <v>10.4</v>
      </c>
      <c r="J21" s="112">
        <v>0.18</v>
      </c>
      <c r="K21" s="112">
        <v>162.56</v>
      </c>
      <c r="L21" s="112">
        <v>24.9</v>
      </c>
      <c r="M21" s="112">
        <v>45.53</v>
      </c>
      <c r="N21" s="112">
        <v>0</v>
      </c>
      <c r="O21" s="112">
        <v>0</v>
      </c>
      <c r="P21" s="112">
        <v>0.92</v>
      </c>
      <c r="Q21" s="167" t="s">
        <v>14</v>
      </c>
    </row>
    <row r="22" spans="1:17" customFormat="1">
      <c r="A22" s="80">
        <v>45417.145833333336</v>
      </c>
      <c r="B22" s="112">
        <v>11.29</v>
      </c>
      <c r="C22" s="112">
        <v>13.09</v>
      </c>
      <c r="D22" s="112">
        <v>25.03</v>
      </c>
      <c r="E22" s="112">
        <v>8.34</v>
      </c>
      <c r="F22" s="112">
        <v>1</v>
      </c>
      <c r="G22" s="112">
        <v>87.97</v>
      </c>
      <c r="H22" s="112">
        <v>32.369999999999997</v>
      </c>
      <c r="I22" s="112">
        <v>10.49</v>
      </c>
      <c r="J22" s="112">
        <v>0.22</v>
      </c>
      <c r="K22" s="112">
        <v>154.63</v>
      </c>
      <c r="L22" s="112">
        <v>25.15</v>
      </c>
      <c r="M22" s="112">
        <v>46.72</v>
      </c>
      <c r="N22" s="112">
        <v>0</v>
      </c>
      <c r="O22" s="112">
        <v>0</v>
      </c>
      <c r="P22" s="112">
        <v>0.91</v>
      </c>
      <c r="Q22" s="167" t="s">
        <v>14</v>
      </c>
    </row>
    <row r="23" spans="1:17" customFormat="1">
      <c r="A23" s="80">
        <v>45417.15625</v>
      </c>
      <c r="B23" s="112">
        <v>11.27</v>
      </c>
      <c r="C23" s="112">
        <v>13.09</v>
      </c>
      <c r="D23" s="112">
        <v>25.02</v>
      </c>
      <c r="E23" s="112">
        <v>7.53</v>
      </c>
      <c r="F23" s="112">
        <v>1</v>
      </c>
      <c r="G23" s="112">
        <v>87.97</v>
      </c>
      <c r="H23" s="112">
        <v>32.369999999999997</v>
      </c>
      <c r="I23" s="112">
        <v>10.5</v>
      </c>
      <c r="J23" s="112">
        <v>0.23</v>
      </c>
      <c r="K23" s="112">
        <v>154.80000000000001</v>
      </c>
      <c r="L23" s="112">
        <v>25.11</v>
      </c>
      <c r="M23" s="112">
        <v>46.45</v>
      </c>
      <c r="N23" s="112">
        <v>0</v>
      </c>
      <c r="O23" s="112">
        <v>0</v>
      </c>
      <c r="P23" s="112">
        <v>0.9</v>
      </c>
      <c r="Q23" s="167" t="s">
        <v>14</v>
      </c>
    </row>
    <row r="24" spans="1:17" customFormat="1">
      <c r="A24" s="80">
        <v>45417.166666666664</v>
      </c>
      <c r="B24" s="112">
        <v>11.29</v>
      </c>
      <c r="C24" s="112">
        <v>13.13</v>
      </c>
      <c r="D24" s="112">
        <v>25.06</v>
      </c>
      <c r="E24" s="112">
        <v>7.29</v>
      </c>
      <c r="F24" s="112">
        <v>1</v>
      </c>
      <c r="G24" s="112">
        <v>83.98</v>
      </c>
      <c r="H24" s="112">
        <v>27.44</v>
      </c>
      <c r="I24" s="112">
        <v>10.49</v>
      </c>
      <c r="J24" s="112">
        <v>0.24</v>
      </c>
      <c r="K24" s="112">
        <v>162.13999999999999</v>
      </c>
      <c r="L24" s="112">
        <v>24.88</v>
      </c>
      <c r="M24" s="112">
        <v>47.49</v>
      </c>
      <c r="N24" s="112">
        <v>0</v>
      </c>
      <c r="O24" s="112">
        <v>0</v>
      </c>
      <c r="P24" s="112">
        <v>0.9</v>
      </c>
      <c r="Q24" s="167" t="s">
        <v>14</v>
      </c>
    </row>
    <row r="25" spans="1:17" customFormat="1">
      <c r="A25" s="80">
        <v>45417.177083333336</v>
      </c>
      <c r="B25" s="112">
        <v>11.33</v>
      </c>
      <c r="C25" s="112">
        <v>13.33</v>
      </c>
      <c r="D25" s="112">
        <v>25.19</v>
      </c>
      <c r="E25" s="112">
        <v>7.75</v>
      </c>
      <c r="F25" s="112">
        <v>1</v>
      </c>
      <c r="G25" s="112">
        <v>82.98</v>
      </c>
      <c r="H25" s="112">
        <v>27.44</v>
      </c>
      <c r="I25" s="112">
        <v>10.46</v>
      </c>
      <c r="J25" s="112">
        <v>0.22</v>
      </c>
      <c r="K25" s="112">
        <v>210.87</v>
      </c>
      <c r="L25" s="112">
        <v>24.34</v>
      </c>
      <c r="M25" s="112">
        <v>51.08</v>
      </c>
      <c r="N25" s="112">
        <v>0</v>
      </c>
      <c r="O25" s="112">
        <v>0</v>
      </c>
      <c r="P25" s="112">
        <v>0.89</v>
      </c>
      <c r="Q25" s="167" t="s">
        <v>14</v>
      </c>
    </row>
    <row r="26" spans="1:17" customFormat="1">
      <c r="A26" s="80">
        <v>45417.1875</v>
      </c>
      <c r="B26" s="112">
        <v>11.3</v>
      </c>
      <c r="C26" s="112">
        <v>13.23</v>
      </c>
      <c r="D26" s="112">
        <v>25.12</v>
      </c>
      <c r="E26" s="112">
        <v>7.04</v>
      </c>
      <c r="F26" s="112">
        <v>1</v>
      </c>
      <c r="G26" s="112">
        <v>82.98</v>
      </c>
      <c r="H26" s="112">
        <v>27.44</v>
      </c>
      <c r="I26" s="112">
        <v>10.43</v>
      </c>
      <c r="J26" s="112">
        <v>0.12</v>
      </c>
      <c r="K26" s="112">
        <v>185.26</v>
      </c>
      <c r="L26" s="112">
        <v>24.01</v>
      </c>
      <c r="M26" s="112">
        <v>48.46</v>
      </c>
      <c r="N26" s="112">
        <v>0</v>
      </c>
      <c r="O26" s="112">
        <v>0</v>
      </c>
      <c r="P26" s="112">
        <v>0.86</v>
      </c>
      <c r="Q26" s="167" t="s">
        <v>14</v>
      </c>
    </row>
    <row r="27" spans="1:17" customFormat="1">
      <c r="A27" s="80">
        <v>45417.197916666664</v>
      </c>
      <c r="B27" s="112">
        <v>11.3</v>
      </c>
      <c r="C27" s="112">
        <v>13.09</v>
      </c>
      <c r="D27" s="112">
        <v>25.05</v>
      </c>
      <c r="E27" s="112">
        <v>6.95</v>
      </c>
      <c r="F27" s="112">
        <v>1</v>
      </c>
      <c r="G27" s="112">
        <v>82.98</v>
      </c>
      <c r="H27" s="112">
        <v>27.44</v>
      </c>
      <c r="I27" s="112">
        <v>10.36</v>
      </c>
      <c r="J27" s="112">
        <v>0.17</v>
      </c>
      <c r="K27" s="112">
        <v>194.18</v>
      </c>
      <c r="L27" s="112">
        <v>23.95</v>
      </c>
      <c r="M27" s="112">
        <v>50.19</v>
      </c>
      <c r="N27" s="112">
        <v>0</v>
      </c>
      <c r="O27" s="112">
        <v>0</v>
      </c>
      <c r="P27" s="112">
        <v>0.87</v>
      </c>
      <c r="Q27" s="167" t="s">
        <v>14</v>
      </c>
    </row>
    <row r="28" spans="1:17" customFormat="1">
      <c r="A28" s="80">
        <v>45417.208333333336</v>
      </c>
      <c r="B28" s="112">
        <v>11.29</v>
      </c>
      <c r="C28" s="112">
        <v>13.07</v>
      </c>
      <c r="D28" s="112">
        <v>25.02</v>
      </c>
      <c r="E28" s="112">
        <v>7.59</v>
      </c>
      <c r="F28" s="112">
        <v>1</v>
      </c>
      <c r="G28" s="112">
        <v>78.63</v>
      </c>
      <c r="H28" s="112">
        <v>27.87</v>
      </c>
      <c r="I28" s="112">
        <v>10.27</v>
      </c>
      <c r="J28" s="112">
        <v>0.15</v>
      </c>
      <c r="K28" s="112">
        <v>144.30000000000001</v>
      </c>
      <c r="L28" s="112">
        <v>23.95</v>
      </c>
      <c r="M28" s="112">
        <v>49.74</v>
      </c>
      <c r="N28" s="112">
        <v>0</v>
      </c>
      <c r="O28" s="112">
        <v>0</v>
      </c>
      <c r="P28" s="112">
        <v>0.86</v>
      </c>
      <c r="Q28" s="167" t="s">
        <v>14</v>
      </c>
    </row>
    <row r="29" spans="1:17" customFormat="1">
      <c r="A29" s="80">
        <v>45417.21875</v>
      </c>
      <c r="B29" s="112">
        <v>11.31</v>
      </c>
      <c r="C29" s="112">
        <v>13.08</v>
      </c>
      <c r="D29" s="112">
        <v>25.05</v>
      </c>
      <c r="E29" s="112">
        <v>6.89</v>
      </c>
      <c r="F29" s="112">
        <v>1</v>
      </c>
      <c r="G29" s="112">
        <v>77.540000000000006</v>
      </c>
      <c r="H29" s="112">
        <v>27.87</v>
      </c>
      <c r="I29" s="112">
        <v>10.19</v>
      </c>
      <c r="J29" s="112">
        <v>0.18</v>
      </c>
      <c r="K29" s="112">
        <v>125.63</v>
      </c>
      <c r="L29" s="112">
        <v>24.39</v>
      </c>
      <c r="M29" s="112">
        <v>45.45</v>
      </c>
      <c r="N29" s="112">
        <v>0</v>
      </c>
      <c r="O29" s="112">
        <v>0</v>
      </c>
      <c r="P29" s="112">
        <v>0.85</v>
      </c>
      <c r="Q29" s="167" t="s">
        <v>14</v>
      </c>
    </row>
    <row r="30" spans="1:17" customFormat="1">
      <c r="A30" s="80">
        <v>45417.229166666664</v>
      </c>
      <c r="B30" s="112">
        <v>11.33</v>
      </c>
      <c r="C30" s="112">
        <v>13.09</v>
      </c>
      <c r="D30" s="112">
        <v>25.07</v>
      </c>
      <c r="E30" s="112">
        <v>7.58</v>
      </c>
      <c r="F30" s="112">
        <v>1</v>
      </c>
      <c r="G30" s="112">
        <v>77.540000000000006</v>
      </c>
      <c r="H30" s="112">
        <v>27.87</v>
      </c>
      <c r="I30" s="112">
        <v>10.08</v>
      </c>
      <c r="J30" s="112">
        <v>0.22</v>
      </c>
      <c r="K30" s="112">
        <v>195.49</v>
      </c>
      <c r="L30" s="112">
        <v>24.47</v>
      </c>
      <c r="M30" s="112">
        <v>48.44</v>
      </c>
      <c r="N30" s="112">
        <v>0.7</v>
      </c>
      <c r="O30" s="112">
        <v>0</v>
      </c>
      <c r="P30" s="112">
        <v>0.84</v>
      </c>
      <c r="Q30" s="167" t="s">
        <v>14</v>
      </c>
    </row>
    <row r="31" spans="1:17" customFormat="1">
      <c r="A31" s="80">
        <v>45417.239583333336</v>
      </c>
      <c r="B31" s="112">
        <v>11.34</v>
      </c>
      <c r="C31" s="112">
        <v>13.11</v>
      </c>
      <c r="D31" s="112">
        <v>25.09</v>
      </c>
      <c r="E31" s="112">
        <v>7.32</v>
      </c>
      <c r="F31" s="112">
        <v>1</v>
      </c>
      <c r="G31" s="112">
        <v>77.540000000000006</v>
      </c>
      <c r="H31" s="112">
        <v>27.87</v>
      </c>
      <c r="I31" s="112">
        <v>9.9600000000000009</v>
      </c>
      <c r="J31" s="112">
        <v>0.22</v>
      </c>
      <c r="K31" s="112">
        <v>173.76</v>
      </c>
      <c r="L31" s="112">
        <v>23.99</v>
      </c>
      <c r="M31" s="112">
        <v>52.3</v>
      </c>
      <c r="N31" s="112">
        <v>10.8</v>
      </c>
      <c r="O31" s="112">
        <v>0</v>
      </c>
      <c r="P31" s="112">
        <v>0.83</v>
      </c>
      <c r="Q31" s="167" t="s">
        <v>14</v>
      </c>
    </row>
    <row r="32" spans="1:17" customFormat="1">
      <c r="A32" s="80">
        <v>45417.25</v>
      </c>
      <c r="B32" s="112">
        <v>11.27</v>
      </c>
      <c r="C32" s="112">
        <v>13.2</v>
      </c>
      <c r="D32" s="112">
        <v>25.08</v>
      </c>
      <c r="E32" s="112">
        <v>7.26</v>
      </c>
      <c r="F32" s="112">
        <v>1</v>
      </c>
      <c r="G32" s="112">
        <v>81.67</v>
      </c>
      <c r="H32" s="112">
        <v>26.75</v>
      </c>
      <c r="I32" s="112">
        <v>9.8699999999999992</v>
      </c>
      <c r="J32" s="112">
        <v>0.25</v>
      </c>
      <c r="K32" s="112">
        <v>186.78</v>
      </c>
      <c r="L32" s="112">
        <v>24.21</v>
      </c>
      <c r="M32" s="112">
        <v>53.84</v>
      </c>
      <c r="N32" s="112">
        <v>20.100000000000001</v>
      </c>
      <c r="O32" s="112">
        <v>0</v>
      </c>
      <c r="P32" s="112">
        <v>0.83</v>
      </c>
      <c r="Q32" s="167" t="s">
        <v>14</v>
      </c>
    </row>
    <row r="33" spans="1:17" customFormat="1">
      <c r="A33" s="80">
        <v>45417.260416666664</v>
      </c>
      <c r="B33" s="112">
        <v>11.27</v>
      </c>
      <c r="C33" s="112">
        <v>13.15</v>
      </c>
      <c r="D33" s="112">
        <v>25.05</v>
      </c>
      <c r="E33" s="112">
        <v>6.4</v>
      </c>
      <c r="F33" s="112">
        <v>1</v>
      </c>
      <c r="G33" s="112">
        <v>82.7</v>
      </c>
      <c r="H33" s="112">
        <v>26.75</v>
      </c>
      <c r="I33" s="112">
        <v>9.81</v>
      </c>
      <c r="J33" s="112">
        <v>0.2</v>
      </c>
      <c r="K33" s="112">
        <v>174.1</v>
      </c>
      <c r="L33" s="112">
        <v>24.36</v>
      </c>
      <c r="M33" s="112">
        <v>53.29</v>
      </c>
      <c r="N33" s="112">
        <v>24.3</v>
      </c>
      <c r="O33" s="112">
        <v>0</v>
      </c>
      <c r="P33" s="112">
        <v>0.82</v>
      </c>
      <c r="Q33" s="167" t="s">
        <v>14</v>
      </c>
    </row>
    <row r="34" spans="1:17" customFormat="1">
      <c r="A34" s="80">
        <v>45417.270833333336</v>
      </c>
      <c r="B34" s="112">
        <v>11.27</v>
      </c>
      <c r="C34" s="112">
        <v>13.14</v>
      </c>
      <c r="D34" s="112">
        <v>25.05</v>
      </c>
      <c r="E34" s="112">
        <v>7.34</v>
      </c>
      <c r="F34" s="112">
        <v>1</v>
      </c>
      <c r="G34" s="112">
        <v>82.7</v>
      </c>
      <c r="H34" s="112">
        <v>26.75</v>
      </c>
      <c r="I34" s="112">
        <v>9.77</v>
      </c>
      <c r="J34" s="112">
        <v>0.2</v>
      </c>
      <c r="K34" s="112">
        <v>201.47</v>
      </c>
      <c r="L34" s="112">
        <v>25.11</v>
      </c>
      <c r="M34" s="112">
        <v>48.73</v>
      </c>
      <c r="N34" s="112">
        <v>40.5</v>
      </c>
      <c r="O34" s="112">
        <v>0</v>
      </c>
      <c r="P34" s="112">
        <v>0.81</v>
      </c>
      <c r="Q34" s="167" t="s">
        <v>14</v>
      </c>
    </row>
    <row r="35" spans="1:17" customFormat="1">
      <c r="A35" s="80">
        <v>45417.28125</v>
      </c>
      <c r="B35" s="112">
        <v>11.29</v>
      </c>
      <c r="C35" s="112">
        <v>13.19</v>
      </c>
      <c r="D35" s="112">
        <v>25.08</v>
      </c>
      <c r="E35" s="112">
        <v>7.26</v>
      </c>
      <c r="F35" s="112">
        <v>1</v>
      </c>
      <c r="G35" s="112">
        <v>82.7</v>
      </c>
      <c r="H35" s="112">
        <v>26.75</v>
      </c>
      <c r="I35" s="112">
        <v>9.77</v>
      </c>
      <c r="J35" s="112">
        <v>0.22</v>
      </c>
      <c r="K35" s="112">
        <v>176.78</v>
      </c>
      <c r="L35" s="112">
        <v>25.97</v>
      </c>
      <c r="M35" s="112">
        <v>46.8</v>
      </c>
      <c r="N35" s="112">
        <v>41.3</v>
      </c>
      <c r="O35" s="112">
        <v>0</v>
      </c>
      <c r="P35" s="112">
        <v>0.83</v>
      </c>
      <c r="Q35" s="167" t="s">
        <v>14</v>
      </c>
    </row>
    <row r="36" spans="1:17" customFormat="1">
      <c r="A36" s="80">
        <v>45417.291666666664</v>
      </c>
      <c r="B36" s="112">
        <v>11.25</v>
      </c>
      <c r="C36" s="112">
        <v>13.17</v>
      </c>
      <c r="D36" s="112">
        <v>25.04</v>
      </c>
      <c r="E36" s="112">
        <v>7.52</v>
      </c>
      <c r="F36" s="112">
        <v>1.95</v>
      </c>
      <c r="G36" s="112">
        <v>81.510000000000005</v>
      </c>
      <c r="H36" s="112">
        <v>28.6</v>
      </c>
      <c r="I36" s="112">
        <v>9.77</v>
      </c>
      <c r="J36" s="112">
        <v>0.28999999999999998</v>
      </c>
      <c r="K36" s="112">
        <v>220.71</v>
      </c>
      <c r="L36" s="112">
        <v>26.63</v>
      </c>
      <c r="M36" s="112">
        <v>44.43</v>
      </c>
      <c r="N36" s="112">
        <v>60.9</v>
      </c>
      <c r="O36" s="112">
        <v>0</v>
      </c>
      <c r="P36" s="112">
        <v>0.83</v>
      </c>
      <c r="Q36" s="167" t="s">
        <v>14</v>
      </c>
    </row>
    <row r="37" spans="1:17" customFormat="1">
      <c r="A37" s="80">
        <v>45417.302083333336</v>
      </c>
      <c r="B37" s="112">
        <v>11.31</v>
      </c>
      <c r="C37" s="112">
        <v>13.31</v>
      </c>
      <c r="D37" s="112">
        <v>25.16</v>
      </c>
      <c r="E37" s="112">
        <v>7.76</v>
      </c>
      <c r="F37" s="112">
        <v>2.0699999999999998</v>
      </c>
      <c r="G37" s="112">
        <v>81.209999999999994</v>
      </c>
      <c r="H37" s="112">
        <v>28.6</v>
      </c>
      <c r="I37" s="112">
        <v>9.77</v>
      </c>
      <c r="J37" s="112">
        <v>0.23</v>
      </c>
      <c r="K37" s="112">
        <v>220.24</v>
      </c>
      <c r="L37" s="112">
        <v>27.77</v>
      </c>
      <c r="M37" s="112">
        <v>41.93</v>
      </c>
      <c r="N37" s="112">
        <v>66.7</v>
      </c>
      <c r="O37" s="112">
        <v>0</v>
      </c>
      <c r="P37" s="112">
        <v>0.82</v>
      </c>
      <c r="Q37" s="167" t="s">
        <v>14</v>
      </c>
    </row>
    <row r="38" spans="1:17" customFormat="1">
      <c r="A38" s="80">
        <v>45417.3125</v>
      </c>
      <c r="B38" s="112">
        <v>11.36</v>
      </c>
      <c r="C38" s="112">
        <v>13.21</v>
      </c>
      <c r="D38" s="112">
        <v>25.16</v>
      </c>
      <c r="E38" s="112">
        <v>8.31</v>
      </c>
      <c r="F38" s="112">
        <v>3.22</v>
      </c>
      <c r="G38" s="112">
        <v>81.209999999999994</v>
      </c>
      <c r="H38" s="112">
        <v>28.6</v>
      </c>
      <c r="I38" s="112">
        <v>9.75</v>
      </c>
      <c r="J38" s="112">
        <v>0.32</v>
      </c>
      <c r="K38" s="112">
        <v>225.98</v>
      </c>
      <c r="L38" s="112">
        <v>28.71</v>
      </c>
      <c r="M38" s="112">
        <v>38.43</v>
      </c>
      <c r="N38" s="112">
        <v>73.599999999999994</v>
      </c>
      <c r="O38" s="112">
        <v>0</v>
      </c>
      <c r="P38" s="112">
        <v>0.81</v>
      </c>
      <c r="Q38" s="167" t="s">
        <v>14</v>
      </c>
    </row>
    <row r="39" spans="1:17" customFormat="1">
      <c r="A39" s="80">
        <v>45417.322916666664</v>
      </c>
      <c r="B39" s="112">
        <v>11.34</v>
      </c>
      <c r="C39" s="112">
        <v>13.16</v>
      </c>
      <c r="D39" s="112">
        <v>25.11</v>
      </c>
      <c r="E39" s="112">
        <v>8.36</v>
      </c>
      <c r="F39" s="112">
        <v>5.83</v>
      </c>
      <c r="G39" s="112">
        <v>81.209999999999994</v>
      </c>
      <c r="H39" s="112">
        <v>28.6</v>
      </c>
      <c r="I39" s="112">
        <v>9.74</v>
      </c>
      <c r="J39" s="112">
        <v>0.4</v>
      </c>
      <c r="K39" s="112">
        <v>243.5</v>
      </c>
      <c r="L39" s="112">
        <v>29.76</v>
      </c>
      <c r="M39" s="112">
        <v>36.08</v>
      </c>
      <c r="N39" s="112">
        <v>81.400000000000006</v>
      </c>
      <c r="O39" s="112">
        <v>0</v>
      </c>
      <c r="P39" s="112">
        <v>0.8</v>
      </c>
      <c r="Q39" s="167" t="s">
        <v>14</v>
      </c>
    </row>
    <row r="40" spans="1:17" customFormat="1">
      <c r="A40" s="80">
        <v>45417.333333333336</v>
      </c>
      <c r="B40" s="112">
        <v>11.33</v>
      </c>
      <c r="C40" s="112">
        <v>13.13</v>
      </c>
      <c r="D40" s="112">
        <v>25.09</v>
      </c>
      <c r="E40" s="112">
        <v>10.83</v>
      </c>
      <c r="F40" s="112">
        <v>10.68</v>
      </c>
      <c r="G40" s="112">
        <v>79.12</v>
      </c>
      <c r="H40" s="112">
        <v>30.73</v>
      </c>
      <c r="I40" s="112">
        <v>9.73</v>
      </c>
      <c r="J40" s="112">
        <v>0.38</v>
      </c>
      <c r="K40" s="112">
        <v>241.59</v>
      </c>
      <c r="L40" s="112">
        <v>31</v>
      </c>
      <c r="M40" s="112">
        <v>33.4</v>
      </c>
      <c r="N40" s="112">
        <v>94.7</v>
      </c>
      <c r="O40" s="112">
        <v>0</v>
      </c>
      <c r="P40" s="112">
        <v>0.8</v>
      </c>
      <c r="Q40" s="167" t="s">
        <v>14</v>
      </c>
    </row>
    <row r="41" spans="1:17" customFormat="1">
      <c r="A41" s="80">
        <v>45417.34375</v>
      </c>
      <c r="B41" s="112">
        <v>11.34</v>
      </c>
      <c r="C41" s="112">
        <v>13.11</v>
      </c>
      <c r="D41" s="112">
        <v>25.09</v>
      </c>
      <c r="E41" s="112">
        <v>10.69</v>
      </c>
      <c r="F41" s="112">
        <v>9.17</v>
      </c>
      <c r="G41" s="112">
        <v>78.599999999999994</v>
      </c>
      <c r="H41" s="112">
        <v>30.73</v>
      </c>
      <c r="I41" s="112">
        <v>9.67</v>
      </c>
      <c r="J41" s="112">
        <v>0.72</v>
      </c>
      <c r="K41" s="112">
        <v>254.11</v>
      </c>
      <c r="L41" s="112">
        <v>31.95</v>
      </c>
      <c r="M41" s="112">
        <v>29.28</v>
      </c>
      <c r="N41" s="112">
        <v>109.2</v>
      </c>
      <c r="O41" s="112">
        <v>0</v>
      </c>
      <c r="P41" s="112">
        <v>0.8</v>
      </c>
      <c r="Q41" s="167" t="s">
        <v>14</v>
      </c>
    </row>
    <row r="42" spans="1:17" customFormat="1">
      <c r="A42" s="80">
        <v>45417.354166666664</v>
      </c>
      <c r="B42" s="112">
        <v>11.29</v>
      </c>
      <c r="C42" s="112">
        <v>13.12</v>
      </c>
      <c r="D42" s="112">
        <v>25.05</v>
      </c>
      <c r="E42" s="112">
        <v>11.36</v>
      </c>
      <c r="F42" s="112">
        <v>8.2799999999999994</v>
      </c>
      <c r="G42" s="112">
        <v>78.599999999999994</v>
      </c>
      <c r="H42" s="112">
        <v>30.73</v>
      </c>
      <c r="I42" s="112">
        <v>9.7100000000000009</v>
      </c>
      <c r="J42" s="112">
        <v>0.73</v>
      </c>
      <c r="K42" s="112">
        <v>245.94</v>
      </c>
      <c r="L42" s="112">
        <v>32.76</v>
      </c>
      <c r="M42" s="112">
        <v>26.9</v>
      </c>
      <c r="N42" s="112">
        <v>126.2</v>
      </c>
      <c r="O42" s="112">
        <v>0</v>
      </c>
      <c r="P42" s="112">
        <v>0.79</v>
      </c>
      <c r="Q42" s="167" t="s">
        <v>14</v>
      </c>
    </row>
    <row r="43" spans="1:17" customFormat="1">
      <c r="A43" s="80">
        <v>45417.364583333336</v>
      </c>
      <c r="B43" s="112">
        <v>11.25</v>
      </c>
      <c r="C43" s="112">
        <v>13.15</v>
      </c>
      <c r="D43" s="112">
        <v>25.04</v>
      </c>
      <c r="E43" s="112">
        <v>11.2</v>
      </c>
      <c r="F43" s="112">
        <v>12.59</v>
      </c>
      <c r="G43" s="112">
        <v>78.599999999999994</v>
      </c>
      <c r="H43" s="112">
        <v>30.73</v>
      </c>
      <c r="I43" s="112">
        <v>9.89</v>
      </c>
      <c r="J43" s="112">
        <v>0.65</v>
      </c>
      <c r="K43" s="112">
        <v>241.6</v>
      </c>
      <c r="L43" s="112">
        <v>33.409999999999997</v>
      </c>
      <c r="M43" s="112">
        <v>26.74</v>
      </c>
      <c r="N43" s="112">
        <v>143.80000000000001</v>
      </c>
      <c r="O43" s="112">
        <v>0</v>
      </c>
      <c r="P43" s="112">
        <v>0.78</v>
      </c>
      <c r="Q43" s="167" t="s">
        <v>14</v>
      </c>
    </row>
    <row r="44" spans="1:17" customFormat="1">
      <c r="A44" s="80">
        <v>45417.375</v>
      </c>
      <c r="B44" s="112">
        <v>11.28</v>
      </c>
      <c r="C44" s="112">
        <v>13.17</v>
      </c>
      <c r="D44" s="112">
        <v>25.07</v>
      </c>
      <c r="E44" s="112">
        <v>14.02</v>
      </c>
      <c r="F44" s="112">
        <v>15.66</v>
      </c>
      <c r="G44" s="112">
        <v>76.150000000000006</v>
      </c>
      <c r="H44" s="112">
        <v>28.4</v>
      </c>
      <c r="I44" s="112">
        <v>9.8000000000000007</v>
      </c>
      <c r="J44" s="112">
        <v>0.83</v>
      </c>
      <c r="K44" s="112">
        <v>259.57</v>
      </c>
      <c r="L44" s="112">
        <v>34.229999999999997</v>
      </c>
      <c r="M44" s="112">
        <v>25.08</v>
      </c>
      <c r="N44" s="112">
        <v>220.8</v>
      </c>
      <c r="O44" s="112">
        <v>0</v>
      </c>
      <c r="P44" s="112">
        <v>0.79</v>
      </c>
      <c r="Q44" s="167" t="s">
        <v>14</v>
      </c>
    </row>
    <row r="45" spans="1:17" customFormat="1">
      <c r="A45" s="80">
        <v>45417.385416666664</v>
      </c>
      <c r="B45" s="112">
        <v>11.29</v>
      </c>
      <c r="C45" s="112">
        <v>13.12</v>
      </c>
      <c r="D45" s="112">
        <v>25.05</v>
      </c>
      <c r="E45" s="112">
        <v>14.9</v>
      </c>
      <c r="F45" s="112">
        <v>15.64</v>
      </c>
      <c r="G45" s="112">
        <v>75.540000000000006</v>
      </c>
      <c r="H45" s="112">
        <v>28.4</v>
      </c>
      <c r="I45" s="112">
        <v>9.64</v>
      </c>
      <c r="J45" s="112">
        <v>0.81</v>
      </c>
      <c r="K45" s="112">
        <v>260.02</v>
      </c>
      <c r="L45" s="112">
        <v>35.06</v>
      </c>
      <c r="M45" s="112">
        <v>22.62</v>
      </c>
      <c r="N45" s="112">
        <v>185.7</v>
      </c>
      <c r="O45" s="112">
        <v>0</v>
      </c>
      <c r="P45" s="112">
        <v>0.79</v>
      </c>
      <c r="Q45" s="167" t="s">
        <v>14</v>
      </c>
    </row>
    <row r="46" spans="1:17" customFormat="1">
      <c r="A46" s="80">
        <v>45417.395833333336</v>
      </c>
      <c r="B46" s="112">
        <v>11.3</v>
      </c>
      <c r="C46" s="112">
        <v>13.14</v>
      </c>
      <c r="D46" s="112">
        <v>25.07</v>
      </c>
      <c r="E46" s="112">
        <v>15.95</v>
      </c>
      <c r="F46" s="112">
        <v>20.2</v>
      </c>
      <c r="G46" s="112">
        <v>75.540000000000006</v>
      </c>
      <c r="H46" s="112">
        <v>28.4</v>
      </c>
      <c r="I46" s="112">
        <v>9.61</v>
      </c>
      <c r="J46" s="112">
        <v>0.75</v>
      </c>
      <c r="K46" s="112">
        <v>253.3</v>
      </c>
      <c r="L46" s="112">
        <v>36.28</v>
      </c>
      <c r="M46" s="112">
        <v>21.71</v>
      </c>
      <c r="N46" s="112">
        <v>184.2</v>
      </c>
      <c r="O46" s="112">
        <v>0</v>
      </c>
      <c r="P46" s="112">
        <v>0.77</v>
      </c>
      <c r="Q46" s="167" t="s">
        <v>14</v>
      </c>
    </row>
    <row r="47" spans="1:17" customFormat="1">
      <c r="A47" s="80">
        <v>45417.40625</v>
      </c>
      <c r="B47" s="112">
        <v>11.31</v>
      </c>
      <c r="C47" s="112">
        <v>13.15</v>
      </c>
      <c r="D47" s="112">
        <v>25.08</v>
      </c>
      <c r="E47" s="112">
        <v>12.63</v>
      </c>
      <c r="F47" s="112">
        <v>16.670000000000002</v>
      </c>
      <c r="G47" s="112">
        <v>75.540000000000006</v>
      </c>
      <c r="H47" s="112">
        <v>28.4</v>
      </c>
      <c r="I47" s="112">
        <v>9.66</v>
      </c>
      <c r="J47" s="112">
        <v>0.92</v>
      </c>
      <c r="K47" s="112">
        <v>260.08999999999997</v>
      </c>
      <c r="L47" s="112">
        <v>36.56</v>
      </c>
      <c r="M47" s="112">
        <v>21.53</v>
      </c>
      <c r="N47" s="112">
        <v>300</v>
      </c>
      <c r="O47" s="112">
        <v>0</v>
      </c>
      <c r="P47" s="112">
        <v>0.74</v>
      </c>
      <c r="Q47" s="167" t="s">
        <v>14</v>
      </c>
    </row>
    <row r="48" spans="1:17" customFormat="1">
      <c r="A48" s="80">
        <v>45417.416666666664</v>
      </c>
      <c r="B48" s="112">
        <v>11.32</v>
      </c>
      <c r="C48" s="112">
        <v>13.13</v>
      </c>
      <c r="D48" s="112">
        <v>25.08</v>
      </c>
      <c r="E48" s="112">
        <v>15.33</v>
      </c>
      <c r="F48" s="112">
        <v>27.81</v>
      </c>
      <c r="G48" s="112">
        <v>75.180000000000007</v>
      </c>
      <c r="H48" s="112">
        <v>29.8</v>
      </c>
      <c r="I48" s="112">
        <v>9.58</v>
      </c>
      <c r="J48" s="112">
        <v>0.79</v>
      </c>
      <c r="K48" s="112">
        <v>267.51</v>
      </c>
      <c r="L48" s="112">
        <v>37.700000000000003</v>
      </c>
      <c r="M48" s="112">
        <v>20.170000000000002</v>
      </c>
      <c r="N48" s="112">
        <v>192.1</v>
      </c>
      <c r="O48" s="112">
        <v>0</v>
      </c>
      <c r="P48" s="112">
        <v>0.72</v>
      </c>
      <c r="Q48" s="167" t="s">
        <v>14</v>
      </c>
    </row>
    <row r="49" spans="1:17" customFormat="1">
      <c r="A49" s="80">
        <v>45417.427083333336</v>
      </c>
      <c r="B49" s="112">
        <v>11.29</v>
      </c>
      <c r="C49" s="112">
        <v>13.11</v>
      </c>
      <c r="D49" s="112">
        <v>25.05</v>
      </c>
      <c r="E49" s="112">
        <v>15.1</v>
      </c>
      <c r="F49" s="112">
        <v>19.03</v>
      </c>
      <c r="G49" s="112">
        <v>75.09</v>
      </c>
      <c r="H49" s="112">
        <v>29.8</v>
      </c>
      <c r="I49" s="112">
        <v>9.1999999999999993</v>
      </c>
      <c r="J49" s="112">
        <v>1.24</v>
      </c>
      <c r="K49" s="112">
        <v>273.85000000000002</v>
      </c>
      <c r="L49" s="112">
        <v>38.229999999999997</v>
      </c>
      <c r="M49" s="112">
        <v>17.87</v>
      </c>
      <c r="N49" s="112">
        <v>207.1</v>
      </c>
      <c r="O49" s="112">
        <v>0</v>
      </c>
      <c r="P49" s="112">
        <v>0.74</v>
      </c>
      <c r="Q49" s="167" t="s">
        <v>14</v>
      </c>
    </row>
    <row r="50" spans="1:17" customFormat="1">
      <c r="A50" s="80">
        <v>45417.4375</v>
      </c>
      <c r="B50" s="112">
        <v>11.3</v>
      </c>
      <c r="C50" s="112">
        <v>13.11</v>
      </c>
      <c r="D50" s="112">
        <v>25.05</v>
      </c>
      <c r="E50" s="112">
        <v>19.059999999999999</v>
      </c>
      <c r="F50" s="112">
        <v>21.75</v>
      </c>
      <c r="G50" s="112">
        <v>75.09</v>
      </c>
      <c r="H50" s="112">
        <v>29.8</v>
      </c>
      <c r="I50" s="112">
        <v>8.91</v>
      </c>
      <c r="J50" s="112">
        <v>1.05</v>
      </c>
      <c r="K50" s="112">
        <v>272.54000000000002</v>
      </c>
      <c r="L50" s="112">
        <v>38.520000000000003</v>
      </c>
      <c r="M50" s="112">
        <v>17.21</v>
      </c>
      <c r="N50" s="112">
        <v>332.5</v>
      </c>
      <c r="O50" s="112">
        <v>0</v>
      </c>
      <c r="P50" s="112">
        <v>0.72</v>
      </c>
      <c r="Q50" s="167" t="s">
        <v>14</v>
      </c>
    </row>
    <row r="51" spans="1:17" customFormat="1">
      <c r="A51" s="80">
        <v>45417.447916666664</v>
      </c>
      <c r="B51" s="112">
        <v>11.32</v>
      </c>
      <c r="C51" s="112">
        <v>13.16</v>
      </c>
      <c r="D51" s="112">
        <v>25.1</v>
      </c>
      <c r="E51" s="112">
        <v>19.78</v>
      </c>
      <c r="F51" s="112">
        <v>28.15</v>
      </c>
      <c r="G51" s="112">
        <v>75.09</v>
      </c>
      <c r="H51" s="112">
        <v>29.8</v>
      </c>
      <c r="I51" s="112">
        <v>8.89</v>
      </c>
      <c r="J51" s="112">
        <v>0.99</v>
      </c>
      <c r="K51" s="112">
        <v>269.55</v>
      </c>
      <c r="L51" s="112">
        <v>39.17</v>
      </c>
      <c r="M51" s="112">
        <v>15.7</v>
      </c>
      <c r="N51" s="112">
        <v>646.29999999999995</v>
      </c>
      <c r="O51" s="112">
        <v>0</v>
      </c>
      <c r="P51" s="112">
        <v>0.7</v>
      </c>
      <c r="Q51" s="167" t="s">
        <v>14</v>
      </c>
    </row>
    <row r="52" spans="1:17" customFormat="1">
      <c r="A52" s="80">
        <v>45417.458333333336</v>
      </c>
      <c r="B52" s="112">
        <v>11.36</v>
      </c>
      <c r="C52" s="112">
        <v>13.14</v>
      </c>
      <c r="D52" s="112">
        <v>25.12</v>
      </c>
      <c r="E52" s="112">
        <v>21.72</v>
      </c>
      <c r="F52" s="112">
        <v>29.68</v>
      </c>
      <c r="G52" s="112">
        <v>80.150000000000006</v>
      </c>
      <c r="H52" s="112">
        <v>30.01</v>
      </c>
      <c r="I52" s="112">
        <v>8.6199999999999992</v>
      </c>
      <c r="J52" s="112">
        <v>0.94</v>
      </c>
      <c r="K52" s="112">
        <v>250.75</v>
      </c>
      <c r="L52" s="112">
        <v>39.82</v>
      </c>
      <c r="M52" s="112">
        <v>14.39</v>
      </c>
      <c r="N52" s="112">
        <v>668.8</v>
      </c>
      <c r="O52" s="112">
        <v>0</v>
      </c>
      <c r="P52" s="112">
        <v>0.67</v>
      </c>
      <c r="Q52" s="167" t="s">
        <v>14</v>
      </c>
    </row>
    <row r="53" spans="1:17" customFormat="1">
      <c r="A53" s="80">
        <v>45417.46875</v>
      </c>
      <c r="B53" s="112">
        <v>11.35</v>
      </c>
      <c r="C53" s="112">
        <v>13.15</v>
      </c>
      <c r="D53" s="112">
        <v>25.11</v>
      </c>
      <c r="E53" s="112">
        <v>23.36</v>
      </c>
      <c r="F53" s="112">
        <v>25.55</v>
      </c>
      <c r="G53" s="112">
        <v>81.41</v>
      </c>
      <c r="H53" s="112">
        <v>30.01</v>
      </c>
      <c r="I53" s="112">
        <v>8.32</v>
      </c>
      <c r="J53" s="112">
        <v>0.82</v>
      </c>
      <c r="K53" s="112">
        <v>266.75</v>
      </c>
      <c r="L53" s="112">
        <v>40.36</v>
      </c>
      <c r="M53" s="112">
        <v>13.89</v>
      </c>
      <c r="N53" s="112">
        <v>677.9</v>
      </c>
      <c r="O53" s="112">
        <v>0</v>
      </c>
      <c r="P53" s="112">
        <v>0.65</v>
      </c>
      <c r="Q53" s="167" t="s">
        <v>14</v>
      </c>
    </row>
    <row r="54" spans="1:17" customFormat="1">
      <c r="A54" s="80">
        <v>45417.479166666664</v>
      </c>
      <c r="B54" s="112">
        <v>11.32</v>
      </c>
      <c r="C54" s="112">
        <v>13.17</v>
      </c>
      <c r="D54" s="112">
        <v>25.1</v>
      </c>
      <c r="E54" s="112">
        <v>18.2</v>
      </c>
      <c r="F54" s="112">
        <v>18.739999999999998</v>
      </c>
      <c r="G54" s="112">
        <v>81.41</v>
      </c>
      <c r="H54" s="112">
        <v>30.01</v>
      </c>
      <c r="I54" s="112">
        <v>8.0500000000000007</v>
      </c>
      <c r="J54" s="112">
        <v>0.87</v>
      </c>
      <c r="K54" s="112">
        <v>271.98</v>
      </c>
      <c r="L54" s="112">
        <v>40.4</v>
      </c>
      <c r="M54" s="112">
        <v>15.23</v>
      </c>
      <c r="N54" s="112">
        <v>754.9</v>
      </c>
      <c r="O54" s="112">
        <v>0</v>
      </c>
      <c r="P54" s="112">
        <v>0.67</v>
      </c>
      <c r="Q54" s="167" t="s">
        <v>14</v>
      </c>
    </row>
    <row r="55" spans="1:17" customFormat="1">
      <c r="A55" s="80">
        <v>45417.489583333336</v>
      </c>
      <c r="B55" s="112">
        <v>11.29</v>
      </c>
      <c r="C55" s="112">
        <v>13.23</v>
      </c>
      <c r="D55" s="112">
        <v>25.11</v>
      </c>
      <c r="E55" s="112">
        <v>22.16</v>
      </c>
      <c r="F55" s="112">
        <v>23.27</v>
      </c>
      <c r="G55" s="112">
        <v>81.41</v>
      </c>
      <c r="H55" s="112">
        <v>30.01</v>
      </c>
      <c r="I55" s="112">
        <v>7.92</v>
      </c>
      <c r="J55" s="112">
        <v>1.1000000000000001</v>
      </c>
      <c r="K55" s="112">
        <v>281.47000000000003</v>
      </c>
      <c r="L55" s="112">
        <v>41</v>
      </c>
      <c r="M55" s="112">
        <v>15.97</v>
      </c>
      <c r="N55" s="112">
        <v>762.1</v>
      </c>
      <c r="O55" s="112">
        <v>0</v>
      </c>
      <c r="P55" s="112">
        <v>0.64</v>
      </c>
      <c r="Q55" s="167" t="s">
        <v>14</v>
      </c>
    </row>
    <row r="56" spans="1:17" customFormat="1">
      <c r="A56" s="80">
        <v>45417.5</v>
      </c>
      <c r="B56" s="112">
        <v>11.3</v>
      </c>
      <c r="C56" s="112">
        <v>13.15</v>
      </c>
      <c r="D56" s="112">
        <v>25.07</v>
      </c>
      <c r="E56" s="112">
        <v>29.39</v>
      </c>
      <c r="F56" s="112">
        <v>29.2</v>
      </c>
      <c r="G56" s="112">
        <v>80.58</v>
      </c>
      <c r="H56" s="112">
        <v>29.35</v>
      </c>
      <c r="I56" s="112">
        <v>8.08</v>
      </c>
      <c r="J56" s="112">
        <v>1.01</v>
      </c>
      <c r="K56" s="112">
        <v>274.07</v>
      </c>
      <c r="L56" s="112">
        <v>40.97</v>
      </c>
      <c r="M56" s="112">
        <v>15.62</v>
      </c>
      <c r="N56" s="112">
        <v>765.6</v>
      </c>
      <c r="O56" s="112">
        <v>0</v>
      </c>
      <c r="P56" s="112">
        <v>0.62</v>
      </c>
      <c r="Q56" s="167" t="s">
        <v>14</v>
      </c>
    </row>
    <row r="57" spans="1:17" customFormat="1">
      <c r="A57" s="80">
        <v>45417.510416666664</v>
      </c>
      <c r="B57" s="112">
        <v>11.29</v>
      </c>
      <c r="C57" s="112">
        <v>13.1</v>
      </c>
      <c r="D57" s="112">
        <v>25.04</v>
      </c>
      <c r="E57" s="112">
        <v>29.34</v>
      </c>
      <c r="F57" s="112">
        <v>31.51</v>
      </c>
      <c r="G57" s="112">
        <v>80.37</v>
      </c>
      <c r="H57" s="112">
        <v>29.35</v>
      </c>
      <c r="I57" s="112">
        <v>7.76</v>
      </c>
      <c r="J57" s="112">
        <v>0.84</v>
      </c>
      <c r="K57" s="112">
        <v>282.60000000000002</v>
      </c>
      <c r="L57" s="112">
        <v>41.09</v>
      </c>
      <c r="M57" s="112">
        <v>15.52</v>
      </c>
      <c r="N57" s="112">
        <v>770.3</v>
      </c>
      <c r="O57" s="112">
        <v>0</v>
      </c>
      <c r="P57" s="112">
        <v>0.61</v>
      </c>
      <c r="Q57" s="167" t="s">
        <v>14</v>
      </c>
    </row>
    <row r="58" spans="1:17" customFormat="1">
      <c r="A58" s="80">
        <v>45417.520833333336</v>
      </c>
      <c r="B58" s="112">
        <v>11.3</v>
      </c>
      <c r="C58" s="112">
        <v>13.13</v>
      </c>
      <c r="D58" s="112">
        <v>25.07</v>
      </c>
      <c r="E58" s="112">
        <v>27.06</v>
      </c>
      <c r="F58" s="112">
        <v>26.12</v>
      </c>
      <c r="G58" s="112">
        <v>80.37</v>
      </c>
      <c r="H58" s="112">
        <v>29.35</v>
      </c>
      <c r="I58" s="112">
        <v>7.6</v>
      </c>
      <c r="J58" s="112">
        <v>1.04</v>
      </c>
      <c r="K58" s="112">
        <v>277.55</v>
      </c>
      <c r="L58" s="112">
        <v>41.72</v>
      </c>
      <c r="M58" s="112">
        <v>14.05</v>
      </c>
      <c r="N58" s="112">
        <v>776.3</v>
      </c>
      <c r="O58" s="112">
        <v>0</v>
      </c>
      <c r="P58" s="112">
        <v>0.6</v>
      </c>
      <c r="Q58" s="167" t="s">
        <v>14</v>
      </c>
    </row>
    <row r="59" spans="1:17" customFormat="1">
      <c r="A59" s="80">
        <v>45417.53125</v>
      </c>
      <c r="B59" s="112">
        <v>11.3</v>
      </c>
      <c r="C59" s="112">
        <v>13.09</v>
      </c>
      <c r="D59" s="112">
        <v>25.04</v>
      </c>
      <c r="E59" s="112">
        <v>23.05</v>
      </c>
      <c r="F59" s="112">
        <v>25.14</v>
      </c>
      <c r="G59" s="112">
        <v>80.37</v>
      </c>
      <c r="H59" s="112">
        <v>29.35</v>
      </c>
      <c r="I59" s="112">
        <v>7.45</v>
      </c>
      <c r="J59" s="112">
        <v>1.23</v>
      </c>
      <c r="K59" s="112">
        <v>298.16000000000003</v>
      </c>
      <c r="L59" s="112">
        <v>41.53</v>
      </c>
      <c r="M59" s="112">
        <v>12.8</v>
      </c>
      <c r="N59" s="112">
        <v>779.3</v>
      </c>
      <c r="O59" s="112">
        <v>0</v>
      </c>
      <c r="P59" s="112">
        <v>0.6</v>
      </c>
      <c r="Q59" s="167" t="s">
        <v>14</v>
      </c>
    </row>
    <row r="60" spans="1:17" customFormat="1">
      <c r="A60" s="80">
        <v>45417.541666666664</v>
      </c>
      <c r="B60" s="112">
        <v>11.3</v>
      </c>
      <c r="C60" s="112">
        <v>13.13</v>
      </c>
      <c r="D60" s="112">
        <v>25.06</v>
      </c>
      <c r="E60" s="112">
        <v>25.59</v>
      </c>
      <c r="F60" s="112">
        <v>38.770000000000003</v>
      </c>
      <c r="G60" s="112">
        <v>76.819999999999993</v>
      </c>
      <c r="H60" s="112">
        <v>32.15</v>
      </c>
      <c r="I60" s="112">
        <v>7.3</v>
      </c>
      <c r="J60" s="112">
        <v>0.81</v>
      </c>
      <c r="K60" s="112">
        <v>264.06</v>
      </c>
      <c r="L60" s="112">
        <v>41.94</v>
      </c>
      <c r="M60" s="112">
        <v>11.92</v>
      </c>
      <c r="N60" s="112">
        <v>738.2</v>
      </c>
      <c r="O60" s="112">
        <v>0</v>
      </c>
      <c r="P60" s="112">
        <v>0.61</v>
      </c>
      <c r="Q60" s="167" t="s">
        <v>14</v>
      </c>
    </row>
    <row r="61" spans="1:17" customFormat="1">
      <c r="A61" s="80">
        <v>45417.552083333336</v>
      </c>
      <c r="B61" s="112">
        <v>11.28</v>
      </c>
      <c r="C61" s="112">
        <v>13.1</v>
      </c>
      <c r="D61" s="112">
        <v>25.04</v>
      </c>
      <c r="E61" s="112">
        <v>27.17</v>
      </c>
      <c r="F61" s="112">
        <v>28.33</v>
      </c>
      <c r="G61" s="112">
        <v>75.930000000000007</v>
      </c>
      <c r="H61" s="112">
        <v>32.15</v>
      </c>
      <c r="I61" s="112">
        <v>7.44</v>
      </c>
      <c r="J61" s="112">
        <v>0.99</v>
      </c>
      <c r="K61" s="112">
        <v>257.93</v>
      </c>
      <c r="L61" s="112">
        <v>42.25</v>
      </c>
      <c r="M61" s="112">
        <v>13.02</v>
      </c>
      <c r="N61" s="112">
        <v>713</v>
      </c>
      <c r="O61" s="112">
        <v>0</v>
      </c>
      <c r="P61" s="112">
        <v>0.64</v>
      </c>
      <c r="Q61" s="167" t="s">
        <v>14</v>
      </c>
    </row>
    <row r="62" spans="1:17" customFormat="1">
      <c r="A62" s="80">
        <v>45417.5625</v>
      </c>
      <c r="B62" s="112">
        <v>11.25</v>
      </c>
      <c r="C62" s="112">
        <v>13.12</v>
      </c>
      <c r="D62" s="112">
        <v>25.02</v>
      </c>
      <c r="E62" s="112">
        <v>25.86</v>
      </c>
      <c r="F62" s="112">
        <v>30.04</v>
      </c>
      <c r="G62" s="112">
        <v>75.930000000000007</v>
      </c>
      <c r="H62" s="112">
        <v>32.15</v>
      </c>
      <c r="I62" s="112">
        <v>7.82</v>
      </c>
      <c r="J62" s="112">
        <v>1.21</v>
      </c>
      <c r="K62" s="112">
        <v>284.51</v>
      </c>
      <c r="L62" s="112">
        <v>42.08</v>
      </c>
      <c r="M62" s="112">
        <v>12.75</v>
      </c>
      <c r="N62" s="112">
        <v>635.70000000000005</v>
      </c>
      <c r="O62" s="112">
        <v>0</v>
      </c>
      <c r="P62" s="112">
        <v>0.63</v>
      </c>
      <c r="Q62" s="167" t="s">
        <v>14</v>
      </c>
    </row>
    <row r="63" spans="1:17" customFormat="1">
      <c r="A63" s="80">
        <v>45417.572916666664</v>
      </c>
      <c r="B63" s="112">
        <v>11.25</v>
      </c>
      <c r="C63" s="112">
        <v>13.11</v>
      </c>
      <c r="D63" s="112">
        <v>25.01</v>
      </c>
      <c r="E63" s="112">
        <v>25.45</v>
      </c>
      <c r="F63" s="112">
        <v>36.76</v>
      </c>
      <c r="G63" s="112">
        <v>75.930000000000007</v>
      </c>
      <c r="H63" s="112">
        <v>32.15</v>
      </c>
      <c r="I63" s="112">
        <v>8.24</v>
      </c>
      <c r="J63" s="112">
        <v>0.82</v>
      </c>
      <c r="K63" s="112">
        <v>272.20999999999998</v>
      </c>
      <c r="L63" s="112">
        <v>42.61</v>
      </c>
      <c r="M63" s="112">
        <v>11.86</v>
      </c>
      <c r="N63" s="112">
        <v>677.8</v>
      </c>
      <c r="O63" s="112">
        <v>0</v>
      </c>
      <c r="P63" s="112">
        <v>0.64</v>
      </c>
      <c r="Q63" s="167" t="s">
        <v>14</v>
      </c>
    </row>
    <row r="64" spans="1:17" customFormat="1">
      <c r="A64" s="80">
        <v>45417.583333333336</v>
      </c>
      <c r="B64" s="112">
        <v>11.24</v>
      </c>
      <c r="C64" s="112">
        <v>13.11</v>
      </c>
      <c r="D64" s="112">
        <v>25.01</v>
      </c>
      <c r="E64" s="112">
        <v>26.53</v>
      </c>
      <c r="F64" s="112">
        <v>36.42</v>
      </c>
      <c r="G64" s="112">
        <v>75.569999999999993</v>
      </c>
      <c r="H64" s="112">
        <v>29.61</v>
      </c>
      <c r="I64" s="112">
        <v>8.43</v>
      </c>
      <c r="J64" s="112">
        <v>1.06</v>
      </c>
      <c r="K64" s="112">
        <v>261.33999999999997</v>
      </c>
      <c r="L64" s="112">
        <v>42.69</v>
      </c>
      <c r="M64" s="112">
        <v>11.38</v>
      </c>
      <c r="N64" s="112">
        <v>683</v>
      </c>
      <c r="O64" s="112">
        <v>0</v>
      </c>
      <c r="P64" s="112">
        <v>0.64</v>
      </c>
      <c r="Q64" s="167" t="s">
        <v>14</v>
      </c>
    </row>
    <row r="65" spans="1:17" customFormat="1">
      <c r="A65" s="80">
        <v>45417.59375</v>
      </c>
      <c r="B65" s="112">
        <v>11.23</v>
      </c>
      <c r="C65" s="112">
        <v>13.11</v>
      </c>
      <c r="D65" s="112">
        <v>25</v>
      </c>
      <c r="E65" s="112">
        <v>23.47</v>
      </c>
      <c r="F65" s="112">
        <v>30.16</v>
      </c>
      <c r="G65" s="112">
        <v>75.48</v>
      </c>
      <c r="H65" s="112">
        <v>29.61</v>
      </c>
      <c r="I65" s="112">
        <v>8.5299999999999994</v>
      </c>
      <c r="J65" s="112">
        <v>1.01</v>
      </c>
      <c r="K65" s="112">
        <v>272.04000000000002</v>
      </c>
      <c r="L65" s="112">
        <v>42.63</v>
      </c>
      <c r="M65" s="112">
        <v>11.88</v>
      </c>
      <c r="N65" s="112">
        <v>656.7</v>
      </c>
      <c r="O65" s="112">
        <v>0</v>
      </c>
      <c r="P65" s="112">
        <v>0.67</v>
      </c>
      <c r="Q65" s="167" t="s">
        <v>14</v>
      </c>
    </row>
    <row r="66" spans="1:17" customFormat="1">
      <c r="A66" s="80">
        <v>45417.604166666664</v>
      </c>
      <c r="B66" s="112">
        <v>11.22</v>
      </c>
      <c r="C66" s="112">
        <v>13.12</v>
      </c>
      <c r="D66" s="112">
        <v>25</v>
      </c>
      <c r="E66" s="112">
        <v>23.09</v>
      </c>
      <c r="F66" s="112">
        <v>34.43</v>
      </c>
      <c r="G66" s="112">
        <v>75.48</v>
      </c>
      <c r="H66" s="112">
        <v>29.61</v>
      </c>
      <c r="I66" s="112">
        <v>8.48</v>
      </c>
      <c r="J66" s="112">
        <v>0.84</v>
      </c>
      <c r="K66" s="112">
        <v>263.08</v>
      </c>
      <c r="L66" s="112">
        <v>42.96</v>
      </c>
      <c r="M66" s="112">
        <v>12.63</v>
      </c>
      <c r="N66" s="112">
        <v>588.79999999999995</v>
      </c>
      <c r="O66" s="112">
        <v>0</v>
      </c>
      <c r="P66" s="112">
        <v>0.7</v>
      </c>
      <c r="Q66" s="167" t="s">
        <v>14</v>
      </c>
    </row>
    <row r="67" spans="1:17" customFormat="1">
      <c r="A67" s="80">
        <v>45417.614583333336</v>
      </c>
      <c r="B67" s="112">
        <v>11.22</v>
      </c>
      <c r="C67" s="112">
        <v>13.13</v>
      </c>
      <c r="D67" s="112">
        <v>25</v>
      </c>
      <c r="E67" s="112">
        <v>25.28</v>
      </c>
      <c r="F67" s="112">
        <v>35.99</v>
      </c>
      <c r="G67" s="112">
        <v>75.48</v>
      </c>
      <c r="H67" s="112">
        <v>29.61</v>
      </c>
      <c r="I67" s="112">
        <v>8.57</v>
      </c>
      <c r="J67" s="112">
        <v>0.63</v>
      </c>
      <c r="K67" s="112">
        <v>247.75</v>
      </c>
      <c r="L67" s="112">
        <v>43.07</v>
      </c>
      <c r="M67" s="112">
        <v>13.3</v>
      </c>
      <c r="N67" s="112">
        <v>568.70000000000005</v>
      </c>
      <c r="O67" s="112">
        <v>0</v>
      </c>
      <c r="P67" s="112">
        <v>0.69</v>
      </c>
      <c r="Q67" s="167" t="s">
        <v>14</v>
      </c>
    </row>
    <row r="68" spans="1:17" customFormat="1">
      <c r="A68" s="80">
        <v>45417.625</v>
      </c>
      <c r="B68" s="112">
        <v>11.2</v>
      </c>
      <c r="C68" s="112">
        <v>13.16</v>
      </c>
      <c r="D68" s="112">
        <v>25</v>
      </c>
      <c r="E68" s="112">
        <v>27.17</v>
      </c>
      <c r="F68" s="112">
        <v>41.13</v>
      </c>
      <c r="G68" s="112">
        <v>74.09</v>
      </c>
      <c r="H68" s="112">
        <v>26.23</v>
      </c>
      <c r="I68" s="112">
        <v>8.57</v>
      </c>
      <c r="J68" s="112">
        <v>0.95</v>
      </c>
      <c r="K68" s="112">
        <v>257.36</v>
      </c>
      <c r="L68" s="112">
        <v>43.16</v>
      </c>
      <c r="M68" s="112">
        <v>13.9</v>
      </c>
      <c r="N68" s="112">
        <v>547</v>
      </c>
      <c r="O68" s="112">
        <v>0</v>
      </c>
      <c r="P68" s="112">
        <v>0.67</v>
      </c>
      <c r="Q68" s="167" t="s">
        <v>14</v>
      </c>
    </row>
    <row r="69" spans="1:17" customFormat="1">
      <c r="A69" s="80">
        <v>45417.635416666664</v>
      </c>
      <c r="B69" s="112">
        <v>11.19</v>
      </c>
      <c r="C69" s="112">
        <v>13.19</v>
      </c>
      <c r="D69" s="112">
        <v>25.01</v>
      </c>
      <c r="E69" s="112">
        <v>24.66</v>
      </c>
      <c r="F69" s="112">
        <v>36.74</v>
      </c>
      <c r="G69" s="112">
        <v>73.739999999999995</v>
      </c>
      <c r="H69" s="112">
        <v>26.23</v>
      </c>
      <c r="I69" s="112">
        <v>8.4</v>
      </c>
      <c r="J69" s="112">
        <v>0.88</v>
      </c>
      <c r="K69" s="112">
        <v>275.5</v>
      </c>
      <c r="L69" s="112">
        <v>42.8</v>
      </c>
      <c r="M69" s="112">
        <v>14.21</v>
      </c>
      <c r="N69" s="112">
        <v>495.9</v>
      </c>
      <c r="O69" s="112">
        <v>0</v>
      </c>
      <c r="P69" s="112">
        <v>0.67</v>
      </c>
      <c r="Q69" s="167" t="s">
        <v>14</v>
      </c>
    </row>
    <row r="70" spans="1:17" customFormat="1">
      <c r="A70" s="80">
        <v>45417.645833333336</v>
      </c>
      <c r="B70" s="112">
        <v>11.19</v>
      </c>
      <c r="C70" s="112">
        <v>13.17</v>
      </c>
      <c r="D70" s="112">
        <v>25</v>
      </c>
      <c r="E70" s="112">
        <v>27.4</v>
      </c>
      <c r="F70" s="112">
        <v>39.58</v>
      </c>
      <c r="G70" s="112">
        <v>73.739999999999995</v>
      </c>
      <c r="H70" s="112">
        <v>26.23</v>
      </c>
      <c r="I70" s="112">
        <v>8.33</v>
      </c>
      <c r="J70" s="112">
        <v>0.93</v>
      </c>
      <c r="K70" s="112">
        <v>253.47</v>
      </c>
      <c r="L70" s="112">
        <v>42.61</v>
      </c>
      <c r="M70" s="112">
        <v>14.39</v>
      </c>
      <c r="N70" s="112">
        <v>443.3</v>
      </c>
      <c r="O70" s="112">
        <v>0</v>
      </c>
      <c r="P70" s="112">
        <v>0.67</v>
      </c>
      <c r="Q70" s="167" t="s">
        <v>14</v>
      </c>
    </row>
    <row r="71" spans="1:17" customFormat="1">
      <c r="A71" s="80">
        <v>45417.65625</v>
      </c>
      <c r="B71" s="112">
        <v>11.2</v>
      </c>
      <c r="C71" s="112">
        <v>13.16</v>
      </c>
      <c r="D71" s="112">
        <v>25</v>
      </c>
      <c r="E71" s="112">
        <v>25.38</v>
      </c>
      <c r="F71" s="112">
        <v>38.83</v>
      </c>
      <c r="G71" s="112">
        <v>73.739999999999995</v>
      </c>
      <c r="H71" s="112">
        <v>26.23</v>
      </c>
      <c r="I71" s="112">
        <v>8.27</v>
      </c>
      <c r="J71" s="112">
        <v>0.89</v>
      </c>
      <c r="K71" s="112">
        <v>250.26</v>
      </c>
      <c r="L71" s="112">
        <v>42.53</v>
      </c>
      <c r="M71" s="112">
        <v>14.59</v>
      </c>
      <c r="N71" s="112">
        <v>408.4</v>
      </c>
      <c r="O71" s="112">
        <v>0</v>
      </c>
      <c r="P71" s="112">
        <v>0.65</v>
      </c>
      <c r="Q71" s="167" t="s">
        <v>14</v>
      </c>
    </row>
    <row r="72" spans="1:17" customFormat="1">
      <c r="A72" s="80">
        <v>45417.666666666664</v>
      </c>
      <c r="B72" s="112">
        <v>11.23</v>
      </c>
      <c r="C72" s="112">
        <v>13.11</v>
      </c>
      <c r="D72" s="112">
        <v>25</v>
      </c>
      <c r="E72" s="112">
        <v>31.45</v>
      </c>
      <c r="F72" s="112">
        <v>59.85</v>
      </c>
      <c r="G72" s="112">
        <v>71.97</v>
      </c>
      <c r="H72" s="112">
        <v>26.77</v>
      </c>
      <c r="I72" s="112">
        <v>8.14</v>
      </c>
      <c r="J72" s="112">
        <v>0.53</v>
      </c>
      <c r="K72" s="112">
        <v>248.81</v>
      </c>
      <c r="L72" s="112">
        <v>42.71</v>
      </c>
      <c r="M72" s="112">
        <v>14.76</v>
      </c>
      <c r="N72" s="112">
        <v>269.60000000000002</v>
      </c>
      <c r="O72" s="112">
        <v>0</v>
      </c>
      <c r="P72" s="112">
        <v>0.6</v>
      </c>
      <c r="Q72" s="167" t="s">
        <v>14</v>
      </c>
    </row>
    <row r="73" spans="1:17" customFormat="1">
      <c r="A73" s="80">
        <v>45417.677083333336</v>
      </c>
      <c r="B73" s="112">
        <v>11.22</v>
      </c>
      <c r="C73" s="112">
        <v>13.14</v>
      </c>
      <c r="D73" s="112">
        <v>25</v>
      </c>
      <c r="E73" s="112">
        <v>35.49</v>
      </c>
      <c r="F73" s="112">
        <v>62.14</v>
      </c>
      <c r="G73" s="112">
        <v>71.53</v>
      </c>
      <c r="H73" s="112">
        <v>26.77</v>
      </c>
      <c r="I73" s="112">
        <v>7.78</v>
      </c>
      <c r="J73" s="112">
        <v>0.63</v>
      </c>
      <c r="K73" s="112">
        <v>245.34</v>
      </c>
      <c r="L73" s="112">
        <v>42.74</v>
      </c>
      <c r="M73" s="112">
        <v>13.91</v>
      </c>
      <c r="N73" s="112">
        <v>250.7</v>
      </c>
      <c r="O73" s="112">
        <v>0</v>
      </c>
      <c r="P73" s="112">
        <v>0.59</v>
      </c>
      <c r="Q73" s="167" t="s">
        <v>14</v>
      </c>
    </row>
    <row r="74" spans="1:17" customFormat="1">
      <c r="A74" s="80">
        <v>45417.6875</v>
      </c>
      <c r="B74" s="112">
        <v>11.3</v>
      </c>
      <c r="C74" s="112">
        <v>13.09</v>
      </c>
      <c r="D74" s="112">
        <v>25.04</v>
      </c>
      <c r="E74" s="112">
        <v>31.27</v>
      </c>
      <c r="F74" s="112">
        <v>46.24</v>
      </c>
      <c r="G74" s="112">
        <v>71.53</v>
      </c>
      <c r="H74" s="112">
        <v>26.77</v>
      </c>
      <c r="I74" s="112">
        <v>7.18</v>
      </c>
      <c r="J74" s="112">
        <v>0.94</v>
      </c>
      <c r="K74" s="112">
        <v>254.57</v>
      </c>
      <c r="L74" s="112">
        <v>42.03</v>
      </c>
      <c r="M74" s="112">
        <v>12.81</v>
      </c>
      <c r="N74" s="112">
        <v>167.5</v>
      </c>
      <c r="O74" s="112">
        <v>0</v>
      </c>
      <c r="P74" s="112">
        <v>0.61</v>
      </c>
      <c r="Q74" s="167" t="s">
        <v>14</v>
      </c>
    </row>
    <row r="75" spans="1:17" customFormat="1">
      <c r="A75" s="80">
        <v>45417.697916666664</v>
      </c>
      <c r="B75" s="112">
        <v>11.22</v>
      </c>
      <c r="C75" s="112">
        <v>13.15</v>
      </c>
      <c r="D75" s="112">
        <v>25.01</v>
      </c>
      <c r="E75" s="112">
        <v>30.15</v>
      </c>
      <c r="F75" s="112">
        <v>46.76</v>
      </c>
      <c r="G75" s="112">
        <v>71.53</v>
      </c>
      <c r="H75" s="112">
        <v>26.77</v>
      </c>
      <c r="I75" s="112">
        <v>6.84</v>
      </c>
      <c r="J75" s="112">
        <v>1.03</v>
      </c>
      <c r="K75" s="112">
        <v>256.73</v>
      </c>
      <c r="L75" s="112">
        <v>41.72</v>
      </c>
      <c r="M75" s="112">
        <v>11.23</v>
      </c>
      <c r="N75" s="112">
        <v>137.5</v>
      </c>
      <c r="O75" s="112">
        <v>0</v>
      </c>
      <c r="P75" s="112">
        <v>0.61</v>
      </c>
      <c r="Q75" s="167" t="s">
        <v>14</v>
      </c>
    </row>
    <row r="76" spans="1:17" customFormat="1">
      <c r="A76" s="80">
        <v>45417.708333333336</v>
      </c>
      <c r="B76" s="112">
        <v>11.2</v>
      </c>
      <c r="C76" s="112">
        <v>13.25</v>
      </c>
      <c r="D76" s="112">
        <v>25.04</v>
      </c>
      <c r="E76" s="112">
        <v>27.54</v>
      </c>
      <c r="F76" s="112">
        <v>44.39</v>
      </c>
      <c r="G76" s="112">
        <v>67.41</v>
      </c>
      <c r="H76" s="112">
        <v>26.75</v>
      </c>
      <c r="I76" s="112">
        <v>6.85</v>
      </c>
      <c r="J76" s="112">
        <v>0.99</v>
      </c>
      <c r="K76" s="112">
        <v>255.1</v>
      </c>
      <c r="L76" s="112">
        <v>41.37</v>
      </c>
      <c r="M76" s="112">
        <v>11.58</v>
      </c>
      <c r="N76" s="112">
        <v>180.7</v>
      </c>
      <c r="O76" s="112">
        <v>0</v>
      </c>
      <c r="P76" s="112">
        <v>0.61</v>
      </c>
      <c r="Q76" s="167" t="s">
        <v>14</v>
      </c>
    </row>
    <row r="77" spans="1:17" customFormat="1">
      <c r="A77" s="80">
        <v>45417.71875</v>
      </c>
      <c r="B77" s="112">
        <v>11.17</v>
      </c>
      <c r="C77" s="112">
        <v>13.21</v>
      </c>
      <c r="D77" s="112">
        <v>25</v>
      </c>
      <c r="E77" s="112">
        <v>31.4</v>
      </c>
      <c r="F77" s="112">
        <v>39.33</v>
      </c>
      <c r="G77" s="112">
        <v>66.38</v>
      </c>
      <c r="H77" s="112">
        <v>26.75</v>
      </c>
      <c r="I77" s="112">
        <v>6.91</v>
      </c>
      <c r="J77" s="112">
        <v>1.0900000000000001</v>
      </c>
      <c r="K77" s="112">
        <v>293.98</v>
      </c>
      <c r="L77" s="112">
        <v>41.34</v>
      </c>
      <c r="M77" s="112">
        <v>11.13</v>
      </c>
      <c r="N77" s="112">
        <v>127.6</v>
      </c>
      <c r="O77" s="112">
        <v>0</v>
      </c>
      <c r="P77" s="112">
        <v>0.64</v>
      </c>
      <c r="Q77" s="167" t="s">
        <v>14</v>
      </c>
    </row>
    <row r="78" spans="1:17" customFormat="1">
      <c r="A78" s="80">
        <v>45417.729166666664</v>
      </c>
      <c r="B78" s="112">
        <v>11.19</v>
      </c>
      <c r="C78" s="112">
        <v>13.18</v>
      </c>
      <c r="D78" s="112">
        <v>25</v>
      </c>
      <c r="E78" s="112">
        <v>26.78</v>
      </c>
      <c r="F78" s="112">
        <v>38.93</v>
      </c>
      <c r="G78" s="112">
        <v>66.38</v>
      </c>
      <c r="H78" s="112">
        <v>26.75</v>
      </c>
      <c r="I78" s="112">
        <v>6.83</v>
      </c>
      <c r="J78" s="112">
        <v>0.87</v>
      </c>
      <c r="K78" s="112">
        <v>269.38</v>
      </c>
      <c r="L78" s="112">
        <v>40.86</v>
      </c>
      <c r="M78" s="112">
        <v>11.01</v>
      </c>
      <c r="N78" s="112">
        <v>62.4</v>
      </c>
      <c r="O78" s="112">
        <v>0</v>
      </c>
      <c r="P78" s="112">
        <v>0.63</v>
      </c>
      <c r="Q78" s="167" t="s">
        <v>14</v>
      </c>
    </row>
    <row r="79" spans="1:17" customFormat="1">
      <c r="A79" s="80">
        <v>45417.739583333336</v>
      </c>
      <c r="B79" s="112">
        <v>11.2</v>
      </c>
      <c r="C79" s="112">
        <v>13.16</v>
      </c>
      <c r="D79" s="112">
        <v>25</v>
      </c>
      <c r="E79" s="112">
        <v>32.049999999999997</v>
      </c>
      <c r="F79" s="112">
        <v>57.25</v>
      </c>
      <c r="G79" s="112">
        <v>66.38</v>
      </c>
      <c r="H79" s="112">
        <v>26.75</v>
      </c>
      <c r="I79" s="112">
        <v>6.98</v>
      </c>
      <c r="J79" s="112">
        <v>0.55000000000000004</v>
      </c>
      <c r="K79" s="112">
        <v>252.15</v>
      </c>
      <c r="L79" s="112">
        <v>40.119999999999997</v>
      </c>
      <c r="M79" s="112">
        <v>12.39</v>
      </c>
      <c r="N79" s="112">
        <v>53.9</v>
      </c>
      <c r="O79" s="112">
        <v>0</v>
      </c>
      <c r="P79" s="112">
        <v>0.61</v>
      </c>
      <c r="Q79" s="167" t="s">
        <v>14</v>
      </c>
    </row>
    <row r="80" spans="1:17" customFormat="1">
      <c r="A80" s="80">
        <v>45417.75</v>
      </c>
      <c r="B80" s="112">
        <v>11.19</v>
      </c>
      <c r="C80" s="112">
        <v>13.21</v>
      </c>
      <c r="D80" s="112">
        <v>25.01</v>
      </c>
      <c r="E80" s="112">
        <v>36.49</v>
      </c>
      <c r="F80" s="112">
        <v>50.81</v>
      </c>
      <c r="G80" s="112">
        <v>67.8</v>
      </c>
      <c r="H80" s="112">
        <v>24.93</v>
      </c>
      <c r="I80" s="112">
        <v>6.59</v>
      </c>
      <c r="J80" s="112">
        <v>0.66</v>
      </c>
      <c r="K80" s="112">
        <v>255.52</v>
      </c>
      <c r="L80" s="112">
        <v>39.57</v>
      </c>
      <c r="M80" s="112">
        <v>12.83</v>
      </c>
      <c r="N80" s="112">
        <v>16.600000000000001</v>
      </c>
      <c r="O80" s="112">
        <v>0</v>
      </c>
      <c r="P80" s="112">
        <v>0.64</v>
      </c>
      <c r="Q80" s="167" t="s">
        <v>14</v>
      </c>
    </row>
    <row r="81" spans="1:17" customFormat="1">
      <c r="A81" s="80">
        <v>45417.760416666664</v>
      </c>
      <c r="B81" s="112">
        <v>11.2</v>
      </c>
      <c r="C81" s="112">
        <v>13.26</v>
      </c>
      <c r="D81" s="112">
        <v>25.05</v>
      </c>
      <c r="E81" s="112">
        <v>29.84</v>
      </c>
      <c r="F81" s="112">
        <v>51.07</v>
      </c>
      <c r="G81" s="112">
        <v>68.150000000000006</v>
      </c>
      <c r="H81" s="112">
        <v>24.93</v>
      </c>
      <c r="I81" s="112">
        <v>5.98</v>
      </c>
      <c r="J81" s="112">
        <v>0.6</v>
      </c>
      <c r="K81" s="112">
        <v>238.01</v>
      </c>
      <c r="L81" s="112">
        <v>38.729999999999997</v>
      </c>
      <c r="M81" s="112">
        <v>13.82</v>
      </c>
      <c r="N81" s="112">
        <v>0</v>
      </c>
      <c r="O81" s="112">
        <v>0</v>
      </c>
      <c r="P81" s="112">
        <v>0.68</v>
      </c>
      <c r="Q81" s="167" t="s">
        <v>14</v>
      </c>
    </row>
    <row r="82" spans="1:17" customFormat="1">
      <c r="A82" s="80">
        <v>45417.770833333336</v>
      </c>
      <c r="B82" s="112">
        <v>11.2</v>
      </c>
      <c r="C82" s="112">
        <v>13.17</v>
      </c>
      <c r="D82" s="112">
        <v>25.01</v>
      </c>
      <c r="E82" s="112">
        <v>35.26</v>
      </c>
      <c r="F82" s="112">
        <v>50.05</v>
      </c>
      <c r="G82" s="112">
        <v>68.150000000000006</v>
      </c>
      <c r="H82" s="112">
        <v>24.93</v>
      </c>
      <c r="I82" s="112">
        <v>6.04</v>
      </c>
      <c r="J82" s="112">
        <v>0.57999999999999996</v>
      </c>
      <c r="K82" s="112">
        <v>243.54</v>
      </c>
      <c r="L82" s="112">
        <v>38.04</v>
      </c>
      <c r="M82" s="112">
        <v>14.6</v>
      </c>
      <c r="N82" s="112">
        <v>0</v>
      </c>
      <c r="O82" s="112">
        <v>0</v>
      </c>
      <c r="P82" s="112">
        <v>0.68</v>
      </c>
      <c r="Q82" s="167" t="s">
        <v>14</v>
      </c>
    </row>
    <row r="83" spans="1:17" customFormat="1">
      <c r="A83" s="80">
        <v>45417.78125</v>
      </c>
      <c r="B83" s="112">
        <v>11.19</v>
      </c>
      <c r="C83" s="112">
        <v>13.17</v>
      </c>
      <c r="D83" s="112">
        <v>25</v>
      </c>
      <c r="E83" s="112">
        <v>31.33</v>
      </c>
      <c r="F83" s="112">
        <v>58.64</v>
      </c>
      <c r="G83" s="112">
        <v>68.150000000000006</v>
      </c>
      <c r="H83" s="112">
        <v>24.93</v>
      </c>
      <c r="I83" s="112">
        <v>6.25</v>
      </c>
      <c r="J83" s="112">
        <v>0.56000000000000005</v>
      </c>
      <c r="K83" s="112">
        <v>246.23</v>
      </c>
      <c r="L83" s="112">
        <v>37.54</v>
      </c>
      <c r="M83" s="112">
        <v>15.01</v>
      </c>
      <c r="N83" s="112">
        <v>0</v>
      </c>
      <c r="O83" s="112">
        <v>0</v>
      </c>
      <c r="P83" s="112">
        <v>0.62</v>
      </c>
      <c r="Q83" s="167" t="s">
        <v>14</v>
      </c>
    </row>
    <row r="84" spans="1:17" customFormat="1">
      <c r="A84" s="80">
        <v>45417.791666666664</v>
      </c>
      <c r="B84" s="112">
        <v>11.2</v>
      </c>
      <c r="C84" s="112">
        <v>13.16</v>
      </c>
      <c r="D84" s="112">
        <v>25</v>
      </c>
      <c r="E84" s="112">
        <v>32.26</v>
      </c>
      <c r="F84" s="112">
        <v>56.11</v>
      </c>
      <c r="G84" s="112">
        <v>64.06</v>
      </c>
      <c r="H84" s="112">
        <v>24.22</v>
      </c>
      <c r="I84" s="112">
        <v>6.2</v>
      </c>
      <c r="J84" s="112">
        <v>0.52</v>
      </c>
      <c r="K84" s="112">
        <v>241.2</v>
      </c>
      <c r="L84" s="112">
        <v>37.03</v>
      </c>
      <c r="M84" s="112">
        <v>15.87</v>
      </c>
      <c r="N84" s="112">
        <v>0</v>
      </c>
      <c r="O84" s="112">
        <v>0</v>
      </c>
      <c r="P84" s="112">
        <v>0.67</v>
      </c>
      <c r="Q84" s="167" t="s">
        <v>14</v>
      </c>
    </row>
    <row r="85" spans="1:17" customFormat="1">
      <c r="A85" s="80">
        <v>45417.802083333336</v>
      </c>
      <c r="B85" s="112">
        <v>11.22</v>
      </c>
      <c r="C85" s="112">
        <v>13.19</v>
      </c>
      <c r="D85" s="112">
        <v>25.03</v>
      </c>
      <c r="E85" s="112">
        <v>33.14</v>
      </c>
      <c r="F85" s="112">
        <v>33.21</v>
      </c>
      <c r="G85" s="112">
        <v>63.03</v>
      </c>
      <c r="H85" s="112">
        <v>24.22</v>
      </c>
      <c r="I85" s="112">
        <v>5.87</v>
      </c>
      <c r="J85" s="112">
        <v>0.51</v>
      </c>
      <c r="K85" s="112">
        <v>234.47</v>
      </c>
      <c r="L85" s="112">
        <v>36.869999999999997</v>
      </c>
      <c r="M85" s="112">
        <v>16.03</v>
      </c>
      <c r="N85" s="112">
        <v>0</v>
      </c>
      <c r="O85" s="112">
        <v>0</v>
      </c>
      <c r="P85" s="112">
        <v>0.82</v>
      </c>
      <c r="Q85" s="167" t="s">
        <v>14</v>
      </c>
    </row>
    <row r="86" spans="1:17" customFormat="1">
      <c r="A86" s="80">
        <v>45417.8125</v>
      </c>
      <c r="B86" s="112">
        <v>11.23</v>
      </c>
      <c r="C86" s="112">
        <v>13.16</v>
      </c>
      <c r="D86" s="112">
        <v>25.03</v>
      </c>
      <c r="E86" s="112">
        <v>34.79</v>
      </c>
      <c r="F86" s="112">
        <v>30.51</v>
      </c>
      <c r="G86" s="112">
        <v>63.03</v>
      </c>
      <c r="H86" s="112">
        <v>24.22</v>
      </c>
      <c r="I86" s="112">
        <v>6.17</v>
      </c>
      <c r="J86" s="112">
        <v>0.48</v>
      </c>
      <c r="K86" s="112">
        <v>232.71</v>
      </c>
      <c r="L86" s="112">
        <v>36.42</v>
      </c>
      <c r="M86" s="112">
        <v>16.98</v>
      </c>
      <c r="N86" s="112">
        <v>0</v>
      </c>
      <c r="O86" s="112">
        <v>0</v>
      </c>
      <c r="P86" s="112">
        <v>0.87</v>
      </c>
      <c r="Q86" s="167" t="s">
        <v>14</v>
      </c>
    </row>
    <row r="87" spans="1:17" customFormat="1">
      <c r="A87" s="80">
        <v>45417.822916666664</v>
      </c>
      <c r="B87" s="112">
        <v>11.24</v>
      </c>
      <c r="C87" s="112">
        <v>13.11</v>
      </c>
      <c r="D87" s="112">
        <v>25</v>
      </c>
      <c r="E87" s="112">
        <v>34.19</v>
      </c>
      <c r="F87" s="112">
        <v>26.43</v>
      </c>
      <c r="G87" s="112">
        <v>63.03</v>
      </c>
      <c r="H87" s="112">
        <v>24.22</v>
      </c>
      <c r="I87" s="112">
        <v>7</v>
      </c>
      <c r="J87" s="112">
        <v>0.4</v>
      </c>
      <c r="K87" s="112">
        <v>222.77</v>
      </c>
      <c r="L87" s="112">
        <v>35.89</v>
      </c>
      <c r="M87" s="112">
        <v>19.52</v>
      </c>
      <c r="N87" s="112">
        <v>0</v>
      </c>
      <c r="O87" s="112">
        <v>0</v>
      </c>
      <c r="P87" s="112">
        <v>0.89</v>
      </c>
      <c r="Q87" s="167" t="s">
        <v>14</v>
      </c>
    </row>
    <row r="88" spans="1:17" customFormat="1">
      <c r="A88" s="80">
        <v>45417.833333333336</v>
      </c>
      <c r="B88" s="112">
        <v>11.27</v>
      </c>
      <c r="C88" s="112">
        <v>13.13</v>
      </c>
      <c r="D88" s="112">
        <v>25.04</v>
      </c>
      <c r="E88" s="112">
        <v>33.4</v>
      </c>
      <c r="F88" s="112">
        <v>43.86</v>
      </c>
      <c r="G88" s="112">
        <v>68.12</v>
      </c>
      <c r="H88" s="112">
        <v>24.52</v>
      </c>
      <c r="I88" s="112">
        <v>7.36</v>
      </c>
      <c r="J88" s="112">
        <v>0.32</v>
      </c>
      <c r="K88" s="112">
        <v>179.1</v>
      </c>
      <c r="L88" s="112">
        <v>34.31</v>
      </c>
      <c r="M88" s="112">
        <v>23.54</v>
      </c>
      <c r="N88" s="112">
        <v>0</v>
      </c>
      <c r="O88" s="112">
        <v>0</v>
      </c>
      <c r="P88" s="112">
        <v>0.77</v>
      </c>
      <c r="Q88" s="167" t="s">
        <v>14</v>
      </c>
    </row>
    <row r="89" spans="1:17" customFormat="1">
      <c r="A89" s="80">
        <v>45417.84375</v>
      </c>
      <c r="B89" s="112">
        <v>11.25</v>
      </c>
      <c r="C89" s="112">
        <v>13.21</v>
      </c>
      <c r="D89" s="112">
        <v>25.07</v>
      </c>
      <c r="E89" s="112">
        <v>27.3</v>
      </c>
      <c r="F89" s="112">
        <v>29.82</v>
      </c>
      <c r="G89" s="112">
        <v>69.39</v>
      </c>
      <c r="H89" s="112">
        <v>24.52</v>
      </c>
      <c r="I89" s="112">
        <v>7.39</v>
      </c>
      <c r="J89" s="112">
        <v>0.2</v>
      </c>
      <c r="K89" s="112">
        <v>165.91</v>
      </c>
      <c r="L89" s="112">
        <v>33.57</v>
      </c>
      <c r="M89" s="112">
        <v>26.04</v>
      </c>
      <c r="N89" s="112">
        <v>0</v>
      </c>
      <c r="O89" s="112">
        <v>0</v>
      </c>
      <c r="P89" s="112">
        <v>0.8</v>
      </c>
      <c r="Q89" s="167" t="s">
        <v>14</v>
      </c>
    </row>
    <row r="90" spans="1:17" customFormat="1">
      <c r="A90" s="80">
        <v>45417.854166666664</v>
      </c>
      <c r="B90" s="112">
        <v>11.24</v>
      </c>
      <c r="C90" s="112">
        <v>13.11</v>
      </c>
      <c r="D90" s="112">
        <v>25</v>
      </c>
      <c r="E90" s="112">
        <v>25.01</v>
      </c>
      <c r="F90" s="112">
        <v>22.35</v>
      </c>
      <c r="G90" s="112">
        <v>69.39</v>
      </c>
      <c r="H90" s="112">
        <v>24.52</v>
      </c>
      <c r="I90" s="112">
        <v>7.24</v>
      </c>
      <c r="J90" s="112">
        <v>0.28000000000000003</v>
      </c>
      <c r="K90" s="112">
        <v>170.36</v>
      </c>
      <c r="L90" s="112">
        <v>33.21</v>
      </c>
      <c r="M90" s="112">
        <v>28.57</v>
      </c>
      <c r="N90" s="112">
        <v>0</v>
      </c>
      <c r="O90" s="112">
        <v>0</v>
      </c>
      <c r="P90" s="112">
        <v>0.88</v>
      </c>
      <c r="Q90" s="167" t="s">
        <v>14</v>
      </c>
    </row>
    <row r="91" spans="1:17" customFormat="1">
      <c r="A91" s="80">
        <v>45417.864583333336</v>
      </c>
      <c r="B91" s="112">
        <v>11.25</v>
      </c>
      <c r="C91" s="112">
        <v>13.15</v>
      </c>
      <c r="D91" s="112">
        <v>25.03</v>
      </c>
      <c r="E91" s="112">
        <v>20.95</v>
      </c>
      <c r="F91" s="112">
        <v>13.81</v>
      </c>
      <c r="G91" s="112">
        <v>69.39</v>
      </c>
      <c r="H91" s="112">
        <v>24.52</v>
      </c>
      <c r="I91" s="112">
        <v>7.82</v>
      </c>
      <c r="J91" s="112">
        <v>0.2</v>
      </c>
      <c r="K91" s="112">
        <v>175.78</v>
      </c>
      <c r="L91" s="112">
        <v>32.369999999999997</v>
      </c>
      <c r="M91" s="112">
        <v>30.99</v>
      </c>
      <c r="N91" s="112">
        <v>0</v>
      </c>
      <c r="O91" s="112">
        <v>0</v>
      </c>
      <c r="P91" s="112">
        <v>0.85</v>
      </c>
      <c r="Q91" s="167" t="s">
        <v>14</v>
      </c>
    </row>
    <row r="92" spans="1:17" customFormat="1">
      <c r="A92" s="80">
        <v>45417.875</v>
      </c>
      <c r="B92" s="112">
        <v>11.25</v>
      </c>
      <c r="C92" s="112">
        <v>13.08</v>
      </c>
      <c r="D92" s="112">
        <v>25</v>
      </c>
      <c r="E92" s="112">
        <v>16.809999999999999</v>
      </c>
      <c r="F92" s="112">
        <v>9.81</v>
      </c>
      <c r="G92" s="112">
        <v>69.67</v>
      </c>
      <c r="H92" s="112">
        <v>23.05</v>
      </c>
      <c r="I92" s="112">
        <v>8.34</v>
      </c>
      <c r="J92" s="112">
        <v>0.18</v>
      </c>
      <c r="K92" s="112">
        <v>180.24</v>
      </c>
      <c r="L92" s="112">
        <v>32.28</v>
      </c>
      <c r="M92" s="112">
        <v>31.15</v>
      </c>
      <c r="N92" s="112">
        <v>0</v>
      </c>
      <c r="O92" s="112">
        <v>0</v>
      </c>
      <c r="P92" s="112">
        <v>0.85</v>
      </c>
      <c r="Q92" s="167" t="s">
        <v>14</v>
      </c>
    </row>
    <row r="93" spans="1:17" customFormat="1">
      <c r="A93" s="80">
        <v>45417.885416666664</v>
      </c>
      <c r="B93" s="112">
        <v>11.26</v>
      </c>
      <c r="C93" s="112">
        <v>13.1</v>
      </c>
      <c r="D93" s="112">
        <v>25.02</v>
      </c>
      <c r="E93" s="112">
        <v>15.85</v>
      </c>
      <c r="F93" s="112">
        <v>10.43</v>
      </c>
      <c r="G93" s="112">
        <v>69.739999999999995</v>
      </c>
      <c r="H93" s="112">
        <v>23.05</v>
      </c>
      <c r="I93" s="112">
        <v>8.33</v>
      </c>
      <c r="J93" s="112">
        <v>0.18</v>
      </c>
      <c r="K93" s="112">
        <v>163.85</v>
      </c>
      <c r="L93" s="112">
        <v>32.21</v>
      </c>
      <c r="M93" s="112">
        <v>31.54</v>
      </c>
      <c r="N93" s="112">
        <v>0</v>
      </c>
      <c r="O93" s="112">
        <v>0</v>
      </c>
      <c r="P93" s="112">
        <v>0.85</v>
      </c>
      <c r="Q93" s="167" t="s">
        <v>14</v>
      </c>
    </row>
    <row r="94" spans="1:17" customFormat="1">
      <c r="A94" s="80">
        <v>45417.895833333336</v>
      </c>
      <c r="B94" s="112">
        <v>11.28</v>
      </c>
      <c r="C94" s="112">
        <v>13.13</v>
      </c>
      <c r="D94" s="112">
        <v>25.05</v>
      </c>
      <c r="E94" s="112">
        <v>16.010000000000002</v>
      </c>
      <c r="F94" s="112">
        <v>13.56</v>
      </c>
      <c r="G94" s="112">
        <v>69.739999999999995</v>
      </c>
      <c r="H94" s="112">
        <v>23.05</v>
      </c>
      <c r="I94" s="112">
        <v>8.4700000000000006</v>
      </c>
      <c r="J94" s="112">
        <v>0.17</v>
      </c>
      <c r="K94" s="112">
        <v>179.82</v>
      </c>
      <c r="L94" s="112">
        <v>32.450000000000003</v>
      </c>
      <c r="M94" s="112">
        <v>28.63</v>
      </c>
      <c r="N94" s="112">
        <v>0</v>
      </c>
      <c r="O94" s="112">
        <v>0</v>
      </c>
      <c r="P94" s="112">
        <v>0.85</v>
      </c>
      <c r="Q94" s="167" t="s">
        <v>14</v>
      </c>
    </row>
    <row r="95" spans="1:17" customFormat="1">
      <c r="A95" s="80">
        <v>45417.90625</v>
      </c>
      <c r="B95" s="112">
        <v>11.27</v>
      </c>
      <c r="C95" s="112">
        <v>13.12</v>
      </c>
      <c r="D95" s="112">
        <v>25.03</v>
      </c>
      <c r="E95" s="112">
        <v>15.3</v>
      </c>
      <c r="F95" s="112">
        <v>14.49</v>
      </c>
      <c r="G95" s="112">
        <v>69.739999999999995</v>
      </c>
      <c r="H95" s="112">
        <v>23.05</v>
      </c>
      <c r="I95" s="112">
        <v>8.6199999999999992</v>
      </c>
      <c r="J95" s="112">
        <v>0.15</v>
      </c>
      <c r="K95" s="112">
        <v>170.7</v>
      </c>
      <c r="L95" s="112">
        <v>32.4</v>
      </c>
      <c r="M95" s="112">
        <v>29.19</v>
      </c>
      <c r="N95" s="112">
        <v>0</v>
      </c>
      <c r="O95" s="112">
        <v>0</v>
      </c>
      <c r="P95" s="112">
        <v>0.85</v>
      </c>
      <c r="Q95" s="167" t="s">
        <v>14</v>
      </c>
    </row>
    <row r="96" spans="1:17" customFormat="1">
      <c r="A96" s="80">
        <v>45417.916666666664</v>
      </c>
      <c r="B96" s="112">
        <v>11.27</v>
      </c>
      <c r="C96" s="112">
        <v>13.06</v>
      </c>
      <c r="D96" s="112">
        <v>25</v>
      </c>
      <c r="E96" s="112">
        <v>16.11</v>
      </c>
      <c r="F96" s="112">
        <v>15.82</v>
      </c>
      <c r="G96" s="112">
        <v>73.08</v>
      </c>
      <c r="H96" s="112">
        <v>25.59</v>
      </c>
      <c r="I96" s="112">
        <v>8.77</v>
      </c>
      <c r="J96" s="112">
        <v>0.13</v>
      </c>
      <c r="K96" s="112">
        <v>179.79</v>
      </c>
      <c r="L96" s="112">
        <v>32.42</v>
      </c>
      <c r="M96" s="112">
        <v>27.82</v>
      </c>
      <c r="N96" s="112">
        <v>0</v>
      </c>
      <c r="O96" s="112">
        <v>0</v>
      </c>
      <c r="P96" s="112">
        <v>0.85</v>
      </c>
      <c r="Q96" s="167" t="s">
        <v>14</v>
      </c>
    </row>
    <row r="97" spans="1:22" customFormat="1">
      <c r="A97" s="80">
        <v>45417.927083333336</v>
      </c>
      <c r="B97" s="112">
        <v>11.26</v>
      </c>
      <c r="C97" s="112">
        <v>13.15</v>
      </c>
      <c r="D97" s="112">
        <v>25.05</v>
      </c>
      <c r="E97" s="112">
        <v>15.49</v>
      </c>
      <c r="F97" s="112">
        <v>15.38</v>
      </c>
      <c r="G97" s="112">
        <v>73.91</v>
      </c>
      <c r="H97" s="112">
        <v>25.59</v>
      </c>
      <c r="I97" s="112">
        <v>8.7100000000000009</v>
      </c>
      <c r="J97" s="112">
        <v>0.19</v>
      </c>
      <c r="K97" s="112">
        <v>203.57</v>
      </c>
      <c r="L97" s="112">
        <v>32.799999999999997</v>
      </c>
      <c r="M97" s="112">
        <v>26.05</v>
      </c>
      <c r="N97" s="112">
        <v>0</v>
      </c>
      <c r="O97" s="112">
        <v>0</v>
      </c>
      <c r="P97" s="112">
        <v>0.82</v>
      </c>
      <c r="Q97" s="167" t="s">
        <v>14</v>
      </c>
    </row>
    <row r="98" spans="1:22" customFormat="1">
      <c r="A98" s="80">
        <v>45417.9375</v>
      </c>
      <c r="B98" s="112">
        <v>11.25</v>
      </c>
      <c r="C98" s="112">
        <v>13.21</v>
      </c>
      <c r="D98" s="112">
        <v>25.07</v>
      </c>
      <c r="E98" s="112">
        <v>14.94</v>
      </c>
      <c r="F98" s="112">
        <v>19.190000000000001</v>
      </c>
      <c r="G98" s="112">
        <v>73.91</v>
      </c>
      <c r="H98" s="112">
        <v>25.59</v>
      </c>
      <c r="I98" s="112">
        <v>8.6</v>
      </c>
      <c r="J98" s="112">
        <v>0.15</v>
      </c>
      <c r="K98" s="112">
        <v>193.52</v>
      </c>
      <c r="L98" s="112">
        <v>32.78</v>
      </c>
      <c r="M98" s="112">
        <v>25.52</v>
      </c>
      <c r="N98" s="112">
        <v>0</v>
      </c>
      <c r="O98" s="112">
        <v>0</v>
      </c>
      <c r="P98" s="112">
        <v>0.8</v>
      </c>
      <c r="Q98" s="167" t="s">
        <v>14</v>
      </c>
    </row>
    <row r="99" spans="1:22" customFormat="1">
      <c r="A99" s="80">
        <v>45417.947916666664</v>
      </c>
      <c r="B99" s="112">
        <v>11.25</v>
      </c>
      <c r="C99" s="112">
        <v>13.13</v>
      </c>
      <c r="D99" s="112">
        <v>25.02</v>
      </c>
      <c r="E99" s="112">
        <v>13.65</v>
      </c>
      <c r="F99" s="112">
        <v>15.34</v>
      </c>
      <c r="G99" s="112">
        <v>73.91</v>
      </c>
      <c r="H99" s="112">
        <v>25.59</v>
      </c>
      <c r="I99" s="112">
        <v>8.31</v>
      </c>
      <c r="J99" s="112">
        <v>0.18</v>
      </c>
      <c r="K99" s="112">
        <v>165.11</v>
      </c>
      <c r="L99" s="112">
        <v>32.14</v>
      </c>
      <c r="M99" s="112">
        <v>28.26</v>
      </c>
      <c r="N99" s="112">
        <v>0</v>
      </c>
      <c r="O99" s="112">
        <v>0</v>
      </c>
      <c r="P99" s="112">
        <v>0.81</v>
      </c>
      <c r="Q99" s="167" t="s">
        <v>14</v>
      </c>
    </row>
    <row r="100" spans="1:22" customFormat="1">
      <c r="A100" s="80">
        <v>45417.958333333336</v>
      </c>
      <c r="B100" s="112">
        <v>11.27</v>
      </c>
      <c r="C100" s="112">
        <v>13.11</v>
      </c>
      <c r="D100" s="112">
        <v>25.03</v>
      </c>
      <c r="E100" s="112">
        <v>13.31</v>
      </c>
      <c r="F100" s="112">
        <v>14.29</v>
      </c>
      <c r="G100" s="112">
        <v>69.92</v>
      </c>
      <c r="H100" s="112">
        <v>25.45</v>
      </c>
      <c r="I100" s="112">
        <v>8.06</v>
      </c>
      <c r="J100" s="112">
        <v>0.16</v>
      </c>
      <c r="K100" s="112">
        <v>209</v>
      </c>
      <c r="L100" s="112">
        <v>31.95</v>
      </c>
      <c r="M100" s="112">
        <v>27.49</v>
      </c>
      <c r="N100" s="112">
        <v>0</v>
      </c>
      <c r="O100" s="112">
        <v>0</v>
      </c>
      <c r="P100" s="112">
        <v>0.79</v>
      </c>
      <c r="Q100" s="167" t="s">
        <v>14</v>
      </c>
    </row>
    <row r="101" spans="1:22" customFormat="1">
      <c r="A101" s="80">
        <v>45417.96875</v>
      </c>
      <c r="B101" s="112">
        <v>11.26</v>
      </c>
      <c r="C101" s="112">
        <v>13.14</v>
      </c>
      <c r="D101" s="112">
        <v>25.04</v>
      </c>
      <c r="E101" s="112">
        <v>13.84</v>
      </c>
      <c r="F101" s="112">
        <v>14.16</v>
      </c>
      <c r="G101" s="112">
        <v>68.92</v>
      </c>
      <c r="H101" s="112">
        <v>25.45</v>
      </c>
      <c r="I101" s="112">
        <v>7.9</v>
      </c>
      <c r="J101" s="112">
        <v>0.16</v>
      </c>
      <c r="K101" s="112">
        <v>190.97</v>
      </c>
      <c r="L101" s="112">
        <v>32</v>
      </c>
      <c r="M101" s="112">
        <v>27.74</v>
      </c>
      <c r="N101" s="112">
        <v>0</v>
      </c>
      <c r="O101" s="112">
        <v>0</v>
      </c>
      <c r="P101" s="112">
        <v>0.79</v>
      </c>
      <c r="Q101" s="167" t="s">
        <v>14</v>
      </c>
    </row>
    <row r="102" spans="1:22" customFormat="1">
      <c r="A102" s="80">
        <v>45417.979166666664</v>
      </c>
      <c r="B102" s="112">
        <v>11.28</v>
      </c>
      <c r="C102" s="112">
        <v>13.13</v>
      </c>
      <c r="D102" s="112">
        <v>25.05</v>
      </c>
      <c r="E102" s="112">
        <v>13.03</v>
      </c>
      <c r="F102" s="112">
        <v>13.18</v>
      </c>
      <c r="G102" s="112">
        <v>68.92</v>
      </c>
      <c r="H102" s="112">
        <v>25.45</v>
      </c>
      <c r="I102" s="112">
        <v>7.76</v>
      </c>
      <c r="J102" s="112">
        <v>0.2</v>
      </c>
      <c r="K102" s="112">
        <v>160.87</v>
      </c>
      <c r="L102" s="112">
        <v>31.77</v>
      </c>
      <c r="M102" s="112">
        <v>29.1</v>
      </c>
      <c r="N102" s="112">
        <v>0</v>
      </c>
      <c r="O102" s="112">
        <v>0</v>
      </c>
      <c r="P102" s="112">
        <v>0.76</v>
      </c>
      <c r="Q102" s="167" t="s">
        <v>14</v>
      </c>
    </row>
    <row r="103" spans="1:22" customFormat="1">
      <c r="A103" s="80">
        <v>45417.989583333336</v>
      </c>
      <c r="B103" s="112">
        <v>11.33</v>
      </c>
      <c r="C103" s="112">
        <v>13.06</v>
      </c>
      <c r="D103" s="112">
        <v>25.05</v>
      </c>
      <c r="E103" s="112">
        <v>12.46</v>
      </c>
      <c r="F103" s="112">
        <v>11.77</v>
      </c>
      <c r="G103" s="112">
        <v>68.92</v>
      </c>
      <c r="H103" s="112">
        <v>25.45</v>
      </c>
      <c r="I103" s="112">
        <v>7.65</v>
      </c>
      <c r="J103" s="112">
        <v>0.19</v>
      </c>
      <c r="K103" s="112">
        <v>159.75</v>
      </c>
      <c r="L103" s="112">
        <v>31.35</v>
      </c>
      <c r="M103" s="112">
        <v>31.22</v>
      </c>
      <c r="N103" s="112">
        <v>0</v>
      </c>
      <c r="O103" s="112">
        <v>0</v>
      </c>
      <c r="P103" s="112">
        <v>0.76</v>
      </c>
      <c r="Q103" s="167" t="s">
        <v>14</v>
      </c>
    </row>
    <row r="104" spans="1:22" customFormat="1">
      <c r="A104" s="80">
        <v>45418</v>
      </c>
      <c r="B104" s="112">
        <v>11.31</v>
      </c>
      <c r="C104" s="112">
        <v>13.1</v>
      </c>
      <c r="D104" s="112">
        <v>25.05</v>
      </c>
      <c r="E104" s="112">
        <v>13.02</v>
      </c>
      <c r="F104" s="112">
        <v>9.48</v>
      </c>
      <c r="G104" s="112">
        <v>68.900000000000006</v>
      </c>
      <c r="H104" s="112">
        <v>25.53</v>
      </c>
      <c r="I104" s="112">
        <v>7.53</v>
      </c>
      <c r="J104" s="112">
        <v>0.2</v>
      </c>
      <c r="K104" s="112">
        <v>172.91</v>
      </c>
      <c r="L104" s="112">
        <v>30.98</v>
      </c>
      <c r="M104" s="112">
        <v>32.119999999999997</v>
      </c>
      <c r="N104" s="112">
        <v>0</v>
      </c>
      <c r="O104" s="112">
        <v>0</v>
      </c>
      <c r="P104" s="112">
        <v>0.75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11.17</v>
      </c>
      <c r="C106" s="183">
        <f>MIN(C9:C104)</f>
        <v>13.06</v>
      </c>
      <c r="D106" s="183">
        <f t="shared" ref="D106:Q106" si="0">MIN(D9:D104)</f>
        <v>25</v>
      </c>
      <c r="E106" s="183">
        <f t="shared" si="0"/>
        <v>6.4</v>
      </c>
      <c r="F106" s="183">
        <f t="shared" si="0"/>
        <v>1</v>
      </c>
      <c r="G106" s="183">
        <f t="shared" si="0"/>
        <v>63.03</v>
      </c>
      <c r="H106" s="183">
        <f t="shared" si="0"/>
        <v>23.05</v>
      </c>
      <c r="I106" s="183">
        <f t="shared" si="0"/>
        <v>5.87</v>
      </c>
      <c r="J106" s="183">
        <f t="shared" si="0"/>
        <v>0.12</v>
      </c>
      <c r="K106" s="183">
        <f t="shared" si="0"/>
        <v>125.63</v>
      </c>
      <c r="L106" s="183">
        <f t="shared" si="0"/>
        <v>23.95</v>
      </c>
      <c r="M106" s="183">
        <f t="shared" si="0"/>
        <v>11.01</v>
      </c>
      <c r="N106" s="183">
        <f t="shared" si="0"/>
        <v>0</v>
      </c>
      <c r="O106" s="183">
        <f t="shared" si="0"/>
        <v>0</v>
      </c>
      <c r="P106" s="183">
        <f t="shared" si="0"/>
        <v>0.59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11.36</v>
      </c>
      <c r="C107" s="184">
        <f t="shared" ref="C107:Q107" si="1">MAX(C9:C104)</f>
        <v>13.33</v>
      </c>
      <c r="D107" s="184">
        <f t="shared" si="1"/>
        <v>25.19</v>
      </c>
      <c r="E107" s="184">
        <f t="shared" si="1"/>
        <v>36.49</v>
      </c>
      <c r="F107" s="184">
        <f t="shared" si="1"/>
        <v>62.14</v>
      </c>
      <c r="G107" s="184">
        <f t="shared" si="1"/>
        <v>91.59</v>
      </c>
      <c r="H107" s="184">
        <f t="shared" si="1"/>
        <v>32.369999999999997</v>
      </c>
      <c r="I107" s="184">
        <f t="shared" si="1"/>
        <v>10.5</v>
      </c>
      <c r="J107" s="184">
        <f t="shared" si="1"/>
        <v>1.24</v>
      </c>
      <c r="K107" s="184">
        <f t="shared" si="1"/>
        <v>298.16000000000003</v>
      </c>
      <c r="L107" s="184">
        <f t="shared" si="1"/>
        <v>43.16</v>
      </c>
      <c r="M107" s="184">
        <f t="shared" si="1"/>
        <v>53.84</v>
      </c>
      <c r="N107" s="184">
        <f t="shared" si="1"/>
        <v>779.3</v>
      </c>
      <c r="O107" s="184">
        <f t="shared" si="1"/>
        <v>0</v>
      </c>
      <c r="P107" s="184">
        <f t="shared" si="1"/>
        <v>0.92</v>
      </c>
      <c r="Q107" s="184">
        <f t="shared" si="1"/>
        <v>0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11.270208333333334</v>
      </c>
      <c r="C108" s="183">
        <f t="shared" ref="C108:P108" si="2">AVERAGE(C9:C104)</f>
        <v>13.144062499999999</v>
      </c>
      <c r="D108" s="183">
        <f t="shared" si="2"/>
        <v>25.047812500000006</v>
      </c>
      <c r="E108" s="183">
        <f t="shared" si="2"/>
        <v>18.415312499999995</v>
      </c>
      <c r="F108" s="183">
        <f t="shared" si="2"/>
        <v>20.226041666666664</v>
      </c>
      <c r="G108" s="183">
        <f t="shared" si="2"/>
        <v>76.574791666666627</v>
      </c>
      <c r="H108" s="183">
        <f t="shared" si="2"/>
        <v>27.910624999999992</v>
      </c>
      <c r="I108" s="183">
        <f t="shared" si="2"/>
        <v>8.6065625000000008</v>
      </c>
      <c r="J108" s="183">
        <f t="shared" si="2"/>
        <v>0.51958333333333351</v>
      </c>
      <c r="K108" s="183">
        <f t="shared" si="2"/>
        <v>218.48374999999999</v>
      </c>
      <c r="L108" s="183">
        <f t="shared" si="2"/>
        <v>33.798333333333339</v>
      </c>
      <c r="M108" s="183">
        <f t="shared" si="2"/>
        <v>27.820208333333341</v>
      </c>
      <c r="N108" s="183">
        <f t="shared" si="2"/>
        <v>182.71979166666665</v>
      </c>
      <c r="O108" s="183">
        <f t="shared" si="2"/>
        <v>0</v>
      </c>
      <c r="P108" s="183">
        <f t="shared" si="2"/>
        <v>0.76354166666666679</v>
      </c>
      <c r="Q108" s="167" t="s">
        <v>14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4.4838403809015756E-2</v>
      </c>
      <c r="C109" s="183">
        <f t="shared" ref="C109:P109" si="3">STDEV(C9:C104)</f>
        <v>5.0358256000068484E-2</v>
      </c>
      <c r="D109" s="183">
        <f t="shared" si="3"/>
        <v>4.1932354672985526E-2</v>
      </c>
      <c r="E109" s="183">
        <f t="shared" si="3"/>
        <v>9.1049672912646979</v>
      </c>
      <c r="F109" s="183">
        <f t="shared" si="3"/>
        <v>17.474084117504248</v>
      </c>
      <c r="G109" s="183">
        <f t="shared" si="3"/>
        <v>7.0679936822970237</v>
      </c>
      <c r="H109" s="183">
        <f t="shared" si="3"/>
        <v>2.540992683143771</v>
      </c>
      <c r="I109" s="183">
        <f t="shared" si="3"/>
        <v>1.2425490168240816</v>
      </c>
      <c r="J109" s="183">
        <f t="shared" si="3"/>
        <v>0.34684416845751093</v>
      </c>
      <c r="K109" s="183">
        <f t="shared" si="3"/>
        <v>45.785275850832839</v>
      </c>
      <c r="L109" s="183">
        <f t="shared" si="3"/>
        <v>6.641663816063982</v>
      </c>
      <c r="M109" s="183">
        <f t="shared" si="3"/>
        <v>13.819704542440496</v>
      </c>
      <c r="N109" s="183">
        <f t="shared" si="3"/>
        <v>266.96853495645939</v>
      </c>
      <c r="O109" s="183">
        <f t="shared" si="3"/>
        <v>0</v>
      </c>
      <c r="P109" s="183">
        <f t="shared" si="3"/>
        <v>0.10083837162996177</v>
      </c>
      <c r="Q109" s="167" t="s">
        <v>14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0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4" activePane="bottomRight" state="frozen"/>
      <selection activeCell="A9" sqref="A9"/>
      <selection pane="topRight" activeCell="A9" sqref="A9"/>
      <selection pane="bottomLeft" activeCell="A9" sqref="A9"/>
      <selection pane="bottomRight" activeCell="Q81" sqref="Q81:Q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45418.010416666664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45418.010416666664</v>
      </c>
      <c r="B9" s="112">
        <v>11.21</v>
      </c>
      <c r="C9" s="112">
        <v>13.23</v>
      </c>
      <c r="D9" s="112">
        <v>25.05</v>
      </c>
      <c r="E9" s="112">
        <v>12.81</v>
      </c>
      <c r="F9" s="112">
        <v>8.82</v>
      </c>
      <c r="G9" s="112">
        <v>68.89</v>
      </c>
      <c r="H9" s="112">
        <v>25.53</v>
      </c>
      <c r="I9" s="112">
        <v>7.43</v>
      </c>
      <c r="J9" s="112">
        <v>0.2</v>
      </c>
      <c r="K9" s="112">
        <v>156.99</v>
      </c>
      <c r="L9" s="112">
        <v>30.74</v>
      </c>
      <c r="M9" s="112">
        <v>33.31</v>
      </c>
      <c r="N9" s="112">
        <v>0</v>
      </c>
      <c r="O9" s="112">
        <v>0</v>
      </c>
      <c r="P9" s="112">
        <v>0.77</v>
      </c>
      <c r="Q9" s="167" t="s">
        <v>14</v>
      </c>
    </row>
    <row r="10" spans="1:21" customFormat="1">
      <c r="A10" s="80">
        <v>45418.020833333336</v>
      </c>
      <c r="B10" s="112">
        <v>11.25</v>
      </c>
      <c r="C10" s="112">
        <v>13.2</v>
      </c>
      <c r="D10" s="112">
        <v>25.06</v>
      </c>
      <c r="E10" s="112">
        <v>12.64</v>
      </c>
      <c r="F10" s="112">
        <v>8.6199999999999992</v>
      </c>
      <c r="G10" s="112">
        <v>68.89</v>
      </c>
      <c r="H10" s="112">
        <v>25.53</v>
      </c>
      <c r="I10" s="112">
        <v>8.34</v>
      </c>
      <c r="J10" s="112">
        <v>0.2</v>
      </c>
      <c r="K10" s="112">
        <v>155.94</v>
      </c>
      <c r="L10" s="112">
        <v>30.9</v>
      </c>
      <c r="M10" s="112">
        <v>33.1</v>
      </c>
      <c r="N10" s="112">
        <v>0</v>
      </c>
      <c r="O10" s="112">
        <v>0</v>
      </c>
      <c r="P10" s="112">
        <v>0.76</v>
      </c>
      <c r="Q10" s="167" t="s">
        <v>14</v>
      </c>
    </row>
    <row r="11" spans="1:21" customFormat="1">
      <c r="A11" s="80">
        <v>45418.03125</v>
      </c>
      <c r="B11" s="112">
        <v>11.26</v>
      </c>
      <c r="C11" s="112">
        <v>13.13</v>
      </c>
      <c r="D11" s="112">
        <v>25.04</v>
      </c>
      <c r="E11" s="112">
        <v>12.09</v>
      </c>
      <c r="F11" s="112">
        <v>9.49</v>
      </c>
      <c r="G11" s="112">
        <v>68.89</v>
      </c>
      <c r="H11" s="112">
        <v>25.53</v>
      </c>
      <c r="I11" s="112">
        <v>11.08</v>
      </c>
      <c r="J11" s="112">
        <v>0.31</v>
      </c>
      <c r="K11" s="112">
        <v>158.4</v>
      </c>
      <c r="L11" s="112">
        <v>31.24</v>
      </c>
      <c r="M11" s="112">
        <v>33.07</v>
      </c>
      <c r="N11" s="112">
        <v>0</v>
      </c>
      <c r="O11" s="112">
        <v>0</v>
      </c>
      <c r="P11" s="112">
        <v>0.75</v>
      </c>
      <c r="Q11" s="167" t="s">
        <v>14</v>
      </c>
    </row>
    <row r="12" spans="1:21" customFormat="1">
      <c r="A12" s="80">
        <v>45418.041666666664</v>
      </c>
      <c r="B12" s="112">
        <v>11.28</v>
      </c>
      <c r="C12" s="112">
        <v>13.11</v>
      </c>
      <c r="D12" s="112">
        <v>25.04</v>
      </c>
      <c r="E12" s="112">
        <v>12.14</v>
      </c>
      <c r="F12" s="112">
        <v>7.1</v>
      </c>
      <c r="G12" s="112">
        <v>66.790000000000006</v>
      </c>
      <c r="H12" s="112">
        <v>22.61</v>
      </c>
      <c r="I12" s="112">
        <v>12.74</v>
      </c>
      <c r="J12" s="112">
        <v>0.2</v>
      </c>
      <c r="K12" s="112">
        <v>153.51</v>
      </c>
      <c r="L12" s="112">
        <v>31.52</v>
      </c>
      <c r="M12" s="112">
        <v>33.85</v>
      </c>
      <c r="N12" s="112">
        <v>0</v>
      </c>
      <c r="O12" s="112">
        <v>0</v>
      </c>
      <c r="P12" s="112">
        <v>0.73</v>
      </c>
      <c r="Q12" s="167" t="s">
        <v>14</v>
      </c>
    </row>
    <row r="13" spans="1:21" customFormat="1">
      <c r="A13" s="80">
        <v>45418.052083333336</v>
      </c>
      <c r="B13" s="112">
        <v>11.28</v>
      </c>
      <c r="C13" s="112">
        <v>13.07</v>
      </c>
      <c r="D13" s="112">
        <v>25.02</v>
      </c>
      <c r="E13" s="112">
        <v>12.97</v>
      </c>
      <c r="F13" s="112">
        <v>1.9</v>
      </c>
      <c r="G13" s="112">
        <v>66.260000000000005</v>
      </c>
      <c r="H13" s="112">
        <v>22.61</v>
      </c>
      <c r="I13" s="112">
        <v>12.1</v>
      </c>
      <c r="J13" s="112">
        <v>0.23</v>
      </c>
      <c r="K13" s="112">
        <v>139.85</v>
      </c>
      <c r="L13" s="112">
        <v>31.94</v>
      </c>
      <c r="M13" s="112">
        <v>32.78</v>
      </c>
      <c r="N13" s="112">
        <v>0</v>
      </c>
      <c r="O13" s="112">
        <v>0</v>
      </c>
      <c r="P13" s="112">
        <v>0.75</v>
      </c>
      <c r="Q13" s="167" t="s">
        <v>14</v>
      </c>
    </row>
    <row r="14" spans="1:21" customFormat="1">
      <c r="A14" s="80">
        <v>45418.0625</v>
      </c>
      <c r="B14" s="112">
        <v>11.29</v>
      </c>
      <c r="C14" s="112">
        <v>13.06</v>
      </c>
      <c r="D14" s="112">
        <v>25.02</v>
      </c>
      <c r="E14" s="112">
        <v>14.84</v>
      </c>
      <c r="F14" s="112">
        <v>4.71</v>
      </c>
      <c r="G14" s="112">
        <v>66.260000000000005</v>
      </c>
      <c r="H14" s="112">
        <v>22.61</v>
      </c>
      <c r="I14" s="112">
        <v>11.48</v>
      </c>
      <c r="J14" s="112">
        <v>0.26</v>
      </c>
      <c r="K14" s="112">
        <v>210.04</v>
      </c>
      <c r="L14" s="112">
        <v>31.96</v>
      </c>
      <c r="M14" s="112">
        <v>32.82</v>
      </c>
      <c r="N14" s="112">
        <v>0</v>
      </c>
      <c r="O14" s="112">
        <v>0</v>
      </c>
      <c r="P14" s="112">
        <v>0.8</v>
      </c>
      <c r="Q14" s="167" t="s">
        <v>14</v>
      </c>
    </row>
    <row r="15" spans="1:21" customFormat="1">
      <c r="A15" s="80">
        <v>45418.072916666664</v>
      </c>
      <c r="B15" s="112">
        <v>11.27</v>
      </c>
      <c r="C15" s="112">
        <v>13.12</v>
      </c>
      <c r="D15" s="112">
        <v>25.03</v>
      </c>
      <c r="E15" s="112">
        <v>26.02</v>
      </c>
      <c r="F15" s="112">
        <v>14.62</v>
      </c>
      <c r="G15" s="112">
        <v>66.260000000000005</v>
      </c>
      <c r="H15" s="112">
        <v>22.61</v>
      </c>
      <c r="I15" s="112">
        <v>11.56</v>
      </c>
      <c r="J15" s="112">
        <v>0.63</v>
      </c>
      <c r="K15" s="112">
        <v>279.48</v>
      </c>
      <c r="L15" s="112">
        <v>33.090000000000003</v>
      </c>
      <c r="M15" s="112">
        <v>23.41</v>
      </c>
      <c r="N15" s="112">
        <v>0</v>
      </c>
      <c r="O15" s="112">
        <v>0</v>
      </c>
      <c r="P15" s="112">
        <v>0.82</v>
      </c>
      <c r="Q15" s="167" t="s">
        <v>14</v>
      </c>
    </row>
    <row r="16" spans="1:21" customFormat="1">
      <c r="A16" s="80">
        <v>45418.083333333336</v>
      </c>
      <c r="B16" s="112">
        <v>11.29</v>
      </c>
      <c r="C16" s="112">
        <v>13.12</v>
      </c>
      <c r="D16" s="112">
        <v>25.05</v>
      </c>
      <c r="E16" s="112">
        <v>34.26</v>
      </c>
      <c r="F16" s="112">
        <v>16.79</v>
      </c>
      <c r="G16" s="112">
        <v>66.5</v>
      </c>
      <c r="H16" s="112">
        <v>25.58</v>
      </c>
      <c r="I16" s="112">
        <v>12.26</v>
      </c>
      <c r="J16" s="112">
        <v>0.94</v>
      </c>
      <c r="K16" s="112">
        <v>256.61</v>
      </c>
      <c r="L16" s="112">
        <v>33.74</v>
      </c>
      <c r="M16" s="112">
        <v>21.6</v>
      </c>
      <c r="N16" s="112">
        <v>0</v>
      </c>
      <c r="O16" s="112">
        <v>0</v>
      </c>
      <c r="P16" s="112">
        <v>0.79</v>
      </c>
      <c r="Q16" s="167" t="s">
        <v>14</v>
      </c>
    </row>
    <row r="17" spans="1:17" customFormat="1">
      <c r="A17" s="80">
        <v>45418.09375</v>
      </c>
      <c r="B17" s="112">
        <v>11.32</v>
      </c>
      <c r="C17" s="112">
        <v>13.1</v>
      </c>
      <c r="D17" s="112">
        <v>25.06</v>
      </c>
      <c r="E17" s="112">
        <v>12.99</v>
      </c>
      <c r="F17" s="112">
        <v>11.35</v>
      </c>
      <c r="G17" s="112">
        <v>66.55</v>
      </c>
      <c r="H17" s="112">
        <v>25.58</v>
      </c>
      <c r="I17" s="112">
        <v>12.44</v>
      </c>
      <c r="J17" s="112">
        <v>1.07</v>
      </c>
      <c r="K17" s="112">
        <v>253.27</v>
      </c>
      <c r="L17" s="112">
        <v>33.840000000000003</v>
      </c>
      <c r="M17" s="112">
        <v>25.27</v>
      </c>
      <c r="N17" s="112">
        <v>0</v>
      </c>
      <c r="O17" s="112">
        <v>0</v>
      </c>
      <c r="P17" s="112">
        <v>0.8</v>
      </c>
      <c r="Q17" s="167" t="s">
        <v>14</v>
      </c>
    </row>
    <row r="18" spans="1:17" customFormat="1">
      <c r="A18" s="80">
        <v>45418.104166666664</v>
      </c>
      <c r="B18" s="112">
        <v>11.28</v>
      </c>
      <c r="C18" s="112">
        <v>13.13</v>
      </c>
      <c r="D18" s="112">
        <v>25.05</v>
      </c>
      <c r="E18" s="112">
        <v>18.16</v>
      </c>
      <c r="F18" s="112">
        <v>19.45</v>
      </c>
      <c r="G18" s="112">
        <v>66.55</v>
      </c>
      <c r="H18" s="112">
        <v>25.58</v>
      </c>
      <c r="I18" s="112">
        <v>12.47</v>
      </c>
      <c r="J18" s="112">
        <v>0.82</v>
      </c>
      <c r="K18" s="112">
        <v>252.81</v>
      </c>
      <c r="L18" s="112">
        <v>33.35</v>
      </c>
      <c r="M18" s="112">
        <v>29.45</v>
      </c>
      <c r="N18" s="112">
        <v>0</v>
      </c>
      <c r="O18" s="112">
        <v>0</v>
      </c>
      <c r="P18" s="112">
        <v>0.75</v>
      </c>
      <c r="Q18" s="167" t="s">
        <v>14</v>
      </c>
    </row>
    <row r="19" spans="1:17" customFormat="1">
      <c r="A19" s="80">
        <v>45418.114583333336</v>
      </c>
      <c r="B19" s="112">
        <v>11.3</v>
      </c>
      <c r="C19" s="112">
        <v>13.09</v>
      </c>
      <c r="D19" s="112">
        <v>25.04</v>
      </c>
      <c r="E19" s="112">
        <v>17.66</v>
      </c>
      <c r="F19" s="112">
        <v>24.36</v>
      </c>
      <c r="G19" s="112">
        <v>66.55</v>
      </c>
      <c r="H19" s="112">
        <v>25.58</v>
      </c>
      <c r="I19" s="112">
        <v>12.72</v>
      </c>
      <c r="J19" s="112">
        <v>0.7</v>
      </c>
      <c r="K19" s="112">
        <v>252.93</v>
      </c>
      <c r="L19" s="112">
        <v>32.81</v>
      </c>
      <c r="M19" s="112">
        <v>31.34</v>
      </c>
      <c r="N19" s="112">
        <v>0</v>
      </c>
      <c r="O19" s="112">
        <v>0</v>
      </c>
      <c r="P19" s="112">
        <v>0.7</v>
      </c>
      <c r="Q19" s="167" t="s">
        <v>14</v>
      </c>
    </row>
    <row r="20" spans="1:17" customFormat="1">
      <c r="A20" s="80">
        <v>45418.125</v>
      </c>
      <c r="B20" s="112">
        <v>11.31</v>
      </c>
      <c r="C20" s="112">
        <v>13.08</v>
      </c>
      <c r="D20" s="112">
        <v>25.05</v>
      </c>
      <c r="E20" s="112">
        <v>17.61</v>
      </c>
      <c r="F20" s="112">
        <v>28.82</v>
      </c>
      <c r="G20" s="112">
        <v>69.900000000000006</v>
      </c>
      <c r="H20" s="112">
        <v>25.52</v>
      </c>
      <c r="I20" s="112">
        <v>11.66</v>
      </c>
      <c r="J20" s="112">
        <v>0.75</v>
      </c>
      <c r="K20" s="112">
        <v>261.91000000000003</v>
      </c>
      <c r="L20" s="112">
        <v>32.700000000000003</v>
      </c>
      <c r="M20" s="112">
        <v>31.97</v>
      </c>
      <c r="N20" s="112">
        <v>0</v>
      </c>
      <c r="O20" s="112">
        <v>0</v>
      </c>
      <c r="P20" s="112">
        <v>0.66</v>
      </c>
      <c r="Q20" s="167" t="s">
        <v>14</v>
      </c>
    </row>
    <row r="21" spans="1:17" customFormat="1">
      <c r="A21" s="80">
        <v>45418.135416666664</v>
      </c>
      <c r="B21" s="112">
        <v>11.3</v>
      </c>
      <c r="C21" s="112">
        <v>13.1</v>
      </c>
      <c r="D21" s="112">
        <v>25.05</v>
      </c>
      <c r="E21" s="112">
        <v>16.45</v>
      </c>
      <c r="F21" s="112">
        <v>23.29</v>
      </c>
      <c r="G21" s="112">
        <v>70.739999999999995</v>
      </c>
      <c r="H21" s="112">
        <v>25.52</v>
      </c>
      <c r="I21" s="112">
        <v>10.48</v>
      </c>
      <c r="J21" s="112">
        <v>0.89</v>
      </c>
      <c r="K21" s="112">
        <v>252.09</v>
      </c>
      <c r="L21" s="112">
        <v>32.76</v>
      </c>
      <c r="M21" s="112">
        <v>31.3</v>
      </c>
      <c r="N21" s="112">
        <v>0</v>
      </c>
      <c r="O21" s="112">
        <v>0</v>
      </c>
      <c r="P21" s="112">
        <v>0.66</v>
      </c>
      <c r="Q21" s="167" t="s">
        <v>14</v>
      </c>
    </row>
    <row r="22" spans="1:17" customFormat="1">
      <c r="A22" s="80">
        <v>45418.145833333336</v>
      </c>
      <c r="B22" s="112">
        <v>11.35</v>
      </c>
      <c r="C22" s="112">
        <v>13.28</v>
      </c>
      <c r="D22" s="112">
        <v>25.18</v>
      </c>
      <c r="E22" s="112">
        <v>16.899999999999999</v>
      </c>
      <c r="F22" s="112">
        <v>26.46</v>
      </c>
      <c r="G22" s="112">
        <v>70.739999999999995</v>
      </c>
      <c r="H22" s="112">
        <v>25.52</v>
      </c>
      <c r="I22" s="112">
        <v>9.64</v>
      </c>
      <c r="J22" s="112">
        <v>0.72</v>
      </c>
      <c r="K22" s="112">
        <v>257.95999999999998</v>
      </c>
      <c r="L22" s="112">
        <v>32.6</v>
      </c>
      <c r="M22" s="112">
        <v>32.020000000000003</v>
      </c>
      <c r="N22" s="112">
        <v>0</v>
      </c>
      <c r="O22" s="112">
        <v>0</v>
      </c>
      <c r="P22" s="112">
        <v>0.65</v>
      </c>
      <c r="Q22" s="167" t="s">
        <v>14</v>
      </c>
    </row>
    <row r="23" spans="1:17" customFormat="1">
      <c r="A23" s="80">
        <v>45418.15625</v>
      </c>
      <c r="B23" s="112">
        <v>11.32</v>
      </c>
      <c r="C23" s="112">
        <v>13.16</v>
      </c>
      <c r="D23" s="112">
        <v>25.09</v>
      </c>
      <c r="E23" s="112">
        <v>17.350000000000001</v>
      </c>
      <c r="F23" s="112">
        <v>32.340000000000003</v>
      </c>
      <c r="G23" s="112">
        <v>70.739999999999995</v>
      </c>
      <c r="H23" s="112">
        <v>25.52</v>
      </c>
      <c r="I23" s="112">
        <v>9.5500000000000007</v>
      </c>
      <c r="J23" s="112">
        <v>0.63</v>
      </c>
      <c r="K23" s="112">
        <v>251.64</v>
      </c>
      <c r="L23" s="112">
        <v>32.479999999999997</v>
      </c>
      <c r="M23" s="112">
        <v>33.1</v>
      </c>
      <c r="N23" s="112">
        <v>0</v>
      </c>
      <c r="O23" s="112">
        <v>0</v>
      </c>
      <c r="P23" s="112">
        <v>0.61</v>
      </c>
      <c r="Q23" s="167" t="s">
        <v>14</v>
      </c>
    </row>
    <row r="24" spans="1:17" customFormat="1">
      <c r="A24" s="80">
        <v>45418.166666666664</v>
      </c>
      <c r="B24" s="112">
        <v>11.3</v>
      </c>
      <c r="C24" s="112">
        <v>13.12</v>
      </c>
      <c r="D24" s="112">
        <v>25.06</v>
      </c>
      <c r="E24" s="112">
        <v>18.440000000000001</v>
      </c>
      <c r="F24" s="112">
        <v>33.5</v>
      </c>
      <c r="G24" s="112">
        <v>63.31</v>
      </c>
      <c r="H24" s="112">
        <v>21.62</v>
      </c>
      <c r="I24" s="112">
        <v>9.32</v>
      </c>
      <c r="J24" s="112">
        <v>0.55000000000000004</v>
      </c>
      <c r="K24" s="112">
        <v>248.7</v>
      </c>
      <c r="L24" s="112">
        <v>32.29</v>
      </c>
      <c r="M24" s="112">
        <v>34.11</v>
      </c>
      <c r="N24" s="112">
        <v>0</v>
      </c>
      <c r="O24" s="112">
        <v>0</v>
      </c>
      <c r="P24" s="112">
        <v>0.57999999999999996</v>
      </c>
      <c r="Q24" s="167" t="s">
        <v>14</v>
      </c>
    </row>
    <row r="25" spans="1:17" customFormat="1">
      <c r="A25" s="80">
        <v>45418.177083333336</v>
      </c>
      <c r="B25" s="112">
        <v>11.3</v>
      </c>
      <c r="C25" s="112">
        <v>13.11</v>
      </c>
      <c r="D25" s="112">
        <v>25.06</v>
      </c>
      <c r="E25" s="112">
        <v>17.62</v>
      </c>
      <c r="F25" s="112">
        <v>27.55</v>
      </c>
      <c r="G25" s="112">
        <v>61.45</v>
      </c>
      <c r="H25" s="112">
        <v>21.62</v>
      </c>
      <c r="I25" s="112">
        <v>8.5299999999999994</v>
      </c>
      <c r="J25" s="112">
        <v>0.79</v>
      </c>
      <c r="K25" s="112">
        <v>251.65</v>
      </c>
      <c r="L25" s="112">
        <v>32.35</v>
      </c>
      <c r="M25" s="112">
        <v>35.81</v>
      </c>
      <c r="N25" s="112">
        <v>0</v>
      </c>
      <c r="O25" s="112">
        <v>0</v>
      </c>
      <c r="P25" s="112">
        <v>0.6</v>
      </c>
      <c r="Q25" s="167" t="s">
        <v>14</v>
      </c>
    </row>
    <row r="26" spans="1:17" customFormat="1">
      <c r="A26" s="80">
        <v>45418.1875</v>
      </c>
      <c r="B26" s="112">
        <v>11.28</v>
      </c>
      <c r="C26" s="112">
        <v>13.1</v>
      </c>
      <c r="D26" s="112">
        <v>25.03</v>
      </c>
      <c r="E26" s="112">
        <v>15.58</v>
      </c>
      <c r="F26" s="112">
        <v>18.190000000000001</v>
      </c>
      <c r="G26" s="112">
        <v>61.45</v>
      </c>
      <c r="H26" s="112">
        <v>21.62</v>
      </c>
      <c r="I26" s="112">
        <v>8.1199999999999992</v>
      </c>
      <c r="J26" s="112">
        <v>0.97</v>
      </c>
      <c r="K26" s="112">
        <v>255.7</v>
      </c>
      <c r="L26" s="112">
        <v>32.5</v>
      </c>
      <c r="M26" s="112">
        <v>37.479999999999997</v>
      </c>
      <c r="N26" s="112">
        <v>0</v>
      </c>
      <c r="O26" s="112">
        <v>0</v>
      </c>
      <c r="P26" s="112">
        <v>0.62</v>
      </c>
      <c r="Q26" s="167" t="s">
        <v>14</v>
      </c>
    </row>
    <row r="27" spans="1:17" customFormat="1">
      <c r="A27" s="80">
        <v>45418.197916666664</v>
      </c>
      <c r="B27" s="112">
        <v>11.27</v>
      </c>
      <c r="C27" s="112">
        <v>13.1</v>
      </c>
      <c r="D27" s="112">
        <v>25.02</v>
      </c>
      <c r="E27" s="112">
        <v>15.43</v>
      </c>
      <c r="F27" s="112">
        <v>17.66</v>
      </c>
      <c r="G27" s="112">
        <v>61.45</v>
      </c>
      <c r="H27" s="112">
        <v>21.62</v>
      </c>
      <c r="I27" s="112">
        <v>8.5299999999999994</v>
      </c>
      <c r="J27" s="112">
        <v>0.91</v>
      </c>
      <c r="K27" s="112">
        <v>257.07</v>
      </c>
      <c r="L27" s="112">
        <v>32.520000000000003</v>
      </c>
      <c r="M27" s="112">
        <v>38.130000000000003</v>
      </c>
      <c r="N27" s="112">
        <v>0</v>
      </c>
      <c r="O27" s="112">
        <v>0</v>
      </c>
      <c r="P27" s="112">
        <v>0.61</v>
      </c>
      <c r="Q27" s="167" t="s">
        <v>14</v>
      </c>
    </row>
    <row r="28" spans="1:17" customFormat="1">
      <c r="A28" s="80">
        <v>45418.208333333336</v>
      </c>
      <c r="B28" s="112">
        <v>11.29</v>
      </c>
      <c r="C28" s="112">
        <v>13.07</v>
      </c>
      <c r="D28" s="112">
        <v>25.03</v>
      </c>
      <c r="E28" s="112">
        <v>15.14</v>
      </c>
      <c r="F28" s="112">
        <v>21.2</v>
      </c>
      <c r="G28" s="112">
        <v>58.15</v>
      </c>
      <c r="H28" s="112">
        <v>22.84</v>
      </c>
      <c r="I28" s="112">
        <v>8.73</v>
      </c>
      <c r="J28" s="112">
        <v>0.74</v>
      </c>
      <c r="K28" s="112">
        <v>247.78</v>
      </c>
      <c r="L28" s="112">
        <v>32.25</v>
      </c>
      <c r="M28" s="112">
        <v>39.03</v>
      </c>
      <c r="N28" s="112">
        <v>0</v>
      </c>
      <c r="O28" s="112">
        <v>0</v>
      </c>
      <c r="P28" s="112">
        <v>0.61</v>
      </c>
      <c r="Q28" s="167" t="s">
        <v>14</v>
      </c>
    </row>
    <row r="29" spans="1:17" customFormat="1">
      <c r="A29" s="80">
        <v>45418.21875</v>
      </c>
      <c r="B29" s="112">
        <v>11.31</v>
      </c>
      <c r="C29" s="112">
        <v>13.16</v>
      </c>
      <c r="D29" s="112">
        <v>25.09</v>
      </c>
      <c r="E29" s="112">
        <v>16.59</v>
      </c>
      <c r="F29" s="112">
        <v>24.11</v>
      </c>
      <c r="G29" s="112">
        <v>57.32</v>
      </c>
      <c r="H29" s="112">
        <v>22.84</v>
      </c>
      <c r="I29" s="112">
        <v>8.6199999999999992</v>
      </c>
      <c r="J29" s="112">
        <v>0.59</v>
      </c>
      <c r="K29" s="112">
        <v>252.01</v>
      </c>
      <c r="L29" s="112">
        <v>31.92</v>
      </c>
      <c r="M29" s="112">
        <v>40.21</v>
      </c>
      <c r="N29" s="112">
        <v>0</v>
      </c>
      <c r="O29" s="112">
        <v>0</v>
      </c>
      <c r="P29" s="112">
        <v>0.57999999999999996</v>
      </c>
      <c r="Q29" s="167" t="s">
        <v>14</v>
      </c>
    </row>
    <row r="30" spans="1:17" customFormat="1">
      <c r="A30" s="80">
        <v>45418.229166666664</v>
      </c>
      <c r="B30" s="112">
        <v>11.33</v>
      </c>
      <c r="C30" s="112">
        <v>13.13</v>
      </c>
      <c r="D30" s="112">
        <v>25.09</v>
      </c>
      <c r="E30" s="112">
        <v>17.21</v>
      </c>
      <c r="F30" s="112">
        <v>28.96</v>
      </c>
      <c r="G30" s="112">
        <v>57.32</v>
      </c>
      <c r="H30" s="112">
        <v>22.84</v>
      </c>
      <c r="I30" s="112">
        <v>8.26</v>
      </c>
      <c r="J30" s="112">
        <v>0.44</v>
      </c>
      <c r="K30" s="112">
        <v>241.64</v>
      </c>
      <c r="L30" s="112">
        <v>31.61</v>
      </c>
      <c r="M30" s="112">
        <v>41.62</v>
      </c>
      <c r="N30" s="112">
        <v>0</v>
      </c>
      <c r="O30" s="112">
        <v>0</v>
      </c>
      <c r="P30" s="112">
        <v>0.55000000000000004</v>
      </c>
      <c r="Q30" s="167" t="s">
        <v>14</v>
      </c>
    </row>
    <row r="31" spans="1:17" customFormat="1">
      <c r="A31" s="80">
        <v>45418.239583333336</v>
      </c>
      <c r="B31" s="112">
        <v>11.33</v>
      </c>
      <c r="C31" s="112">
        <v>13.14</v>
      </c>
      <c r="D31" s="112">
        <v>25.09</v>
      </c>
      <c r="E31" s="112">
        <v>16.309999999999999</v>
      </c>
      <c r="F31" s="112">
        <v>23.94</v>
      </c>
      <c r="G31" s="112">
        <v>57.32</v>
      </c>
      <c r="H31" s="112">
        <v>22.84</v>
      </c>
      <c r="I31" s="112">
        <v>7.62</v>
      </c>
      <c r="J31" s="112">
        <v>0.49</v>
      </c>
      <c r="K31" s="112">
        <v>251.57</v>
      </c>
      <c r="L31" s="112">
        <v>31.35</v>
      </c>
      <c r="M31" s="112">
        <v>42.92</v>
      </c>
      <c r="N31" s="112">
        <v>0</v>
      </c>
      <c r="O31" s="112">
        <v>0</v>
      </c>
      <c r="P31" s="112">
        <v>0.56000000000000005</v>
      </c>
      <c r="Q31" s="167" t="s">
        <v>14</v>
      </c>
    </row>
    <row r="32" spans="1:17" customFormat="1">
      <c r="A32" s="80">
        <v>45418.25</v>
      </c>
      <c r="B32" s="112">
        <v>11.33</v>
      </c>
      <c r="C32" s="112">
        <v>13.1</v>
      </c>
      <c r="D32" s="112">
        <v>25.07</v>
      </c>
      <c r="E32" s="112">
        <v>17.09</v>
      </c>
      <c r="F32" s="112">
        <v>21.29</v>
      </c>
      <c r="G32" s="112">
        <v>54.65</v>
      </c>
      <c r="H32" s="112">
        <v>21.96</v>
      </c>
      <c r="I32" s="112">
        <v>7.33</v>
      </c>
      <c r="J32" s="112">
        <v>0.7</v>
      </c>
      <c r="K32" s="112">
        <v>244.7</v>
      </c>
      <c r="L32" s="112">
        <v>31.42</v>
      </c>
      <c r="M32" s="112">
        <v>43.24</v>
      </c>
      <c r="N32" s="112">
        <v>4.3</v>
      </c>
      <c r="O32" s="112">
        <v>0</v>
      </c>
      <c r="P32" s="112">
        <v>0.56999999999999995</v>
      </c>
      <c r="Q32" s="167" t="s">
        <v>14</v>
      </c>
    </row>
    <row r="33" spans="1:17" customFormat="1">
      <c r="A33" s="80">
        <v>45418.260416666664</v>
      </c>
      <c r="B33" s="112">
        <v>11.33</v>
      </c>
      <c r="C33" s="112">
        <v>13.09</v>
      </c>
      <c r="D33" s="112">
        <v>25.07</v>
      </c>
      <c r="E33" s="112">
        <v>16.43</v>
      </c>
      <c r="F33" s="112">
        <v>18.600000000000001</v>
      </c>
      <c r="G33" s="112">
        <v>53.98</v>
      </c>
      <c r="H33" s="112">
        <v>21.96</v>
      </c>
      <c r="I33" s="112">
        <v>7.36</v>
      </c>
      <c r="J33" s="112">
        <v>0.4</v>
      </c>
      <c r="K33" s="112">
        <v>242.58</v>
      </c>
      <c r="L33" s="112">
        <v>31.2</v>
      </c>
      <c r="M33" s="112">
        <v>44.99</v>
      </c>
      <c r="N33" s="112">
        <v>9.1999999999999993</v>
      </c>
      <c r="O33" s="112">
        <v>0</v>
      </c>
      <c r="P33" s="112">
        <v>0.56000000000000005</v>
      </c>
      <c r="Q33" s="167" t="s">
        <v>14</v>
      </c>
    </row>
    <row r="34" spans="1:17" customFormat="1">
      <c r="A34" s="80">
        <v>45418.270833333336</v>
      </c>
      <c r="B34" s="112">
        <v>11.33</v>
      </c>
      <c r="C34" s="112">
        <v>13.11</v>
      </c>
      <c r="D34" s="112">
        <v>25.08</v>
      </c>
      <c r="E34" s="112">
        <v>15.52</v>
      </c>
      <c r="F34" s="112">
        <v>12.98</v>
      </c>
      <c r="G34" s="112">
        <v>53.98</v>
      </c>
      <c r="H34" s="112">
        <v>21.96</v>
      </c>
      <c r="I34" s="112">
        <v>7.31</v>
      </c>
      <c r="J34" s="112">
        <v>0.36</v>
      </c>
      <c r="K34" s="112">
        <v>249.56</v>
      </c>
      <c r="L34" s="112">
        <v>31.06</v>
      </c>
      <c r="M34" s="112">
        <v>45.97</v>
      </c>
      <c r="N34" s="112">
        <v>13.5</v>
      </c>
      <c r="O34" s="112">
        <v>0</v>
      </c>
      <c r="P34" s="112">
        <v>0.57999999999999996</v>
      </c>
      <c r="Q34" s="167" t="s">
        <v>14</v>
      </c>
    </row>
    <row r="35" spans="1:17" customFormat="1">
      <c r="A35" s="80">
        <v>45418.28125</v>
      </c>
      <c r="B35" s="112">
        <v>11.33</v>
      </c>
      <c r="C35" s="112">
        <v>13.15</v>
      </c>
      <c r="D35" s="112">
        <v>25.1</v>
      </c>
      <c r="E35" s="112">
        <v>14.94</v>
      </c>
      <c r="F35" s="112">
        <v>10.36</v>
      </c>
      <c r="G35" s="112">
        <v>53.98</v>
      </c>
      <c r="H35" s="112">
        <v>21.96</v>
      </c>
      <c r="I35" s="112">
        <v>7.39</v>
      </c>
      <c r="J35" s="112">
        <v>0.43</v>
      </c>
      <c r="K35" s="112">
        <v>253.33</v>
      </c>
      <c r="L35" s="112">
        <v>31.03</v>
      </c>
      <c r="M35" s="112">
        <v>46.24</v>
      </c>
      <c r="N35" s="112">
        <v>30.1</v>
      </c>
      <c r="O35" s="112">
        <v>0</v>
      </c>
      <c r="P35" s="112">
        <v>0.57999999999999996</v>
      </c>
      <c r="Q35" s="167" t="s">
        <v>14</v>
      </c>
    </row>
    <row r="36" spans="1:17" customFormat="1">
      <c r="A36" s="80">
        <v>45418.291666666664</v>
      </c>
      <c r="B36" s="112">
        <v>11.32</v>
      </c>
      <c r="C36" s="112">
        <v>13.16</v>
      </c>
      <c r="D36" s="112">
        <v>25.1</v>
      </c>
      <c r="E36" s="112">
        <v>15.35</v>
      </c>
      <c r="F36" s="112">
        <v>9.86</v>
      </c>
      <c r="G36" s="112">
        <v>51.62</v>
      </c>
      <c r="H36" s="112">
        <v>23.55</v>
      </c>
      <c r="I36" s="112">
        <v>7.8</v>
      </c>
      <c r="J36" s="112">
        <v>0.5</v>
      </c>
      <c r="K36" s="112">
        <v>263.55</v>
      </c>
      <c r="L36" s="112">
        <v>31.17</v>
      </c>
      <c r="M36" s="112">
        <v>46.27</v>
      </c>
      <c r="N36" s="112">
        <v>45</v>
      </c>
      <c r="O36" s="112">
        <v>0</v>
      </c>
      <c r="P36" s="112">
        <v>0.59</v>
      </c>
      <c r="Q36" s="167" t="s">
        <v>14</v>
      </c>
    </row>
    <row r="37" spans="1:17" customFormat="1">
      <c r="A37" s="80">
        <v>45418.302083333336</v>
      </c>
      <c r="B37" s="112">
        <v>11.33</v>
      </c>
      <c r="C37" s="112">
        <v>13.11</v>
      </c>
      <c r="D37" s="112">
        <v>25.08</v>
      </c>
      <c r="E37" s="112">
        <v>14.71</v>
      </c>
      <c r="F37" s="112">
        <v>8.42</v>
      </c>
      <c r="G37" s="112">
        <v>51.03</v>
      </c>
      <c r="H37" s="112">
        <v>23.55</v>
      </c>
      <c r="I37" s="112">
        <v>7.71</v>
      </c>
      <c r="J37" s="112">
        <v>0.64</v>
      </c>
      <c r="K37" s="112">
        <v>259.33999999999997</v>
      </c>
      <c r="L37" s="112">
        <v>31.52</v>
      </c>
      <c r="M37" s="112">
        <v>45.69</v>
      </c>
      <c r="N37" s="112">
        <v>55.2</v>
      </c>
      <c r="O37" s="112">
        <v>0</v>
      </c>
      <c r="P37" s="112">
        <v>0.59</v>
      </c>
      <c r="Q37" s="167" t="s">
        <v>14</v>
      </c>
    </row>
    <row r="38" spans="1:17" customFormat="1">
      <c r="A38" s="80">
        <v>45418.3125</v>
      </c>
      <c r="B38" s="112">
        <v>11.32</v>
      </c>
      <c r="C38" s="112">
        <v>13.14</v>
      </c>
      <c r="D38" s="112">
        <v>25.09</v>
      </c>
      <c r="E38" s="112">
        <v>14.82</v>
      </c>
      <c r="F38" s="112">
        <v>8.3800000000000008</v>
      </c>
      <c r="G38" s="112">
        <v>51.03</v>
      </c>
      <c r="H38" s="112">
        <v>23.55</v>
      </c>
      <c r="I38" s="112">
        <v>7.66</v>
      </c>
      <c r="J38" s="112">
        <v>0.76</v>
      </c>
      <c r="K38" s="112">
        <v>256.83999999999997</v>
      </c>
      <c r="L38" s="112">
        <v>31.7</v>
      </c>
      <c r="M38" s="112">
        <v>45.39</v>
      </c>
      <c r="N38" s="112">
        <v>81.400000000000006</v>
      </c>
      <c r="O38" s="112">
        <v>0</v>
      </c>
      <c r="P38" s="112">
        <v>0.6</v>
      </c>
      <c r="Q38" s="167" t="s">
        <v>14</v>
      </c>
    </row>
    <row r="39" spans="1:17" customFormat="1">
      <c r="A39" s="80">
        <v>45418.322916666664</v>
      </c>
      <c r="B39" s="112">
        <v>11.28</v>
      </c>
      <c r="C39" s="112">
        <v>13.15</v>
      </c>
      <c r="D39" s="112">
        <v>25.06</v>
      </c>
      <c r="E39" s="112">
        <v>14.69</v>
      </c>
      <c r="F39" s="112">
        <v>8.86</v>
      </c>
      <c r="G39" s="112">
        <v>51.03</v>
      </c>
      <c r="H39" s="112">
        <v>23.55</v>
      </c>
      <c r="I39" s="112">
        <v>7.62</v>
      </c>
      <c r="J39" s="112">
        <v>0.56000000000000005</v>
      </c>
      <c r="K39" s="112">
        <v>258.45</v>
      </c>
      <c r="L39" s="112">
        <v>31.98</v>
      </c>
      <c r="M39" s="112">
        <v>45.97</v>
      </c>
      <c r="N39" s="112">
        <v>104.8</v>
      </c>
      <c r="O39" s="112">
        <v>0</v>
      </c>
      <c r="P39" s="112">
        <v>0.57999999999999996</v>
      </c>
      <c r="Q39" s="167" t="s">
        <v>14</v>
      </c>
    </row>
    <row r="40" spans="1:17" customFormat="1">
      <c r="A40" s="80">
        <v>45418.333333333336</v>
      </c>
      <c r="B40" s="112">
        <v>11.29</v>
      </c>
      <c r="C40" s="112">
        <v>13.15</v>
      </c>
      <c r="D40" s="112">
        <v>25.07</v>
      </c>
      <c r="E40" s="112">
        <v>15.02</v>
      </c>
      <c r="F40" s="112">
        <v>10.27</v>
      </c>
      <c r="G40" s="112">
        <v>48.5</v>
      </c>
      <c r="H40" s="112">
        <v>21.29</v>
      </c>
      <c r="I40" s="112">
        <v>7.46</v>
      </c>
      <c r="J40" s="112">
        <v>0.59</v>
      </c>
      <c r="K40" s="112">
        <v>251.87</v>
      </c>
      <c r="L40" s="112">
        <v>32.21</v>
      </c>
      <c r="M40" s="112">
        <v>46.23</v>
      </c>
      <c r="N40" s="112">
        <v>116.6</v>
      </c>
      <c r="O40" s="112">
        <v>0</v>
      </c>
      <c r="P40" s="112">
        <v>0.57999999999999996</v>
      </c>
      <c r="Q40" s="167" t="s">
        <v>14</v>
      </c>
    </row>
    <row r="41" spans="1:17" customFormat="1">
      <c r="A41" s="80">
        <v>45418.34375</v>
      </c>
      <c r="B41" s="112">
        <v>11.29</v>
      </c>
      <c r="C41" s="112">
        <v>13.13</v>
      </c>
      <c r="D41" s="112">
        <v>25.06</v>
      </c>
      <c r="E41" s="112">
        <v>15.9</v>
      </c>
      <c r="F41" s="112">
        <v>8.8000000000000007</v>
      </c>
      <c r="G41" s="112">
        <v>47.87</v>
      </c>
      <c r="H41" s="112">
        <v>21.29</v>
      </c>
      <c r="I41" s="112">
        <v>7.25</v>
      </c>
      <c r="J41" s="112">
        <v>0.57999999999999996</v>
      </c>
      <c r="K41" s="112">
        <v>257.29000000000002</v>
      </c>
      <c r="L41" s="112">
        <v>32.78</v>
      </c>
      <c r="M41" s="112">
        <v>45.7</v>
      </c>
      <c r="N41" s="112">
        <v>177.3</v>
      </c>
      <c r="O41" s="112">
        <v>0</v>
      </c>
      <c r="P41" s="112">
        <v>0.57999999999999996</v>
      </c>
      <c r="Q41" s="167" t="s">
        <v>14</v>
      </c>
    </row>
    <row r="42" spans="1:17" customFormat="1">
      <c r="A42" s="80">
        <v>45418.354166666664</v>
      </c>
      <c r="B42" s="112">
        <v>11.28</v>
      </c>
      <c r="C42" s="112">
        <v>13.12</v>
      </c>
      <c r="D42" s="112">
        <v>25.04</v>
      </c>
      <c r="E42" s="112">
        <v>15.62</v>
      </c>
      <c r="F42" s="112">
        <v>6.18</v>
      </c>
      <c r="G42" s="112">
        <v>47.87</v>
      </c>
      <c r="H42" s="112">
        <v>21.29</v>
      </c>
      <c r="I42" s="112">
        <v>7.11</v>
      </c>
      <c r="J42" s="112">
        <v>0.88</v>
      </c>
      <c r="K42" s="112">
        <v>257.48</v>
      </c>
      <c r="L42" s="112">
        <v>33.159999999999997</v>
      </c>
      <c r="M42" s="112">
        <v>44.54</v>
      </c>
      <c r="N42" s="112">
        <v>215.5</v>
      </c>
      <c r="O42" s="112">
        <v>0</v>
      </c>
      <c r="P42" s="112">
        <v>0.57999999999999996</v>
      </c>
      <c r="Q42" s="167" t="s">
        <v>14</v>
      </c>
    </row>
    <row r="43" spans="1:17" customFormat="1">
      <c r="A43" s="80">
        <v>45418.364583333336</v>
      </c>
      <c r="B43" s="112">
        <v>11.29</v>
      </c>
      <c r="C43" s="112">
        <v>13.11</v>
      </c>
      <c r="D43" s="112">
        <v>25.05</v>
      </c>
      <c r="E43" s="112">
        <v>16.739999999999998</v>
      </c>
      <c r="F43" s="112">
        <v>8.11</v>
      </c>
      <c r="G43" s="112">
        <v>47.87</v>
      </c>
      <c r="H43" s="112">
        <v>21.29</v>
      </c>
      <c r="I43" s="112">
        <v>7.15</v>
      </c>
      <c r="J43" s="112">
        <v>0.93</v>
      </c>
      <c r="K43" s="112">
        <v>256.82</v>
      </c>
      <c r="L43" s="112">
        <v>33.54</v>
      </c>
      <c r="M43" s="112">
        <v>43.48</v>
      </c>
      <c r="N43" s="112">
        <v>226.1</v>
      </c>
      <c r="O43" s="112">
        <v>0</v>
      </c>
      <c r="P43" s="112">
        <v>0.56999999999999995</v>
      </c>
      <c r="Q43" s="167" t="s">
        <v>14</v>
      </c>
    </row>
    <row r="44" spans="1:17" customFormat="1">
      <c r="A44" s="80">
        <v>45418.375</v>
      </c>
      <c r="B44" s="112">
        <v>11.32</v>
      </c>
      <c r="C44" s="112">
        <v>13.26</v>
      </c>
      <c r="D44" s="112">
        <v>25.15</v>
      </c>
      <c r="E44" s="112">
        <v>16.2</v>
      </c>
      <c r="F44" s="112">
        <v>6.62</v>
      </c>
      <c r="G44" s="112">
        <v>44.53</v>
      </c>
      <c r="H44" s="112">
        <v>22.82</v>
      </c>
      <c r="I44" s="112">
        <v>7.12</v>
      </c>
      <c r="J44" s="112">
        <v>1.03</v>
      </c>
      <c r="K44" s="112">
        <v>268.36</v>
      </c>
      <c r="L44" s="112">
        <v>33.770000000000003</v>
      </c>
      <c r="M44" s="112">
        <v>42.82</v>
      </c>
      <c r="N44" s="112">
        <v>189.1</v>
      </c>
      <c r="O44" s="112">
        <v>0</v>
      </c>
      <c r="P44" s="112">
        <v>0.59</v>
      </c>
      <c r="Q44" s="167" t="s">
        <v>14</v>
      </c>
    </row>
    <row r="45" spans="1:17" customFormat="1">
      <c r="A45" s="80">
        <v>45418.385416666664</v>
      </c>
      <c r="B45" s="112">
        <v>11.33</v>
      </c>
      <c r="C45" s="112">
        <v>13.19</v>
      </c>
      <c r="D45" s="112">
        <v>25.12</v>
      </c>
      <c r="E45" s="112">
        <v>16.13</v>
      </c>
      <c r="F45" s="112">
        <v>5.4</v>
      </c>
      <c r="G45" s="112">
        <v>43.69</v>
      </c>
      <c r="H45" s="112">
        <v>22.82</v>
      </c>
      <c r="I45" s="112">
        <v>7.07</v>
      </c>
      <c r="J45" s="112">
        <v>1.02</v>
      </c>
      <c r="K45" s="112">
        <v>257.86</v>
      </c>
      <c r="L45" s="112">
        <v>33.68</v>
      </c>
      <c r="M45" s="112">
        <v>42.98</v>
      </c>
      <c r="N45" s="112">
        <v>176</v>
      </c>
      <c r="O45" s="112">
        <v>0</v>
      </c>
      <c r="P45" s="112">
        <v>0.6</v>
      </c>
      <c r="Q45" s="167" t="s">
        <v>14</v>
      </c>
    </row>
    <row r="46" spans="1:17" customFormat="1">
      <c r="A46" s="80">
        <v>45418.395833333336</v>
      </c>
      <c r="B46" s="112">
        <v>11.33</v>
      </c>
      <c r="C46" s="112">
        <v>13.11</v>
      </c>
      <c r="D46" s="112">
        <v>25.08</v>
      </c>
      <c r="E46" s="112">
        <v>18.48</v>
      </c>
      <c r="F46" s="112">
        <v>9.91</v>
      </c>
      <c r="G46" s="112">
        <v>43.69</v>
      </c>
      <c r="H46" s="112">
        <v>22.82</v>
      </c>
      <c r="I46" s="112">
        <v>7.02</v>
      </c>
      <c r="J46" s="112">
        <v>1.02</v>
      </c>
      <c r="K46" s="112">
        <v>264.05</v>
      </c>
      <c r="L46" s="112">
        <v>33.770000000000003</v>
      </c>
      <c r="M46" s="112">
        <v>42.58</v>
      </c>
      <c r="N46" s="112">
        <v>163.6</v>
      </c>
      <c r="O46" s="112">
        <v>0</v>
      </c>
      <c r="P46" s="112">
        <v>0.61</v>
      </c>
      <c r="Q46" s="167" t="s">
        <v>14</v>
      </c>
    </row>
    <row r="47" spans="1:17" customFormat="1">
      <c r="A47" s="80">
        <v>45418.40625</v>
      </c>
      <c r="B47" s="112">
        <v>11.33</v>
      </c>
      <c r="C47" s="112">
        <v>13.1</v>
      </c>
      <c r="D47" s="112">
        <v>25.08</v>
      </c>
      <c r="E47" s="112">
        <v>17.52</v>
      </c>
      <c r="F47" s="112">
        <v>6</v>
      </c>
      <c r="G47" s="112">
        <v>43.69</v>
      </c>
      <c r="H47" s="112">
        <v>22.82</v>
      </c>
      <c r="I47" s="112">
        <v>7.04</v>
      </c>
      <c r="J47" s="112">
        <v>1.08</v>
      </c>
      <c r="K47" s="112">
        <v>263.66000000000003</v>
      </c>
      <c r="L47" s="112">
        <v>34.04</v>
      </c>
      <c r="M47" s="112">
        <v>41.69</v>
      </c>
      <c r="N47" s="112">
        <v>245.9</v>
      </c>
      <c r="O47" s="112">
        <v>0</v>
      </c>
      <c r="P47" s="112">
        <v>0.61</v>
      </c>
      <c r="Q47" s="167" t="s">
        <v>14</v>
      </c>
    </row>
    <row r="48" spans="1:17" customFormat="1">
      <c r="A48" s="80">
        <v>45418.416666666664</v>
      </c>
      <c r="B48" s="112">
        <v>11.29</v>
      </c>
      <c r="C48" s="112">
        <v>13.17</v>
      </c>
      <c r="D48" s="112">
        <v>25.07</v>
      </c>
      <c r="E48" s="112">
        <v>17.86</v>
      </c>
      <c r="F48" s="112">
        <v>8.1999999999999993</v>
      </c>
      <c r="G48" s="112">
        <v>44.79</v>
      </c>
      <c r="H48" s="112">
        <v>20.96</v>
      </c>
      <c r="I48" s="112">
        <v>7.01</v>
      </c>
      <c r="J48" s="112">
        <v>0.89</v>
      </c>
      <c r="K48" s="112">
        <v>257.41000000000003</v>
      </c>
      <c r="L48" s="112">
        <v>34.46</v>
      </c>
      <c r="M48" s="112">
        <v>40.86</v>
      </c>
      <c r="N48" s="112">
        <v>220</v>
      </c>
      <c r="O48" s="112">
        <v>0</v>
      </c>
      <c r="P48" s="112">
        <v>0.62</v>
      </c>
      <c r="Q48" s="167" t="s">
        <v>14</v>
      </c>
    </row>
    <row r="49" spans="1:17" customFormat="1">
      <c r="A49" s="80">
        <v>45418.427083333336</v>
      </c>
      <c r="B49" s="112">
        <v>11.29</v>
      </c>
      <c r="C49" s="112">
        <v>13.14</v>
      </c>
      <c r="D49" s="112">
        <v>25.06</v>
      </c>
      <c r="E49" s="112">
        <v>11.18</v>
      </c>
      <c r="F49" s="112">
        <v>6.59</v>
      </c>
      <c r="G49" s="112">
        <v>45.06</v>
      </c>
      <c r="H49" s="112">
        <v>20.96</v>
      </c>
      <c r="I49" s="112">
        <v>7.07</v>
      </c>
      <c r="J49" s="112">
        <v>1.1100000000000001</v>
      </c>
      <c r="K49" s="112">
        <v>269.62</v>
      </c>
      <c r="L49" s="112">
        <v>35.33</v>
      </c>
      <c r="M49" s="112">
        <v>37.26</v>
      </c>
      <c r="N49" s="112">
        <v>251.2</v>
      </c>
      <c r="O49" s="112">
        <v>0</v>
      </c>
      <c r="P49" s="112">
        <v>0.63</v>
      </c>
      <c r="Q49" s="167" t="s">
        <v>14</v>
      </c>
    </row>
    <row r="50" spans="1:17" customFormat="1">
      <c r="A50" s="80">
        <v>45418.4375</v>
      </c>
      <c r="B50" s="112">
        <v>11.29</v>
      </c>
      <c r="C50" s="112">
        <v>13.14</v>
      </c>
      <c r="D50" s="112">
        <v>25.06</v>
      </c>
      <c r="E50" s="112">
        <v>11.52</v>
      </c>
      <c r="F50" s="112">
        <v>6.13</v>
      </c>
      <c r="G50" s="112">
        <v>45.06</v>
      </c>
      <c r="H50" s="112">
        <v>20.96</v>
      </c>
      <c r="I50" s="112">
        <v>7.21</v>
      </c>
      <c r="J50" s="112">
        <v>1.1299999999999999</v>
      </c>
      <c r="K50" s="112">
        <v>268.85000000000002</v>
      </c>
      <c r="L50" s="112">
        <v>36.619999999999997</v>
      </c>
      <c r="M50" s="112">
        <v>31.46</v>
      </c>
      <c r="N50" s="112">
        <v>314.39999999999998</v>
      </c>
      <c r="O50" s="112">
        <v>0</v>
      </c>
      <c r="P50" s="112">
        <v>0.63</v>
      </c>
      <c r="Q50" s="167" t="s">
        <v>14</v>
      </c>
    </row>
    <row r="51" spans="1:17" customFormat="1">
      <c r="A51" s="80">
        <v>45418.447916666664</v>
      </c>
      <c r="B51" s="112">
        <v>11.29</v>
      </c>
      <c r="C51" s="112">
        <v>13.12</v>
      </c>
      <c r="D51" s="112">
        <v>25.05</v>
      </c>
      <c r="E51" s="112">
        <v>12.25</v>
      </c>
      <c r="F51" s="112">
        <v>8.32</v>
      </c>
      <c r="G51" s="112">
        <v>45.06</v>
      </c>
      <c r="H51" s="112">
        <v>20.96</v>
      </c>
      <c r="I51" s="112">
        <v>7.32</v>
      </c>
      <c r="J51" s="112">
        <v>1.07</v>
      </c>
      <c r="K51" s="112">
        <v>272.33999999999997</v>
      </c>
      <c r="L51" s="112">
        <v>37.46</v>
      </c>
      <c r="M51" s="112">
        <v>27.02</v>
      </c>
      <c r="N51" s="112">
        <v>630.20000000000005</v>
      </c>
      <c r="O51" s="112">
        <v>0</v>
      </c>
      <c r="P51" s="112">
        <v>0.64</v>
      </c>
      <c r="Q51" s="167" t="s">
        <v>14</v>
      </c>
    </row>
    <row r="52" spans="1:17" customFormat="1">
      <c r="A52" s="80">
        <v>45418.458333333336</v>
      </c>
      <c r="B52" s="112">
        <v>11.28</v>
      </c>
      <c r="C52" s="112">
        <v>13.13</v>
      </c>
      <c r="D52" s="112">
        <v>25.05</v>
      </c>
      <c r="E52" s="112">
        <v>13.3</v>
      </c>
      <c r="F52" s="112">
        <v>8.69</v>
      </c>
      <c r="G52" s="112">
        <v>49.55</v>
      </c>
      <c r="H52" s="112">
        <v>22.81</v>
      </c>
      <c r="I52" s="112">
        <v>7.39</v>
      </c>
      <c r="J52" s="112">
        <v>1.1499999999999999</v>
      </c>
      <c r="K52" s="112">
        <v>276.3</v>
      </c>
      <c r="L52" s="112">
        <v>38.15</v>
      </c>
      <c r="M52" s="112">
        <v>25.6</v>
      </c>
      <c r="N52" s="112">
        <v>704.3</v>
      </c>
      <c r="O52" s="112">
        <v>0</v>
      </c>
      <c r="P52" s="112">
        <v>0.68</v>
      </c>
      <c r="Q52" s="167" t="s">
        <v>14</v>
      </c>
    </row>
    <row r="53" spans="1:17" customFormat="1">
      <c r="A53" s="80">
        <v>45418.46875</v>
      </c>
      <c r="B53" s="112">
        <v>11.25</v>
      </c>
      <c r="C53" s="112">
        <v>13.19</v>
      </c>
      <c r="D53" s="112">
        <v>25.05</v>
      </c>
      <c r="E53" s="112">
        <v>14</v>
      </c>
      <c r="F53" s="112">
        <v>16.82</v>
      </c>
      <c r="G53" s="112">
        <v>50.68</v>
      </c>
      <c r="H53" s="112">
        <v>22.81</v>
      </c>
      <c r="I53" s="112">
        <v>7.47</v>
      </c>
      <c r="J53" s="112">
        <v>0.97</v>
      </c>
      <c r="K53" s="112">
        <v>261.64</v>
      </c>
      <c r="L53" s="112">
        <v>38.700000000000003</v>
      </c>
      <c r="M53" s="112">
        <v>25.52</v>
      </c>
      <c r="N53" s="112">
        <v>705.9</v>
      </c>
      <c r="O53" s="112">
        <v>0</v>
      </c>
      <c r="P53" s="112">
        <v>0.72</v>
      </c>
      <c r="Q53" s="167" t="s">
        <v>14</v>
      </c>
    </row>
    <row r="54" spans="1:17" customFormat="1">
      <c r="A54" s="80">
        <v>45418.479166666664</v>
      </c>
      <c r="B54" s="112">
        <v>11.26</v>
      </c>
      <c r="C54" s="112">
        <v>13.19</v>
      </c>
      <c r="D54" s="112">
        <v>25.07</v>
      </c>
      <c r="E54" s="112">
        <v>22</v>
      </c>
      <c r="F54" s="112">
        <v>37.119999999999997</v>
      </c>
      <c r="G54" s="112">
        <v>50.68</v>
      </c>
      <c r="H54" s="112">
        <v>22.81</v>
      </c>
      <c r="I54" s="112">
        <v>7.71</v>
      </c>
      <c r="J54" s="112">
        <v>0.87</v>
      </c>
      <c r="K54" s="112">
        <v>288.35000000000002</v>
      </c>
      <c r="L54" s="112">
        <v>39.64</v>
      </c>
      <c r="M54" s="112">
        <v>23.29</v>
      </c>
      <c r="N54" s="112">
        <v>823.8</v>
      </c>
      <c r="O54" s="112">
        <v>0</v>
      </c>
      <c r="P54" s="112">
        <v>0.82</v>
      </c>
      <c r="Q54" s="167" t="s">
        <v>14</v>
      </c>
    </row>
    <row r="55" spans="1:17" customFormat="1">
      <c r="A55" s="80">
        <v>45418.489583333336</v>
      </c>
      <c r="B55" s="112">
        <v>11.34</v>
      </c>
      <c r="C55" s="112">
        <v>13.21</v>
      </c>
      <c r="D55" s="112">
        <v>25.14</v>
      </c>
      <c r="E55" s="112">
        <v>20.38</v>
      </c>
      <c r="F55" s="112">
        <v>25.61</v>
      </c>
      <c r="G55" s="112">
        <v>50.68</v>
      </c>
      <c r="H55" s="112">
        <v>22.81</v>
      </c>
      <c r="I55" s="112">
        <v>8.18</v>
      </c>
      <c r="J55" s="112">
        <v>0.89</v>
      </c>
      <c r="K55" s="112">
        <v>287.48</v>
      </c>
      <c r="L55" s="112">
        <v>39.67</v>
      </c>
      <c r="M55" s="112">
        <v>19.440000000000001</v>
      </c>
      <c r="N55" s="112">
        <v>651.29999999999995</v>
      </c>
      <c r="O55" s="112">
        <v>0</v>
      </c>
      <c r="P55" s="112">
        <v>0.72</v>
      </c>
      <c r="Q55" s="167" t="s">
        <v>14</v>
      </c>
    </row>
    <row r="56" spans="1:17" customFormat="1">
      <c r="A56" s="80">
        <v>45418.5</v>
      </c>
      <c r="B56" s="112">
        <v>11.33</v>
      </c>
      <c r="C56" s="112">
        <v>13.14</v>
      </c>
      <c r="D56" s="112">
        <v>25.09</v>
      </c>
      <c r="E56" s="112">
        <v>15.9</v>
      </c>
      <c r="F56" s="112">
        <v>23.74</v>
      </c>
      <c r="G56" s="112">
        <v>52.93</v>
      </c>
      <c r="H56" s="112">
        <v>21.33</v>
      </c>
      <c r="I56" s="112">
        <v>8.44</v>
      </c>
      <c r="J56" s="112">
        <v>1.32</v>
      </c>
      <c r="K56" s="112">
        <v>288.64999999999998</v>
      </c>
      <c r="L56" s="112">
        <v>39.51</v>
      </c>
      <c r="M56" s="112">
        <v>19.329999999999998</v>
      </c>
      <c r="N56" s="112">
        <v>786.6</v>
      </c>
      <c r="O56" s="112">
        <v>0</v>
      </c>
      <c r="P56" s="112">
        <v>0.69</v>
      </c>
      <c r="Q56" s="167" t="s">
        <v>14</v>
      </c>
    </row>
    <row r="57" spans="1:17" customFormat="1">
      <c r="A57" s="80">
        <v>45418.510416666664</v>
      </c>
      <c r="B57" s="112">
        <v>11.31</v>
      </c>
      <c r="C57" s="112">
        <v>13.23</v>
      </c>
      <c r="D57" s="112">
        <v>25.13</v>
      </c>
      <c r="E57" s="112">
        <v>13.85</v>
      </c>
      <c r="F57" s="112">
        <v>25.71</v>
      </c>
      <c r="G57" s="112">
        <v>53.49</v>
      </c>
      <c r="H57" s="112">
        <v>21.33</v>
      </c>
      <c r="I57" s="112">
        <v>7.94</v>
      </c>
      <c r="J57" s="112">
        <v>0.73</v>
      </c>
      <c r="K57" s="112">
        <v>251.18</v>
      </c>
      <c r="L57" s="112">
        <v>39.770000000000003</v>
      </c>
      <c r="M57" s="112">
        <v>19.14</v>
      </c>
      <c r="N57" s="112">
        <v>590.5</v>
      </c>
      <c r="O57" s="112">
        <v>0</v>
      </c>
      <c r="P57" s="112">
        <v>0.67</v>
      </c>
      <c r="Q57" s="167" t="s">
        <v>14</v>
      </c>
    </row>
    <row r="58" spans="1:17" customFormat="1">
      <c r="A58" s="80">
        <v>45418.520833333336</v>
      </c>
      <c r="B58" s="112">
        <v>11.31</v>
      </c>
      <c r="C58" s="112">
        <v>13.14</v>
      </c>
      <c r="D58" s="112">
        <v>25.08</v>
      </c>
      <c r="E58" s="112">
        <v>13.34</v>
      </c>
      <c r="F58" s="112">
        <v>20.87</v>
      </c>
      <c r="G58" s="112">
        <v>53.49</v>
      </c>
      <c r="H58" s="112">
        <v>21.33</v>
      </c>
      <c r="I58" s="112">
        <v>7.53</v>
      </c>
      <c r="J58" s="112">
        <v>1.27</v>
      </c>
      <c r="K58" s="112">
        <v>292.8</v>
      </c>
      <c r="L58" s="112">
        <v>40.5</v>
      </c>
      <c r="M58" s="112">
        <v>17.39</v>
      </c>
      <c r="N58" s="112">
        <v>728.2</v>
      </c>
      <c r="O58" s="112">
        <v>0</v>
      </c>
      <c r="P58" s="112">
        <v>0.68</v>
      </c>
      <c r="Q58" s="167" t="s">
        <v>14</v>
      </c>
    </row>
    <row r="59" spans="1:17" customFormat="1">
      <c r="A59" s="80">
        <v>45418.53125</v>
      </c>
      <c r="B59" s="112">
        <v>11.3</v>
      </c>
      <c r="C59" s="112">
        <v>13.15</v>
      </c>
      <c r="D59" s="112">
        <v>25.08</v>
      </c>
      <c r="E59" s="112">
        <v>13</v>
      </c>
      <c r="F59" s="112">
        <v>26.05</v>
      </c>
      <c r="G59" s="112">
        <v>53.49</v>
      </c>
      <c r="H59" s="112">
        <v>21.33</v>
      </c>
      <c r="I59" s="112">
        <v>7.51</v>
      </c>
      <c r="J59" s="112">
        <v>0.89</v>
      </c>
      <c r="K59" s="112">
        <v>281.82</v>
      </c>
      <c r="L59" s="112">
        <v>40.29</v>
      </c>
      <c r="M59" s="112">
        <v>18.04</v>
      </c>
      <c r="N59" s="112">
        <v>742.4</v>
      </c>
      <c r="O59" s="112">
        <v>0</v>
      </c>
      <c r="P59" s="112">
        <v>0.66</v>
      </c>
      <c r="Q59" s="167" t="s">
        <v>14</v>
      </c>
    </row>
    <row r="60" spans="1:17" customFormat="1">
      <c r="A60" s="80">
        <v>45418.541666666664</v>
      </c>
      <c r="B60" s="112">
        <v>11.29</v>
      </c>
      <c r="C60" s="112">
        <v>13.19</v>
      </c>
      <c r="D60" s="112">
        <v>25.08</v>
      </c>
      <c r="E60" s="112">
        <v>12.84</v>
      </c>
      <c r="F60" s="112">
        <v>29.49</v>
      </c>
      <c r="G60" s="112">
        <v>54.66</v>
      </c>
      <c r="H60" s="112">
        <v>21.08</v>
      </c>
      <c r="I60" s="112">
        <v>7.36</v>
      </c>
      <c r="J60" s="112">
        <v>0.7</v>
      </c>
      <c r="K60" s="112">
        <v>265.61</v>
      </c>
      <c r="L60" s="112">
        <v>40.96</v>
      </c>
      <c r="M60" s="112">
        <v>17.25</v>
      </c>
      <c r="N60" s="112">
        <v>847.5</v>
      </c>
      <c r="O60" s="112">
        <v>0</v>
      </c>
      <c r="P60" s="112">
        <v>0.64</v>
      </c>
      <c r="Q60" s="167" t="s">
        <v>14</v>
      </c>
    </row>
    <row r="61" spans="1:17" customFormat="1">
      <c r="A61" s="80">
        <v>45418.552083333336</v>
      </c>
      <c r="B61" s="112">
        <v>11.25</v>
      </c>
      <c r="C61" s="112">
        <v>13.14</v>
      </c>
      <c r="D61" s="112">
        <v>25.03</v>
      </c>
      <c r="E61" s="112">
        <v>10.95</v>
      </c>
      <c r="F61" s="112">
        <v>24.86</v>
      </c>
      <c r="G61" s="112">
        <v>54.95</v>
      </c>
      <c r="H61" s="112">
        <v>21.08</v>
      </c>
      <c r="I61" s="112">
        <v>7.24</v>
      </c>
      <c r="J61" s="112">
        <v>1.1000000000000001</v>
      </c>
      <c r="K61" s="112">
        <v>277</v>
      </c>
      <c r="L61" s="112">
        <v>41.69</v>
      </c>
      <c r="M61" s="112">
        <v>16.649999999999999</v>
      </c>
      <c r="N61" s="112">
        <v>795.2</v>
      </c>
      <c r="O61" s="112">
        <v>0</v>
      </c>
      <c r="P61" s="112">
        <v>0.64</v>
      </c>
      <c r="Q61" s="167" t="s">
        <v>14</v>
      </c>
    </row>
    <row r="62" spans="1:17" customFormat="1">
      <c r="A62" s="80">
        <v>45418.5625</v>
      </c>
      <c r="B62" s="112">
        <v>11.27</v>
      </c>
      <c r="C62" s="112">
        <v>13.1</v>
      </c>
      <c r="D62" s="112">
        <v>25.02</v>
      </c>
      <c r="E62" s="112">
        <v>11.57</v>
      </c>
      <c r="F62" s="112">
        <v>21.92</v>
      </c>
      <c r="G62" s="112">
        <v>54.95</v>
      </c>
      <c r="H62" s="112">
        <v>21.08</v>
      </c>
      <c r="I62" s="112">
        <v>7.09</v>
      </c>
      <c r="J62" s="112">
        <v>1.1599999999999999</v>
      </c>
      <c r="K62" s="112">
        <v>289.58</v>
      </c>
      <c r="L62" s="112">
        <v>41.84</v>
      </c>
      <c r="M62" s="112">
        <v>16.21</v>
      </c>
      <c r="N62" s="112">
        <v>696.5</v>
      </c>
      <c r="O62" s="112">
        <v>0</v>
      </c>
      <c r="P62" s="112">
        <v>0.63</v>
      </c>
      <c r="Q62" s="167" t="s">
        <v>14</v>
      </c>
    </row>
    <row r="63" spans="1:17" customFormat="1">
      <c r="A63" s="80">
        <v>45418.572916666664</v>
      </c>
      <c r="B63" s="112">
        <v>11.25</v>
      </c>
      <c r="C63" s="112">
        <v>13.11</v>
      </c>
      <c r="D63" s="112">
        <v>25.02</v>
      </c>
      <c r="E63" s="112">
        <v>9.73</v>
      </c>
      <c r="F63" s="112">
        <v>13.25</v>
      </c>
      <c r="G63" s="112">
        <v>54.95</v>
      </c>
      <c r="H63" s="112">
        <v>21.08</v>
      </c>
      <c r="I63" s="112">
        <v>7.11</v>
      </c>
      <c r="J63" s="112">
        <v>1.47</v>
      </c>
      <c r="K63" s="112">
        <v>273.89</v>
      </c>
      <c r="L63" s="112">
        <v>41.61</v>
      </c>
      <c r="M63" s="112">
        <v>17.079999999999998</v>
      </c>
      <c r="N63" s="112">
        <v>731.5</v>
      </c>
      <c r="O63" s="112">
        <v>0</v>
      </c>
      <c r="P63" s="112">
        <v>0.65</v>
      </c>
      <c r="Q63" s="167" t="s">
        <v>14</v>
      </c>
    </row>
    <row r="64" spans="1:17" customFormat="1">
      <c r="A64" s="80">
        <v>45418.583333333336</v>
      </c>
      <c r="B64" s="112">
        <v>11.22</v>
      </c>
      <c r="C64" s="112">
        <v>13.14</v>
      </c>
      <c r="D64" s="112">
        <v>25</v>
      </c>
      <c r="E64" s="112">
        <v>15.44</v>
      </c>
      <c r="F64" s="112">
        <v>26.7</v>
      </c>
      <c r="G64" s="112">
        <v>55.53</v>
      </c>
      <c r="H64" s="112">
        <v>20.350000000000001</v>
      </c>
      <c r="I64" s="112">
        <v>7.1</v>
      </c>
      <c r="J64" s="112">
        <v>1.41</v>
      </c>
      <c r="K64" s="112">
        <v>275.22000000000003</v>
      </c>
      <c r="L64" s="112">
        <v>41.47</v>
      </c>
      <c r="M64" s="112">
        <v>17.63</v>
      </c>
      <c r="N64" s="112">
        <v>720</v>
      </c>
      <c r="O64" s="112">
        <v>0</v>
      </c>
      <c r="P64" s="112">
        <v>0.64</v>
      </c>
      <c r="Q64" s="167" t="s">
        <v>14</v>
      </c>
    </row>
    <row r="65" spans="1:17" customFormat="1">
      <c r="A65" s="80">
        <v>45418.59375</v>
      </c>
      <c r="B65" s="112">
        <v>11.2</v>
      </c>
      <c r="C65" s="112">
        <v>13.19</v>
      </c>
      <c r="D65" s="112">
        <v>25.02</v>
      </c>
      <c r="E65" s="112">
        <v>16.489999999999998</v>
      </c>
      <c r="F65" s="112">
        <v>22.01</v>
      </c>
      <c r="G65" s="112">
        <v>55.67</v>
      </c>
      <c r="H65" s="112">
        <v>20.350000000000001</v>
      </c>
      <c r="I65" s="112">
        <v>7.22</v>
      </c>
      <c r="J65" s="112">
        <v>1.32</v>
      </c>
      <c r="K65" s="112">
        <v>281.7</v>
      </c>
      <c r="L65" s="112">
        <v>41.83</v>
      </c>
      <c r="M65" s="112">
        <v>17.239999999999998</v>
      </c>
      <c r="N65" s="112">
        <v>774</v>
      </c>
      <c r="O65" s="112">
        <v>0</v>
      </c>
      <c r="P65" s="112">
        <v>0.53</v>
      </c>
      <c r="Q65" s="167" t="s">
        <v>14</v>
      </c>
    </row>
    <row r="66" spans="1:17" customFormat="1">
      <c r="A66" s="80">
        <v>45418.604166666664</v>
      </c>
      <c r="B66" s="112">
        <v>11.22</v>
      </c>
      <c r="C66" s="112">
        <v>13.2</v>
      </c>
      <c r="D66" s="112">
        <v>25.04</v>
      </c>
      <c r="E66" s="112">
        <v>13.88</v>
      </c>
      <c r="F66" s="112">
        <v>23.43</v>
      </c>
      <c r="G66" s="112">
        <v>55.67</v>
      </c>
      <c r="H66" s="112">
        <v>20.350000000000001</v>
      </c>
      <c r="I66" s="112">
        <v>7.24</v>
      </c>
      <c r="J66" s="112">
        <v>1.1299999999999999</v>
      </c>
      <c r="K66" s="112">
        <v>282.24</v>
      </c>
      <c r="L66" s="112">
        <v>41.54</v>
      </c>
      <c r="M66" s="112">
        <v>18.05</v>
      </c>
      <c r="N66" s="112">
        <v>557.70000000000005</v>
      </c>
      <c r="O66" s="112">
        <v>0</v>
      </c>
      <c r="P66" s="112">
        <v>0.56000000000000005</v>
      </c>
      <c r="Q66" s="167" t="s">
        <v>14</v>
      </c>
    </row>
    <row r="67" spans="1:17" customFormat="1">
      <c r="A67" s="80">
        <v>45418.614583333336</v>
      </c>
      <c r="B67" s="112">
        <v>11.2</v>
      </c>
      <c r="C67" s="112">
        <v>13.17</v>
      </c>
      <c r="D67" s="112">
        <v>25</v>
      </c>
      <c r="E67" s="112">
        <v>18.559999999999999</v>
      </c>
      <c r="F67" s="112">
        <v>23.16</v>
      </c>
      <c r="G67" s="112">
        <v>55.67</v>
      </c>
      <c r="H67" s="112">
        <v>20.350000000000001</v>
      </c>
      <c r="I67" s="112">
        <v>7.34</v>
      </c>
      <c r="J67" s="112">
        <v>1.1100000000000001</v>
      </c>
      <c r="K67" s="112">
        <v>265.42</v>
      </c>
      <c r="L67" s="112">
        <v>42.08</v>
      </c>
      <c r="M67" s="112">
        <v>17.73</v>
      </c>
      <c r="N67" s="112">
        <v>629.79999999999995</v>
      </c>
      <c r="O67" s="112">
        <v>0</v>
      </c>
      <c r="P67" s="112">
        <v>0.56999999999999995</v>
      </c>
      <c r="Q67" s="167" t="s">
        <v>14</v>
      </c>
    </row>
    <row r="68" spans="1:17" customFormat="1">
      <c r="A68" s="80">
        <v>45418.625</v>
      </c>
      <c r="B68" s="112">
        <v>11.16</v>
      </c>
      <c r="C68" s="112">
        <v>13.22</v>
      </c>
      <c r="D68" s="112">
        <v>25</v>
      </c>
      <c r="E68" s="112">
        <v>15.4</v>
      </c>
      <c r="F68" s="112">
        <v>15.63</v>
      </c>
      <c r="G68" s="112">
        <v>53.05</v>
      </c>
      <c r="H68" s="112">
        <v>17.47</v>
      </c>
      <c r="I68" s="112">
        <v>7.33</v>
      </c>
      <c r="J68" s="112">
        <v>1.31</v>
      </c>
      <c r="K68" s="112">
        <v>267.19</v>
      </c>
      <c r="L68" s="112">
        <v>42.22</v>
      </c>
      <c r="M68" s="112">
        <v>16.850000000000001</v>
      </c>
      <c r="N68" s="112">
        <v>620.5</v>
      </c>
      <c r="O68" s="112">
        <v>0</v>
      </c>
      <c r="P68" s="112">
        <v>0.56000000000000005</v>
      </c>
      <c r="Q68" s="167" t="s">
        <v>14</v>
      </c>
    </row>
    <row r="69" spans="1:17" customFormat="1">
      <c r="A69" s="80">
        <v>45418.635416666664</v>
      </c>
      <c r="B69" s="112">
        <v>11.14</v>
      </c>
      <c r="C69" s="112">
        <v>13.32</v>
      </c>
      <c r="D69" s="112">
        <v>25.03</v>
      </c>
      <c r="E69" s="112">
        <v>11.49</v>
      </c>
      <c r="F69" s="112">
        <v>15.22</v>
      </c>
      <c r="G69" s="112">
        <v>52.39</v>
      </c>
      <c r="H69" s="112">
        <v>17.47</v>
      </c>
      <c r="I69" s="112">
        <v>7.29</v>
      </c>
      <c r="J69" s="112">
        <v>1.24</v>
      </c>
      <c r="K69" s="112">
        <v>261.49</v>
      </c>
      <c r="L69" s="112">
        <v>40.94</v>
      </c>
      <c r="M69" s="112">
        <v>17.59</v>
      </c>
      <c r="N69" s="112">
        <v>186.3</v>
      </c>
      <c r="O69" s="112">
        <v>0</v>
      </c>
      <c r="P69" s="112">
        <v>0.55000000000000004</v>
      </c>
      <c r="Q69" s="167" t="s">
        <v>14</v>
      </c>
    </row>
    <row r="70" spans="1:17" customFormat="1">
      <c r="A70" s="80">
        <v>45418.645833333336</v>
      </c>
      <c r="B70" s="112">
        <v>11.15</v>
      </c>
      <c r="C70" s="112">
        <v>13.39</v>
      </c>
      <c r="D70" s="112">
        <v>25.08</v>
      </c>
      <c r="E70" s="112">
        <v>11.75</v>
      </c>
      <c r="F70" s="112">
        <v>14.95</v>
      </c>
      <c r="G70" s="112">
        <v>52.39</v>
      </c>
      <c r="H70" s="112">
        <v>17.47</v>
      </c>
      <c r="I70" s="112">
        <v>7.3</v>
      </c>
      <c r="J70" s="112">
        <v>1.43</v>
      </c>
      <c r="K70" s="112">
        <v>259.06</v>
      </c>
      <c r="L70" s="112">
        <v>40.94</v>
      </c>
      <c r="M70" s="112">
        <v>17.78</v>
      </c>
      <c r="N70" s="112">
        <v>527.20000000000005</v>
      </c>
      <c r="O70" s="112">
        <v>0</v>
      </c>
      <c r="P70" s="112">
        <v>0.54</v>
      </c>
      <c r="Q70" s="167" t="s">
        <v>14</v>
      </c>
    </row>
    <row r="71" spans="1:17" customFormat="1">
      <c r="A71" s="80">
        <v>45418.65625</v>
      </c>
      <c r="B71" s="112">
        <v>11.17</v>
      </c>
      <c r="C71" s="112">
        <v>13.22</v>
      </c>
      <c r="D71" s="112">
        <v>25.01</v>
      </c>
      <c r="E71" s="112">
        <v>13.87</v>
      </c>
      <c r="F71" s="112">
        <v>19.12</v>
      </c>
      <c r="G71" s="112">
        <v>52.39</v>
      </c>
      <c r="H71" s="112">
        <v>17.47</v>
      </c>
      <c r="I71" s="112">
        <v>7.25</v>
      </c>
      <c r="J71" s="112">
        <v>0.89</v>
      </c>
      <c r="K71" s="112">
        <v>273.41000000000003</v>
      </c>
      <c r="L71" s="112">
        <v>41.86</v>
      </c>
      <c r="M71" s="112">
        <v>17.11</v>
      </c>
      <c r="N71" s="112">
        <v>493.4</v>
      </c>
      <c r="O71" s="112">
        <v>0</v>
      </c>
      <c r="P71" s="112">
        <v>0.52</v>
      </c>
      <c r="Q71" s="167" t="s">
        <v>14</v>
      </c>
    </row>
    <row r="72" spans="1:17" customFormat="1">
      <c r="A72" s="80">
        <v>45418.666666666664</v>
      </c>
      <c r="B72" s="112">
        <v>11.2</v>
      </c>
      <c r="C72" s="112">
        <v>13.17</v>
      </c>
      <c r="D72" s="112">
        <v>25.01</v>
      </c>
      <c r="E72" s="112">
        <v>11.2</v>
      </c>
      <c r="F72" s="112">
        <v>8.7200000000000006</v>
      </c>
      <c r="G72" s="112">
        <v>47.88</v>
      </c>
      <c r="H72" s="112">
        <v>16.47</v>
      </c>
      <c r="I72" s="112">
        <v>7.01</v>
      </c>
      <c r="J72" s="112">
        <v>1.43</v>
      </c>
      <c r="K72" s="112">
        <v>271.55</v>
      </c>
      <c r="L72" s="112">
        <v>42.19</v>
      </c>
      <c r="M72" s="112">
        <v>15.98</v>
      </c>
      <c r="N72" s="112">
        <v>364.8</v>
      </c>
      <c r="O72" s="112">
        <v>0</v>
      </c>
      <c r="P72" s="112">
        <v>0.51</v>
      </c>
      <c r="Q72" s="167" t="s">
        <v>14</v>
      </c>
    </row>
    <row r="73" spans="1:17" customFormat="1">
      <c r="A73" s="80">
        <v>45418.677083333336</v>
      </c>
      <c r="B73" s="112">
        <v>11.23</v>
      </c>
      <c r="C73" s="112">
        <v>13.12</v>
      </c>
      <c r="D73" s="112">
        <v>25.01</v>
      </c>
      <c r="E73" s="112">
        <v>8.59</v>
      </c>
      <c r="F73" s="112">
        <v>8.4</v>
      </c>
      <c r="G73" s="112">
        <v>46.75</v>
      </c>
      <c r="H73" s="112">
        <v>16.47</v>
      </c>
      <c r="I73" s="112">
        <v>6.69</v>
      </c>
      <c r="J73" s="112">
        <v>1.47</v>
      </c>
      <c r="K73" s="112">
        <v>275.07</v>
      </c>
      <c r="L73" s="112">
        <v>41.86</v>
      </c>
      <c r="M73" s="112">
        <v>15.47</v>
      </c>
      <c r="N73" s="112">
        <v>280.89999999999998</v>
      </c>
      <c r="O73" s="112">
        <v>0</v>
      </c>
      <c r="P73" s="112">
        <v>0.47</v>
      </c>
      <c r="Q73" s="167" t="s">
        <v>14</v>
      </c>
    </row>
    <row r="74" spans="1:17" customFormat="1">
      <c r="A74" s="80">
        <v>45418.6875</v>
      </c>
      <c r="B74" s="112">
        <v>11.3</v>
      </c>
      <c r="C74" s="112">
        <v>13.13</v>
      </c>
      <c r="D74" s="112">
        <v>25.07</v>
      </c>
      <c r="E74" s="112">
        <v>8.0500000000000007</v>
      </c>
      <c r="F74" s="112">
        <v>9.1</v>
      </c>
      <c r="G74" s="112">
        <v>46.75</v>
      </c>
      <c r="H74" s="112">
        <v>16.47</v>
      </c>
      <c r="I74" s="112">
        <v>6.69</v>
      </c>
      <c r="J74" s="112">
        <v>1.71</v>
      </c>
      <c r="K74" s="112">
        <v>286.37</v>
      </c>
      <c r="L74" s="112">
        <v>41.5</v>
      </c>
      <c r="M74" s="112">
        <v>15.29</v>
      </c>
      <c r="N74" s="112">
        <v>157.69999999999999</v>
      </c>
      <c r="O74" s="112">
        <v>0</v>
      </c>
      <c r="P74" s="112">
        <v>0.45</v>
      </c>
      <c r="Q74" s="112">
        <v>4.6500000000000004</v>
      </c>
    </row>
    <row r="75" spans="1:17" customFormat="1">
      <c r="A75" s="80">
        <v>45418.697916666664</v>
      </c>
      <c r="B75" s="112">
        <v>11.34</v>
      </c>
      <c r="C75" s="112">
        <v>13.19</v>
      </c>
      <c r="D75" s="112">
        <v>25.13</v>
      </c>
      <c r="E75" s="112">
        <v>8.3699999999999992</v>
      </c>
      <c r="F75" s="112">
        <v>8.6999999999999993</v>
      </c>
      <c r="G75" s="112">
        <v>46.75</v>
      </c>
      <c r="H75" s="112">
        <v>16.47</v>
      </c>
      <c r="I75" s="112">
        <v>6.6</v>
      </c>
      <c r="J75" s="112">
        <v>1.54</v>
      </c>
      <c r="K75" s="112">
        <v>271.06</v>
      </c>
      <c r="L75" s="112">
        <v>41.22</v>
      </c>
      <c r="M75" s="112">
        <v>15.12</v>
      </c>
      <c r="N75" s="112">
        <v>150.19999999999999</v>
      </c>
      <c r="O75" s="112">
        <v>0</v>
      </c>
      <c r="P75" s="112">
        <v>0.42</v>
      </c>
      <c r="Q75" s="167" t="s">
        <v>14</v>
      </c>
    </row>
    <row r="76" spans="1:17" customFormat="1">
      <c r="A76" s="80">
        <v>45418.708333333336</v>
      </c>
      <c r="B76" s="112">
        <v>11.32</v>
      </c>
      <c r="C76" s="112">
        <v>13.11</v>
      </c>
      <c r="D76" s="112">
        <v>25.07</v>
      </c>
      <c r="E76" s="112">
        <v>8.27</v>
      </c>
      <c r="F76" s="112">
        <v>10.98</v>
      </c>
      <c r="G76" s="112">
        <v>45.64</v>
      </c>
      <c r="H76" s="112">
        <v>13.42</v>
      </c>
      <c r="I76" s="112">
        <v>6.31</v>
      </c>
      <c r="J76" s="112">
        <v>1.39</v>
      </c>
      <c r="K76" s="112">
        <v>283.36</v>
      </c>
      <c r="L76" s="112">
        <v>41.13</v>
      </c>
      <c r="M76" s="112">
        <v>15.01</v>
      </c>
      <c r="N76" s="112">
        <v>233.7</v>
      </c>
      <c r="O76" s="112">
        <v>0</v>
      </c>
      <c r="P76" s="112">
        <v>0.4</v>
      </c>
      <c r="Q76" s="167" t="s">
        <v>14</v>
      </c>
    </row>
    <row r="77" spans="1:17" customFormat="1">
      <c r="A77" s="80">
        <v>45418.71875</v>
      </c>
      <c r="B77" s="112">
        <v>11.27</v>
      </c>
      <c r="C77" s="112">
        <v>13.1</v>
      </c>
      <c r="D77" s="112">
        <v>25.02</v>
      </c>
      <c r="E77" s="112">
        <v>8.64</v>
      </c>
      <c r="F77" s="112">
        <v>10.48</v>
      </c>
      <c r="G77" s="112">
        <v>45.37</v>
      </c>
      <c r="H77" s="112">
        <v>13.42</v>
      </c>
      <c r="I77" s="112">
        <v>5.99</v>
      </c>
      <c r="J77" s="112">
        <v>1.31</v>
      </c>
      <c r="K77" s="112">
        <v>279.58999999999997</v>
      </c>
      <c r="L77" s="112">
        <v>40.89</v>
      </c>
      <c r="M77" s="112">
        <v>15.48</v>
      </c>
      <c r="N77" s="112">
        <v>167.4</v>
      </c>
      <c r="O77" s="112">
        <v>0</v>
      </c>
      <c r="P77" s="112">
        <v>0.4</v>
      </c>
      <c r="Q77" s="167" t="s">
        <v>14</v>
      </c>
    </row>
    <row r="78" spans="1:17" customFormat="1">
      <c r="A78" s="80">
        <v>45418.729166666664</v>
      </c>
      <c r="B78" s="112">
        <v>11.24</v>
      </c>
      <c r="C78" s="112">
        <v>13.16</v>
      </c>
      <c r="D78" s="112">
        <v>25.03</v>
      </c>
      <c r="E78" s="112">
        <v>8.23</v>
      </c>
      <c r="F78" s="112">
        <v>6.76</v>
      </c>
      <c r="G78" s="112">
        <v>45.37</v>
      </c>
      <c r="H78" s="112">
        <v>13.42</v>
      </c>
      <c r="I78" s="112">
        <v>5.68</v>
      </c>
      <c r="J78" s="112">
        <v>1.22</v>
      </c>
      <c r="K78" s="112">
        <v>292.27</v>
      </c>
      <c r="L78" s="112">
        <v>40.590000000000003</v>
      </c>
      <c r="M78" s="112">
        <v>15.94</v>
      </c>
      <c r="N78" s="112">
        <v>102.5</v>
      </c>
      <c r="O78" s="112">
        <v>0</v>
      </c>
      <c r="P78" s="112">
        <v>0.42</v>
      </c>
      <c r="Q78" s="167" t="s">
        <v>14</v>
      </c>
    </row>
    <row r="79" spans="1:17" customFormat="1">
      <c r="A79" s="80">
        <v>45418.739583333336</v>
      </c>
      <c r="B79" s="112">
        <v>11.29</v>
      </c>
      <c r="C79" s="112">
        <v>13.15</v>
      </c>
      <c r="D79" s="112">
        <v>25.07</v>
      </c>
      <c r="E79" s="112">
        <v>9.0500000000000007</v>
      </c>
      <c r="F79" s="112">
        <v>6.4</v>
      </c>
      <c r="G79" s="112">
        <v>45.37</v>
      </c>
      <c r="H79" s="112">
        <v>13.42</v>
      </c>
      <c r="I79" s="112">
        <v>5.57</v>
      </c>
      <c r="J79" s="112">
        <v>1.63</v>
      </c>
      <c r="K79" s="112">
        <v>300.43</v>
      </c>
      <c r="L79" s="112">
        <v>40.020000000000003</v>
      </c>
      <c r="M79" s="112">
        <v>16.670000000000002</v>
      </c>
      <c r="N79" s="112">
        <v>62.2</v>
      </c>
      <c r="O79" s="112">
        <v>0</v>
      </c>
      <c r="P79" s="112">
        <v>0.42</v>
      </c>
      <c r="Q79" s="167" t="s">
        <v>14</v>
      </c>
    </row>
    <row r="80" spans="1:17" customFormat="1">
      <c r="A80" s="80">
        <v>45418.75</v>
      </c>
      <c r="B80" s="112">
        <v>11.31</v>
      </c>
      <c r="C80" s="112">
        <v>13.13</v>
      </c>
      <c r="D80" s="112">
        <v>25.07</v>
      </c>
      <c r="E80" s="112">
        <v>10.55</v>
      </c>
      <c r="F80" s="112">
        <v>9.5</v>
      </c>
      <c r="G80" s="112">
        <v>46.94</v>
      </c>
      <c r="H80" s="112">
        <v>13.47</v>
      </c>
      <c r="I80" s="112">
        <v>5.6</v>
      </c>
      <c r="J80" s="112">
        <v>1.25</v>
      </c>
      <c r="K80" s="112">
        <v>302.61</v>
      </c>
      <c r="L80" s="112">
        <v>39.5</v>
      </c>
      <c r="M80" s="112">
        <v>17.62</v>
      </c>
      <c r="N80" s="112">
        <v>17.5</v>
      </c>
      <c r="O80" s="112">
        <v>0</v>
      </c>
      <c r="P80" s="112">
        <v>0.44</v>
      </c>
      <c r="Q80" s="112">
        <v>4.63</v>
      </c>
    </row>
    <row r="81" spans="1:17" customFormat="1">
      <c r="A81" s="80">
        <v>45418.760416666664</v>
      </c>
      <c r="B81" s="112">
        <v>11.32</v>
      </c>
      <c r="C81" s="112">
        <v>13.17</v>
      </c>
      <c r="D81" s="112">
        <v>25.1</v>
      </c>
      <c r="E81" s="112">
        <v>12.16</v>
      </c>
      <c r="F81" s="112">
        <v>15.43</v>
      </c>
      <c r="G81" s="112">
        <v>47.33</v>
      </c>
      <c r="H81" s="112">
        <v>13.47</v>
      </c>
      <c r="I81" s="112">
        <v>5.47</v>
      </c>
      <c r="J81" s="112">
        <v>1.02</v>
      </c>
      <c r="K81" s="112">
        <v>291.62</v>
      </c>
      <c r="L81" s="112">
        <v>38.86</v>
      </c>
      <c r="M81" s="112">
        <v>18.39</v>
      </c>
      <c r="N81" s="112">
        <v>1.3</v>
      </c>
      <c r="O81" s="112">
        <v>0</v>
      </c>
      <c r="P81" s="112">
        <v>0.44</v>
      </c>
      <c r="Q81" s="167" t="s">
        <v>14</v>
      </c>
    </row>
    <row r="82" spans="1:17" customFormat="1">
      <c r="A82" s="80">
        <v>45418.770833333336</v>
      </c>
      <c r="B82" s="112">
        <v>11.34</v>
      </c>
      <c r="C82" s="112">
        <v>13.25</v>
      </c>
      <c r="D82" s="112">
        <v>25.16</v>
      </c>
      <c r="E82" s="112">
        <v>17.32</v>
      </c>
      <c r="F82" s="112">
        <v>14.52</v>
      </c>
      <c r="G82" s="112">
        <v>47.33</v>
      </c>
      <c r="H82" s="112">
        <v>13.47</v>
      </c>
      <c r="I82" s="112">
        <v>5.32</v>
      </c>
      <c r="J82" s="112">
        <v>0.93</v>
      </c>
      <c r="K82" s="112">
        <v>291.39</v>
      </c>
      <c r="L82" s="112">
        <v>38.47</v>
      </c>
      <c r="M82" s="112">
        <v>18.91</v>
      </c>
      <c r="N82" s="112">
        <v>0</v>
      </c>
      <c r="O82" s="112">
        <v>0</v>
      </c>
      <c r="P82" s="112">
        <v>0.48</v>
      </c>
      <c r="Q82" s="167" t="s">
        <v>14</v>
      </c>
    </row>
    <row r="83" spans="1:17" customFormat="1">
      <c r="A83" s="80">
        <v>45418.78125</v>
      </c>
      <c r="B83" s="112">
        <v>11.32</v>
      </c>
      <c r="C83" s="112">
        <v>13.19</v>
      </c>
      <c r="D83" s="112">
        <v>25.11</v>
      </c>
      <c r="E83" s="112">
        <v>20.72</v>
      </c>
      <c r="F83" s="112">
        <v>13.41</v>
      </c>
      <c r="G83" s="112">
        <v>47.33</v>
      </c>
      <c r="H83" s="112">
        <v>13.47</v>
      </c>
      <c r="I83" s="112">
        <v>5.33</v>
      </c>
      <c r="J83" s="112">
        <v>0.65</v>
      </c>
      <c r="K83" s="112">
        <v>273.98</v>
      </c>
      <c r="L83" s="112">
        <v>38.1</v>
      </c>
      <c r="M83" s="112">
        <v>19.29</v>
      </c>
      <c r="N83" s="112">
        <v>0</v>
      </c>
      <c r="O83" s="112">
        <v>0</v>
      </c>
      <c r="P83" s="112">
        <v>0.52</v>
      </c>
      <c r="Q83" s="167" t="s">
        <v>14</v>
      </c>
    </row>
    <row r="84" spans="1:17" customFormat="1">
      <c r="A84" s="80">
        <v>45418.791666666664</v>
      </c>
      <c r="B84" s="112">
        <v>11.31</v>
      </c>
      <c r="C84" s="112">
        <v>13.21</v>
      </c>
      <c r="D84" s="112">
        <v>25.12</v>
      </c>
      <c r="E84" s="112">
        <v>20.23</v>
      </c>
      <c r="F84" s="112">
        <v>10.76</v>
      </c>
      <c r="G84" s="112">
        <v>49.27</v>
      </c>
      <c r="H84" s="112">
        <v>14.11</v>
      </c>
      <c r="I84" s="112">
        <v>5.43</v>
      </c>
      <c r="J84" s="112">
        <v>0.87</v>
      </c>
      <c r="K84" s="112">
        <v>293.92</v>
      </c>
      <c r="L84" s="112">
        <v>37.700000000000003</v>
      </c>
      <c r="M84" s="112">
        <v>19.82</v>
      </c>
      <c r="N84" s="112">
        <v>0</v>
      </c>
      <c r="O84" s="112">
        <v>0</v>
      </c>
      <c r="P84" s="112">
        <v>0.55000000000000004</v>
      </c>
      <c r="Q84" s="167" t="s">
        <v>14</v>
      </c>
    </row>
    <row r="85" spans="1:17" customFormat="1">
      <c r="A85" s="80">
        <v>45418.802083333336</v>
      </c>
      <c r="B85" s="112">
        <v>11.32</v>
      </c>
      <c r="C85" s="112">
        <v>13.17</v>
      </c>
      <c r="D85" s="112">
        <v>25.1</v>
      </c>
      <c r="E85" s="112">
        <v>17.010000000000002</v>
      </c>
      <c r="F85" s="112">
        <v>12.14</v>
      </c>
      <c r="G85" s="112">
        <v>49.75</v>
      </c>
      <c r="H85" s="112">
        <v>14.11</v>
      </c>
      <c r="I85" s="112">
        <v>5.5</v>
      </c>
      <c r="J85" s="112">
        <v>0.97</v>
      </c>
      <c r="K85" s="112">
        <v>290.76</v>
      </c>
      <c r="L85" s="112">
        <v>37.57</v>
      </c>
      <c r="M85" s="112">
        <v>19.75</v>
      </c>
      <c r="N85" s="112">
        <v>0</v>
      </c>
      <c r="O85" s="112">
        <v>0</v>
      </c>
      <c r="P85" s="112">
        <v>0.53</v>
      </c>
      <c r="Q85" s="167" t="s">
        <v>14</v>
      </c>
    </row>
    <row r="86" spans="1:17" customFormat="1">
      <c r="A86" s="80">
        <v>45418.8125</v>
      </c>
      <c r="B86" s="112">
        <v>11.36</v>
      </c>
      <c r="C86" s="112">
        <v>13.14</v>
      </c>
      <c r="D86" s="112">
        <v>25.12</v>
      </c>
      <c r="E86" s="112">
        <v>19.940000000000001</v>
      </c>
      <c r="F86" s="112">
        <v>11.78</v>
      </c>
      <c r="G86" s="112">
        <v>49.75</v>
      </c>
      <c r="H86" s="112">
        <v>14.11</v>
      </c>
      <c r="I86" s="112">
        <v>5.59</v>
      </c>
      <c r="J86" s="112">
        <v>0.77</v>
      </c>
      <c r="K86" s="112">
        <v>282.17</v>
      </c>
      <c r="L86" s="112">
        <v>37.42</v>
      </c>
      <c r="M86" s="112">
        <v>19.91</v>
      </c>
      <c r="N86" s="112">
        <v>0</v>
      </c>
      <c r="O86" s="112">
        <v>0</v>
      </c>
      <c r="P86" s="112">
        <v>0.57999999999999996</v>
      </c>
      <c r="Q86" s="167" t="s">
        <v>14</v>
      </c>
    </row>
    <row r="87" spans="1:17" customFormat="1">
      <c r="A87" s="80">
        <v>45418.822916666664</v>
      </c>
      <c r="B87" s="112">
        <v>11.35</v>
      </c>
      <c r="C87" s="112">
        <v>13.1</v>
      </c>
      <c r="D87" s="112">
        <v>25.09</v>
      </c>
      <c r="E87" s="112">
        <v>20.72</v>
      </c>
      <c r="F87" s="112">
        <v>12.1</v>
      </c>
      <c r="G87" s="112">
        <v>49.75</v>
      </c>
      <c r="H87" s="112">
        <v>14.11</v>
      </c>
      <c r="I87" s="112">
        <v>5.72</v>
      </c>
      <c r="J87" s="112">
        <v>0.71</v>
      </c>
      <c r="K87" s="112">
        <v>271.02</v>
      </c>
      <c r="L87" s="112">
        <v>37.020000000000003</v>
      </c>
      <c r="M87" s="112">
        <v>21.03</v>
      </c>
      <c r="N87" s="112">
        <v>0</v>
      </c>
      <c r="O87" s="112">
        <v>0</v>
      </c>
      <c r="P87" s="112">
        <v>0.55000000000000004</v>
      </c>
      <c r="Q87" s="167" t="s">
        <v>14</v>
      </c>
    </row>
    <row r="88" spans="1:17" customFormat="1">
      <c r="A88" s="80">
        <v>45418.833333333336</v>
      </c>
      <c r="B88" s="112">
        <v>11.35</v>
      </c>
      <c r="C88" s="112">
        <v>13.09</v>
      </c>
      <c r="D88" s="112">
        <v>25.08</v>
      </c>
      <c r="E88" s="112">
        <v>19.21</v>
      </c>
      <c r="F88" s="112">
        <v>16.27</v>
      </c>
      <c r="G88" s="112">
        <v>49.24</v>
      </c>
      <c r="H88" s="112">
        <v>16.13</v>
      </c>
      <c r="I88" s="112">
        <v>5.69</v>
      </c>
      <c r="J88" s="112">
        <v>0.64</v>
      </c>
      <c r="K88" s="112">
        <v>248.92</v>
      </c>
      <c r="L88" s="112">
        <v>36.659999999999997</v>
      </c>
      <c r="M88" s="112">
        <v>22.24</v>
      </c>
      <c r="N88" s="112">
        <v>0</v>
      </c>
      <c r="O88" s="112">
        <v>0</v>
      </c>
      <c r="P88" s="112">
        <v>0.57999999999999996</v>
      </c>
      <c r="Q88" s="167" t="s">
        <v>14</v>
      </c>
    </row>
    <row r="89" spans="1:17" customFormat="1">
      <c r="A89" s="80">
        <v>45418.84375</v>
      </c>
      <c r="B89" s="112">
        <v>11.31</v>
      </c>
      <c r="C89" s="112">
        <v>13.1</v>
      </c>
      <c r="D89" s="112">
        <v>25.06</v>
      </c>
      <c r="E89" s="112">
        <v>17.68</v>
      </c>
      <c r="F89" s="112">
        <v>17.59</v>
      </c>
      <c r="G89" s="112">
        <v>49.11</v>
      </c>
      <c r="H89" s="112">
        <v>16.13</v>
      </c>
      <c r="I89" s="112">
        <v>5.7</v>
      </c>
      <c r="J89" s="112">
        <v>0.47</v>
      </c>
      <c r="K89" s="112">
        <v>233.46</v>
      </c>
      <c r="L89" s="112">
        <v>36.090000000000003</v>
      </c>
      <c r="M89" s="112">
        <v>23.96</v>
      </c>
      <c r="N89" s="112">
        <v>0</v>
      </c>
      <c r="O89" s="112">
        <v>0</v>
      </c>
      <c r="P89" s="112">
        <v>0.57999999999999996</v>
      </c>
      <c r="Q89" s="167" t="s">
        <v>14</v>
      </c>
    </row>
    <row r="90" spans="1:17" customFormat="1">
      <c r="A90" s="80">
        <v>45418.854166666664</v>
      </c>
      <c r="B90" s="112">
        <v>11.35</v>
      </c>
      <c r="C90" s="112">
        <v>13.13</v>
      </c>
      <c r="D90" s="112">
        <v>25.1</v>
      </c>
      <c r="E90" s="112">
        <v>16.29</v>
      </c>
      <c r="F90" s="112">
        <v>13.28</v>
      </c>
      <c r="G90" s="112">
        <v>49.11</v>
      </c>
      <c r="H90" s="112">
        <v>16.13</v>
      </c>
      <c r="I90" s="112">
        <v>5.84</v>
      </c>
      <c r="J90" s="112">
        <v>0.48</v>
      </c>
      <c r="K90" s="112">
        <v>232.05</v>
      </c>
      <c r="L90" s="112">
        <v>35.85</v>
      </c>
      <c r="M90" s="112">
        <v>25.09</v>
      </c>
      <c r="N90" s="112">
        <v>0</v>
      </c>
      <c r="O90" s="112">
        <v>0</v>
      </c>
      <c r="P90" s="112">
        <v>0.6</v>
      </c>
      <c r="Q90" s="167" t="s">
        <v>14</v>
      </c>
    </row>
    <row r="91" spans="1:17" customFormat="1">
      <c r="A91" s="80">
        <v>45418.864583333336</v>
      </c>
      <c r="B91" s="112">
        <v>11.35</v>
      </c>
      <c r="C91" s="112">
        <v>13.12</v>
      </c>
      <c r="D91" s="112">
        <v>25.1</v>
      </c>
      <c r="E91" s="112">
        <v>15.89</v>
      </c>
      <c r="F91" s="112">
        <v>16.41</v>
      </c>
      <c r="G91" s="112">
        <v>49.11</v>
      </c>
      <c r="H91" s="112">
        <v>16.13</v>
      </c>
      <c r="I91" s="112">
        <v>5.94</v>
      </c>
      <c r="J91" s="112">
        <v>0.3</v>
      </c>
      <c r="K91" s="112">
        <v>180.32</v>
      </c>
      <c r="L91" s="112">
        <v>34.25</v>
      </c>
      <c r="M91" s="112">
        <v>29.72</v>
      </c>
      <c r="N91" s="112">
        <v>0</v>
      </c>
      <c r="O91" s="112">
        <v>0</v>
      </c>
      <c r="P91" s="112">
        <v>0.62</v>
      </c>
      <c r="Q91" s="167" t="s">
        <v>14</v>
      </c>
    </row>
    <row r="92" spans="1:17" customFormat="1">
      <c r="A92" s="80">
        <v>45418.875</v>
      </c>
      <c r="B92" s="112">
        <v>11.33</v>
      </c>
      <c r="C92" s="112">
        <v>13.17</v>
      </c>
      <c r="D92" s="112">
        <v>25.11</v>
      </c>
      <c r="E92" s="112">
        <v>18.600000000000001</v>
      </c>
      <c r="F92" s="112">
        <v>17.05</v>
      </c>
      <c r="G92" s="112">
        <v>45.29</v>
      </c>
      <c r="H92" s="112">
        <v>13.9</v>
      </c>
      <c r="I92" s="112">
        <v>6.05</v>
      </c>
      <c r="J92" s="112">
        <v>0.28000000000000003</v>
      </c>
      <c r="K92" s="112">
        <v>179.14</v>
      </c>
      <c r="L92" s="112">
        <v>32.78</v>
      </c>
      <c r="M92" s="112">
        <v>33.229999999999997</v>
      </c>
      <c r="N92" s="112">
        <v>0</v>
      </c>
      <c r="O92" s="112">
        <v>0</v>
      </c>
      <c r="P92" s="112">
        <v>0.66</v>
      </c>
      <c r="Q92" s="167" t="s">
        <v>14</v>
      </c>
    </row>
    <row r="93" spans="1:17" customFormat="1">
      <c r="A93" s="80">
        <v>45418.885416666664</v>
      </c>
      <c r="B93" s="112">
        <v>11.3</v>
      </c>
      <c r="C93" s="112">
        <v>13.23</v>
      </c>
      <c r="D93" s="112">
        <v>25.12</v>
      </c>
      <c r="E93" s="112">
        <v>21.15</v>
      </c>
      <c r="F93" s="112">
        <v>16.91</v>
      </c>
      <c r="G93" s="112">
        <v>44.34</v>
      </c>
      <c r="H93" s="112">
        <v>13.9</v>
      </c>
      <c r="I93" s="112">
        <v>6.25</v>
      </c>
      <c r="J93" s="112">
        <v>0.15</v>
      </c>
      <c r="K93" s="112">
        <v>162.36000000000001</v>
      </c>
      <c r="L93" s="112">
        <v>32.67</v>
      </c>
      <c r="M93" s="112">
        <v>33.49</v>
      </c>
      <c r="N93" s="112">
        <v>0</v>
      </c>
      <c r="O93" s="112">
        <v>0</v>
      </c>
      <c r="P93" s="112">
        <v>0.62</v>
      </c>
      <c r="Q93" s="167" t="s">
        <v>14</v>
      </c>
    </row>
    <row r="94" spans="1:17" customFormat="1">
      <c r="A94" s="80">
        <v>45418.895833333336</v>
      </c>
      <c r="B94" s="112">
        <v>11.27</v>
      </c>
      <c r="C94" s="112">
        <v>13.15</v>
      </c>
      <c r="D94" s="112">
        <v>25.05</v>
      </c>
      <c r="E94" s="112">
        <v>22.73</v>
      </c>
      <c r="F94" s="112">
        <v>14.65</v>
      </c>
      <c r="G94" s="112">
        <v>44.34</v>
      </c>
      <c r="H94" s="112">
        <v>13.9</v>
      </c>
      <c r="I94" s="112">
        <v>6.7</v>
      </c>
      <c r="J94" s="112">
        <v>0.19</v>
      </c>
      <c r="K94" s="112">
        <v>170.38</v>
      </c>
      <c r="L94" s="112">
        <v>32.49</v>
      </c>
      <c r="M94" s="112">
        <v>35.840000000000003</v>
      </c>
      <c r="N94" s="112">
        <v>0</v>
      </c>
      <c r="O94" s="112">
        <v>0</v>
      </c>
      <c r="P94" s="112">
        <v>0.63</v>
      </c>
      <c r="Q94" s="167" t="s">
        <v>14</v>
      </c>
    </row>
    <row r="95" spans="1:17" customFormat="1">
      <c r="A95" s="80">
        <v>45418.90625</v>
      </c>
      <c r="B95" s="112">
        <v>11.26</v>
      </c>
      <c r="C95" s="112">
        <v>13.13</v>
      </c>
      <c r="D95" s="112">
        <v>25.03</v>
      </c>
      <c r="E95" s="112">
        <v>19.43</v>
      </c>
      <c r="F95" s="112">
        <v>11.59</v>
      </c>
      <c r="G95" s="112">
        <v>44.34</v>
      </c>
      <c r="H95" s="112">
        <v>13.9</v>
      </c>
      <c r="I95" s="112">
        <v>7.19</v>
      </c>
      <c r="J95" s="112">
        <v>0.24</v>
      </c>
      <c r="K95" s="112">
        <v>171.35</v>
      </c>
      <c r="L95" s="112">
        <v>31.77</v>
      </c>
      <c r="M95" s="112">
        <v>38.5</v>
      </c>
      <c r="N95" s="112">
        <v>0</v>
      </c>
      <c r="O95" s="112">
        <v>0</v>
      </c>
      <c r="P95" s="112">
        <v>0.64</v>
      </c>
      <c r="Q95" s="167" t="s">
        <v>14</v>
      </c>
    </row>
    <row r="96" spans="1:17" customFormat="1">
      <c r="A96" s="80">
        <v>45418.916666666664</v>
      </c>
      <c r="B96" s="112">
        <v>11.29</v>
      </c>
      <c r="C96" s="112">
        <v>13.11</v>
      </c>
      <c r="D96" s="112">
        <v>25.04</v>
      </c>
      <c r="E96" s="112">
        <v>23.89</v>
      </c>
      <c r="F96" s="112">
        <v>13.85</v>
      </c>
      <c r="G96" s="112">
        <v>51.17</v>
      </c>
      <c r="H96" s="112">
        <v>16.66</v>
      </c>
      <c r="I96" s="112">
        <v>7.5</v>
      </c>
      <c r="J96" s="112">
        <v>0.21</v>
      </c>
      <c r="K96" s="112">
        <v>160.19999999999999</v>
      </c>
      <c r="L96" s="112">
        <v>31.73</v>
      </c>
      <c r="M96" s="112">
        <v>37.49</v>
      </c>
      <c r="N96" s="112">
        <v>0</v>
      </c>
      <c r="O96" s="112">
        <v>0</v>
      </c>
      <c r="P96" s="112">
        <v>0.72</v>
      </c>
      <c r="Q96" s="167" t="s">
        <v>14</v>
      </c>
    </row>
    <row r="97" spans="1:22" customFormat="1">
      <c r="A97" s="80">
        <v>45418.927083333336</v>
      </c>
      <c r="B97" s="112">
        <v>11.28</v>
      </c>
      <c r="C97" s="112">
        <v>13.11</v>
      </c>
      <c r="D97" s="112">
        <v>25.04</v>
      </c>
      <c r="E97" s="112">
        <v>25.46</v>
      </c>
      <c r="F97" s="112">
        <v>13.54</v>
      </c>
      <c r="G97" s="112">
        <v>52.87</v>
      </c>
      <c r="H97" s="112">
        <v>16.66</v>
      </c>
      <c r="I97" s="112">
        <v>8.09</v>
      </c>
      <c r="J97" s="112">
        <v>0.24</v>
      </c>
      <c r="K97" s="112">
        <v>170.45</v>
      </c>
      <c r="L97" s="112">
        <v>31.97</v>
      </c>
      <c r="M97" s="112">
        <v>36.71</v>
      </c>
      <c r="N97" s="112">
        <v>0</v>
      </c>
      <c r="O97" s="112">
        <v>0</v>
      </c>
      <c r="P97" s="112">
        <v>0.75</v>
      </c>
      <c r="Q97" s="167" t="s">
        <v>14</v>
      </c>
    </row>
    <row r="98" spans="1:22" customFormat="1">
      <c r="A98" s="80">
        <v>45418.9375</v>
      </c>
      <c r="B98" s="112">
        <v>11.25</v>
      </c>
      <c r="C98" s="112">
        <v>13.12</v>
      </c>
      <c r="D98" s="112">
        <v>25.02</v>
      </c>
      <c r="E98" s="112">
        <v>20.56</v>
      </c>
      <c r="F98" s="112">
        <v>11.04</v>
      </c>
      <c r="G98" s="112">
        <v>52.87</v>
      </c>
      <c r="H98" s="112">
        <v>16.66</v>
      </c>
      <c r="I98" s="112">
        <v>9.66</v>
      </c>
      <c r="J98" s="112">
        <v>0.25</v>
      </c>
      <c r="K98" s="112">
        <v>176.56</v>
      </c>
      <c r="L98" s="112">
        <v>31.26</v>
      </c>
      <c r="M98" s="112">
        <v>39.6</v>
      </c>
      <c r="N98" s="112">
        <v>0</v>
      </c>
      <c r="O98" s="112">
        <v>0</v>
      </c>
      <c r="P98" s="112">
        <v>0.68</v>
      </c>
      <c r="Q98" s="167" t="s">
        <v>14</v>
      </c>
    </row>
    <row r="99" spans="1:22" customFormat="1">
      <c r="A99" s="80">
        <v>45418.947916666664</v>
      </c>
      <c r="B99" s="112">
        <v>11.25</v>
      </c>
      <c r="C99" s="112">
        <v>13.1</v>
      </c>
      <c r="D99" s="112">
        <v>25.01</v>
      </c>
      <c r="E99" s="112">
        <v>20.059999999999999</v>
      </c>
      <c r="F99" s="112">
        <v>12.75</v>
      </c>
      <c r="G99" s="112">
        <v>52.87</v>
      </c>
      <c r="H99" s="112">
        <v>16.66</v>
      </c>
      <c r="I99" s="112">
        <v>9.98</v>
      </c>
      <c r="J99" s="112">
        <v>0.18</v>
      </c>
      <c r="K99" s="112">
        <v>160.88</v>
      </c>
      <c r="L99" s="112">
        <v>30.93</v>
      </c>
      <c r="M99" s="112">
        <v>39.61</v>
      </c>
      <c r="N99" s="112">
        <v>0</v>
      </c>
      <c r="O99" s="112">
        <v>0</v>
      </c>
      <c r="P99" s="112">
        <v>0.66</v>
      </c>
      <c r="Q99" s="167" t="s">
        <v>14</v>
      </c>
    </row>
    <row r="100" spans="1:22" customFormat="1">
      <c r="A100" s="80">
        <v>45418.958333333336</v>
      </c>
      <c r="B100" s="112">
        <v>11.25</v>
      </c>
      <c r="C100" s="112">
        <v>13.09</v>
      </c>
      <c r="D100" s="112">
        <v>25</v>
      </c>
      <c r="E100" s="112">
        <v>20</v>
      </c>
      <c r="F100" s="112">
        <v>18.7</v>
      </c>
      <c r="G100" s="112">
        <v>54.88</v>
      </c>
      <c r="H100" s="112">
        <v>17.95</v>
      </c>
      <c r="I100" s="112">
        <v>8.86</v>
      </c>
      <c r="J100" s="112">
        <v>0.2</v>
      </c>
      <c r="K100" s="112">
        <v>164.3</v>
      </c>
      <c r="L100" s="112">
        <v>31.1</v>
      </c>
      <c r="M100" s="112">
        <v>38.64</v>
      </c>
      <c r="N100" s="112">
        <v>0</v>
      </c>
      <c r="O100" s="112">
        <v>0</v>
      </c>
      <c r="P100" s="112">
        <v>0.63</v>
      </c>
      <c r="Q100" s="167" t="s">
        <v>14</v>
      </c>
    </row>
    <row r="101" spans="1:22" customFormat="1">
      <c r="A101" s="80">
        <v>45418.96875</v>
      </c>
      <c r="B101" s="112">
        <v>11.25</v>
      </c>
      <c r="C101" s="112">
        <v>13.1</v>
      </c>
      <c r="D101" s="112">
        <v>25.01</v>
      </c>
      <c r="E101" s="112">
        <v>18.77</v>
      </c>
      <c r="F101" s="112">
        <v>23.34</v>
      </c>
      <c r="G101" s="112">
        <v>55.39</v>
      </c>
      <c r="H101" s="112">
        <v>17.95</v>
      </c>
      <c r="I101" s="112">
        <v>8.31</v>
      </c>
      <c r="J101" s="112">
        <v>0.19</v>
      </c>
      <c r="K101" s="112">
        <v>165.03</v>
      </c>
      <c r="L101" s="112">
        <v>31.38</v>
      </c>
      <c r="M101" s="112">
        <v>37.19</v>
      </c>
      <c r="N101" s="112">
        <v>0</v>
      </c>
      <c r="O101" s="112">
        <v>0</v>
      </c>
      <c r="P101" s="112">
        <v>0.57999999999999996</v>
      </c>
      <c r="Q101" s="167" t="s">
        <v>14</v>
      </c>
    </row>
    <row r="102" spans="1:22" customFormat="1">
      <c r="A102" s="80">
        <v>45418.979166666664</v>
      </c>
      <c r="B102" s="112">
        <v>11.27</v>
      </c>
      <c r="C102" s="112">
        <v>13.14</v>
      </c>
      <c r="D102" s="112">
        <v>25.04</v>
      </c>
      <c r="E102" s="112">
        <v>16.5</v>
      </c>
      <c r="F102" s="112">
        <v>19.71</v>
      </c>
      <c r="G102" s="112">
        <v>55.39</v>
      </c>
      <c r="H102" s="112">
        <v>17.95</v>
      </c>
      <c r="I102" s="112">
        <v>7.5</v>
      </c>
      <c r="J102" s="112">
        <v>0.17</v>
      </c>
      <c r="K102" s="112">
        <v>168.37</v>
      </c>
      <c r="L102" s="112">
        <v>31</v>
      </c>
      <c r="M102" s="112">
        <v>40.69</v>
      </c>
      <c r="N102" s="112">
        <v>0</v>
      </c>
      <c r="O102" s="112">
        <v>0</v>
      </c>
      <c r="P102" s="112">
        <v>0.6</v>
      </c>
      <c r="Q102" s="167" t="s">
        <v>14</v>
      </c>
    </row>
    <row r="103" spans="1:22" customFormat="1">
      <c r="A103" s="80">
        <v>45418.989583333336</v>
      </c>
      <c r="B103" s="112">
        <v>11.26</v>
      </c>
      <c r="C103" s="112">
        <v>13.09</v>
      </c>
      <c r="D103" s="112">
        <v>25.01</v>
      </c>
      <c r="E103" s="112">
        <v>14.91</v>
      </c>
      <c r="F103" s="112">
        <v>14.66</v>
      </c>
      <c r="G103" s="112">
        <v>55.39</v>
      </c>
      <c r="H103" s="112">
        <v>17.95</v>
      </c>
      <c r="I103" s="112">
        <v>7</v>
      </c>
      <c r="J103" s="112">
        <v>0.19</v>
      </c>
      <c r="K103" s="112">
        <v>182.85</v>
      </c>
      <c r="L103" s="112">
        <v>30.57</v>
      </c>
      <c r="M103" s="112">
        <v>41.9</v>
      </c>
      <c r="N103" s="112">
        <v>0</v>
      </c>
      <c r="O103" s="112">
        <v>0</v>
      </c>
      <c r="P103" s="112">
        <v>0.62</v>
      </c>
      <c r="Q103" s="167" t="s">
        <v>14</v>
      </c>
    </row>
    <row r="104" spans="1:22" customFormat="1">
      <c r="A104" s="80">
        <v>45419</v>
      </c>
      <c r="B104" s="112">
        <v>11.27</v>
      </c>
      <c r="C104" s="112">
        <v>13.08</v>
      </c>
      <c r="D104" s="112">
        <v>25.02</v>
      </c>
      <c r="E104" s="112">
        <v>15.35</v>
      </c>
      <c r="F104" s="112">
        <v>16.170000000000002</v>
      </c>
      <c r="G104" s="112">
        <v>56.49</v>
      </c>
      <c r="H104" s="112">
        <v>17.96</v>
      </c>
      <c r="I104" s="112">
        <v>7.18</v>
      </c>
      <c r="J104" s="112">
        <v>0.18</v>
      </c>
      <c r="K104" s="112">
        <v>169.67</v>
      </c>
      <c r="L104" s="112">
        <v>30.19</v>
      </c>
      <c r="M104" s="112">
        <v>42.84</v>
      </c>
      <c r="N104" s="112">
        <v>0</v>
      </c>
      <c r="O104" s="112">
        <v>0</v>
      </c>
      <c r="P104" s="112">
        <v>0.59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11.14</v>
      </c>
      <c r="C106" s="183">
        <f>MIN(C9:C104)</f>
        <v>13.06</v>
      </c>
      <c r="D106" s="183">
        <f t="shared" ref="D106:Q106" si="0">MIN(D9:D104)</f>
        <v>25</v>
      </c>
      <c r="E106" s="183">
        <f t="shared" si="0"/>
        <v>8.0500000000000007</v>
      </c>
      <c r="F106" s="183">
        <f t="shared" si="0"/>
        <v>1.9</v>
      </c>
      <c r="G106" s="183">
        <f t="shared" si="0"/>
        <v>43.69</v>
      </c>
      <c r="H106" s="183">
        <f t="shared" si="0"/>
        <v>13.42</v>
      </c>
      <c r="I106" s="183">
        <f t="shared" si="0"/>
        <v>5.32</v>
      </c>
      <c r="J106" s="183">
        <f t="shared" si="0"/>
        <v>0.15</v>
      </c>
      <c r="K106" s="183">
        <f t="shared" si="0"/>
        <v>139.85</v>
      </c>
      <c r="L106" s="183">
        <f t="shared" si="0"/>
        <v>30.19</v>
      </c>
      <c r="M106" s="183">
        <f t="shared" si="0"/>
        <v>15.01</v>
      </c>
      <c r="N106" s="183">
        <f t="shared" si="0"/>
        <v>0</v>
      </c>
      <c r="O106" s="183">
        <f t="shared" si="0"/>
        <v>0</v>
      </c>
      <c r="P106" s="183">
        <f t="shared" si="0"/>
        <v>0.4</v>
      </c>
      <c r="Q106" s="183">
        <f t="shared" si="0"/>
        <v>4.63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11.36</v>
      </c>
      <c r="C107" s="184">
        <f t="shared" ref="C107:Q107" si="1">MAX(C9:C104)</f>
        <v>13.39</v>
      </c>
      <c r="D107" s="184">
        <f t="shared" si="1"/>
        <v>25.18</v>
      </c>
      <c r="E107" s="184">
        <f t="shared" si="1"/>
        <v>34.26</v>
      </c>
      <c r="F107" s="184">
        <f t="shared" si="1"/>
        <v>37.119999999999997</v>
      </c>
      <c r="G107" s="184">
        <f t="shared" si="1"/>
        <v>70.739999999999995</v>
      </c>
      <c r="H107" s="184">
        <f t="shared" si="1"/>
        <v>25.58</v>
      </c>
      <c r="I107" s="184">
        <f t="shared" si="1"/>
        <v>12.74</v>
      </c>
      <c r="J107" s="184">
        <f t="shared" si="1"/>
        <v>1.71</v>
      </c>
      <c r="K107" s="184">
        <f t="shared" si="1"/>
        <v>302.61</v>
      </c>
      <c r="L107" s="184">
        <f t="shared" si="1"/>
        <v>42.22</v>
      </c>
      <c r="M107" s="184">
        <f t="shared" si="1"/>
        <v>46.27</v>
      </c>
      <c r="N107" s="184">
        <f t="shared" si="1"/>
        <v>847.5</v>
      </c>
      <c r="O107" s="184">
        <f t="shared" si="1"/>
        <v>0</v>
      </c>
      <c r="P107" s="184">
        <f t="shared" si="1"/>
        <v>0.82</v>
      </c>
      <c r="Q107" s="184">
        <f t="shared" si="1"/>
        <v>4.6500000000000004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11.286666666666664</v>
      </c>
      <c r="C108" s="183">
        <f t="shared" ref="C108:Q108" si="2">AVERAGE(C9:C104)</f>
        <v>13.145624999999997</v>
      </c>
      <c r="D108" s="183">
        <f t="shared" si="2"/>
        <v>25.062291666666663</v>
      </c>
      <c r="E108" s="183">
        <f t="shared" si="2"/>
        <v>15.817187500000005</v>
      </c>
      <c r="F108" s="183">
        <f t="shared" si="2"/>
        <v>15.557812500000004</v>
      </c>
      <c r="G108" s="183">
        <f t="shared" si="2"/>
        <v>53.688020833333304</v>
      </c>
      <c r="H108" s="183">
        <f t="shared" si="2"/>
        <v>19.897395833333338</v>
      </c>
      <c r="I108" s="183">
        <f t="shared" si="2"/>
        <v>7.7778125000000031</v>
      </c>
      <c r="J108" s="183">
        <f t="shared" si="2"/>
        <v>0.78645833333333348</v>
      </c>
      <c r="K108" s="183">
        <f t="shared" si="2"/>
        <v>246.11458333333317</v>
      </c>
      <c r="L108" s="183">
        <f t="shared" si="2"/>
        <v>35.482291666666669</v>
      </c>
      <c r="M108" s="183">
        <f t="shared" si="2"/>
        <v>29.889791666666664</v>
      </c>
      <c r="N108" s="183">
        <f t="shared" si="2"/>
        <v>188.75208333333339</v>
      </c>
      <c r="O108" s="183">
        <f t="shared" si="2"/>
        <v>0</v>
      </c>
      <c r="P108" s="183">
        <f t="shared" si="2"/>
        <v>0.61052083333333307</v>
      </c>
      <c r="Q108" s="183">
        <f t="shared" si="2"/>
        <v>4.6400000000000006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4.5898438608156018E-2</v>
      </c>
      <c r="C109" s="183">
        <f t="shared" ref="C109:Q109" si="3">STDEV(C9:C104)</f>
        <v>5.4807077914022138E-2</v>
      </c>
      <c r="D109" s="183">
        <f t="shared" si="3"/>
        <v>3.8702078460891111E-2</v>
      </c>
      <c r="E109" s="183">
        <f t="shared" si="3"/>
        <v>4.2390894511675148</v>
      </c>
      <c r="F109" s="183">
        <f t="shared" si="3"/>
        <v>7.4996731441934683</v>
      </c>
      <c r="G109" s="183">
        <f t="shared" si="3"/>
        <v>7.6124490311721731</v>
      </c>
      <c r="H109" s="183">
        <f t="shared" si="3"/>
        <v>3.8268008474281867</v>
      </c>
      <c r="I109" s="183">
        <f t="shared" si="3"/>
        <v>1.8069114114101319</v>
      </c>
      <c r="J109" s="183">
        <f t="shared" si="3"/>
        <v>0.4098779771350865</v>
      </c>
      <c r="K109" s="183">
        <f t="shared" si="3"/>
        <v>43.319837874914214</v>
      </c>
      <c r="L109" s="183">
        <f t="shared" si="3"/>
        <v>4.0393025659509822</v>
      </c>
      <c r="M109" s="183">
        <f t="shared" si="3"/>
        <v>10.68517802518166</v>
      </c>
      <c r="N109" s="183">
        <f t="shared" si="3"/>
        <v>274.29419510681993</v>
      </c>
      <c r="O109" s="183">
        <f t="shared" si="3"/>
        <v>0</v>
      </c>
      <c r="P109" s="183">
        <f t="shared" si="3"/>
        <v>9.335128665047103E-2</v>
      </c>
      <c r="Q109" s="183">
        <f t="shared" si="3"/>
        <v>1.4142135623731277E-2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2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5" activePane="bottomRight" state="frozen"/>
      <selection activeCell="A9" sqref="A9"/>
      <selection pane="topRight" activeCell="A9" sqref="A9"/>
      <selection pane="bottomLeft" activeCell="A9" sqref="A9"/>
      <selection pane="bottomRight" activeCell="Q109" sqref="Q10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45419.010416666664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45419.010416666664</v>
      </c>
      <c r="B9" s="112">
        <v>11.19</v>
      </c>
      <c r="C9" s="112">
        <v>13.18</v>
      </c>
      <c r="D9" s="112">
        <v>25</v>
      </c>
      <c r="E9" s="112">
        <v>15.21</v>
      </c>
      <c r="F9" s="112">
        <v>15.5</v>
      </c>
      <c r="G9" s="112">
        <v>56.77</v>
      </c>
      <c r="H9" s="112">
        <v>17.96</v>
      </c>
      <c r="I9" s="112">
        <v>7.29</v>
      </c>
      <c r="J9" s="112">
        <v>0.17</v>
      </c>
      <c r="K9" s="112">
        <v>176.06</v>
      </c>
      <c r="L9" s="112">
        <v>30.11</v>
      </c>
      <c r="M9" s="112">
        <v>43.27</v>
      </c>
      <c r="N9" s="112">
        <v>0</v>
      </c>
      <c r="O9" s="112">
        <v>0</v>
      </c>
      <c r="P9" s="112">
        <v>0.56000000000000005</v>
      </c>
      <c r="Q9" s="167" t="s">
        <v>14</v>
      </c>
    </row>
    <row r="10" spans="1:21" customFormat="1">
      <c r="A10" s="80">
        <v>45419.020833333336</v>
      </c>
      <c r="B10" s="112">
        <v>11.24</v>
      </c>
      <c r="C10" s="112">
        <v>13.11</v>
      </c>
      <c r="D10" s="112">
        <v>25.01</v>
      </c>
      <c r="E10" s="112">
        <v>15.04</v>
      </c>
      <c r="F10" s="112">
        <v>15.83</v>
      </c>
      <c r="G10" s="112">
        <v>56.77</v>
      </c>
      <c r="H10" s="112">
        <v>17.96</v>
      </c>
      <c r="I10" s="112">
        <v>7.11</v>
      </c>
      <c r="J10" s="112">
        <v>0.19</v>
      </c>
      <c r="K10" s="112">
        <v>172.86</v>
      </c>
      <c r="L10" s="112">
        <v>30.13</v>
      </c>
      <c r="M10" s="112">
        <v>43.38</v>
      </c>
      <c r="N10" s="112">
        <v>0</v>
      </c>
      <c r="O10" s="112">
        <v>0</v>
      </c>
      <c r="P10" s="112">
        <v>0.56000000000000005</v>
      </c>
      <c r="Q10" s="167" t="s">
        <v>14</v>
      </c>
    </row>
    <row r="11" spans="1:21" customFormat="1">
      <c r="A11" s="80">
        <v>45419.03125</v>
      </c>
      <c r="B11" s="112">
        <v>11.3</v>
      </c>
      <c r="C11" s="112">
        <v>13.29</v>
      </c>
      <c r="D11" s="112">
        <v>25.15</v>
      </c>
      <c r="E11" s="112">
        <v>15.22</v>
      </c>
      <c r="F11" s="112">
        <v>16.57</v>
      </c>
      <c r="G11" s="112">
        <v>56.77</v>
      </c>
      <c r="H11" s="112">
        <v>17.96</v>
      </c>
      <c r="I11" s="112">
        <v>6.92</v>
      </c>
      <c r="J11" s="112">
        <v>0.16</v>
      </c>
      <c r="K11" s="112">
        <v>164.79</v>
      </c>
      <c r="L11" s="112">
        <v>30.26</v>
      </c>
      <c r="M11" s="112">
        <v>42.82</v>
      </c>
      <c r="N11" s="112">
        <v>0</v>
      </c>
      <c r="O11" s="112">
        <v>0</v>
      </c>
      <c r="P11" s="112">
        <v>0.53</v>
      </c>
      <c r="Q11" s="167" t="s">
        <v>14</v>
      </c>
    </row>
    <row r="12" spans="1:21" customFormat="1">
      <c r="A12" s="80">
        <v>45419.041666666664</v>
      </c>
      <c r="B12" s="112">
        <v>11.25</v>
      </c>
      <c r="C12" s="112">
        <v>13.19</v>
      </c>
      <c r="D12" s="112">
        <v>25.06</v>
      </c>
      <c r="E12" s="112">
        <v>13.88</v>
      </c>
      <c r="F12" s="112">
        <v>12.75</v>
      </c>
      <c r="G12" s="112">
        <v>52.4</v>
      </c>
      <c r="H12" s="112">
        <v>15.74</v>
      </c>
      <c r="I12" s="112">
        <v>6.72</v>
      </c>
      <c r="J12" s="112">
        <v>0.19</v>
      </c>
      <c r="K12" s="112">
        <v>170.86</v>
      </c>
      <c r="L12" s="112">
        <v>30.21</v>
      </c>
      <c r="M12" s="112">
        <v>43.46</v>
      </c>
      <c r="N12" s="112">
        <v>0</v>
      </c>
      <c r="O12" s="112">
        <v>0</v>
      </c>
      <c r="P12" s="112">
        <v>0.55000000000000004</v>
      </c>
      <c r="Q12" s="167" t="s">
        <v>14</v>
      </c>
    </row>
    <row r="13" spans="1:21" customFormat="1">
      <c r="A13" s="80">
        <v>45419.052083333336</v>
      </c>
      <c r="B13" s="112">
        <v>11.22</v>
      </c>
      <c r="C13" s="112">
        <v>13.12</v>
      </c>
      <c r="D13" s="112">
        <v>25</v>
      </c>
      <c r="E13" s="112">
        <v>13.37</v>
      </c>
      <c r="F13" s="112">
        <v>9.32</v>
      </c>
      <c r="G13" s="112">
        <v>51.31</v>
      </c>
      <c r="H13" s="112">
        <v>15.74</v>
      </c>
      <c r="I13" s="112">
        <v>6.65</v>
      </c>
      <c r="J13" s="112">
        <v>0.22</v>
      </c>
      <c r="K13" s="112">
        <v>180.1</v>
      </c>
      <c r="L13" s="112">
        <v>30.17</v>
      </c>
      <c r="M13" s="112">
        <v>44.24</v>
      </c>
      <c r="N13" s="112">
        <v>0</v>
      </c>
      <c r="O13" s="112">
        <v>0</v>
      </c>
      <c r="P13" s="112">
        <v>0.56000000000000005</v>
      </c>
      <c r="Q13" s="167" t="s">
        <v>14</v>
      </c>
    </row>
    <row r="14" spans="1:21" customFormat="1">
      <c r="A14" s="80">
        <v>45419.0625</v>
      </c>
      <c r="B14" s="112">
        <v>11.25</v>
      </c>
      <c r="C14" s="112">
        <v>13.09</v>
      </c>
      <c r="D14" s="112">
        <v>25</v>
      </c>
      <c r="E14" s="112">
        <v>13.13</v>
      </c>
      <c r="F14" s="112">
        <v>7.85</v>
      </c>
      <c r="G14" s="112">
        <v>51.31</v>
      </c>
      <c r="H14" s="112">
        <v>15.74</v>
      </c>
      <c r="I14" s="112">
        <v>6.7</v>
      </c>
      <c r="J14" s="112">
        <v>0.25</v>
      </c>
      <c r="K14" s="112">
        <v>170.08</v>
      </c>
      <c r="L14" s="112">
        <v>30.6</v>
      </c>
      <c r="M14" s="112">
        <v>43.55</v>
      </c>
      <c r="N14" s="112">
        <v>0</v>
      </c>
      <c r="O14" s="112">
        <v>0</v>
      </c>
      <c r="P14" s="112">
        <v>0.56000000000000005</v>
      </c>
      <c r="Q14" s="167" t="s">
        <v>14</v>
      </c>
    </row>
    <row r="15" spans="1:21" customFormat="1">
      <c r="A15" s="80">
        <v>45419.072916666664</v>
      </c>
      <c r="B15" s="112">
        <v>11.24</v>
      </c>
      <c r="C15" s="112">
        <v>13.09</v>
      </c>
      <c r="D15" s="112">
        <v>25</v>
      </c>
      <c r="E15" s="112">
        <v>13.28</v>
      </c>
      <c r="F15" s="112">
        <v>9.7100000000000009</v>
      </c>
      <c r="G15" s="112">
        <v>51.31</v>
      </c>
      <c r="H15" s="112">
        <v>15.74</v>
      </c>
      <c r="I15" s="112">
        <v>6.84</v>
      </c>
      <c r="J15" s="112">
        <v>0.19</v>
      </c>
      <c r="K15" s="112">
        <v>193.12</v>
      </c>
      <c r="L15" s="112">
        <v>30.7</v>
      </c>
      <c r="M15" s="112">
        <v>41.91</v>
      </c>
      <c r="N15" s="112">
        <v>0</v>
      </c>
      <c r="O15" s="112">
        <v>0</v>
      </c>
      <c r="P15" s="112">
        <v>0.55000000000000004</v>
      </c>
      <c r="Q15" s="167" t="s">
        <v>14</v>
      </c>
    </row>
    <row r="16" spans="1:21" customFormat="1">
      <c r="A16" s="80">
        <v>45419.083333333336</v>
      </c>
      <c r="B16" s="112">
        <v>11.26</v>
      </c>
      <c r="C16" s="112">
        <v>13.11</v>
      </c>
      <c r="D16" s="112">
        <v>25.02</v>
      </c>
      <c r="E16" s="112">
        <v>13.87</v>
      </c>
      <c r="F16" s="112">
        <v>13.35</v>
      </c>
      <c r="G16" s="112">
        <v>49.13</v>
      </c>
      <c r="H16" s="112">
        <v>16.829999999999998</v>
      </c>
      <c r="I16" s="112">
        <v>7</v>
      </c>
      <c r="J16" s="112">
        <v>0.23</v>
      </c>
      <c r="K16" s="112">
        <v>189.31</v>
      </c>
      <c r="L16" s="112">
        <v>31.24</v>
      </c>
      <c r="M16" s="112">
        <v>39.630000000000003</v>
      </c>
      <c r="N16" s="112">
        <v>0</v>
      </c>
      <c r="O16" s="112">
        <v>0</v>
      </c>
      <c r="P16" s="112">
        <v>0.54</v>
      </c>
      <c r="Q16" s="167" t="s">
        <v>14</v>
      </c>
    </row>
    <row r="17" spans="1:17" customFormat="1">
      <c r="A17" s="80">
        <v>45419.09375</v>
      </c>
      <c r="B17" s="112">
        <v>11.27</v>
      </c>
      <c r="C17" s="112">
        <v>13.11</v>
      </c>
      <c r="D17" s="112">
        <v>25.03</v>
      </c>
      <c r="E17" s="112">
        <v>9.99</v>
      </c>
      <c r="F17" s="112">
        <v>5.17</v>
      </c>
      <c r="G17" s="112">
        <v>48.58</v>
      </c>
      <c r="H17" s="112">
        <v>16.829999999999998</v>
      </c>
      <c r="I17" s="112">
        <v>6.69</v>
      </c>
      <c r="J17" s="112">
        <v>0.2</v>
      </c>
      <c r="K17" s="112">
        <v>165.05</v>
      </c>
      <c r="L17" s="112">
        <v>30.68</v>
      </c>
      <c r="M17" s="112">
        <v>42.64</v>
      </c>
      <c r="N17" s="112">
        <v>0</v>
      </c>
      <c r="O17" s="112">
        <v>0</v>
      </c>
      <c r="P17" s="112">
        <v>0.55000000000000004</v>
      </c>
      <c r="Q17" s="167" t="s">
        <v>14</v>
      </c>
    </row>
    <row r="18" spans="1:17" customFormat="1">
      <c r="A18" s="80">
        <v>45419.104166666664</v>
      </c>
      <c r="B18" s="112">
        <v>11.27</v>
      </c>
      <c r="C18" s="112">
        <v>13.09</v>
      </c>
      <c r="D18" s="112">
        <v>25.02</v>
      </c>
      <c r="E18" s="112">
        <v>12.08</v>
      </c>
      <c r="F18" s="112">
        <v>10.37</v>
      </c>
      <c r="G18" s="112">
        <v>48.58</v>
      </c>
      <c r="H18" s="112">
        <v>16.829999999999998</v>
      </c>
      <c r="I18" s="112">
        <v>6.54</v>
      </c>
      <c r="J18" s="112">
        <v>0.14000000000000001</v>
      </c>
      <c r="K18" s="112">
        <v>155.16</v>
      </c>
      <c r="L18" s="112">
        <v>29.97</v>
      </c>
      <c r="M18" s="112">
        <v>44.94</v>
      </c>
      <c r="N18" s="112">
        <v>0</v>
      </c>
      <c r="O18" s="112">
        <v>0</v>
      </c>
      <c r="P18" s="112">
        <v>0.54</v>
      </c>
      <c r="Q18" s="167" t="s">
        <v>14</v>
      </c>
    </row>
    <row r="19" spans="1:17" customFormat="1">
      <c r="A19" s="80">
        <v>45419.114583333336</v>
      </c>
      <c r="B19" s="112">
        <v>11.3</v>
      </c>
      <c r="C19" s="112">
        <v>13.06</v>
      </c>
      <c r="D19" s="112">
        <v>25.02</v>
      </c>
      <c r="E19" s="112">
        <v>12.63</v>
      </c>
      <c r="F19" s="112">
        <v>8.2799999999999994</v>
      </c>
      <c r="G19" s="112">
        <v>48.58</v>
      </c>
      <c r="H19" s="112">
        <v>16.829999999999998</v>
      </c>
      <c r="I19" s="112">
        <v>6.66</v>
      </c>
      <c r="J19" s="112">
        <v>0.15</v>
      </c>
      <c r="K19" s="112">
        <v>148.9</v>
      </c>
      <c r="L19" s="112">
        <v>29.92</v>
      </c>
      <c r="M19" s="112">
        <v>44.61</v>
      </c>
      <c r="N19" s="112">
        <v>0</v>
      </c>
      <c r="O19" s="112">
        <v>0</v>
      </c>
      <c r="P19" s="112">
        <v>0.52</v>
      </c>
      <c r="Q19" s="167" t="s">
        <v>14</v>
      </c>
    </row>
    <row r="20" spans="1:17" customFormat="1">
      <c r="A20" s="80">
        <v>45419.125</v>
      </c>
      <c r="B20" s="112">
        <v>11.3</v>
      </c>
      <c r="C20" s="112">
        <v>13.14</v>
      </c>
      <c r="D20" s="112">
        <v>25.07</v>
      </c>
      <c r="E20" s="112">
        <v>11.84</v>
      </c>
      <c r="F20" s="112">
        <v>5.35</v>
      </c>
      <c r="G20" s="112">
        <v>46.61</v>
      </c>
      <c r="H20" s="112">
        <v>13.18</v>
      </c>
      <c r="I20" s="112">
        <v>6.54</v>
      </c>
      <c r="J20" s="112">
        <v>0.2</v>
      </c>
      <c r="K20" s="112">
        <v>193.79</v>
      </c>
      <c r="L20" s="112">
        <v>29.73</v>
      </c>
      <c r="M20" s="112">
        <v>46.73</v>
      </c>
      <c r="N20" s="112">
        <v>0</v>
      </c>
      <c r="O20" s="112">
        <v>0</v>
      </c>
      <c r="P20" s="112">
        <v>0.52</v>
      </c>
      <c r="Q20" s="167" t="s">
        <v>14</v>
      </c>
    </row>
    <row r="21" spans="1:17" customFormat="1">
      <c r="A21" s="80">
        <v>45419.135416666664</v>
      </c>
      <c r="B21" s="112">
        <v>11.26</v>
      </c>
      <c r="C21" s="112">
        <v>13.14</v>
      </c>
      <c r="D21" s="112">
        <v>25.04</v>
      </c>
      <c r="E21" s="112">
        <v>11.88</v>
      </c>
      <c r="F21" s="112">
        <v>7.68</v>
      </c>
      <c r="G21" s="112">
        <v>46.12</v>
      </c>
      <c r="H21" s="112">
        <v>13.18</v>
      </c>
      <c r="I21" s="112">
        <v>6.41</v>
      </c>
      <c r="J21" s="112">
        <v>0.14000000000000001</v>
      </c>
      <c r="K21" s="112">
        <v>172.51</v>
      </c>
      <c r="L21" s="112">
        <v>29.87</v>
      </c>
      <c r="M21" s="112">
        <v>45.25</v>
      </c>
      <c r="N21" s="112">
        <v>0</v>
      </c>
      <c r="O21" s="112">
        <v>0</v>
      </c>
      <c r="P21" s="112">
        <v>0.5</v>
      </c>
      <c r="Q21" s="167" t="s">
        <v>14</v>
      </c>
    </row>
    <row r="22" spans="1:17" customFormat="1">
      <c r="A22" s="80">
        <v>45419.145833333336</v>
      </c>
      <c r="B22" s="112">
        <v>11.25</v>
      </c>
      <c r="C22" s="112">
        <v>13.22</v>
      </c>
      <c r="D22" s="112">
        <v>25.08</v>
      </c>
      <c r="E22" s="112">
        <v>12.63</v>
      </c>
      <c r="F22" s="112">
        <v>7.59</v>
      </c>
      <c r="G22" s="112">
        <v>46.12</v>
      </c>
      <c r="H22" s="112">
        <v>13.18</v>
      </c>
      <c r="I22" s="112">
        <v>6.34</v>
      </c>
      <c r="J22" s="112">
        <v>0.1</v>
      </c>
      <c r="K22" s="112">
        <v>204.44</v>
      </c>
      <c r="L22" s="112">
        <v>30.25</v>
      </c>
      <c r="M22" s="112">
        <v>43.13</v>
      </c>
      <c r="N22" s="112">
        <v>0</v>
      </c>
      <c r="O22" s="112">
        <v>0</v>
      </c>
      <c r="P22" s="112">
        <v>0.49</v>
      </c>
      <c r="Q22" s="167" t="s">
        <v>14</v>
      </c>
    </row>
    <row r="23" spans="1:17" customFormat="1">
      <c r="A23" s="80">
        <v>45419.15625</v>
      </c>
      <c r="B23" s="112">
        <v>11.28</v>
      </c>
      <c r="C23" s="112">
        <v>13.21</v>
      </c>
      <c r="D23" s="112">
        <v>25.09</v>
      </c>
      <c r="E23" s="112">
        <v>12.91</v>
      </c>
      <c r="F23" s="112">
        <v>9.68</v>
      </c>
      <c r="G23" s="112">
        <v>46.12</v>
      </c>
      <c r="H23" s="112">
        <v>13.18</v>
      </c>
      <c r="I23" s="112">
        <v>6.26</v>
      </c>
      <c r="J23" s="112">
        <v>0.24</v>
      </c>
      <c r="K23" s="112">
        <v>241.86</v>
      </c>
      <c r="L23" s="112">
        <v>30.79</v>
      </c>
      <c r="M23" s="112">
        <v>41.02</v>
      </c>
      <c r="N23" s="112">
        <v>0</v>
      </c>
      <c r="O23" s="112">
        <v>0</v>
      </c>
      <c r="P23" s="112">
        <v>0.49</v>
      </c>
      <c r="Q23" s="167" t="s">
        <v>14</v>
      </c>
    </row>
    <row r="24" spans="1:17" customFormat="1">
      <c r="A24" s="80">
        <v>45419.166666666664</v>
      </c>
      <c r="B24" s="112">
        <v>11.28</v>
      </c>
      <c r="C24" s="112">
        <v>13.11</v>
      </c>
      <c r="D24" s="112">
        <v>25.04</v>
      </c>
      <c r="E24" s="112">
        <v>12.42</v>
      </c>
      <c r="F24" s="112">
        <v>8.1199999999999992</v>
      </c>
      <c r="G24" s="112">
        <v>41.93</v>
      </c>
      <c r="H24" s="112">
        <v>13.71</v>
      </c>
      <c r="I24" s="112">
        <v>6.13</v>
      </c>
      <c r="J24" s="112">
        <v>0.24</v>
      </c>
      <c r="K24" s="112">
        <v>166.47</v>
      </c>
      <c r="L24" s="112">
        <v>31.08</v>
      </c>
      <c r="M24" s="112">
        <v>42.01</v>
      </c>
      <c r="N24" s="112">
        <v>0</v>
      </c>
      <c r="O24" s="112">
        <v>0</v>
      </c>
      <c r="P24" s="112">
        <v>0.48</v>
      </c>
      <c r="Q24" s="167" t="s">
        <v>14</v>
      </c>
    </row>
    <row r="25" spans="1:17" customFormat="1">
      <c r="A25" s="80">
        <v>45419.177083333336</v>
      </c>
      <c r="B25" s="112">
        <v>11.29</v>
      </c>
      <c r="C25" s="112">
        <v>13.14</v>
      </c>
      <c r="D25" s="112">
        <v>25.06</v>
      </c>
      <c r="E25" s="112">
        <v>12.08</v>
      </c>
      <c r="F25" s="112">
        <v>4.1500000000000004</v>
      </c>
      <c r="G25" s="112">
        <v>40.880000000000003</v>
      </c>
      <c r="H25" s="112">
        <v>13.71</v>
      </c>
      <c r="I25" s="112">
        <v>5.99</v>
      </c>
      <c r="J25" s="112">
        <v>0.32</v>
      </c>
      <c r="K25" s="112">
        <v>187.35</v>
      </c>
      <c r="L25" s="112">
        <v>30.42</v>
      </c>
      <c r="M25" s="112">
        <v>45.12</v>
      </c>
      <c r="N25" s="112">
        <v>0</v>
      </c>
      <c r="O25" s="112">
        <v>0</v>
      </c>
      <c r="P25" s="112">
        <v>0.49</v>
      </c>
      <c r="Q25" s="167" t="s">
        <v>14</v>
      </c>
    </row>
    <row r="26" spans="1:17" customFormat="1">
      <c r="A26" s="80">
        <v>45419.1875</v>
      </c>
      <c r="B26" s="112">
        <v>11.32</v>
      </c>
      <c r="C26" s="112">
        <v>13.12</v>
      </c>
      <c r="D26" s="112">
        <v>25.08</v>
      </c>
      <c r="E26" s="112">
        <v>12.26</v>
      </c>
      <c r="F26" s="112">
        <v>4.09</v>
      </c>
      <c r="G26" s="112">
        <v>40.880000000000003</v>
      </c>
      <c r="H26" s="112">
        <v>13.71</v>
      </c>
      <c r="I26" s="112">
        <v>5.89</v>
      </c>
      <c r="J26" s="112">
        <v>0.27</v>
      </c>
      <c r="K26" s="112">
        <v>196.33</v>
      </c>
      <c r="L26" s="112">
        <v>29.93</v>
      </c>
      <c r="M26" s="112">
        <v>46.86</v>
      </c>
      <c r="N26" s="112">
        <v>0</v>
      </c>
      <c r="O26" s="112">
        <v>0</v>
      </c>
      <c r="P26" s="112">
        <v>0.48</v>
      </c>
      <c r="Q26" s="167" t="s">
        <v>14</v>
      </c>
    </row>
    <row r="27" spans="1:17" customFormat="1">
      <c r="A27" s="80">
        <v>45419.197916666664</v>
      </c>
      <c r="B27" s="112">
        <v>11.34</v>
      </c>
      <c r="C27" s="112">
        <v>13.09</v>
      </c>
      <c r="D27" s="112">
        <v>25.08</v>
      </c>
      <c r="E27" s="112">
        <v>12.57</v>
      </c>
      <c r="F27" s="112">
        <v>7.15</v>
      </c>
      <c r="G27" s="112">
        <v>40.880000000000003</v>
      </c>
      <c r="H27" s="112">
        <v>13.71</v>
      </c>
      <c r="I27" s="112">
        <v>5.99</v>
      </c>
      <c r="J27" s="112">
        <v>0.35</v>
      </c>
      <c r="K27" s="112">
        <v>234.71</v>
      </c>
      <c r="L27" s="112">
        <v>30.03</v>
      </c>
      <c r="M27" s="112">
        <v>44.3</v>
      </c>
      <c r="N27" s="112">
        <v>0</v>
      </c>
      <c r="O27" s="112">
        <v>0</v>
      </c>
      <c r="P27" s="112">
        <v>0.47</v>
      </c>
      <c r="Q27" s="167" t="s">
        <v>14</v>
      </c>
    </row>
    <row r="28" spans="1:17" customFormat="1">
      <c r="A28" s="80">
        <v>45419.208333333336</v>
      </c>
      <c r="B28" s="112">
        <v>11.35</v>
      </c>
      <c r="C28" s="112">
        <v>13.15</v>
      </c>
      <c r="D28" s="112">
        <v>25.12</v>
      </c>
      <c r="E28" s="112">
        <v>13.49</v>
      </c>
      <c r="F28" s="112">
        <v>6.75</v>
      </c>
      <c r="G28" s="112">
        <v>40.07</v>
      </c>
      <c r="H28" s="112">
        <v>12.59</v>
      </c>
      <c r="I28" s="112">
        <v>5.93</v>
      </c>
      <c r="J28" s="112">
        <v>0.56999999999999995</v>
      </c>
      <c r="K28" s="112">
        <v>250.58</v>
      </c>
      <c r="L28" s="112">
        <v>30.68</v>
      </c>
      <c r="M28" s="112">
        <v>42.49</v>
      </c>
      <c r="N28" s="112">
        <v>0</v>
      </c>
      <c r="O28" s="112">
        <v>0</v>
      </c>
      <c r="P28" s="112">
        <v>0.46</v>
      </c>
      <c r="Q28" s="167" t="s">
        <v>14</v>
      </c>
    </row>
    <row r="29" spans="1:17" customFormat="1">
      <c r="A29" s="80">
        <v>45419.21875</v>
      </c>
      <c r="B29" s="112">
        <v>11.34</v>
      </c>
      <c r="C29" s="112">
        <v>13.08</v>
      </c>
      <c r="D29" s="112">
        <v>25.07</v>
      </c>
      <c r="E29" s="112">
        <v>12.73</v>
      </c>
      <c r="F29" s="112">
        <v>6.69</v>
      </c>
      <c r="G29" s="112">
        <v>39.86</v>
      </c>
      <c r="H29" s="112">
        <v>12.59</v>
      </c>
      <c r="I29" s="112">
        <v>5.77</v>
      </c>
      <c r="J29" s="112">
        <v>0.36</v>
      </c>
      <c r="K29" s="112">
        <v>245.46</v>
      </c>
      <c r="L29" s="112">
        <v>30.68</v>
      </c>
      <c r="M29" s="112">
        <v>43.48</v>
      </c>
      <c r="N29" s="112">
        <v>0</v>
      </c>
      <c r="O29" s="112">
        <v>0</v>
      </c>
      <c r="P29" s="112">
        <v>0.46</v>
      </c>
      <c r="Q29" s="167" t="s">
        <v>14</v>
      </c>
    </row>
    <row r="30" spans="1:17" customFormat="1">
      <c r="A30" s="80">
        <v>45419.229166666664</v>
      </c>
      <c r="B30" s="112">
        <v>11.35</v>
      </c>
      <c r="C30" s="112">
        <v>13.13</v>
      </c>
      <c r="D30" s="112">
        <v>25.11</v>
      </c>
      <c r="E30" s="112">
        <v>12.88</v>
      </c>
      <c r="F30" s="112">
        <v>6.64</v>
      </c>
      <c r="G30" s="112">
        <v>39.86</v>
      </c>
      <c r="H30" s="112">
        <v>12.59</v>
      </c>
      <c r="I30" s="112">
        <v>5.72</v>
      </c>
      <c r="J30" s="112">
        <v>0.25</v>
      </c>
      <c r="K30" s="112">
        <v>221.13</v>
      </c>
      <c r="L30" s="112">
        <v>30.63</v>
      </c>
      <c r="M30" s="112">
        <v>45.28</v>
      </c>
      <c r="N30" s="112">
        <v>0</v>
      </c>
      <c r="O30" s="112">
        <v>0</v>
      </c>
      <c r="P30" s="112">
        <v>0.46</v>
      </c>
      <c r="Q30" s="167" t="s">
        <v>14</v>
      </c>
    </row>
    <row r="31" spans="1:17" customFormat="1">
      <c r="A31" s="80">
        <v>45419.239583333336</v>
      </c>
      <c r="B31" s="112">
        <v>11.34</v>
      </c>
      <c r="C31" s="112">
        <v>13.14</v>
      </c>
      <c r="D31" s="112">
        <v>25.1</v>
      </c>
      <c r="E31" s="112">
        <v>12.61</v>
      </c>
      <c r="F31" s="112">
        <v>5.82</v>
      </c>
      <c r="G31" s="112">
        <v>39.86</v>
      </c>
      <c r="H31" s="112">
        <v>12.59</v>
      </c>
      <c r="I31" s="112">
        <v>5.64</v>
      </c>
      <c r="J31" s="112">
        <v>0.28999999999999998</v>
      </c>
      <c r="K31" s="112">
        <v>234.84</v>
      </c>
      <c r="L31" s="112">
        <v>30.51</v>
      </c>
      <c r="M31" s="112">
        <v>46.44</v>
      </c>
      <c r="N31" s="112">
        <v>4.8</v>
      </c>
      <c r="O31" s="112">
        <v>0</v>
      </c>
      <c r="P31" s="112">
        <v>0.45</v>
      </c>
      <c r="Q31" s="167" t="s">
        <v>14</v>
      </c>
    </row>
    <row r="32" spans="1:17" customFormat="1">
      <c r="A32" s="80">
        <v>45419.25</v>
      </c>
      <c r="B32" s="112">
        <v>11.32</v>
      </c>
      <c r="C32" s="112">
        <v>13.13</v>
      </c>
      <c r="D32" s="112">
        <v>25.08</v>
      </c>
      <c r="E32" s="112">
        <v>12.3</v>
      </c>
      <c r="F32" s="112">
        <v>4.4400000000000004</v>
      </c>
      <c r="G32" s="112">
        <v>36.46</v>
      </c>
      <c r="H32" s="112">
        <v>12.75</v>
      </c>
      <c r="I32" s="112">
        <v>5.56</v>
      </c>
      <c r="J32" s="112">
        <v>0.48</v>
      </c>
      <c r="K32" s="112">
        <v>236.6</v>
      </c>
      <c r="L32" s="112">
        <v>30.31</v>
      </c>
      <c r="M32" s="112">
        <v>49.08</v>
      </c>
      <c r="N32" s="112">
        <v>3.3</v>
      </c>
      <c r="O32" s="112">
        <v>0</v>
      </c>
      <c r="P32" s="112">
        <v>0.45</v>
      </c>
      <c r="Q32" s="167" t="s">
        <v>14</v>
      </c>
    </row>
    <row r="33" spans="1:17" customFormat="1">
      <c r="A33" s="80">
        <v>45419.260416666664</v>
      </c>
      <c r="B33" s="112">
        <v>11.33</v>
      </c>
      <c r="C33" s="112">
        <v>13.13</v>
      </c>
      <c r="D33" s="112">
        <v>25.08</v>
      </c>
      <c r="E33" s="112">
        <v>12.51</v>
      </c>
      <c r="F33" s="112">
        <v>4.0599999999999996</v>
      </c>
      <c r="G33" s="112">
        <v>35.61</v>
      </c>
      <c r="H33" s="112">
        <v>12.75</v>
      </c>
      <c r="I33" s="112">
        <v>5.54</v>
      </c>
      <c r="J33" s="112">
        <v>0.95</v>
      </c>
      <c r="K33" s="112">
        <v>258.33</v>
      </c>
      <c r="L33" s="112">
        <v>30.23</v>
      </c>
      <c r="M33" s="112">
        <v>50.06</v>
      </c>
      <c r="N33" s="112">
        <v>9.6</v>
      </c>
      <c r="O33" s="112">
        <v>0</v>
      </c>
      <c r="P33" s="112">
        <v>0.46</v>
      </c>
      <c r="Q33" s="167" t="s">
        <v>14</v>
      </c>
    </row>
    <row r="34" spans="1:17" customFormat="1">
      <c r="A34" s="80">
        <v>45419.270833333336</v>
      </c>
      <c r="B34" s="112">
        <v>11.29</v>
      </c>
      <c r="C34" s="112">
        <v>13.17</v>
      </c>
      <c r="D34" s="112">
        <v>25.08</v>
      </c>
      <c r="E34" s="112">
        <v>13.04</v>
      </c>
      <c r="F34" s="112">
        <v>8.59</v>
      </c>
      <c r="G34" s="112">
        <v>35.61</v>
      </c>
      <c r="H34" s="112">
        <v>12.75</v>
      </c>
      <c r="I34" s="112">
        <v>5.58</v>
      </c>
      <c r="J34" s="112">
        <v>0.76</v>
      </c>
      <c r="K34" s="112">
        <v>289.56</v>
      </c>
      <c r="L34" s="112">
        <v>30.39</v>
      </c>
      <c r="M34" s="112">
        <v>50.85</v>
      </c>
      <c r="N34" s="112">
        <v>47.3</v>
      </c>
      <c r="O34" s="112">
        <v>0</v>
      </c>
      <c r="P34" s="112">
        <v>0.45</v>
      </c>
      <c r="Q34" s="167" t="s">
        <v>14</v>
      </c>
    </row>
    <row r="35" spans="1:17" customFormat="1">
      <c r="A35" s="80">
        <v>45419.28125</v>
      </c>
      <c r="B35" s="112">
        <v>11.26</v>
      </c>
      <c r="C35" s="112">
        <v>13.1</v>
      </c>
      <c r="D35" s="112">
        <v>25.02</v>
      </c>
      <c r="E35" s="112">
        <v>13.21</v>
      </c>
      <c r="F35" s="112">
        <v>9.0500000000000007</v>
      </c>
      <c r="G35" s="112">
        <v>35.61</v>
      </c>
      <c r="H35" s="112">
        <v>12.75</v>
      </c>
      <c r="I35" s="112">
        <v>5.52</v>
      </c>
      <c r="J35" s="112">
        <v>0.68</v>
      </c>
      <c r="K35" s="112">
        <v>265.2</v>
      </c>
      <c r="L35" s="112">
        <v>30.74</v>
      </c>
      <c r="M35" s="112">
        <v>49.22</v>
      </c>
      <c r="N35" s="112">
        <v>48.3</v>
      </c>
      <c r="O35" s="112">
        <v>0</v>
      </c>
      <c r="P35" s="112">
        <v>0.44</v>
      </c>
      <c r="Q35" s="167" t="s">
        <v>14</v>
      </c>
    </row>
    <row r="36" spans="1:17" customFormat="1">
      <c r="A36" s="80">
        <v>45419.291666666664</v>
      </c>
      <c r="B36" s="112">
        <v>11.27</v>
      </c>
      <c r="C36" s="112">
        <v>13.13</v>
      </c>
      <c r="D36" s="112">
        <v>25.04</v>
      </c>
      <c r="E36" s="112">
        <v>12.8</v>
      </c>
      <c r="F36" s="112">
        <v>10.09</v>
      </c>
      <c r="G36" s="112">
        <v>36.83</v>
      </c>
      <c r="H36" s="112">
        <v>14.04</v>
      </c>
      <c r="I36" s="112">
        <v>5.38</v>
      </c>
      <c r="J36" s="112">
        <v>0.87</v>
      </c>
      <c r="K36" s="112">
        <v>244.33</v>
      </c>
      <c r="L36" s="112">
        <v>30.59</v>
      </c>
      <c r="M36" s="112">
        <v>47.71</v>
      </c>
      <c r="N36" s="112">
        <v>37</v>
      </c>
      <c r="O36" s="112">
        <v>0</v>
      </c>
      <c r="P36" s="112">
        <v>0.42</v>
      </c>
      <c r="Q36" s="167" t="s">
        <v>14</v>
      </c>
    </row>
    <row r="37" spans="1:17" customFormat="1">
      <c r="A37" s="80">
        <v>45419.302083333336</v>
      </c>
      <c r="B37" s="112">
        <v>11.3</v>
      </c>
      <c r="C37" s="112">
        <v>13.12</v>
      </c>
      <c r="D37" s="112">
        <v>25.06</v>
      </c>
      <c r="E37" s="112">
        <v>12.74</v>
      </c>
      <c r="F37" s="112">
        <v>4.38</v>
      </c>
      <c r="G37" s="112">
        <v>37.130000000000003</v>
      </c>
      <c r="H37" s="112">
        <v>14.04</v>
      </c>
      <c r="I37" s="112">
        <v>5.28</v>
      </c>
      <c r="J37" s="112">
        <v>0.84</v>
      </c>
      <c r="K37" s="112">
        <v>244.63</v>
      </c>
      <c r="L37" s="112">
        <v>29.95</v>
      </c>
      <c r="M37" s="112">
        <v>48.48</v>
      </c>
      <c r="N37" s="112">
        <v>38.6</v>
      </c>
      <c r="O37" s="112">
        <v>0</v>
      </c>
      <c r="P37" s="112">
        <v>0.42</v>
      </c>
      <c r="Q37" s="167" t="s">
        <v>14</v>
      </c>
    </row>
    <row r="38" spans="1:17" customFormat="1">
      <c r="A38" s="80">
        <v>45419.3125</v>
      </c>
      <c r="B38" s="112">
        <v>11.27</v>
      </c>
      <c r="C38" s="112">
        <v>13.18</v>
      </c>
      <c r="D38" s="112">
        <v>25.07</v>
      </c>
      <c r="E38" s="112">
        <v>12.07</v>
      </c>
      <c r="F38" s="112">
        <v>10.11</v>
      </c>
      <c r="G38" s="112">
        <v>37.130000000000003</v>
      </c>
      <c r="H38" s="112">
        <v>14.04</v>
      </c>
      <c r="I38" s="112">
        <v>5.33</v>
      </c>
      <c r="J38" s="112">
        <v>0.61</v>
      </c>
      <c r="K38" s="112">
        <v>243.23</v>
      </c>
      <c r="L38" s="112">
        <v>29.5</v>
      </c>
      <c r="M38" s="112">
        <v>50.2</v>
      </c>
      <c r="N38" s="112">
        <v>44.2</v>
      </c>
      <c r="O38" s="112">
        <v>0</v>
      </c>
      <c r="P38" s="112">
        <v>0.4</v>
      </c>
      <c r="Q38" s="167" t="s">
        <v>14</v>
      </c>
    </row>
    <row r="39" spans="1:17" customFormat="1">
      <c r="A39" s="80">
        <v>45419.322916666664</v>
      </c>
      <c r="B39" s="112">
        <v>11.28</v>
      </c>
      <c r="C39" s="112">
        <v>13.14</v>
      </c>
      <c r="D39" s="112">
        <v>25.06</v>
      </c>
      <c r="E39" s="112">
        <v>12.55</v>
      </c>
      <c r="F39" s="112">
        <v>7.79</v>
      </c>
      <c r="G39" s="112">
        <v>37.130000000000003</v>
      </c>
      <c r="H39" s="112">
        <v>14.04</v>
      </c>
      <c r="I39" s="112">
        <v>5.42</v>
      </c>
      <c r="J39" s="112">
        <v>0.86</v>
      </c>
      <c r="K39" s="112">
        <v>246.4</v>
      </c>
      <c r="L39" s="112">
        <v>29.22</v>
      </c>
      <c r="M39" s="112">
        <v>51.47</v>
      </c>
      <c r="N39" s="112">
        <v>52.8</v>
      </c>
      <c r="O39" s="112">
        <v>0</v>
      </c>
      <c r="P39" s="112">
        <v>0.4</v>
      </c>
      <c r="Q39" s="167" t="s">
        <v>14</v>
      </c>
    </row>
    <row r="40" spans="1:17" customFormat="1">
      <c r="A40" s="80">
        <v>45419.333333333336</v>
      </c>
      <c r="B40" s="112">
        <v>11.3</v>
      </c>
      <c r="C40" s="112">
        <v>13.12</v>
      </c>
      <c r="D40" s="112">
        <v>25.06</v>
      </c>
      <c r="E40" s="112">
        <v>11.74</v>
      </c>
      <c r="F40" s="112">
        <v>7.2</v>
      </c>
      <c r="G40" s="112">
        <v>38.72</v>
      </c>
      <c r="H40" s="112">
        <v>14.9</v>
      </c>
      <c r="I40" s="112">
        <v>5.28</v>
      </c>
      <c r="J40" s="112">
        <v>0.71</v>
      </c>
      <c r="K40" s="112">
        <v>246.32</v>
      </c>
      <c r="L40" s="112">
        <v>28.7</v>
      </c>
      <c r="M40" s="112">
        <v>53.82</v>
      </c>
      <c r="N40" s="112">
        <v>44.4</v>
      </c>
      <c r="O40" s="112">
        <v>0</v>
      </c>
      <c r="P40" s="112">
        <v>0.39</v>
      </c>
      <c r="Q40" s="167" t="s">
        <v>14</v>
      </c>
    </row>
    <row r="41" spans="1:17" customFormat="1">
      <c r="A41" s="80">
        <v>45419.34375</v>
      </c>
      <c r="B41" s="112">
        <v>11.32</v>
      </c>
      <c r="C41" s="112">
        <v>13.17</v>
      </c>
      <c r="D41" s="112">
        <v>25.1</v>
      </c>
      <c r="E41" s="112">
        <v>10.93</v>
      </c>
      <c r="F41" s="112">
        <v>5.19</v>
      </c>
      <c r="G41" s="112">
        <v>39.119999999999997</v>
      </c>
      <c r="H41" s="112">
        <v>14.9</v>
      </c>
      <c r="I41" s="112">
        <v>5.18</v>
      </c>
      <c r="J41" s="112">
        <v>0.73</v>
      </c>
      <c r="K41" s="112">
        <v>242.66</v>
      </c>
      <c r="L41" s="112">
        <v>27.95</v>
      </c>
      <c r="M41" s="112">
        <v>58.79</v>
      </c>
      <c r="N41" s="112">
        <v>64.7</v>
      </c>
      <c r="O41" s="112">
        <v>0</v>
      </c>
      <c r="P41" s="112">
        <v>0.38</v>
      </c>
      <c r="Q41" s="167" t="s">
        <v>14</v>
      </c>
    </row>
    <row r="42" spans="1:17" customFormat="1">
      <c r="A42" s="80">
        <v>45419.354166666664</v>
      </c>
      <c r="B42" s="112">
        <v>11.32</v>
      </c>
      <c r="C42" s="112">
        <v>13.15</v>
      </c>
      <c r="D42" s="112">
        <v>25.09</v>
      </c>
      <c r="E42" s="112">
        <v>11.22</v>
      </c>
      <c r="F42" s="112">
        <v>5.63</v>
      </c>
      <c r="G42" s="112">
        <v>39.119999999999997</v>
      </c>
      <c r="H42" s="112">
        <v>14.9</v>
      </c>
      <c r="I42" s="112">
        <v>5.1100000000000003</v>
      </c>
      <c r="J42" s="112">
        <v>0.74</v>
      </c>
      <c r="K42" s="112">
        <v>250.63</v>
      </c>
      <c r="L42" s="112">
        <v>27.92</v>
      </c>
      <c r="M42" s="112">
        <v>59.84</v>
      </c>
      <c r="N42" s="112">
        <v>109.6</v>
      </c>
      <c r="O42" s="112">
        <v>0</v>
      </c>
      <c r="P42" s="112">
        <v>0.37</v>
      </c>
      <c r="Q42" s="167" t="s">
        <v>14</v>
      </c>
    </row>
    <row r="43" spans="1:17" customFormat="1">
      <c r="A43" s="80">
        <v>45419.364583333336</v>
      </c>
      <c r="B43" s="112">
        <v>11.3</v>
      </c>
      <c r="C43" s="112">
        <v>13.16</v>
      </c>
      <c r="D43" s="112">
        <v>25.08</v>
      </c>
      <c r="E43" s="112">
        <v>10.77</v>
      </c>
      <c r="F43" s="112">
        <v>4.3499999999999996</v>
      </c>
      <c r="G43" s="112">
        <v>39.119999999999997</v>
      </c>
      <c r="H43" s="112">
        <v>14.9</v>
      </c>
      <c r="I43" s="112">
        <v>5.1100000000000003</v>
      </c>
      <c r="J43" s="112">
        <v>0.73</v>
      </c>
      <c r="K43" s="112">
        <v>249.06</v>
      </c>
      <c r="L43" s="112">
        <v>28.29</v>
      </c>
      <c r="M43" s="112">
        <v>56.89</v>
      </c>
      <c r="N43" s="112">
        <v>135.30000000000001</v>
      </c>
      <c r="O43" s="112">
        <v>0</v>
      </c>
      <c r="P43" s="112">
        <v>0.37</v>
      </c>
      <c r="Q43" s="167" t="s">
        <v>14</v>
      </c>
    </row>
    <row r="44" spans="1:17" customFormat="1">
      <c r="A44" s="80">
        <v>45419.375</v>
      </c>
      <c r="B44" s="112">
        <v>11.25</v>
      </c>
      <c r="C44" s="112">
        <v>13.13</v>
      </c>
      <c r="D44" s="112">
        <v>25.03</v>
      </c>
      <c r="E44" s="112">
        <v>10.72</v>
      </c>
      <c r="F44" s="112">
        <v>4.72</v>
      </c>
      <c r="G44" s="112">
        <v>31.32</v>
      </c>
      <c r="H44" s="112">
        <v>10.73</v>
      </c>
      <c r="I44" s="112">
        <v>5.08</v>
      </c>
      <c r="J44" s="112">
        <v>0.68</v>
      </c>
      <c r="K44" s="112">
        <v>241.03</v>
      </c>
      <c r="L44" s="112">
        <v>28.65</v>
      </c>
      <c r="M44" s="112">
        <v>53.22</v>
      </c>
      <c r="N44" s="112">
        <v>139.6</v>
      </c>
      <c r="O44" s="112">
        <v>0</v>
      </c>
      <c r="P44" s="112">
        <v>0.36</v>
      </c>
      <c r="Q44" s="167" t="s">
        <v>14</v>
      </c>
    </row>
    <row r="45" spans="1:17" customFormat="1">
      <c r="A45" s="80">
        <v>45419.385416666664</v>
      </c>
      <c r="B45" s="112">
        <v>11.24</v>
      </c>
      <c r="C45" s="112">
        <v>13.15</v>
      </c>
      <c r="D45" s="112">
        <v>25.03</v>
      </c>
      <c r="E45" s="112">
        <v>11.12</v>
      </c>
      <c r="F45" s="112">
        <v>4.59</v>
      </c>
      <c r="G45" s="112">
        <v>29.36</v>
      </c>
      <c r="H45" s="112">
        <v>10.73</v>
      </c>
      <c r="I45" s="112">
        <v>5.03</v>
      </c>
      <c r="J45" s="112">
        <v>0.76</v>
      </c>
      <c r="K45" s="112">
        <v>248.17</v>
      </c>
      <c r="L45" s="112">
        <v>29.13</v>
      </c>
      <c r="M45" s="112">
        <v>50.3</v>
      </c>
      <c r="N45" s="112">
        <v>152.69999999999999</v>
      </c>
      <c r="O45" s="112">
        <v>0</v>
      </c>
      <c r="P45" s="112">
        <v>0.37</v>
      </c>
      <c r="Q45" s="167" t="s">
        <v>14</v>
      </c>
    </row>
    <row r="46" spans="1:17" customFormat="1">
      <c r="A46" s="80">
        <v>45419.395833333336</v>
      </c>
      <c r="B46" s="112">
        <v>11.24</v>
      </c>
      <c r="C46" s="112">
        <v>13.16</v>
      </c>
      <c r="D46" s="112">
        <v>25.03</v>
      </c>
      <c r="E46" s="112">
        <v>11.12</v>
      </c>
      <c r="F46" s="112">
        <v>3.79</v>
      </c>
      <c r="G46" s="112">
        <v>29.36</v>
      </c>
      <c r="H46" s="112">
        <v>10.73</v>
      </c>
      <c r="I46" s="112">
        <v>4.99</v>
      </c>
      <c r="J46" s="112">
        <v>0.75</v>
      </c>
      <c r="K46" s="112">
        <v>239.28</v>
      </c>
      <c r="L46" s="112">
        <v>29.85</v>
      </c>
      <c r="M46" s="112">
        <v>48.08</v>
      </c>
      <c r="N46" s="112">
        <v>221.1</v>
      </c>
      <c r="O46" s="112">
        <v>0</v>
      </c>
      <c r="P46" s="112">
        <v>0.36</v>
      </c>
      <c r="Q46" s="167" t="s">
        <v>14</v>
      </c>
    </row>
    <row r="47" spans="1:17" customFormat="1">
      <c r="A47" s="80">
        <v>45419.40625</v>
      </c>
      <c r="B47" s="112">
        <v>11.23</v>
      </c>
      <c r="C47" s="112">
        <v>13.14</v>
      </c>
      <c r="D47" s="112">
        <v>25.01</v>
      </c>
      <c r="E47" s="112">
        <v>10.77</v>
      </c>
      <c r="F47" s="112">
        <v>5.39</v>
      </c>
      <c r="G47" s="112">
        <v>29.36</v>
      </c>
      <c r="H47" s="112">
        <v>10.73</v>
      </c>
      <c r="I47" s="112">
        <v>5.03</v>
      </c>
      <c r="J47" s="112">
        <v>1.29</v>
      </c>
      <c r="K47" s="112">
        <v>250.93</v>
      </c>
      <c r="L47" s="112">
        <v>30.88</v>
      </c>
      <c r="M47" s="112">
        <v>44.37</v>
      </c>
      <c r="N47" s="112">
        <v>302.2</v>
      </c>
      <c r="O47" s="112">
        <v>0</v>
      </c>
      <c r="P47" s="112">
        <v>0.35</v>
      </c>
      <c r="Q47" s="167" t="s">
        <v>14</v>
      </c>
    </row>
    <row r="48" spans="1:17" customFormat="1">
      <c r="A48" s="80">
        <v>45419.416666666664</v>
      </c>
      <c r="B48" s="112">
        <v>11.24</v>
      </c>
      <c r="C48" s="112">
        <v>13.1</v>
      </c>
      <c r="D48" s="112">
        <v>25</v>
      </c>
      <c r="E48" s="112">
        <v>11.19</v>
      </c>
      <c r="F48" s="112">
        <v>6.81</v>
      </c>
      <c r="G48" s="112">
        <v>25.92</v>
      </c>
      <c r="H48" s="112">
        <v>10.1</v>
      </c>
      <c r="I48" s="112">
        <v>5.01</v>
      </c>
      <c r="J48" s="112">
        <v>1.43</v>
      </c>
      <c r="K48" s="112">
        <v>251.4</v>
      </c>
      <c r="L48" s="112">
        <v>32.04</v>
      </c>
      <c r="M48" s="112">
        <v>40.74</v>
      </c>
      <c r="N48" s="112">
        <v>276.8</v>
      </c>
      <c r="O48" s="112">
        <v>0</v>
      </c>
      <c r="P48" s="112">
        <v>0.34</v>
      </c>
      <c r="Q48" s="167" t="s">
        <v>14</v>
      </c>
    </row>
    <row r="49" spans="1:17" customFormat="1">
      <c r="A49" s="80">
        <v>45419.427083333336</v>
      </c>
      <c r="B49" s="112">
        <v>11.26</v>
      </c>
      <c r="C49" s="112">
        <v>13.11</v>
      </c>
      <c r="D49" s="112">
        <v>25.02</v>
      </c>
      <c r="E49" s="112">
        <v>10.33</v>
      </c>
      <c r="F49" s="112">
        <v>5.32</v>
      </c>
      <c r="G49" s="112">
        <v>25.05</v>
      </c>
      <c r="H49" s="112">
        <v>10.1</v>
      </c>
      <c r="I49" s="112">
        <v>4.9000000000000004</v>
      </c>
      <c r="J49" s="112">
        <v>1.57</v>
      </c>
      <c r="K49" s="112">
        <v>253.5</v>
      </c>
      <c r="L49" s="112">
        <v>32.51</v>
      </c>
      <c r="M49" s="112">
        <v>40.24</v>
      </c>
      <c r="N49" s="112">
        <v>289.8</v>
      </c>
      <c r="O49" s="112">
        <v>0</v>
      </c>
      <c r="P49" s="112">
        <v>0.33</v>
      </c>
      <c r="Q49" s="167" t="s">
        <v>14</v>
      </c>
    </row>
    <row r="50" spans="1:17" customFormat="1">
      <c r="A50" s="80">
        <v>45419.4375</v>
      </c>
      <c r="B50" s="112">
        <v>11.28</v>
      </c>
      <c r="C50" s="112">
        <v>13.05</v>
      </c>
      <c r="D50" s="112">
        <v>25.01</v>
      </c>
      <c r="E50" s="112">
        <v>11.64</v>
      </c>
      <c r="F50" s="112">
        <v>7.61</v>
      </c>
      <c r="G50" s="112">
        <v>25.05</v>
      </c>
      <c r="H50" s="112">
        <v>10.1</v>
      </c>
      <c r="I50" s="112">
        <v>4.82</v>
      </c>
      <c r="J50" s="112">
        <v>1.42</v>
      </c>
      <c r="K50" s="112">
        <v>254.19</v>
      </c>
      <c r="L50" s="112">
        <v>31.99</v>
      </c>
      <c r="M50" s="112">
        <v>42.21</v>
      </c>
      <c r="N50" s="112">
        <v>282.10000000000002</v>
      </c>
      <c r="O50" s="112">
        <v>0</v>
      </c>
      <c r="P50" s="112">
        <v>0.33</v>
      </c>
      <c r="Q50" s="167" t="s">
        <v>14</v>
      </c>
    </row>
    <row r="51" spans="1:17" customFormat="1">
      <c r="A51" s="80">
        <v>45419.447916666664</v>
      </c>
      <c r="B51" s="112">
        <v>11.29</v>
      </c>
      <c r="C51" s="112">
        <v>13.04</v>
      </c>
      <c r="D51" s="112">
        <v>25.01</v>
      </c>
      <c r="E51" s="112">
        <v>12.2</v>
      </c>
      <c r="F51" s="112">
        <v>5.84</v>
      </c>
      <c r="G51" s="112">
        <v>25.05</v>
      </c>
      <c r="H51" s="112">
        <v>10.1</v>
      </c>
      <c r="I51" s="112">
        <v>4.7699999999999996</v>
      </c>
      <c r="J51" s="112">
        <v>1</v>
      </c>
      <c r="K51" s="112">
        <v>245.9</v>
      </c>
      <c r="L51" s="112">
        <v>32.32</v>
      </c>
      <c r="M51" s="112">
        <v>41.98</v>
      </c>
      <c r="N51" s="112">
        <v>560.1</v>
      </c>
      <c r="O51" s="112">
        <v>0</v>
      </c>
      <c r="P51" s="112">
        <v>0.32</v>
      </c>
      <c r="Q51" s="167" t="s">
        <v>14</v>
      </c>
    </row>
    <row r="52" spans="1:17" customFormat="1">
      <c r="A52" s="80">
        <v>45419.458333333336</v>
      </c>
      <c r="B52" s="112">
        <v>11.25</v>
      </c>
      <c r="C52" s="112">
        <v>13.13</v>
      </c>
      <c r="D52" s="112">
        <v>25.03</v>
      </c>
      <c r="E52" s="112">
        <v>12.21</v>
      </c>
      <c r="F52" s="112">
        <v>6.37</v>
      </c>
      <c r="G52" s="112">
        <v>24.88</v>
      </c>
      <c r="H52" s="112">
        <v>9.0399999999999991</v>
      </c>
      <c r="I52" s="112">
        <v>4.71</v>
      </c>
      <c r="J52" s="112">
        <v>0.88</v>
      </c>
      <c r="K52" s="112">
        <v>249.57</v>
      </c>
      <c r="L52" s="112">
        <v>33.69</v>
      </c>
      <c r="M52" s="112">
        <v>38.64</v>
      </c>
      <c r="N52" s="112">
        <v>673.6</v>
      </c>
      <c r="O52" s="112">
        <v>0</v>
      </c>
      <c r="P52" s="112">
        <v>0.32</v>
      </c>
      <c r="Q52" s="167" t="s">
        <v>14</v>
      </c>
    </row>
    <row r="53" spans="1:17" customFormat="1">
      <c r="A53" s="80">
        <v>45419.46875</v>
      </c>
      <c r="B53" s="112">
        <v>11.26</v>
      </c>
      <c r="C53" s="112">
        <v>13.14</v>
      </c>
      <c r="D53" s="112">
        <v>25.04</v>
      </c>
      <c r="E53" s="112">
        <v>11.55</v>
      </c>
      <c r="F53" s="112">
        <v>6.86</v>
      </c>
      <c r="G53" s="112">
        <v>24.83</v>
      </c>
      <c r="H53" s="112">
        <v>9.0399999999999991</v>
      </c>
      <c r="I53" s="112">
        <v>4.6500000000000004</v>
      </c>
      <c r="J53" s="112">
        <v>1.1200000000000001</v>
      </c>
      <c r="K53" s="112">
        <v>253.66</v>
      </c>
      <c r="L53" s="112">
        <v>34.03</v>
      </c>
      <c r="M53" s="112">
        <v>37.71</v>
      </c>
      <c r="N53" s="112">
        <v>687.6</v>
      </c>
      <c r="O53" s="112">
        <v>0</v>
      </c>
      <c r="P53" s="112">
        <v>0.32</v>
      </c>
      <c r="Q53" s="167" t="s">
        <v>14</v>
      </c>
    </row>
    <row r="54" spans="1:17" customFormat="1">
      <c r="A54" s="80">
        <v>45419.479166666664</v>
      </c>
      <c r="B54" s="112">
        <v>11.28</v>
      </c>
      <c r="C54" s="112">
        <v>13.16</v>
      </c>
      <c r="D54" s="112">
        <v>25.06</v>
      </c>
      <c r="E54" s="112">
        <v>12.3</v>
      </c>
      <c r="F54" s="112">
        <v>7.4</v>
      </c>
      <c r="G54" s="112">
        <v>24.83</v>
      </c>
      <c r="H54" s="112">
        <v>9.0399999999999991</v>
      </c>
      <c r="I54" s="112">
        <v>4.55</v>
      </c>
      <c r="J54" s="112">
        <v>1.39</v>
      </c>
      <c r="K54" s="112">
        <v>250.85</v>
      </c>
      <c r="L54" s="112">
        <v>34.409999999999997</v>
      </c>
      <c r="M54" s="112">
        <v>37.369999999999997</v>
      </c>
      <c r="N54" s="112">
        <v>764.9</v>
      </c>
      <c r="O54" s="112">
        <v>0</v>
      </c>
      <c r="P54" s="112">
        <v>0.32</v>
      </c>
      <c r="Q54" s="167" t="s">
        <v>14</v>
      </c>
    </row>
    <row r="55" spans="1:17" customFormat="1">
      <c r="A55" s="80">
        <v>45419.489583333336</v>
      </c>
      <c r="B55" s="112">
        <v>11.27</v>
      </c>
      <c r="C55" s="112">
        <v>13.08</v>
      </c>
      <c r="D55" s="112">
        <v>25.02</v>
      </c>
      <c r="E55" s="112">
        <v>12.1</v>
      </c>
      <c r="F55" s="112">
        <v>8.4</v>
      </c>
      <c r="G55" s="112">
        <v>24.83</v>
      </c>
      <c r="H55" s="112">
        <v>9.0399999999999991</v>
      </c>
      <c r="I55" s="112">
        <v>4.5</v>
      </c>
      <c r="J55" s="112">
        <v>1.1299999999999999</v>
      </c>
      <c r="K55" s="112">
        <v>249.6</v>
      </c>
      <c r="L55" s="112">
        <v>34.950000000000003</v>
      </c>
      <c r="M55" s="112">
        <v>36.24</v>
      </c>
      <c r="N55" s="112">
        <v>780.3</v>
      </c>
      <c r="O55" s="112">
        <v>0</v>
      </c>
      <c r="P55" s="112">
        <v>0.31</v>
      </c>
      <c r="Q55" s="112">
        <v>4.63</v>
      </c>
    </row>
    <row r="56" spans="1:17" customFormat="1">
      <c r="A56" s="80">
        <v>45419.5</v>
      </c>
      <c r="B56" s="112">
        <v>11.28</v>
      </c>
      <c r="C56" s="112">
        <v>13.08</v>
      </c>
      <c r="D56" s="112">
        <v>25.02</v>
      </c>
      <c r="E56" s="112">
        <v>12.78</v>
      </c>
      <c r="F56" s="112">
        <v>8.92</v>
      </c>
      <c r="G56" s="112">
        <v>27.06</v>
      </c>
      <c r="H56" s="112">
        <v>7.62</v>
      </c>
      <c r="I56" s="112">
        <v>4.3899999999999997</v>
      </c>
      <c r="J56" s="112">
        <v>0.82</v>
      </c>
      <c r="K56" s="112">
        <v>244.39</v>
      </c>
      <c r="L56" s="112">
        <v>35.869999999999997</v>
      </c>
      <c r="M56" s="112">
        <v>33.92</v>
      </c>
      <c r="N56" s="112">
        <v>756.2</v>
      </c>
      <c r="O56" s="112">
        <v>0</v>
      </c>
      <c r="P56" s="112">
        <v>0.28999999999999998</v>
      </c>
      <c r="Q56" s="167" t="s">
        <v>14</v>
      </c>
    </row>
    <row r="57" spans="1:17" customFormat="1">
      <c r="A57" s="80">
        <v>45419.510416666664</v>
      </c>
      <c r="B57" s="112">
        <v>11.27</v>
      </c>
      <c r="C57" s="112">
        <v>13.11</v>
      </c>
      <c r="D57" s="112">
        <v>25.03</v>
      </c>
      <c r="E57" s="112">
        <v>11.84</v>
      </c>
      <c r="F57" s="112">
        <v>9.14</v>
      </c>
      <c r="G57" s="112">
        <v>27.62</v>
      </c>
      <c r="H57" s="112">
        <v>7.62</v>
      </c>
      <c r="I57" s="112">
        <v>4.24</v>
      </c>
      <c r="J57" s="112">
        <v>0.93</v>
      </c>
      <c r="K57" s="112">
        <v>249.07</v>
      </c>
      <c r="L57" s="112">
        <v>36.08</v>
      </c>
      <c r="M57" s="112">
        <v>33.24</v>
      </c>
      <c r="N57" s="112">
        <v>738</v>
      </c>
      <c r="O57" s="112">
        <v>0</v>
      </c>
      <c r="P57" s="112">
        <v>0.28999999999999998</v>
      </c>
      <c r="Q57" s="167" t="s">
        <v>14</v>
      </c>
    </row>
    <row r="58" spans="1:17" customFormat="1">
      <c r="A58" s="80">
        <v>45419.520833333336</v>
      </c>
      <c r="B58" s="112">
        <v>11.29</v>
      </c>
      <c r="C58" s="112">
        <v>13.11</v>
      </c>
      <c r="D58" s="112">
        <v>25.04</v>
      </c>
      <c r="E58" s="112">
        <v>12.12</v>
      </c>
      <c r="F58" s="112">
        <v>8.5399999999999991</v>
      </c>
      <c r="G58" s="112">
        <v>27.62</v>
      </c>
      <c r="H58" s="112">
        <v>7.62</v>
      </c>
      <c r="I58" s="112">
        <v>4.1500000000000004</v>
      </c>
      <c r="J58" s="112">
        <v>1.31</v>
      </c>
      <c r="K58" s="112">
        <v>253.62</v>
      </c>
      <c r="L58" s="112">
        <v>36.049999999999997</v>
      </c>
      <c r="M58" s="112">
        <v>34.94</v>
      </c>
      <c r="N58" s="112">
        <v>805.7</v>
      </c>
      <c r="O58" s="112">
        <v>0</v>
      </c>
      <c r="P58" s="112">
        <v>0.28000000000000003</v>
      </c>
      <c r="Q58" s="167" t="s">
        <v>14</v>
      </c>
    </row>
    <row r="59" spans="1:17" customFormat="1">
      <c r="A59" s="80">
        <v>45419.53125</v>
      </c>
      <c r="B59" s="112">
        <v>11.28</v>
      </c>
      <c r="C59" s="112">
        <v>13.12</v>
      </c>
      <c r="D59" s="112">
        <v>25.04</v>
      </c>
      <c r="E59" s="112">
        <v>12.42</v>
      </c>
      <c r="F59" s="112">
        <v>8.6</v>
      </c>
      <c r="G59" s="112">
        <v>27.62</v>
      </c>
      <c r="H59" s="112">
        <v>7.62</v>
      </c>
      <c r="I59" s="112">
        <v>4.13</v>
      </c>
      <c r="J59" s="112">
        <v>0.83</v>
      </c>
      <c r="K59" s="112">
        <v>248.26</v>
      </c>
      <c r="L59" s="112">
        <v>36.880000000000003</v>
      </c>
      <c r="M59" s="112">
        <v>35.36</v>
      </c>
      <c r="N59" s="112">
        <v>792.3</v>
      </c>
      <c r="O59" s="112">
        <v>0</v>
      </c>
      <c r="P59" s="112">
        <v>0.27</v>
      </c>
      <c r="Q59" s="167" t="s">
        <v>14</v>
      </c>
    </row>
    <row r="60" spans="1:17" customFormat="1">
      <c r="A60" s="80">
        <v>45419.541666666664</v>
      </c>
      <c r="B60" s="112">
        <v>11.31</v>
      </c>
      <c r="C60" s="112">
        <v>13.14</v>
      </c>
      <c r="D60" s="112">
        <v>25.08</v>
      </c>
      <c r="E60" s="112">
        <v>12.44</v>
      </c>
      <c r="F60" s="112">
        <v>7.9</v>
      </c>
      <c r="G60" s="112">
        <v>27.71</v>
      </c>
      <c r="H60" s="112">
        <v>11.11</v>
      </c>
      <c r="I60" s="112">
        <v>4.09</v>
      </c>
      <c r="J60" s="112">
        <v>1.04</v>
      </c>
      <c r="K60" s="112">
        <v>249.89</v>
      </c>
      <c r="L60" s="112">
        <v>36.96</v>
      </c>
      <c r="M60" s="112">
        <v>34.81</v>
      </c>
      <c r="N60" s="112">
        <v>790</v>
      </c>
      <c r="O60" s="112">
        <v>0</v>
      </c>
      <c r="P60" s="112">
        <v>0.27</v>
      </c>
      <c r="Q60" s="167" t="s">
        <v>14</v>
      </c>
    </row>
    <row r="61" spans="1:17" customFormat="1">
      <c r="A61" s="80">
        <v>45419.552083333336</v>
      </c>
      <c r="B61" s="112">
        <v>11.34</v>
      </c>
      <c r="C61" s="112">
        <v>13.09</v>
      </c>
      <c r="D61" s="112">
        <v>25.07</v>
      </c>
      <c r="E61" s="112">
        <v>13.78</v>
      </c>
      <c r="F61" s="112">
        <v>7.86</v>
      </c>
      <c r="G61" s="112">
        <v>27.73</v>
      </c>
      <c r="H61" s="112">
        <v>11.11</v>
      </c>
      <c r="I61" s="112">
        <v>4.0199999999999996</v>
      </c>
      <c r="J61" s="112">
        <v>0.71</v>
      </c>
      <c r="K61" s="112">
        <v>229.34</v>
      </c>
      <c r="L61" s="112">
        <v>37.479999999999997</v>
      </c>
      <c r="M61" s="112">
        <v>33.68</v>
      </c>
      <c r="N61" s="112">
        <v>716.5</v>
      </c>
      <c r="O61" s="112">
        <v>0</v>
      </c>
      <c r="P61" s="112">
        <v>0.26</v>
      </c>
      <c r="Q61" s="167" t="s">
        <v>14</v>
      </c>
    </row>
    <row r="62" spans="1:17" customFormat="1">
      <c r="A62" s="80">
        <v>45419.5625</v>
      </c>
      <c r="B62" s="112">
        <v>11.31</v>
      </c>
      <c r="C62" s="112">
        <v>13.16</v>
      </c>
      <c r="D62" s="112">
        <v>25.09</v>
      </c>
      <c r="E62" s="112">
        <v>12.87</v>
      </c>
      <c r="F62" s="112">
        <v>9.2100000000000009</v>
      </c>
      <c r="G62" s="112">
        <v>27.73</v>
      </c>
      <c r="H62" s="112">
        <v>11.11</v>
      </c>
      <c r="I62" s="112">
        <v>4.05</v>
      </c>
      <c r="J62" s="112">
        <v>0.63</v>
      </c>
      <c r="K62" s="112">
        <v>241.48</v>
      </c>
      <c r="L62" s="112">
        <v>38.07</v>
      </c>
      <c r="M62" s="112">
        <v>32.72</v>
      </c>
      <c r="N62" s="112">
        <v>712.3</v>
      </c>
      <c r="O62" s="112">
        <v>0</v>
      </c>
      <c r="P62" s="112">
        <v>0.26</v>
      </c>
      <c r="Q62" s="167" t="s">
        <v>14</v>
      </c>
    </row>
    <row r="63" spans="1:17" customFormat="1">
      <c r="A63" s="80">
        <v>45419.572916666664</v>
      </c>
      <c r="B63" s="112">
        <v>11.29</v>
      </c>
      <c r="C63" s="112">
        <v>13.17</v>
      </c>
      <c r="D63" s="112">
        <v>25.08</v>
      </c>
      <c r="E63" s="112">
        <v>13.46</v>
      </c>
      <c r="F63" s="112">
        <v>8.4499999999999993</v>
      </c>
      <c r="G63" s="112">
        <v>27.73</v>
      </c>
      <c r="H63" s="112">
        <v>11.11</v>
      </c>
      <c r="I63" s="112">
        <v>4.04</v>
      </c>
      <c r="J63" s="112">
        <v>0.84</v>
      </c>
      <c r="K63" s="112">
        <v>237.95</v>
      </c>
      <c r="L63" s="112">
        <v>38.26</v>
      </c>
      <c r="M63" s="112">
        <v>32.57</v>
      </c>
      <c r="N63" s="112">
        <v>723.4</v>
      </c>
      <c r="O63" s="112">
        <v>0</v>
      </c>
      <c r="P63" s="112">
        <v>0.27</v>
      </c>
      <c r="Q63" s="167" t="s">
        <v>14</v>
      </c>
    </row>
    <row r="64" spans="1:17" customFormat="1">
      <c r="A64" s="80">
        <v>45419.583333333336</v>
      </c>
      <c r="B64" s="112">
        <v>11.25</v>
      </c>
      <c r="C64" s="112">
        <v>13.11</v>
      </c>
      <c r="D64" s="112">
        <v>25.02</v>
      </c>
      <c r="E64" s="112">
        <v>13.88</v>
      </c>
      <c r="F64" s="112">
        <v>11.03</v>
      </c>
      <c r="G64" s="112">
        <v>24.18</v>
      </c>
      <c r="H64" s="112">
        <v>9.83</v>
      </c>
      <c r="I64" s="112">
        <v>3.91</v>
      </c>
      <c r="J64" s="112">
        <v>1.0900000000000001</v>
      </c>
      <c r="K64" s="112">
        <v>245.97</v>
      </c>
      <c r="L64" s="112">
        <v>37.619999999999997</v>
      </c>
      <c r="M64" s="112">
        <v>34.090000000000003</v>
      </c>
      <c r="N64" s="112">
        <v>708.2</v>
      </c>
      <c r="O64" s="112">
        <v>0</v>
      </c>
      <c r="P64" s="112">
        <v>0.26</v>
      </c>
      <c r="Q64" s="167" t="s">
        <v>14</v>
      </c>
    </row>
    <row r="65" spans="1:17" customFormat="1">
      <c r="A65" s="80">
        <v>45419.59375</v>
      </c>
      <c r="B65" s="112">
        <v>11.24</v>
      </c>
      <c r="C65" s="112">
        <v>13.1</v>
      </c>
      <c r="D65" s="112">
        <v>25</v>
      </c>
      <c r="E65" s="112">
        <v>13.82</v>
      </c>
      <c r="F65" s="112">
        <v>7.37</v>
      </c>
      <c r="G65" s="112">
        <v>23.29</v>
      </c>
      <c r="H65" s="112">
        <v>9.83</v>
      </c>
      <c r="I65" s="112">
        <v>3.86</v>
      </c>
      <c r="J65" s="112">
        <v>0.81</v>
      </c>
      <c r="K65" s="112">
        <v>244.18</v>
      </c>
      <c r="L65" s="112">
        <v>38</v>
      </c>
      <c r="M65" s="112">
        <v>33.979999999999997</v>
      </c>
      <c r="N65" s="112">
        <v>698.3</v>
      </c>
      <c r="O65" s="112">
        <v>0</v>
      </c>
      <c r="P65" s="112">
        <v>0.36</v>
      </c>
      <c r="Q65" s="167" t="s">
        <v>14</v>
      </c>
    </row>
    <row r="66" spans="1:17" customFormat="1">
      <c r="A66" s="80">
        <v>45419.604166666664</v>
      </c>
      <c r="B66" s="112">
        <v>11.23</v>
      </c>
      <c r="C66" s="112">
        <v>13.11</v>
      </c>
      <c r="D66" s="112">
        <v>25</v>
      </c>
      <c r="E66" s="112">
        <v>14.05</v>
      </c>
      <c r="F66" s="112">
        <v>8.43</v>
      </c>
      <c r="G66" s="112">
        <v>23.29</v>
      </c>
      <c r="H66" s="112">
        <v>9.83</v>
      </c>
      <c r="I66" s="112">
        <v>3.9</v>
      </c>
      <c r="J66" s="112">
        <v>0.86</v>
      </c>
      <c r="K66" s="112">
        <v>249.25</v>
      </c>
      <c r="L66" s="112">
        <v>37.979999999999997</v>
      </c>
      <c r="M66" s="112">
        <v>34.270000000000003</v>
      </c>
      <c r="N66" s="112">
        <v>636.79999999999995</v>
      </c>
      <c r="O66" s="112">
        <v>0</v>
      </c>
      <c r="P66" s="112">
        <v>0.37</v>
      </c>
      <c r="Q66" s="167" t="s">
        <v>14</v>
      </c>
    </row>
    <row r="67" spans="1:17" customFormat="1">
      <c r="A67" s="80">
        <v>45419.614583333336</v>
      </c>
      <c r="B67" s="112">
        <v>11.22</v>
      </c>
      <c r="C67" s="112">
        <v>13.14</v>
      </c>
      <c r="D67" s="112">
        <v>25</v>
      </c>
      <c r="E67" s="112">
        <v>13.78</v>
      </c>
      <c r="F67" s="112">
        <v>10.79</v>
      </c>
      <c r="G67" s="112">
        <v>23.29</v>
      </c>
      <c r="H67" s="112">
        <v>9.83</v>
      </c>
      <c r="I67" s="112">
        <v>3.9</v>
      </c>
      <c r="J67" s="112">
        <v>0.57999999999999996</v>
      </c>
      <c r="K67" s="112">
        <v>242.96</v>
      </c>
      <c r="L67" s="112">
        <v>38.56</v>
      </c>
      <c r="M67" s="112">
        <v>34.08</v>
      </c>
      <c r="N67" s="112">
        <v>642.6</v>
      </c>
      <c r="O67" s="112">
        <v>0</v>
      </c>
      <c r="P67" s="112">
        <v>0.37</v>
      </c>
      <c r="Q67" s="167" t="s">
        <v>14</v>
      </c>
    </row>
    <row r="68" spans="1:17" customFormat="1">
      <c r="A68" s="80">
        <v>45419.625</v>
      </c>
      <c r="B68" s="112">
        <v>11.26</v>
      </c>
      <c r="C68" s="112">
        <v>13.18</v>
      </c>
      <c r="D68" s="112">
        <v>25.06</v>
      </c>
      <c r="E68" s="112">
        <v>13.59</v>
      </c>
      <c r="F68" s="112">
        <v>12.82</v>
      </c>
      <c r="G68" s="112">
        <v>21.14</v>
      </c>
      <c r="H68" s="112">
        <v>7.2</v>
      </c>
      <c r="I68" s="112">
        <v>3.85</v>
      </c>
      <c r="J68" s="112">
        <v>0.96</v>
      </c>
      <c r="K68" s="112">
        <v>261.67</v>
      </c>
      <c r="L68" s="112">
        <v>38.47</v>
      </c>
      <c r="M68" s="112">
        <v>34.61</v>
      </c>
      <c r="N68" s="112">
        <v>608.70000000000005</v>
      </c>
      <c r="O68" s="112">
        <v>0</v>
      </c>
      <c r="P68" s="112">
        <v>0.37</v>
      </c>
      <c r="Q68" s="167" t="s">
        <v>14</v>
      </c>
    </row>
    <row r="69" spans="1:17" customFormat="1">
      <c r="A69" s="80">
        <v>45419.635416666664</v>
      </c>
      <c r="B69" s="112">
        <v>11.25</v>
      </c>
      <c r="C69" s="112">
        <v>13.12</v>
      </c>
      <c r="D69" s="112">
        <v>25.02</v>
      </c>
      <c r="E69" s="112">
        <v>14.31</v>
      </c>
      <c r="F69" s="112">
        <v>12.23</v>
      </c>
      <c r="G69" s="112">
        <v>20.61</v>
      </c>
      <c r="H69" s="112">
        <v>7.2</v>
      </c>
      <c r="I69" s="112">
        <v>3.76</v>
      </c>
      <c r="J69" s="112">
        <v>0.88</v>
      </c>
      <c r="K69" s="112">
        <v>247.28</v>
      </c>
      <c r="L69" s="112">
        <v>38.369999999999997</v>
      </c>
      <c r="M69" s="112">
        <v>34.47</v>
      </c>
      <c r="N69" s="112">
        <v>558.6</v>
      </c>
      <c r="O69" s="112">
        <v>0</v>
      </c>
      <c r="P69" s="112">
        <v>0.36</v>
      </c>
      <c r="Q69" s="167" t="s">
        <v>14</v>
      </c>
    </row>
    <row r="70" spans="1:17" customFormat="1">
      <c r="A70" s="80">
        <v>45419.645833333336</v>
      </c>
      <c r="B70" s="112">
        <v>11.24</v>
      </c>
      <c r="C70" s="112">
        <v>13.11</v>
      </c>
      <c r="D70" s="112">
        <v>25.01</v>
      </c>
      <c r="E70" s="112">
        <v>14.3</v>
      </c>
      <c r="F70" s="112">
        <v>11.08</v>
      </c>
      <c r="G70" s="112">
        <v>20.61</v>
      </c>
      <c r="H70" s="112">
        <v>7.2</v>
      </c>
      <c r="I70" s="112">
        <v>3.73</v>
      </c>
      <c r="J70" s="112">
        <v>0.77</v>
      </c>
      <c r="K70" s="112">
        <v>239.11</v>
      </c>
      <c r="L70" s="112">
        <v>38.299999999999997</v>
      </c>
      <c r="M70" s="112">
        <v>35.049999999999997</v>
      </c>
      <c r="N70" s="112">
        <v>521.6</v>
      </c>
      <c r="O70" s="112">
        <v>0</v>
      </c>
      <c r="P70" s="112">
        <v>0.38</v>
      </c>
      <c r="Q70" s="167" t="s">
        <v>14</v>
      </c>
    </row>
    <row r="71" spans="1:17" customFormat="1">
      <c r="A71" s="80">
        <v>45419.65625</v>
      </c>
      <c r="B71" s="112">
        <v>11.21</v>
      </c>
      <c r="C71" s="112">
        <v>13.15</v>
      </c>
      <c r="D71" s="112">
        <v>25</v>
      </c>
      <c r="E71" s="112">
        <v>14.65</v>
      </c>
      <c r="F71" s="112">
        <v>21.21</v>
      </c>
      <c r="G71" s="112">
        <v>20.61</v>
      </c>
      <c r="H71" s="112">
        <v>7.2</v>
      </c>
      <c r="I71" s="112">
        <v>3.72</v>
      </c>
      <c r="J71" s="112">
        <v>0.51</v>
      </c>
      <c r="K71" s="112">
        <v>237.18</v>
      </c>
      <c r="L71" s="112">
        <v>38.31</v>
      </c>
      <c r="M71" s="112">
        <v>33.93</v>
      </c>
      <c r="N71" s="112">
        <v>475.5</v>
      </c>
      <c r="O71" s="112">
        <v>0</v>
      </c>
      <c r="P71" s="112">
        <v>0.39</v>
      </c>
      <c r="Q71" s="167" t="s">
        <v>14</v>
      </c>
    </row>
    <row r="72" spans="1:17" customFormat="1">
      <c r="A72" s="80">
        <v>45419.666666666664</v>
      </c>
      <c r="B72" s="112">
        <v>11.24</v>
      </c>
      <c r="C72" s="112">
        <v>13.16</v>
      </c>
      <c r="D72" s="112">
        <v>25.04</v>
      </c>
      <c r="E72" s="112">
        <v>13.75</v>
      </c>
      <c r="F72" s="112">
        <v>18.38</v>
      </c>
      <c r="G72" s="112">
        <v>20.81</v>
      </c>
      <c r="H72" s="112">
        <v>6.76</v>
      </c>
      <c r="I72" s="112">
        <v>3.65</v>
      </c>
      <c r="J72" s="112">
        <v>1.04</v>
      </c>
      <c r="K72" s="112">
        <v>248.18</v>
      </c>
      <c r="L72" s="112">
        <v>37.56</v>
      </c>
      <c r="M72" s="112">
        <v>35.03</v>
      </c>
      <c r="N72" s="112">
        <v>307</v>
      </c>
      <c r="O72" s="112">
        <v>0</v>
      </c>
      <c r="P72" s="112">
        <v>0.39</v>
      </c>
      <c r="Q72" s="167" t="s">
        <v>14</v>
      </c>
    </row>
    <row r="73" spans="1:17" customFormat="1">
      <c r="A73" s="80">
        <v>45419.677083333336</v>
      </c>
      <c r="B73" s="112">
        <v>11.27</v>
      </c>
      <c r="C73" s="112">
        <v>13.12</v>
      </c>
      <c r="D73" s="112">
        <v>25.03</v>
      </c>
      <c r="E73" s="112">
        <v>13.71</v>
      </c>
      <c r="F73" s="112">
        <v>22.77</v>
      </c>
      <c r="G73" s="112">
        <v>20.86</v>
      </c>
      <c r="H73" s="112">
        <v>6.76</v>
      </c>
      <c r="I73" s="112">
        <v>3.49</v>
      </c>
      <c r="J73" s="112">
        <v>0.6</v>
      </c>
      <c r="K73" s="112">
        <v>243.06</v>
      </c>
      <c r="L73" s="112">
        <v>37.28</v>
      </c>
      <c r="M73" s="112">
        <v>35.58</v>
      </c>
      <c r="N73" s="112">
        <v>248.4</v>
      </c>
      <c r="O73" s="112">
        <v>0</v>
      </c>
      <c r="P73" s="112">
        <v>0.37</v>
      </c>
      <c r="Q73" s="167" t="s">
        <v>14</v>
      </c>
    </row>
    <row r="74" spans="1:17" customFormat="1">
      <c r="A74" s="80">
        <v>45419.6875</v>
      </c>
      <c r="B74" s="112">
        <v>11.23</v>
      </c>
      <c r="C74" s="112">
        <v>13.11</v>
      </c>
      <c r="D74" s="112">
        <v>25</v>
      </c>
      <c r="E74" s="112">
        <v>13.53</v>
      </c>
      <c r="F74" s="112">
        <v>17.75</v>
      </c>
      <c r="G74" s="112">
        <v>20.86</v>
      </c>
      <c r="H74" s="112">
        <v>6.76</v>
      </c>
      <c r="I74" s="112">
        <v>3.37</v>
      </c>
      <c r="J74" s="112">
        <v>0.75</v>
      </c>
      <c r="K74" s="112">
        <v>236.16</v>
      </c>
      <c r="L74" s="112">
        <v>36.58</v>
      </c>
      <c r="M74" s="112">
        <v>35.909999999999997</v>
      </c>
      <c r="N74" s="112">
        <v>186.8</v>
      </c>
      <c r="O74" s="112">
        <v>0</v>
      </c>
      <c r="P74" s="112">
        <v>0.37</v>
      </c>
      <c r="Q74" s="167" t="s">
        <v>14</v>
      </c>
    </row>
    <row r="75" spans="1:17" customFormat="1">
      <c r="A75" s="80">
        <v>45419.697916666664</v>
      </c>
      <c r="B75" s="112">
        <v>11.21</v>
      </c>
      <c r="C75" s="112">
        <v>13.15</v>
      </c>
      <c r="D75" s="112">
        <v>25</v>
      </c>
      <c r="E75" s="112">
        <v>12.58</v>
      </c>
      <c r="F75" s="112">
        <v>25.83</v>
      </c>
      <c r="G75" s="112">
        <v>20.86</v>
      </c>
      <c r="H75" s="112">
        <v>6.76</v>
      </c>
      <c r="I75" s="112">
        <v>3.45</v>
      </c>
      <c r="J75" s="112">
        <v>0.53</v>
      </c>
      <c r="K75" s="112">
        <v>243.36</v>
      </c>
      <c r="L75" s="112">
        <v>36.54</v>
      </c>
      <c r="M75" s="112">
        <v>35.799999999999997</v>
      </c>
      <c r="N75" s="112">
        <v>120.4</v>
      </c>
      <c r="O75" s="112">
        <v>0</v>
      </c>
      <c r="P75" s="112">
        <v>0.36</v>
      </c>
      <c r="Q75" s="167" t="s">
        <v>14</v>
      </c>
    </row>
    <row r="76" spans="1:17" customFormat="1">
      <c r="A76" s="80">
        <v>45419.708333333336</v>
      </c>
      <c r="B76" s="112">
        <v>11.2</v>
      </c>
      <c r="C76" s="112">
        <v>13.15</v>
      </c>
      <c r="D76" s="112">
        <v>25</v>
      </c>
      <c r="E76" s="112">
        <v>11.96</v>
      </c>
      <c r="F76" s="112">
        <v>28.69</v>
      </c>
      <c r="G76" s="112">
        <v>19.41</v>
      </c>
      <c r="H76" s="112">
        <v>7.18</v>
      </c>
      <c r="I76" s="112">
        <v>3.4</v>
      </c>
      <c r="J76" s="112">
        <v>0.66</v>
      </c>
      <c r="K76" s="112">
        <v>254.89</v>
      </c>
      <c r="L76" s="112">
        <v>35.369999999999997</v>
      </c>
      <c r="M76" s="112">
        <v>38.15</v>
      </c>
      <c r="N76" s="112">
        <v>57.2</v>
      </c>
      <c r="O76" s="112">
        <v>0</v>
      </c>
      <c r="P76" s="112">
        <v>0.36</v>
      </c>
      <c r="Q76" s="167" t="s">
        <v>14</v>
      </c>
    </row>
    <row r="77" spans="1:17" customFormat="1">
      <c r="A77" s="80">
        <v>45419.71875</v>
      </c>
      <c r="B77" s="112">
        <v>11.13</v>
      </c>
      <c r="C77" s="112">
        <v>13.26</v>
      </c>
      <c r="D77" s="112">
        <v>25</v>
      </c>
      <c r="E77" s="112">
        <v>11.56</v>
      </c>
      <c r="F77" s="112">
        <v>28.5</v>
      </c>
      <c r="G77" s="112">
        <v>19.05</v>
      </c>
      <c r="H77" s="112">
        <v>7.18</v>
      </c>
      <c r="I77" s="112">
        <v>3.25</v>
      </c>
      <c r="J77" s="112">
        <v>0.5</v>
      </c>
      <c r="K77" s="112">
        <v>332.62</v>
      </c>
      <c r="L77" s="112">
        <v>34.770000000000003</v>
      </c>
      <c r="M77" s="112">
        <v>39.07</v>
      </c>
      <c r="N77" s="112">
        <v>31.3</v>
      </c>
      <c r="O77" s="112">
        <v>0</v>
      </c>
      <c r="P77" s="112">
        <v>0.36</v>
      </c>
      <c r="Q77" s="167" t="s">
        <v>14</v>
      </c>
    </row>
    <row r="78" spans="1:17" customFormat="1">
      <c r="A78" s="80">
        <v>45419.729166666664</v>
      </c>
      <c r="B78" s="112">
        <v>11.1</v>
      </c>
      <c r="C78" s="112">
        <v>13.32</v>
      </c>
      <c r="D78" s="112">
        <v>25</v>
      </c>
      <c r="E78" s="112">
        <v>22.37</v>
      </c>
      <c r="F78" s="112">
        <v>12.9</v>
      </c>
      <c r="G78" s="112">
        <v>19.05</v>
      </c>
      <c r="H78" s="112">
        <v>7.18</v>
      </c>
      <c r="I78" s="112">
        <v>3.11</v>
      </c>
      <c r="J78" s="112">
        <v>2.7</v>
      </c>
      <c r="K78" s="112">
        <v>36.74</v>
      </c>
      <c r="L78" s="112">
        <v>31.23</v>
      </c>
      <c r="M78" s="112">
        <v>44.31</v>
      </c>
      <c r="N78" s="112">
        <v>12.4</v>
      </c>
      <c r="O78" s="112">
        <v>0</v>
      </c>
      <c r="P78" s="112">
        <v>0.39</v>
      </c>
      <c r="Q78" s="167" t="s">
        <v>14</v>
      </c>
    </row>
    <row r="79" spans="1:17" customFormat="1">
      <c r="A79" s="80">
        <v>45419.739583333336</v>
      </c>
      <c r="B79" s="112">
        <v>11.09</v>
      </c>
      <c r="C79" s="112">
        <v>13.33</v>
      </c>
      <c r="D79" s="112">
        <v>25</v>
      </c>
      <c r="E79" s="112">
        <v>21.76</v>
      </c>
      <c r="F79" s="112">
        <v>17.45</v>
      </c>
      <c r="G79" s="112">
        <v>19.05</v>
      </c>
      <c r="H79" s="112">
        <v>7.18</v>
      </c>
      <c r="I79" s="112">
        <v>3.15</v>
      </c>
      <c r="J79" s="112">
        <v>3.49</v>
      </c>
      <c r="K79" s="112">
        <v>32.840000000000003</v>
      </c>
      <c r="L79" s="112">
        <v>29.13</v>
      </c>
      <c r="M79" s="112">
        <v>51.44</v>
      </c>
      <c r="N79" s="112">
        <v>3.1</v>
      </c>
      <c r="O79" s="112">
        <v>0</v>
      </c>
      <c r="P79" s="112">
        <v>0.38</v>
      </c>
      <c r="Q79" s="167" t="s">
        <v>14</v>
      </c>
    </row>
    <row r="80" spans="1:17" customFormat="1">
      <c r="A80" s="80">
        <v>45419.75</v>
      </c>
      <c r="B80" s="112">
        <v>11.11</v>
      </c>
      <c r="C80" s="112">
        <v>13.29</v>
      </c>
      <c r="D80" s="112">
        <v>25</v>
      </c>
      <c r="E80" s="112">
        <v>14.32</v>
      </c>
      <c r="F80" s="112">
        <v>16.04</v>
      </c>
      <c r="G80" s="112">
        <v>39.56</v>
      </c>
      <c r="H80" s="112">
        <v>6.28</v>
      </c>
      <c r="I80" s="112">
        <v>3.49</v>
      </c>
      <c r="J80" s="112">
        <v>2.5099999999999998</v>
      </c>
      <c r="K80" s="112">
        <v>31.98</v>
      </c>
      <c r="L80" s="112">
        <v>28.03</v>
      </c>
      <c r="M80" s="112">
        <v>59.57</v>
      </c>
      <c r="N80" s="112">
        <v>0</v>
      </c>
      <c r="O80" s="112">
        <v>0</v>
      </c>
      <c r="P80" s="112">
        <v>0.39</v>
      </c>
      <c r="Q80" s="167" t="s">
        <v>14</v>
      </c>
    </row>
    <row r="81" spans="1:17" customFormat="1">
      <c r="A81" s="80">
        <v>45419.760416666664</v>
      </c>
      <c r="B81" s="112">
        <v>11.18</v>
      </c>
      <c r="C81" s="112">
        <v>13.19</v>
      </c>
      <c r="D81" s="112">
        <v>25</v>
      </c>
      <c r="E81" s="112">
        <v>11.18</v>
      </c>
      <c r="F81" s="112">
        <v>10.07</v>
      </c>
      <c r="G81" s="112">
        <v>44.68</v>
      </c>
      <c r="H81" s="112">
        <v>6.28</v>
      </c>
      <c r="I81" s="112">
        <v>3.54</v>
      </c>
      <c r="J81" s="112">
        <v>1.49</v>
      </c>
      <c r="K81" s="112">
        <v>340.97</v>
      </c>
      <c r="L81" s="112">
        <v>26.65</v>
      </c>
      <c r="M81" s="112">
        <v>66.92</v>
      </c>
      <c r="N81" s="112">
        <v>0</v>
      </c>
      <c r="O81" s="112">
        <v>0</v>
      </c>
      <c r="P81" s="112">
        <v>0.39</v>
      </c>
      <c r="Q81" s="167" t="s">
        <v>14</v>
      </c>
    </row>
    <row r="82" spans="1:17" customFormat="1">
      <c r="A82" s="80">
        <v>45419.770833333336</v>
      </c>
      <c r="B82" s="112">
        <v>11.2</v>
      </c>
      <c r="C82" s="112">
        <v>13.17</v>
      </c>
      <c r="D82" s="112">
        <v>25</v>
      </c>
      <c r="E82" s="112">
        <v>13.29</v>
      </c>
      <c r="F82" s="112">
        <v>8.52</v>
      </c>
      <c r="G82" s="112">
        <v>44.68</v>
      </c>
      <c r="H82" s="112">
        <v>6.28</v>
      </c>
      <c r="I82" s="112">
        <v>3.5</v>
      </c>
      <c r="J82" s="112">
        <v>2.0699999999999998</v>
      </c>
      <c r="K82" s="112">
        <v>27.34</v>
      </c>
      <c r="L82" s="112">
        <v>25.22</v>
      </c>
      <c r="M82" s="112">
        <v>71.05</v>
      </c>
      <c r="N82" s="112">
        <v>0</v>
      </c>
      <c r="O82" s="112">
        <v>0.4</v>
      </c>
      <c r="P82" s="112">
        <v>0.4</v>
      </c>
      <c r="Q82" s="167" t="s">
        <v>14</v>
      </c>
    </row>
    <row r="83" spans="1:17" customFormat="1">
      <c r="A83" s="80">
        <v>45419.78125</v>
      </c>
      <c r="B83" s="112">
        <v>11.2</v>
      </c>
      <c r="C83" s="112">
        <v>13.15</v>
      </c>
      <c r="D83" s="112">
        <v>25</v>
      </c>
      <c r="E83" s="112">
        <v>14.76</v>
      </c>
      <c r="F83" s="112">
        <v>7.46</v>
      </c>
      <c r="G83" s="112">
        <v>44.68</v>
      </c>
      <c r="H83" s="112">
        <v>6.28</v>
      </c>
      <c r="I83" s="112">
        <v>3.57</v>
      </c>
      <c r="J83" s="112">
        <v>1.6</v>
      </c>
      <c r="K83" s="112">
        <v>31.54</v>
      </c>
      <c r="L83" s="112">
        <v>24.49</v>
      </c>
      <c r="M83" s="112">
        <v>75.5</v>
      </c>
      <c r="N83" s="112">
        <v>0</v>
      </c>
      <c r="O83" s="112">
        <v>0</v>
      </c>
      <c r="P83" s="112">
        <v>0.42</v>
      </c>
      <c r="Q83" s="167" t="s">
        <v>14</v>
      </c>
    </row>
    <row r="84" spans="1:17" customFormat="1">
      <c r="A84" s="80">
        <v>45419.791666666664</v>
      </c>
      <c r="B84" s="112">
        <v>11.2</v>
      </c>
      <c r="C84" s="112">
        <v>13.16</v>
      </c>
      <c r="D84" s="112">
        <v>25</v>
      </c>
      <c r="E84" s="112">
        <v>13.25</v>
      </c>
      <c r="F84" s="112">
        <v>5.55</v>
      </c>
      <c r="G84" s="112">
        <v>48.84</v>
      </c>
      <c r="H84" s="112">
        <v>9.9499999999999993</v>
      </c>
      <c r="I84" s="112">
        <v>3.63</v>
      </c>
      <c r="J84" s="112">
        <v>0.85</v>
      </c>
      <c r="K84" s="112">
        <v>289.49</v>
      </c>
      <c r="L84" s="112">
        <v>24.45</v>
      </c>
      <c r="M84" s="112">
        <v>74.3</v>
      </c>
      <c r="N84" s="112">
        <v>0</v>
      </c>
      <c r="O84" s="112">
        <v>0.6</v>
      </c>
      <c r="P84" s="112">
        <v>0.42</v>
      </c>
      <c r="Q84" s="167" t="s">
        <v>14</v>
      </c>
    </row>
    <row r="85" spans="1:17" customFormat="1">
      <c r="A85" s="80">
        <v>45419.802083333336</v>
      </c>
      <c r="B85" s="112">
        <v>11.18</v>
      </c>
      <c r="C85" s="112">
        <v>13.19</v>
      </c>
      <c r="D85" s="112">
        <v>25</v>
      </c>
      <c r="E85" s="112">
        <v>11.42</v>
      </c>
      <c r="F85" s="112">
        <v>1.7</v>
      </c>
      <c r="G85" s="112">
        <v>49.88</v>
      </c>
      <c r="H85" s="112">
        <v>9.9499999999999993</v>
      </c>
      <c r="I85" s="112">
        <v>3.73</v>
      </c>
      <c r="J85" s="112">
        <v>0.17</v>
      </c>
      <c r="K85" s="112">
        <v>304.23</v>
      </c>
      <c r="L85" s="112">
        <v>23.42</v>
      </c>
      <c r="M85" s="112">
        <v>86.93</v>
      </c>
      <c r="N85" s="112">
        <v>0</v>
      </c>
      <c r="O85" s="112">
        <v>1.6</v>
      </c>
      <c r="P85" s="112">
        <v>0.43</v>
      </c>
      <c r="Q85" s="167" t="s">
        <v>14</v>
      </c>
    </row>
    <row r="86" spans="1:17" customFormat="1">
      <c r="A86" s="80">
        <v>45419.8125</v>
      </c>
      <c r="B86" s="112">
        <v>11.17</v>
      </c>
      <c r="C86" s="112">
        <v>13.2</v>
      </c>
      <c r="D86" s="112">
        <v>25</v>
      </c>
      <c r="E86" s="112">
        <v>10.98</v>
      </c>
      <c r="F86" s="112">
        <v>1</v>
      </c>
      <c r="G86" s="112">
        <v>49.88</v>
      </c>
      <c r="H86" s="112">
        <v>9.9499999999999993</v>
      </c>
      <c r="I86" s="112">
        <v>3.81</v>
      </c>
      <c r="J86" s="112">
        <v>1.25</v>
      </c>
      <c r="K86" s="112">
        <v>296.64999999999998</v>
      </c>
      <c r="L86" s="112">
        <v>22.84</v>
      </c>
      <c r="M86" s="112">
        <v>90.25</v>
      </c>
      <c r="N86" s="112">
        <v>0</v>
      </c>
      <c r="O86" s="112">
        <v>0.8</v>
      </c>
      <c r="P86" s="112">
        <v>0.45</v>
      </c>
      <c r="Q86" s="167" t="s">
        <v>14</v>
      </c>
    </row>
    <row r="87" spans="1:17" customFormat="1">
      <c r="A87" s="80">
        <v>45419.822916666664</v>
      </c>
      <c r="B87" s="112">
        <v>11.14</v>
      </c>
      <c r="C87" s="112">
        <v>13.25</v>
      </c>
      <c r="D87" s="112">
        <v>25</v>
      </c>
      <c r="E87" s="112">
        <v>11.25</v>
      </c>
      <c r="F87" s="112">
        <v>1</v>
      </c>
      <c r="G87" s="112">
        <v>49.88</v>
      </c>
      <c r="H87" s="112">
        <v>9.9499999999999993</v>
      </c>
      <c r="I87" s="112">
        <v>3.87</v>
      </c>
      <c r="J87" s="112">
        <v>0.65</v>
      </c>
      <c r="K87" s="112">
        <v>235.49</v>
      </c>
      <c r="L87" s="112">
        <v>22.2</v>
      </c>
      <c r="M87" s="112">
        <v>98.84</v>
      </c>
      <c r="N87" s="112">
        <v>0</v>
      </c>
      <c r="O87" s="112">
        <v>1.2</v>
      </c>
      <c r="P87" s="112">
        <v>0.47</v>
      </c>
      <c r="Q87" s="167" t="s">
        <v>14</v>
      </c>
    </row>
    <row r="88" spans="1:17" customFormat="1">
      <c r="A88" s="80">
        <v>45419.833333333336</v>
      </c>
      <c r="B88" s="112">
        <v>11.15</v>
      </c>
      <c r="C88" s="112">
        <v>13.24</v>
      </c>
      <c r="D88" s="112">
        <v>25</v>
      </c>
      <c r="E88" s="112">
        <v>10.79</v>
      </c>
      <c r="F88" s="112">
        <v>1.1299999999999999</v>
      </c>
      <c r="G88" s="112">
        <v>52.89</v>
      </c>
      <c r="H88" s="112">
        <v>14.13</v>
      </c>
      <c r="I88" s="112">
        <v>3.96</v>
      </c>
      <c r="J88" s="112">
        <v>0.25</v>
      </c>
      <c r="K88" s="112">
        <v>135.57</v>
      </c>
      <c r="L88" s="112">
        <v>22.5</v>
      </c>
      <c r="M88" s="112">
        <v>101.27</v>
      </c>
      <c r="N88" s="112">
        <v>0</v>
      </c>
      <c r="O88" s="112">
        <v>0.6</v>
      </c>
      <c r="P88" s="112">
        <v>0.46</v>
      </c>
      <c r="Q88" s="167" t="s">
        <v>14</v>
      </c>
    </row>
    <row r="89" spans="1:17" customFormat="1">
      <c r="A89" s="80">
        <v>45419.84375</v>
      </c>
      <c r="B89" s="112">
        <v>11.16</v>
      </c>
      <c r="C89" s="112">
        <v>13.23</v>
      </c>
      <c r="D89" s="112">
        <v>25</v>
      </c>
      <c r="E89" s="112">
        <v>10.35</v>
      </c>
      <c r="F89" s="112">
        <v>1.23</v>
      </c>
      <c r="G89" s="112">
        <v>53.64</v>
      </c>
      <c r="H89" s="112">
        <v>14.13</v>
      </c>
      <c r="I89" s="112">
        <v>4.0199999999999996</v>
      </c>
      <c r="J89" s="112">
        <v>0.46</v>
      </c>
      <c r="K89" s="112">
        <v>123.1</v>
      </c>
      <c r="L89" s="112">
        <v>22.53</v>
      </c>
      <c r="M89" s="112">
        <v>101.49</v>
      </c>
      <c r="N89" s="112">
        <v>0</v>
      </c>
      <c r="O89" s="112">
        <v>0.8</v>
      </c>
      <c r="P89" s="112">
        <v>0.44</v>
      </c>
      <c r="Q89" s="167" t="s">
        <v>14</v>
      </c>
    </row>
    <row r="90" spans="1:17" customFormat="1">
      <c r="A90" s="80">
        <v>45419.854166666664</v>
      </c>
      <c r="B90" s="112">
        <v>11.19</v>
      </c>
      <c r="C90" s="112">
        <v>13.3</v>
      </c>
      <c r="D90" s="112">
        <v>25.07</v>
      </c>
      <c r="E90" s="112">
        <v>10.050000000000001</v>
      </c>
      <c r="F90" s="112">
        <v>1.27</v>
      </c>
      <c r="G90" s="112">
        <v>53.64</v>
      </c>
      <c r="H90" s="112">
        <v>14.13</v>
      </c>
      <c r="I90" s="112">
        <v>4.04</v>
      </c>
      <c r="J90" s="112">
        <v>0.51</v>
      </c>
      <c r="K90" s="112">
        <v>125.71</v>
      </c>
      <c r="L90" s="112">
        <v>22.14</v>
      </c>
      <c r="M90" s="112">
        <v>102.23</v>
      </c>
      <c r="N90" s="112">
        <v>0</v>
      </c>
      <c r="O90" s="112">
        <v>0.4</v>
      </c>
      <c r="P90" s="112">
        <v>0.44</v>
      </c>
      <c r="Q90" s="167" t="s">
        <v>14</v>
      </c>
    </row>
    <row r="91" spans="1:17" customFormat="1">
      <c r="A91" s="80">
        <v>45419.864583333336</v>
      </c>
      <c r="B91" s="112">
        <v>11.2</v>
      </c>
      <c r="C91" s="112">
        <v>13.2</v>
      </c>
      <c r="D91" s="112">
        <v>25.02</v>
      </c>
      <c r="E91" s="112">
        <v>10.43</v>
      </c>
      <c r="F91" s="112">
        <v>2.59</v>
      </c>
      <c r="G91" s="112">
        <v>53.64</v>
      </c>
      <c r="H91" s="112">
        <v>14.13</v>
      </c>
      <c r="I91" s="112">
        <v>4.03</v>
      </c>
      <c r="J91" s="112">
        <v>0.94</v>
      </c>
      <c r="K91" s="112">
        <v>151.87</v>
      </c>
      <c r="L91" s="112">
        <v>21.9</v>
      </c>
      <c r="M91" s="112">
        <v>102.97</v>
      </c>
      <c r="N91" s="112">
        <v>0</v>
      </c>
      <c r="O91" s="112">
        <v>0.4</v>
      </c>
      <c r="P91" s="112">
        <v>0.45</v>
      </c>
      <c r="Q91" s="167" t="s">
        <v>14</v>
      </c>
    </row>
    <row r="92" spans="1:17" customFormat="1">
      <c r="A92" s="80">
        <v>45419.875</v>
      </c>
      <c r="B92" s="112">
        <v>11.2</v>
      </c>
      <c r="C92" s="112">
        <v>13.17</v>
      </c>
      <c r="D92" s="112">
        <v>25</v>
      </c>
      <c r="E92" s="112">
        <v>10.24</v>
      </c>
      <c r="F92" s="112">
        <v>4.55</v>
      </c>
      <c r="G92" s="112">
        <v>45.16</v>
      </c>
      <c r="H92" s="112">
        <v>11.7</v>
      </c>
      <c r="I92" s="112">
        <v>3.98</v>
      </c>
      <c r="J92" s="112">
        <v>0.12</v>
      </c>
      <c r="K92" s="112">
        <v>210.07</v>
      </c>
      <c r="L92" s="112">
        <v>21.92</v>
      </c>
      <c r="M92" s="112">
        <v>102.92</v>
      </c>
      <c r="N92" s="112">
        <v>0</v>
      </c>
      <c r="O92" s="112">
        <v>0</v>
      </c>
      <c r="P92" s="112">
        <v>0.44</v>
      </c>
      <c r="Q92" s="167" t="s">
        <v>14</v>
      </c>
    </row>
    <row r="93" spans="1:17" customFormat="1">
      <c r="A93" s="80">
        <v>45419.885416666664</v>
      </c>
      <c r="B93" s="112">
        <v>11.18</v>
      </c>
      <c r="C93" s="112">
        <v>13.19</v>
      </c>
      <c r="D93" s="112">
        <v>25</v>
      </c>
      <c r="E93" s="112">
        <v>10.29</v>
      </c>
      <c r="F93" s="112">
        <v>2.96</v>
      </c>
      <c r="G93" s="112">
        <v>43.04</v>
      </c>
      <c r="H93" s="112">
        <v>11.7</v>
      </c>
      <c r="I93" s="112">
        <v>3.88</v>
      </c>
      <c r="J93" s="112">
        <v>0.54</v>
      </c>
      <c r="K93" s="112">
        <v>156.66999999999999</v>
      </c>
      <c r="L93" s="112">
        <v>22.51</v>
      </c>
      <c r="M93" s="112">
        <v>92.53</v>
      </c>
      <c r="N93" s="112">
        <v>0</v>
      </c>
      <c r="O93" s="112">
        <v>0</v>
      </c>
      <c r="P93" s="112">
        <v>0.44</v>
      </c>
      <c r="Q93" s="167" t="s">
        <v>14</v>
      </c>
    </row>
    <row r="94" spans="1:17" customFormat="1">
      <c r="A94" s="80">
        <v>45419.895833333336</v>
      </c>
      <c r="B94" s="112">
        <v>11.16</v>
      </c>
      <c r="C94" s="112">
        <v>13.22</v>
      </c>
      <c r="D94" s="112">
        <v>25</v>
      </c>
      <c r="E94" s="112">
        <v>9.92</v>
      </c>
      <c r="F94" s="112">
        <v>2.89</v>
      </c>
      <c r="G94" s="112">
        <v>43.04</v>
      </c>
      <c r="H94" s="112">
        <v>11.7</v>
      </c>
      <c r="I94" s="112">
        <v>3.79</v>
      </c>
      <c r="J94" s="112">
        <v>0.25</v>
      </c>
      <c r="K94" s="112">
        <v>215.67</v>
      </c>
      <c r="L94" s="112">
        <v>23.22</v>
      </c>
      <c r="M94" s="112">
        <v>85.54</v>
      </c>
      <c r="N94" s="112">
        <v>0</v>
      </c>
      <c r="O94" s="112">
        <v>0</v>
      </c>
      <c r="P94" s="112">
        <v>0.43</v>
      </c>
      <c r="Q94" s="167" t="s">
        <v>14</v>
      </c>
    </row>
    <row r="95" spans="1:17" customFormat="1">
      <c r="A95" s="80">
        <v>45419.90625</v>
      </c>
      <c r="B95" s="112">
        <v>11.15</v>
      </c>
      <c r="C95" s="112">
        <v>13.24</v>
      </c>
      <c r="D95" s="112">
        <v>25</v>
      </c>
      <c r="E95" s="112">
        <v>10.71</v>
      </c>
      <c r="F95" s="112">
        <v>2.48</v>
      </c>
      <c r="G95" s="112">
        <v>43.04</v>
      </c>
      <c r="H95" s="112">
        <v>11.7</v>
      </c>
      <c r="I95" s="112">
        <v>3.78</v>
      </c>
      <c r="J95" s="112">
        <v>0.12</v>
      </c>
      <c r="K95" s="112">
        <v>217.93</v>
      </c>
      <c r="L95" s="112">
        <v>23.66</v>
      </c>
      <c r="M95" s="112">
        <v>82.43</v>
      </c>
      <c r="N95" s="112">
        <v>0</v>
      </c>
      <c r="O95" s="112">
        <v>0</v>
      </c>
      <c r="P95" s="112">
        <v>0.43</v>
      </c>
      <c r="Q95" s="167" t="s">
        <v>14</v>
      </c>
    </row>
    <row r="96" spans="1:17" customFormat="1">
      <c r="A96" s="80">
        <v>45419.916666666664</v>
      </c>
      <c r="B96" s="112">
        <v>11.15</v>
      </c>
      <c r="C96" s="112">
        <v>13.23</v>
      </c>
      <c r="D96" s="112">
        <v>25</v>
      </c>
      <c r="E96" s="112">
        <v>10.029999999999999</v>
      </c>
      <c r="F96" s="112">
        <v>2.2799999999999998</v>
      </c>
      <c r="G96" s="112">
        <v>28.92</v>
      </c>
      <c r="H96" s="112">
        <v>8.19</v>
      </c>
      <c r="I96" s="112">
        <v>3.75</v>
      </c>
      <c r="J96" s="112">
        <v>0.24</v>
      </c>
      <c r="K96" s="112">
        <v>112.91</v>
      </c>
      <c r="L96" s="112">
        <v>24.52</v>
      </c>
      <c r="M96" s="112">
        <v>74.28</v>
      </c>
      <c r="N96" s="112">
        <v>0</v>
      </c>
      <c r="O96" s="112">
        <v>0</v>
      </c>
      <c r="P96" s="112">
        <v>0.43</v>
      </c>
      <c r="Q96" s="167" t="s">
        <v>14</v>
      </c>
    </row>
    <row r="97" spans="1:22" customFormat="1">
      <c r="A97" s="80">
        <v>45419.927083333336</v>
      </c>
      <c r="B97" s="112">
        <v>11.16</v>
      </c>
      <c r="C97" s="112">
        <v>13.22</v>
      </c>
      <c r="D97" s="112">
        <v>25</v>
      </c>
      <c r="E97" s="112">
        <v>10.85</v>
      </c>
      <c r="F97" s="112">
        <v>2.11</v>
      </c>
      <c r="G97" s="112">
        <v>25.39</v>
      </c>
      <c r="H97" s="112">
        <v>8.19</v>
      </c>
      <c r="I97" s="112">
        <v>3.7</v>
      </c>
      <c r="J97" s="112">
        <v>1.55</v>
      </c>
      <c r="K97" s="112">
        <v>63.72</v>
      </c>
      <c r="L97" s="112">
        <v>25.07</v>
      </c>
      <c r="M97" s="112">
        <v>68.62</v>
      </c>
      <c r="N97" s="112">
        <v>0</v>
      </c>
      <c r="O97" s="112">
        <v>0</v>
      </c>
      <c r="P97" s="112">
        <v>0.43</v>
      </c>
      <c r="Q97" s="167" t="s">
        <v>14</v>
      </c>
    </row>
    <row r="98" spans="1:22" customFormat="1">
      <c r="A98" s="80">
        <v>45419.9375</v>
      </c>
      <c r="B98" s="112">
        <v>11.17</v>
      </c>
      <c r="C98" s="112">
        <v>13.21</v>
      </c>
      <c r="D98" s="112">
        <v>25</v>
      </c>
      <c r="E98" s="112">
        <v>11.29</v>
      </c>
      <c r="F98" s="112">
        <v>2.46</v>
      </c>
      <c r="G98" s="112">
        <v>25.39</v>
      </c>
      <c r="H98" s="112">
        <v>8.19</v>
      </c>
      <c r="I98" s="112">
        <v>3.66</v>
      </c>
      <c r="J98" s="112">
        <v>2.9</v>
      </c>
      <c r="K98" s="112">
        <v>56.25</v>
      </c>
      <c r="L98" s="112">
        <v>25.15</v>
      </c>
      <c r="M98" s="112">
        <v>67.23</v>
      </c>
      <c r="N98" s="112">
        <v>0</v>
      </c>
      <c r="O98" s="112">
        <v>0</v>
      </c>
      <c r="P98" s="112">
        <v>0.42</v>
      </c>
      <c r="Q98" s="167" t="s">
        <v>14</v>
      </c>
    </row>
    <row r="99" spans="1:22" customFormat="1">
      <c r="A99" s="80">
        <v>45419.947916666664</v>
      </c>
      <c r="B99" s="112">
        <v>11.15</v>
      </c>
      <c r="C99" s="112">
        <v>13.24</v>
      </c>
      <c r="D99" s="112">
        <v>25</v>
      </c>
      <c r="E99" s="112">
        <v>11.51</v>
      </c>
      <c r="F99" s="112">
        <v>2.86</v>
      </c>
      <c r="G99" s="112">
        <v>25.39</v>
      </c>
      <c r="H99" s="112">
        <v>8.19</v>
      </c>
      <c r="I99" s="112">
        <v>3.63</v>
      </c>
      <c r="J99" s="112">
        <v>3.39</v>
      </c>
      <c r="K99" s="112">
        <v>51.93</v>
      </c>
      <c r="L99" s="112">
        <v>24.11</v>
      </c>
      <c r="M99" s="112">
        <v>75.63</v>
      </c>
      <c r="N99" s="112">
        <v>0</v>
      </c>
      <c r="O99" s="112">
        <v>0</v>
      </c>
      <c r="P99" s="112">
        <v>0.42</v>
      </c>
      <c r="Q99" s="167" t="s">
        <v>14</v>
      </c>
    </row>
    <row r="100" spans="1:22" customFormat="1">
      <c r="A100" s="80">
        <v>45419.958333333336</v>
      </c>
      <c r="B100" s="112">
        <v>11.17</v>
      </c>
      <c r="C100" s="112">
        <v>13.21</v>
      </c>
      <c r="D100" s="112">
        <v>25</v>
      </c>
      <c r="E100" s="112">
        <v>11.23</v>
      </c>
      <c r="F100" s="112">
        <v>2.77</v>
      </c>
      <c r="G100" s="112">
        <v>22.19</v>
      </c>
      <c r="H100" s="112">
        <v>7.14</v>
      </c>
      <c r="I100" s="112">
        <v>3.58</v>
      </c>
      <c r="J100" s="112">
        <v>2.4500000000000002</v>
      </c>
      <c r="K100" s="112">
        <v>51.83</v>
      </c>
      <c r="L100" s="112">
        <v>23.46</v>
      </c>
      <c r="M100" s="112">
        <v>79.760000000000005</v>
      </c>
      <c r="N100" s="112">
        <v>0</v>
      </c>
      <c r="O100" s="112">
        <v>0</v>
      </c>
      <c r="P100" s="112">
        <v>0.43</v>
      </c>
      <c r="Q100" s="167" t="s">
        <v>14</v>
      </c>
    </row>
    <row r="101" spans="1:22" customFormat="1">
      <c r="A101" s="80">
        <v>45419.96875</v>
      </c>
      <c r="B101" s="112">
        <v>11.15</v>
      </c>
      <c r="C101" s="112">
        <v>13.25</v>
      </c>
      <c r="D101" s="112">
        <v>25</v>
      </c>
      <c r="E101" s="112">
        <v>10.98</v>
      </c>
      <c r="F101" s="112">
        <v>1.83</v>
      </c>
      <c r="G101" s="112">
        <v>21.39</v>
      </c>
      <c r="H101" s="112">
        <v>7.14</v>
      </c>
      <c r="I101" s="112">
        <v>3.56</v>
      </c>
      <c r="J101" s="112">
        <v>1.88</v>
      </c>
      <c r="K101" s="112">
        <v>51.42</v>
      </c>
      <c r="L101" s="112">
        <v>23.32</v>
      </c>
      <c r="M101" s="112">
        <v>81.34</v>
      </c>
      <c r="N101" s="112">
        <v>0</v>
      </c>
      <c r="O101" s="112">
        <v>0</v>
      </c>
      <c r="P101" s="112">
        <v>0.43</v>
      </c>
      <c r="Q101" s="167" t="s">
        <v>14</v>
      </c>
    </row>
    <row r="102" spans="1:22" customFormat="1">
      <c r="A102" s="80">
        <v>45419.979166666664</v>
      </c>
      <c r="B102" s="112">
        <v>11.18</v>
      </c>
      <c r="C102" s="112">
        <v>13.23</v>
      </c>
      <c r="D102" s="112">
        <v>25.02</v>
      </c>
      <c r="E102" s="112">
        <v>10.84</v>
      </c>
      <c r="F102" s="112">
        <v>1.1200000000000001</v>
      </c>
      <c r="G102" s="112">
        <v>21.39</v>
      </c>
      <c r="H102" s="112">
        <v>7.14</v>
      </c>
      <c r="I102" s="112">
        <v>3.56</v>
      </c>
      <c r="J102" s="112">
        <v>1.75</v>
      </c>
      <c r="K102" s="112">
        <v>58.76</v>
      </c>
      <c r="L102" s="112">
        <v>23.22</v>
      </c>
      <c r="M102" s="112">
        <v>82.55</v>
      </c>
      <c r="N102" s="112">
        <v>0</v>
      </c>
      <c r="O102" s="112">
        <v>0</v>
      </c>
      <c r="P102" s="112">
        <v>0.43</v>
      </c>
      <c r="Q102" s="167" t="s">
        <v>14</v>
      </c>
    </row>
    <row r="103" spans="1:22" customFormat="1">
      <c r="A103" s="80">
        <v>45419.989583333336</v>
      </c>
      <c r="B103" s="112">
        <v>11.16</v>
      </c>
      <c r="C103" s="112">
        <v>13.22</v>
      </c>
      <c r="D103" s="112">
        <v>25</v>
      </c>
      <c r="E103" s="112">
        <v>10.87</v>
      </c>
      <c r="F103" s="112">
        <v>1</v>
      </c>
      <c r="G103" s="112">
        <v>21.39</v>
      </c>
      <c r="H103" s="112">
        <v>7.14</v>
      </c>
      <c r="I103" s="112">
        <v>3.57</v>
      </c>
      <c r="J103" s="112">
        <v>0.89</v>
      </c>
      <c r="K103" s="112">
        <v>52</v>
      </c>
      <c r="L103" s="112">
        <v>23.29</v>
      </c>
      <c r="M103" s="112">
        <v>82.9</v>
      </c>
      <c r="N103" s="112">
        <v>0</v>
      </c>
      <c r="O103" s="112">
        <v>0</v>
      </c>
      <c r="P103" s="112">
        <v>0.44</v>
      </c>
      <c r="Q103" s="167" t="s">
        <v>14</v>
      </c>
    </row>
    <row r="104" spans="1:22" customFormat="1">
      <c r="A104" s="80">
        <v>45420</v>
      </c>
      <c r="B104" s="112">
        <v>11.15</v>
      </c>
      <c r="C104" s="112">
        <v>13.24</v>
      </c>
      <c r="D104" s="112">
        <v>25</v>
      </c>
      <c r="E104" s="112">
        <v>10.69</v>
      </c>
      <c r="F104" s="112">
        <v>1</v>
      </c>
      <c r="G104" s="112">
        <v>24.32</v>
      </c>
      <c r="H104" s="112">
        <v>8.09</v>
      </c>
      <c r="I104" s="112">
        <v>3.59</v>
      </c>
      <c r="J104" s="112">
        <v>1.2</v>
      </c>
      <c r="K104" s="112">
        <v>48.55</v>
      </c>
      <c r="L104" s="112">
        <v>23.38</v>
      </c>
      <c r="M104" s="112">
        <v>83.03</v>
      </c>
      <c r="N104" s="112">
        <v>0</v>
      </c>
      <c r="O104" s="112">
        <v>0</v>
      </c>
      <c r="P104" s="112">
        <v>0.43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11.09</v>
      </c>
      <c r="C106" s="183">
        <f>MIN(C9:C104)</f>
        <v>13.04</v>
      </c>
      <c r="D106" s="183">
        <f t="shared" ref="D106:Q106" si="0">MIN(D9:D104)</f>
        <v>25</v>
      </c>
      <c r="E106" s="183">
        <f t="shared" si="0"/>
        <v>9.92</v>
      </c>
      <c r="F106" s="183">
        <f t="shared" si="0"/>
        <v>1</v>
      </c>
      <c r="G106" s="183">
        <f t="shared" si="0"/>
        <v>19.05</v>
      </c>
      <c r="H106" s="183">
        <f t="shared" si="0"/>
        <v>6.28</v>
      </c>
      <c r="I106" s="183">
        <f t="shared" si="0"/>
        <v>3.11</v>
      </c>
      <c r="J106" s="183">
        <f t="shared" si="0"/>
        <v>0.1</v>
      </c>
      <c r="K106" s="183">
        <f t="shared" si="0"/>
        <v>27.34</v>
      </c>
      <c r="L106" s="183">
        <f t="shared" si="0"/>
        <v>21.9</v>
      </c>
      <c r="M106" s="183">
        <f t="shared" si="0"/>
        <v>32.57</v>
      </c>
      <c r="N106" s="183">
        <f t="shared" si="0"/>
        <v>0</v>
      </c>
      <c r="O106" s="183">
        <f t="shared" si="0"/>
        <v>0</v>
      </c>
      <c r="P106" s="183">
        <f t="shared" si="0"/>
        <v>0.26</v>
      </c>
      <c r="Q106" s="183">
        <f t="shared" si="0"/>
        <v>4.63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11.35</v>
      </c>
      <c r="C107" s="184">
        <f t="shared" ref="C107:Q107" si="1">MAX(C9:C104)</f>
        <v>13.33</v>
      </c>
      <c r="D107" s="184">
        <f t="shared" si="1"/>
        <v>25.15</v>
      </c>
      <c r="E107" s="184">
        <f t="shared" si="1"/>
        <v>22.37</v>
      </c>
      <c r="F107" s="184">
        <f t="shared" si="1"/>
        <v>28.69</v>
      </c>
      <c r="G107" s="184">
        <f t="shared" si="1"/>
        <v>56.77</v>
      </c>
      <c r="H107" s="184">
        <f t="shared" si="1"/>
        <v>17.96</v>
      </c>
      <c r="I107" s="184">
        <f t="shared" si="1"/>
        <v>7.29</v>
      </c>
      <c r="J107" s="184">
        <f t="shared" si="1"/>
        <v>3.49</v>
      </c>
      <c r="K107" s="184">
        <f t="shared" si="1"/>
        <v>340.97</v>
      </c>
      <c r="L107" s="184">
        <f t="shared" si="1"/>
        <v>38.56</v>
      </c>
      <c r="M107" s="184">
        <f t="shared" si="1"/>
        <v>102.97</v>
      </c>
      <c r="N107" s="184">
        <f t="shared" si="1"/>
        <v>805.7</v>
      </c>
      <c r="O107" s="184">
        <f t="shared" si="1"/>
        <v>1.6</v>
      </c>
      <c r="P107" s="184">
        <f t="shared" si="1"/>
        <v>0.56000000000000005</v>
      </c>
      <c r="Q107" s="184">
        <f t="shared" si="1"/>
        <v>4.63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11.240520833333335</v>
      </c>
      <c r="C108" s="183">
        <f t="shared" ref="C108:Q108" si="2">AVERAGE(C9:C104)</f>
        <v>13.158750000000003</v>
      </c>
      <c r="D108" s="183">
        <f t="shared" si="2"/>
        <v>25.032291666666662</v>
      </c>
      <c r="E108" s="183">
        <f t="shared" si="2"/>
        <v>12.478749999999998</v>
      </c>
      <c r="F108" s="183">
        <f t="shared" si="2"/>
        <v>8.1469791666666698</v>
      </c>
      <c r="G108" s="183">
        <f t="shared" si="2"/>
        <v>35.227708333333311</v>
      </c>
      <c r="H108" s="183">
        <f t="shared" si="2"/>
        <v>11.091354166666674</v>
      </c>
      <c r="I108" s="183">
        <f t="shared" si="2"/>
        <v>4.7280208333333329</v>
      </c>
      <c r="J108" s="183">
        <f t="shared" si="2"/>
        <v>0.85072916666666698</v>
      </c>
      <c r="K108" s="183">
        <f t="shared" si="2"/>
        <v>202.41552083333329</v>
      </c>
      <c r="L108" s="183">
        <f t="shared" si="2"/>
        <v>30.309895833333332</v>
      </c>
      <c r="M108" s="183">
        <f t="shared" si="2"/>
        <v>53.074583333333322</v>
      </c>
      <c r="N108" s="183">
        <f t="shared" si="2"/>
        <v>183.56250000000003</v>
      </c>
      <c r="O108" s="183">
        <f t="shared" si="2"/>
        <v>7.0833333333333345E-2</v>
      </c>
      <c r="P108" s="183">
        <f t="shared" si="2"/>
        <v>0.41187500000000005</v>
      </c>
      <c r="Q108" s="183">
        <f t="shared" si="2"/>
        <v>4.63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6.1923038679462736E-2</v>
      </c>
      <c r="C109" s="183">
        <f t="shared" ref="C109:P109" si="3">STDEV(C9:C104)</f>
        <v>6.0179555892083757E-2</v>
      </c>
      <c r="D109" s="183">
        <f t="shared" si="3"/>
        <v>3.5967212164375074E-2</v>
      </c>
      <c r="E109" s="183">
        <f t="shared" si="3"/>
        <v>1.9266842256226508</v>
      </c>
      <c r="F109" s="183">
        <f t="shared" si="3"/>
        <v>5.8136491158021064</v>
      </c>
      <c r="G109" s="183">
        <f t="shared" si="3"/>
        <v>11.499723976473962</v>
      </c>
      <c r="H109" s="183">
        <f t="shared" si="3"/>
        <v>3.2949500818171025</v>
      </c>
      <c r="I109" s="183">
        <f t="shared" si="3"/>
        <v>1.1562167159742367</v>
      </c>
      <c r="J109" s="183">
        <f t="shared" si="3"/>
        <v>0.69996126929193114</v>
      </c>
      <c r="K109" s="183">
        <f t="shared" si="3"/>
        <v>74.988194128631136</v>
      </c>
      <c r="L109" s="183">
        <f t="shared" si="3"/>
        <v>4.9501918080417484</v>
      </c>
      <c r="M109" s="183">
        <f t="shared" si="3"/>
        <v>20.163247802123205</v>
      </c>
      <c r="N109" s="183">
        <f t="shared" si="3"/>
        <v>279.68088629345897</v>
      </c>
      <c r="O109" s="183">
        <f t="shared" si="3"/>
        <v>0.25127743805839986</v>
      </c>
      <c r="P109" s="183">
        <f t="shared" si="3"/>
        <v>7.7232560627319799E-2</v>
      </c>
      <c r="Q109" s="167" t="s">
        <v>14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1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Q108" sqref="Q108:Q10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45420.010416666664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45420.010416666664</v>
      </c>
      <c r="B9" s="112">
        <v>11.15</v>
      </c>
      <c r="C9" s="112">
        <v>13.25</v>
      </c>
      <c r="D9" s="112">
        <v>25</v>
      </c>
      <c r="E9" s="112">
        <v>10.61</v>
      </c>
      <c r="F9" s="112">
        <v>1</v>
      </c>
      <c r="G9" s="112">
        <v>25.05</v>
      </c>
      <c r="H9" s="112">
        <v>8.09</v>
      </c>
      <c r="I9" s="112">
        <v>3.63</v>
      </c>
      <c r="J9" s="112">
        <v>0.33</v>
      </c>
      <c r="K9" s="112">
        <v>349.74</v>
      </c>
      <c r="L9" s="112">
        <v>23.47</v>
      </c>
      <c r="M9" s="112">
        <v>83.23</v>
      </c>
      <c r="N9" s="112">
        <v>0</v>
      </c>
      <c r="O9" s="112">
        <v>0</v>
      </c>
      <c r="P9" s="112">
        <v>0.43</v>
      </c>
      <c r="Q9" s="167" t="s">
        <v>14</v>
      </c>
    </row>
    <row r="10" spans="1:21" customFormat="1">
      <c r="A10" s="80">
        <v>45420.020833333336</v>
      </c>
      <c r="B10" s="112">
        <v>11.12</v>
      </c>
      <c r="C10" s="112">
        <v>13.27</v>
      </c>
      <c r="D10" s="112">
        <v>25</v>
      </c>
      <c r="E10" s="112">
        <v>11.02</v>
      </c>
      <c r="F10" s="112">
        <v>1</v>
      </c>
      <c r="G10" s="112">
        <v>25.05</v>
      </c>
      <c r="H10" s="112">
        <v>8.09</v>
      </c>
      <c r="I10" s="112">
        <v>3.67</v>
      </c>
      <c r="J10" s="112">
        <v>0.35</v>
      </c>
      <c r="K10" s="112">
        <v>272.01</v>
      </c>
      <c r="L10" s="112">
        <v>23.37</v>
      </c>
      <c r="M10" s="112">
        <v>83.83</v>
      </c>
      <c r="N10" s="112">
        <v>0</v>
      </c>
      <c r="O10" s="112">
        <v>0</v>
      </c>
      <c r="P10" s="112">
        <v>0.43</v>
      </c>
      <c r="Q10" s="167" t="s">
        <v>14</v>
      </c>
    </row>
    <row r="11" spans="1:21" customFormat="1">
      <c r="A11" s="80">
        <v>45420.03125</v>
      </c>
      <c r="B11" s="112">
        <v>11.12</v>
      </c>
      <c r="C11" s="112">
        <v>13.27</v>
      </c>
      <c r="D11" s="112">
        <v>25</v>
      </c>
      <c r="E11" s="112">
        <v>11.84</v>
      </c>
      <c r="F11" s="112">
        <v>3.86</v>
      </c>
      <c r="G11" s="112">
        <v>25.05</v>
      </c>
      <c r="H11" s="112">
        <v>8.09</v>
      </c>
      <c r="I11" s="112">
        <v>3.7</v>
      </c>
      <c r="J11" s="112">
        <v>0.69</v>
      </c>
      <c r="K11" s="112">
        <v>283.89999999999998</v>
      </c>
      <c r="L11" s="112">
        <v>23.51</v>
      </c>
      <c r="M11" s="112">
        <v>81.3</v>
      </c>
      <c r="N11" s="112">
        <v>0</v>
      </c>
      <c r="O11" s="112">
        <v>0</v>
      </c>
      <c r="P11" s="112">
        <v>0.44</v>
      </c>
      <c r="Q11" s="167" t="s">
        <v>14</v>
      </c>
    </row>
    <row r="12" spans="1:21" customFormat="1">
      <c r="A12" s="80">
        <v>45420.041666666664</v>
      </c>
      <c r="B12" s="112">
        <v>11.13</v>
      </c>
      <c r="C12" s="112">
        <v>13.26</v>
      </c>
      <c r="D12" s="112">
        <v>25</v>
      </c>
      <c r="E12" s="112">
        <v>11.88</v>
      </c>
      <c r="F12" s="112">
        <v>2.62</v>
      </c>
      <c r="G12" s="112">
        <v>27.43</v>
      </c>
      <c r="H12" s="112">
        <v>7.8</v>
      </c>
      <c r="I12" s="112">
        <v>3.75</v>
      </c>
      <c r="J12" s="112">
        <v>0.56000000000000005</v>
      </c>
      <c r="K12" s="112">
        <v>274.10000000000002</v>
      </c>
      <c r="L12" s="112">
        <v>23.75</v>
      </c>
      <c r="M12" s="112">
        <v>78.680000000000007</v>
      </c>
      <c r="N12" s="112">
        <v>0</v>
      </c>
      <c r="O12" s="112">
        <v>0</v>
      </c>
      <c r="P12" s="112">
        <v>0.44</v>
      </c>
      <c r="Q12" s="167" t="s">
        <v>14</v>
      </c>
    </row>
    <row r="13" spans="1:21" customFormat="1">
      <c r="A13" s="80">
        <v>45420.052083333336</v>
      </c>
      <c r="B13" s="112">
        <v>11.1</v>
      </c>
      <c r="C13" s="112">
        <v>13.31</v>
      </c>
      <c r="D13" s="112">
        <v>25</v>
      </c>
      <c r="E13" s="112">
        <v>11.05</v>
      </c>
      <c r="F13" s="112">
        <v>2.34</v>
      </c>
      <c r="G13" s="112">
        <v>28.03</v>
      </c>
      <c r="H13" s="112">
        <v>7.8</v>
      </c>
      <c r="I13" s="112">
        <v>3.75</v>
      </c>
      <c r="J13" s="112">
        <v>0.32</v>
      </c>
      <c r="K13" s="112">
        <v>221.26</v>
      </c>
      <c r="L13" s="112">
        <v>23.83</v>
      </c>
      <c r="M13" s="112">
        <v>80.34</v>
      </c>
      <c r="N13" s="112">
        <v>0</v>
      </c>
      <c r="O13" s="112">
        <v>0</v>
      </c>
      <c r="P13" s="112">
        <v>0.45</v>
      </c>
      <c r="Q13" s="167" t="s">
        <v>14</v>
      </c>
    </row>
    <row r="14" spans="1:21" customFormat="1">
      <c r="A14" s="80">
        <v>45420.0625</v>
      </c>
      <c r="B14" s="112">
        <v>11.1</v>
      </c>
      <c r="C14" s="112">
        <v>13.32</v>
      </c>
      <c r="D14" s="112">
        <v>25</v>
      </c>
      <c r="E14" s="112">
        <v>11.22</v>
      </c>
      <c r="F14" s="112">
        <v>1.42</v>
      </c>
      <c r="G14" s="112">
        <v>28.03</v>
      </c>
      <c r="H14" s="112">
        <v>7.8</v>
      </c>
      <c r="I14" s="112">
        <v>3.8</v>
      </c>
      <c r="J14" s="112">
        <v>0.62</v>
      </c>
      <c r="K14" s="112">
        <v>256.16000000000003</v>
      </c>
      <c r="L14" s="112">
        <v>23.74</v>
      </c>
      <c r="M14" s="112">
        <v>81.56</v>
      </c>
      <c r="N14" s="112">
        <v>0</v>
      </c>
      <c r="O14" s="112">
        <v>0</v>
      </c>
      <c r="P14" s="112">
        <v>0.45</v>
      </c>
      <c r="Q14" s="167" t="s">
        <v>14</v>
      </c>
    </row>
    <row r="15" spans="1:21" customFormat="1">
      <c r="A15" s="80">
        <v>45420.072916666664</v>
      </c>
      <c r="B15" s="112">
        <v>11.1</v>
      </c>
      <c r="C15" s="112">
        <v>13.32</v>
      </c>
      <c r="D15" s="112">
        <v>25</v>
      </c>
      <c r="E15" s="112">
        <v>10.87</v>
      </c>
      <c r="F15" s="112">
        <v>4.01</v>
      </c>
      <c r="G15" s="112">
        <v>28.03</v>
      </c>
      <c r="H15" s="112">
        <v>7.8</v>
      </c>
      <c r="I15" s="112">
        <v>3.88</v>
      </c>
      <c r="J15" s="112">
        <v>1.01</v>
      </c>
      <c r="K15" s="112">
        <v>252.08</v>
      </c>
      <c r="L15" s="112">
        <v>23.44</v>
      </c>
      <c r="M15" s="112">
        <v>83.01</v>
      </c>
      <c r="N15" s="112">
        <v>0</v>
      </c>
      <c r="O15" s="112">
        <v>0</v>
      </c>
      <c r="P15" s="112">
        <v>0.44</v>
      </c>
      <c r="Q15" s="167" t="s">
        <v>14</v>
      </c>
    </row>
    <row r="16" spans="1:21" customFormat="1">
      <c r="A16" s="80">
        <v>45420.083333333336</v>
      </c>
      <c r="B16" s="112">
        <v>11.09</v>
      </c>
      <c r="C16" s="112">
        <v>13.33</v>
      </c>
      <c r="D16" s="112">
        <v>25</v>
      </c>
      <c r="E16" s="112">
        <v>10.220000000000001</v>
      </c>
      <c r="F16" s="112">
        <v>1.56</v>
      </c>
      <c r="G16" s="112">
        <v>30.84</v>
      </c>
      <c r="H16" s="112">
        <v>11.57</v>
      </c>
      <c r="I16" s="112">
        <v>3.98</v>
      </c>
      <c r="J16" s="112">
        <v>0.34</v>
      </c>
      <c r="K16" s="112">
        <v>220.25</v>
      </c>
      <c r="L16" s="112">
        <v>23.05</v>
      </c>
      <c r="M16" s="112">
        <v>86.17</v>
      </c>
      <c r="N16" s="112">
        <v>0</v>
      </c>
      <c r="O16" s="112">
        <v>0</v>
      </c>
      <c r="P16" s="112">
        <v>0.43</v>
      </c>
      <c r="Q16" s="167" t="s">
        <v>14</v>
      </c>
    </row>
    <row r="17" spans="1:17" customFormat="1">
      <c r="A17" s="80">
        <v>45420.09375</v>
      </c>
      <c r="B17" s="112">
        <v>11.07</v>
      </c>
      <c r="C17" s="112">
        <v>13.35</v>
      </c>
      <c r="D17" s="112">
        <v>25</v>
      </c>
      <c r="E17" s="112">
        <v>9.43</v>
      </c>
      <c r="F17" s="112">
        <v>1.1000000000000001</v>
      </c>
      <c r="G17" s="112">
        <v>31.55</v>
      </c>
      <c r="H17" s="112">
        <v>11.57</v>
      </c>
      <c r="I17" s="112">
        <v>4.04</v>
      </c>
      <c r="J17" s="112">
        <v>0.48</v>
      </c>
      <c r="K17" s="112">
        <v>241.17</v>
      </c>
      <c r="L17" s="112">
        <v>22.92</v>
      </c>
      <c r="M17" s="112">
        <v>86.84</v>
      </c>
      <c r="N17" s="112">
        <v>0</v>
      </c>
      <c r="O17" s="112">
        <v>0</v>
      </c>
      <c r="P17" s="112">
        <v>0.42</v>
      </c>
      <c r="Q17" s="167" t="s">
        <v>14</v>
      </c>
    </row>
    <row r="18" spans="1:17" customFormat="1">
      <c r="A18" s="80">
        <v>45420.104166666664</v>
      </c>
      <c r="B18" s="112">
        <v>11.09</v>
      </c>
      <c r="C18" s="112">
        <v>13.33</v>
      </c>
      <c r="D18" s="112">
        <v>25</v>
      </c>
      <c r="E18" s="112">
        <v>11.19</v>
      </c>
      <c r="F18" s="112">
        <v>1</v>
      </c>
      <c r="G18" s="112">
        <v>31.55</v>
      </c>
      <c r="H18" s="112">
        <v>11.57</v>
      </c>
      <c r="I18" s="112">
        <v>4.04</v>
      </c>
      <c r="J18" s="112">
        <v>0.49</v>
      </c>
      <c r="K18" s="112">
        <v>248.94</v>
      </c>
      <c r="L18" s="112">
        <v>22.85</v>
      </c>
      <c r="M18" s="112">
        <v>87.03</v>
      </c>
      <c r="N18" s="112">
        <v>0</v>
      </c>
      <c r="O18" s="112">
        <v>0</v>
      </c>
      <c r="P18" s="112">
        <v>0.43</v>
      </c>
      <c r="Q18" s="167" t="s">
        <v>14</v>
      </c>
    </row>
    <row r="19" spans="1:17" customFormat="1">
      <c r="A19" s="80">
        <v>45420.114583333336</v>
      </c>
      <c r="B19" s="112">
        <v>11.07</v>
      </c>
      <c r="C19" s="112">
        <v>13.36</v>
      </c>
      <c r="D19" s="112">
        <v>25</v>
      </c>
      <c r="E19" s="112">
        <v>11.28</v>
      </c>
      <c r="F19" s="112">
        <v>3.96</v>
      </c>
      <c r="G19" s="112">
        <v>31.55</v>
      </c>
      <c r="H19" s="112">
        <v>11.57</v>
      </c>
      <c r="I19" s="112">
        <v>4.13</v>
      </c>
      <c r="J19" s="112">
        <v>0.39</v>
      </c>
      <c r="K19" s="112">
        <v>237.83</v>
      </c>
      <c r="L19" s="112">
        <v>22.83</v>
      </c>
      <c r="M19" s="112">
        <v>87.2</v>
      </c>
      <c r="N19" s="112">
        <v>0</v>
      </c>
      <c r="O19" s="112">
        <v>0</v>
      </c>
      <c r="P19" s="112">
        <v>0.45</v>
      </c>
      <c r="Q19" s="167" t="s">
        <v>14</v>
      </c>
    </row>
    <row r="20" spans="1:17" customFormat="1">
      <c r="A20" s="80">
        <v>45420.125</v>
      </c>
      <c r="B20" s="112">
        <v>11.07</v>
      </c>
      <c r="C20" s="112">
        <v>13.35</v>
      </c>
      <c r="D20" s="112">
        <v>25</v>
      </c>
      <c r="E20" s="112">
        <v>11.86</v>
      </c>
      <c r="F20" s="112">
        <v>1.6</v>
      </c>
      <c r="G20" s="112">
        <v>27.01</v>
      </c>
      <c r="H20" s="112">
        <v>11.82</v>
      </c>
      <c r="I20" s="112">
        <v>4.1900000000000004</v>
      </c>
      <c r="J20" s="112">
        <v>0.21</v>
      </c>
      <c r="K20" s="112">
        <v>193.04</v>
      </c>
      <c r="L20" s="112">
        <v>22.69</v>
      </c>
      <c r="M20" s="112">
        <v>88.44</v>
      </c>
      <c r="N20" s="112">
        <v>0</v>
      </c>
      <c r="O20" s="112">
        <v>0</v>
      </c>
      <c r="P20" s="112">
        <v>0.47</v>
      </c>
      <c r="Q20" s="167" t="s">
        <v>14</v>
      </c>
    </row>
    <row r="21" spans="1:17" customFormat="1">
      <c r="A21" s="80">
        <v>45420.135416666664</v>
      </c>
      <c r="B21" s="112">
        <v>11.08</v>
      </c>
      <c r="C21" s="112">
        <v>13.35</v>
      </c>
      <c r="D21" s="112">
        <v>25</v>
      </c>
      <c r="E21" s="112">
        <v>12.47</v>
      </c>
      <c r="F21" s="112">
        <v>1</v>
      </c>
      <c r="G21" s="112">
        <v>25.88</v>
      </c>
      <c r="H21" s="112">
        <v>11.82</v>
      </c>
      <c r="I21" s="112">
        <v>4.24</v>
      </c>
      <c r="J21" s="112">
        <v>0.32</v>
      </c>
      <c r="K21" s="112">
        <v>231.9</v>
      </c>
      <c r="L21" s="112">
        <v>22.62</v>
      </c>
      <c r="M21" s="112">
        <v>88.66</v>
      </c>
      <c r="N21" s="112">
        <v>0</v>
      </c>
      <c r="O21" s="112">
        <v>0</v>
      </c>
      <c r="P21" s="112">
        <v>0.48</v>
      </c>
      <c r="Q21" s="167" t="s">
        <v>14</v>
      </c>
    </row>
    <row r="22" spans="1:17" customFormat="1">
      <c r="A22" s="80">
        <v>45420.145833333336</v>
      </c>
      <c r="B22" s="112">
        <v>11.06</v>
      </c>
      <c r="C22" s="112">
        <v>13.37</v>
      </c>
      <c r="D22" s="112">
        <v>25</v>
      </c>
      <c r="E22" s="112">
        <v>12.06</v>
      </c>
      <c r="F22" s="112">
        <v>1</v>
      </c>
      <c r="G22" s="112">
        <v>25.88</v>
      </c>
      <c r="H22" s="112">
        <v>11.82</v>
      </c>
      <c r="I22" s="112">
        <v>4.28</v>
      </c>
      <c r="J22" s="112">
        <v>0.23</v>
      </c>
      <c r="K22" s="112">
        <v>226.05</v>
      </c>
      <c r="L22" s="112">
        <v>22.72</v>
      </c>
      <c r="M22" s="112">
        <v>87.86</v>
      </c>
      <c r="N22" s="112">
        <v>0</v>
      </c>
      <c r="O22" s="112">
        <v>0</v>
      </c>
      <c r="P22" s="112">
        <v>0.46</v>
      </c>
      <c r="Q22" s="167" t="s">
        <v>14</v>
      </c>
    </row>
    <row r="23" spans="1:17" customFormat="1">
      <c r="A23" s="80">
        <v>45420.15625</v>
      </c>
      <c r="B23" s="112">
        <v>11.07</v>
      </c>
      <c r="C23" s="112">
        <v>13.36</v>
      </c>
      <c r="D23" s="112">
        <v>25</v>
      </c>
      <c r="E23" s="112">
        <v>11.17</v>
      </c>
      <c r="F23" s="112">
        <v>1.23</v>
      </c>
      <c r="G23" s="112">
        <v>25.88</v>
      </c>
      <c r="H23" s="112">
        <v>11.82</v>
      </c>
      <c r="I23" s="112">
        <v>4.32</v>
      </c>
      <c r="J23" s="112">
        <v>0.25</v>
      </c>
      <c r="K23" s="112">
        <v>250.91</v>
      </c>
      <c r="L23" s="112">
        <v>22.73</v>
      </c>
      <c r="M23" s="112">
        <v>87.53</v>
      </c>
      <c r="N23" s="112">
        <v>0</v>
      </c>
      <c r="O23" s="112">
        <v>0</v>
      </c>
      <c r="P23" s="112">
        <v>0.45</v>
      </c>
      <c r="Q23" s="167" t="s">
        <v>14</v>
      </c>
    </row>
    <row r="24" spans="1:17" customFormat="1">
      <c r="A24" s="80">
        <v>45420.166666666664</v>
      </c>
      <c r="B24" s="112">
        <v>11.1</v>
      </c>
      <c r="C24" s="112">
        <v>13.31</v>
      </c>
      <c r="D24" s="112">
        <v>25</v>
      </c>
      <c r="E24" s="112">
        <v>11.92</v>
      </c>
      <c r="F24" s="112">
        <v>1.22</v>
      </c>
      <c r="G24" s="112">
        <v>22.7</v>
      </c>
      <c r="H24" s="112">
        <v>10.18</v>
      </c>
      <c r="I24" s="112">
        <v>4.43</v>
      </c>
      <c r="J24" s="112">
        <v>0.42</v>
      </c>
      <c r="K24" s="112">
        <v>275.08999999999997</v>
      </c>
      <c r="L24" s="112">
        <v>22.7</v>
      </c>
      <c r="M24" s="112">
        <v>86.19</v>
      </c>
      <c r="N24" s="112">
        <v>0</v>
      </c>
      <c r="O24" s="112">
        <v>0</v>
      </c>
      <c r="P24" s="112">
        <v>0.44</v>
      </c>
      <c r="Q24" s="167" t="s">
        <v>14</v>
      </c>
    </row>
    <row r="25" spans="1:17" customFormat="1">
      <c r="A25" s="80">
        <v>45420.177083333336</v>
      </c>
      <c r="B25" s="112">
        <v>11.1</v>
      </c>
      <c r="C25" s="112">
        <v>13.32</v>
      </c>
      <c r="D25" s="112">
        <v>25</v>
      </c>
      <c r="E25" s="112">
        <v>11.05</v>
      </c>
      <c r="F25" s="112">
        <v>1</v>
      </c>
      <c r="G25" s="112">
        <v>21.9</v>
      </c>
      <c r="H25" s="112">
        <v>10.18</v>
      </c>
      <c r="I25" s="112">
        <v>4.43</v>
      </c>
      <c r="J25" s="112">
        <v>0.45</v>
      </c>
      <c r="K25" s="112">
        <v>288.91000000000003</v>
      </c>
      <c r="L25" s="112">
        <v>22.73</v>
      </c>
      <c r="M25" s="112">
        <v>85.12</v>
      </c>
      <c r="N25" s="112">
        <v>0</v>
      </c>
      <c r="O25" s="112">
        <v>0</v>
      </c>
      <c r="P25" s="112">
        <v>0.45</v>
      </c>
      <c r="Q25" s="167" t="s">
        <v>14</v>
      </c>
    </row>
    <row r="26" spans="1:17" customFormat="1">
      <c r="A26" s="80">
        <v>45420.1875</v>
      </c>
      <c r="B26" s="112">
        <v>11.09</v>
      </c>
      <c r="C26" s="112">
        <v>13.32</v>
      </c>
      <c r="D26" s="112">
        <v>25</v>
      </c>
      <c r="E26" s="112">
        <v>11.81</v>
      </c>
      <c r="F26" s="112">
        <v>1</v>
      </c>
      <c r="G26" s="112">
        <v>21.9</v>
      </c>
      <c r="H26" s="112">
        <v>10.18</v>
      </c>
      <c r="I26" s="112">
        <v>4.43</v>
      </c>
      <c r="J26" s="112">
        <v>0.46</v>
      </c>
      <c r="K26" s="112">
        <v>294.47000000000003</v>
      </c>
      <c r="L26" s="112">
        <v>23.08</v>
      </c>
      <c r="M26" s="112">
        <v>82.76</v>
      </c>
      <c r="N26" s="112">
        <v>0</v>
      </c>
      <c r="O26" s="112">
        <v>0</v>
      </c>
      <c r="P26" s="112">
        <v>0.45</v>
      </c>
      <c r="Q26" s="167" t="s">
        <v>14</v>
      </c>
    </row>
    <row r="27" spans="1:17" customFormat="1">
      <c r="A27" s="80">
        <v>45420.197916666664</v>
      </c>
      <c r="B27" s="112">
        <v>11.08</v>
      </c>
      <c r="C27" s="112">
        <v>13.34</v>
      </c>
      <c r="D27" s="112">
        <v>25</v>
      </c>
      <c r="E27" s="112">
        <v>11.88</v>
      </c>
      <c r="F27" s="112">
        <v>1</v>
      </c>
      <c r="G27" s="112">
        <v>21.9</v>
      </c>
      <c r="H27" s="112">
        <v>10.18</v>
      </c>
      <c r="I27" s="112">
        <v>4.45</v>
      </c>
      <c r="J27" s="112">
        <v>0.52</v>
      </c>
      <c r="K27" s="112">
        <v>257.2</v>
      </c>
      <c r="L27" s="112">
        <v>23.18</v>
      </c>
      <c r="M27" s="112">
        <v>82.22</v>
      </c>
      <c r="N27" s="112">
        <v>0</v>
      </c>
      <c r="O27" s="112">
        <v>0</v>
      </c>
      <c r="P27" s="112">
        <v>0.44</v>
      </c>
      <c r="Q27" s="167" t="s">
        <v>14</v>
      </c>
    </row>
    <row r="28" spans="1:17" customFormat="1">
      <c r="A28" s="80">
        <v>45420.208333333336</v>
      </c>
      <c r="B28" s="112">
        <v>11.12</v>
      </c>
      <c r="C28" s="112">
        <v>13.28</v>
      </c>
      <c r="D28" s="112">
        <v>25</v>
      </c>
      <c r="E28" s="112">
        <v>11.53</v>
      </c>
      <c r="F28" s="112">
        <v>1.08</v>
      </c>
      <c r="G28" s="112">
        <v>19.57</v>
      </c>
      <c r="H28" s="112">
        <v>8.0500000000000007</v>
      </c>
      <c r="I28" s="112">
        <v>4.47</v>
      </c>
      <c r="J28" s="112">
        <v>0.66</v>
      </c>
      <c r="K28" s="112">
        <v>250.02</v>
      </c>
      <c r="L28" s="112">
        <v>23.16</v>
      </c>
      <c r="M28" s="112">
        <v>81.37</v>
      </c>
      <c r="N28" s="112">
        <v>0</v>
      </c>
      <c r="O28" s="112">
        <v>0</v>
      </c>
      <c r="P28" s="112">
        <v>0.44</v>
      </c>
      <c r="Q28" s="167" t="s">
        <v>14</v>
      </c>
    </row>
    <row r="29" spans="1:17" customFormat="1">
      <c r="A29" s="80">
        <v>45420.21875</v>
      </c>
      <c r="B29" s="112">
        <v>11.08</v>
      </c>
      <c r="C29" s="112">
        <v>13.34</v>
      </c>
      <c r="D29" s="112">
        <v>25</v>
      </c>
      <c r="E29" s="112">
        <v>10.7</v>
      </c>
      <c r="F29" s="112">
        <v>1</v>
      </c>
      <c r="G29" s="112">
        <v>18.989999999999998</v>
      </c>
      <c r="H29" s="112">
        <v>8.0500000000000007</v>
      </c>
      <c r="I29" s="112">
        <v>4.4800000000000004</v>
      </c>
      <c r="J29" s="112">
        <v>0.63</v>
      </c>
      <c r="K29" s="112">
        <v>262.07</v>
      </c>
      <c r="L29" s="112">
        <v>23.23</v>
      </c>
      <c r="M29" s="112">
        <v>80.56</v>
      </c>
      <c r="N29" s="112">
        <v>0</v>
      </c>
      <c r="O29" s="112">
        <v>0</v>
      </c>
      <c r="P29" s="112">
        <v>0.45</v>
      </c>
      <c r="Q29" s="167" t="s">
        <v>14</v>
      </c>
    </row>
    <row r="30" spans="1:17" customFormat="1">
      <c r="A30" s="80">
        <v>45420.229166666664</v>
      </c>
      <c r="B30" s="112">
        <v>11.13</v>
      </c>
      <c r="C30" s="112">
        <v>13.26</v>
      </c>
      <c r="D30" s="112">
        <v>25</v>
      </c>
      <c r="E30" s="112">
        <v>11.88</v>
      </c>
      <c r="F30" s="112">
        <v>1</v>
      </c>
      <c r="G30" s="112">
        <v>18.989999999999998</v>
      </c>
      <c r="H30" s="112">
        <v>8.0500000000000007</v>
      </c>
      <c r="I30" s="112">
        <v>4.46</v>
      </c>
      <c r="J30" s="112">
        <v>0.47</v>
      </c>
      <c r="K30" s="112">
        <v>259.66000000000003</v>
      </c>
      <c r="L30" s="112">
        <v>23.24</v>
      </c>
      <c r="M30" s="112">
        <v>80.39</v>
      </c>
      <c r="N30" s="112">
        <v>0</v>
      </c>
      <c r="O30" s="112">
        <v>0</v>
      </c>
      <c r="P30" s="112">
        <v>0.46</v>
      </c>
      <c r="Q30" s="167" t="s">
        <v>14</v>
      </c>
    </row>
    <row r="31" spans="1:17" customFormat="1">
      <c r="A31" s="80">
        <v>45420.239583333336</v>
      </c>
      <c r="B31" s="112">
        <v>11.1</v>
      </c>
      <c r="C31" s="112">
        <v>13.31</v>
      </c>
      <c r="D31" s="112">
        <v>25</v>
      </c>
      <c r="E31" s="112">
        <v>12.33</v>
      </c>
      <c r="F31" s="112">
        <v>1</v>
      </c>
      <c r="G31" s="112">
        <v>18.989999999999998</v>
      </c>
      <c r="H31" s="112">
        <v>8.0500000000000007</v>
      </c>
      <c r="I31" s="112">
        <v>4.5</v>
      </c>
      <c r="J31" s="112">
        <v>0.38</v>
      </c>
      <c r="K31" s="112">
        <v>254.32</v>
      </c>
      <c r="L31" s="112">
        <v>23.3</v>
      </c>
      <c r="M31" s="112">
        <v>80.72</v>
      </c>
      <c r="N31" s="112">
        <v>5.2</v>
      </c>
      <c r="O31" s="112">
        <v>0</v>
      </c>
      <c r="P31" s="112">
        <v>0.48</v>
      </c>
      <c r="Q31" s="167" t="s">
        <v>14</v>
      </c>
    </row>
    <row r="32" spans="1:17" customFormat="1">
      <c r="A32" s="80">
        <v>45420.25</v>
      </c>
      <c r="B32" s="112">
        <v>11.08</v>
      </c>
      <c r="C32" s="112">
        <v>13.34</v>
      </c>
      <c r="D32" s="112">
        <v>25</v>
      </c>
      <c r="E32" s="112">
        <v>11.74</v>
      </c>
      <c r="F32" s="112">
        <v>1.4</v>
      </c>
      <c r="G32" s="112">
        <v>19.41</v>
      </c>
      <c r="H32" s="112">
        <v>8</v>
      </c>
      <c r="I32" s="112">
        <v>4.5599999999999996</v>
      </c>
      <c r="J32" s="112">
        <v>0.5</v>
      </c>
      <c r="K32" s="112">
        <v>251.02</v>
      </c>
      <c r="L32" s="112">
        <v>23.38</v>
      </c>
      <c r="M32" s="112">
        <v>80.75</v>
      </c>
      <c r="N32" s="112">
        <v>16.5</v>
      </c>
      <c r="O32" s="112">
        <v>0</v>
      </c>
      <c r="P32" s="112">
        <v>0.56000000000000005</v>
      </c>
      <c r="Q32" s="167" t="s">
        <v>14</v>
      </c>
    </row>
    <row r="33" spans="1:17" customFormat="1">
      <c r="A33" s="80">
        <v>45420.260416666664</v>
      </c>
      <c r="B33" s="112">
        <v>11.08</v>
      </c>
      <c r="C33" s="112">
        <v>13.34</v>
      </c>
      <c r="D33" s="112">
        <v>25</v>
      </c>
      <c r="E33" s="112">
        <v>11.75</v>
      </c>
      <c r="F33" s="112">
        <v>1</v>
      </c>
      <c r="G33" s="112">
        <v>19.52</v>
      </c>
      <c r="H33" s="112">
        <v>8</v>
      </c>
      <c r="I33" s="112">
        <v>4.88</v>
      </c>
      <c r="J33" s="112">
        <v>0.19</v>
      </c>
      <c r="K33" s="112">
        <v>182.35</v>
      </c>
      <c r="L33" s="112">
        <v>23.67</v>
      </c>
      <c r="M33" s="112">
        <v>81.63</v>
      </c>
      <c r="N33" s="112">
        <v>30.4</v>
      </c>
      <c r="O33" s="112">
        <v>0</v>
      </c>
      <c r="P33" s="112">
        <v>0.65</v>
      </c>
      <c r="Q33" s="167" t="s">
        <v>14</v>
      </c>
    </row>
    <row r="34" spans="1:17" customFormat="1">
      <c r="A34" s="80">
        <v>45420.270833333336</v>
      </c>
      <c r="B34" s="112">
        <v>11.1</v>
      </c>
      <c r="C34" s="112">
        <v>13.31</v>
      </c>
      <c r="D34" s="112">
        <v>25</v>
      </c>
      <c r="E34" s="112">
        <v>11.64</v>
      </c>
      <c r="F34" s="112">
        <v>1</v>
      </c>
      <c r="G34" s="112">
        <v>19.52</v>
      </c>
      <c r="H34" s="112">
        <v>8</v>
      </c>
      <c r="I34" s="112">
        <v>5.91</v>
      </c>
      <c r="J34" s="112">
        <v>0.25</v>
      </c>
      <c r="K34" s="112">
        <v>226.13</v>
      </c>
      <c r="L34" s="112">
        <v>24.01</v>
      </c>
      <c r="M34" s="112">
        <v>81.03</v>
      </c>
      <c r="N34" s="112">
        <v>64.2</v>
      </c>
      <c r="O34" s="112">
        <v>0</v>
      </c>
      <c r="P34" s="112">
        <v>0.74</v>
      </c>
      <c r="Q34" s="167" t="s">
        <v>14</v>
      </c>
    </row>
    <row r="35" spans="1:17" customFormat="1">
      <c r="A35" s="80">
        <v>45420.28125</v>
      </c>
      <c r="B35" s="112">
        <v>11.1</v>
      </c>
      <c r="C35" s="112">
        <v>13.31</v>
      </c>
      <c r="D35" s="112">
        <v>25</v>
      </c>
      <c r="E35" s="112">
        <v>12.19</v>
      </c>
      <c r="F35" s="112">
        <v>1</v>
      </c>
      <c r="G35" s="112">
        <v>19.52</v>
      </c>
      <c r="H35" s="112">
        <v>8</v>
      </c>
      <c r="I35" s="112">
        <v>7.48</v>
      </c>
      <c r="J35" s="112">
        <v>0.2</v>
      </c>
      <c r="K35" s="112">
        <v>200.72</v>
      </c>
      <c r="L35" s="112">
        <v>24.46</v>
      </c>
      <c r="M35" s="112">
        <v>79.89</v>
      </c>
      <c r="N35" s="112">
        <v>80.7</v>
      </c>
      <c r="O35" s="112">
        <v>0</v>
      </c>
      <c r="P35" s="112">
        <v>0.78</v>
      </c>
      <c r="Q35" s="167" t="s">
        <v>14</v>
      </c>
    </row>
    <row r="36" spans="1:17" customFormat="1">
      <c r="A36" s="80">
        <v>45420.291666666664</v>
      </c>
      <c r="B36" s="112">
        <v>11.1</v>
      </c>
      <c r="C36" s="112">
        <v>13.31</v>
      </c>
      <c r="D36" s="112">
        <v>25</v>
      </c>
      <c r="E36" s="112">
        <v>12.24</v>
      </c>
      <c r="F36" s="112">
        <v>1.64</v>
      </c>
      <c r="G36" s="112">
        <v>22.42</v>
      </c>
      <c r="H36" s="112">
        <v>11.45</v>
      </c>
      <c r="I36" s="112">
        <v>8.93</v>
      </c>
      <c r="J36" s="112">
        <v>0.2</v>
      </c>
      <c r="K36" s="112">
        <v>196.1</v>
      </c>
      <c r="L36" s="112">
        <v>24.78</v>
      </c>
      <c r="M36" s="112">
        <v>79.23</v>
      </c>
      <c r="N36" s="112">
        <v>95.5</v>
      </c>
      <c r="O36" s="112">
        <v>0</v>
      </c>
      <c r="P36" s="112">
        <v>0.78</v>
      </c>
      <c r="Q36" s="167" t="s">
        <v>14</v>
      </c>
    </row>
    <row r="37" spans="1:17" customFormat="1">
      <c r="A37" s="80">
        <v>45420.302083333336</v>
      </c>
      <c r="B37" s="112">
        <v>11.11</v>
      </c>
      <c r="C37" s="112">
        <v>13.29</v>
      </c>
      <c r="D37" s="112">
        <v>25</v>
      </c>
      <c r="E37" s="112">
        <v>12.26</v>
      </c>
      <c r="F37" s="112">
        <v>1</v>
      </c>
      <c r="G37" s="112">
        <v>23.14</v>
      </c>
      <c r="H37" s="112">
        <v>11.45</v>
      </c>
      <c r="I37" s="112">
        <v>9.61</v>
      </c>
      <c r="J37" s="112">
        <v>0.13</v>
      </c>
      <c r="K37" s="112">
        <v>159.44</v>
      </c>
      <c r="L37" s="112">
        <v>25.18</v>
      </c>
      <c r="M37" s="112">
        <v>77.3</v>
      </c>
      <c r="N37" s="112">
        <v>115.9</v>
      </c>
      <c r="O37" s="112">
        <v>0</v>
      </c>
      <c r="P37" s="112">
        <v>0.76</v>
      </c>
      <c r="Q37" s="167" t="s">
        <v>14</v>
      </c>
    </row>
    <row r="38" spans="1:17" customFormat="1">
      <c r="A38" s="80">
        <v>45420.3125</v>
      </c>
      <c r="B38" s="112">
        <v>11.12</v>
      </c>
      <c r="C38" s="112">
        <v>13.29</v>
      </c>
      <c r="D38" s="112">
        <v>25</v>
      </c>
      <c r="E38" s="112">
        <v>12.01</v>
      </c>
      <c r="F38" s="112">
        <v>1</v>
      </c>
      <c r="G38" s="112">
        <v>23.14</v>
      </c>
      <c r="H38" s="112">
        <v>11.45</v>
      </c>
      <c r="I38" s="112">
        <v>9.61</v>
      </c>
      <c r="J38" s="112">
        <v>0.2</v>
      </c>
      <c r="K38" s="112">
        <v>148.31</v>
      </c>
      <c r="L38" s="112">
        <v>25.8</v>
      </c>
      <c r="M38" s="112">
        <v>73.760000000000005</v>
      </c>
      <c r="N38" s="112">
        <v>108.1</v>
      </c>
      <c r="O38" s="112">
        <v>0</v>
      </c>
      <c r="P38" s="112">
        <v>0.74</v>
      </c>
      <c r="Q38" s="167" t="s">
        <v>14</v>
      </c>
    </row>
    <row r="39" spans="1:17" customFormat="1">
      <c r="A39" s="80">
        <v>45420.322916666664</v>
      </c>
      <c r="B39" s="112">
        <v>11.12</v>
      </c>
      <c r="C39" s="112">
        <v>13.28</v>
      </c>
      <c r="D39" s="112">
        <v>25</v>
      </c>
      <c r="E39" s="112">
        <v>11.94</v>
      </c>
      <c r="F39" s="112">
        <v>1</v>
      </c>
      <c r="G39" s="112">
        <v>23.14</v>
      </c>
      <c r="H39" s="112">
        <v>11.45</v>
      </c>
      <c r="I39" s="112">
        <v>9.32</v>
      </c>
      <c r="J39" s="112">
        <v>0.23</v>
      </c>
      <c r="K39" s="112">
        <v>123.15</v>
      </c>
      <c r="L39" s="112">
        <v>26.29</v>
      </c>
      <c r="M39" s="112">
        <v>72.12</v>
      </c>
      <c r="N39" s="112">
        <v>111.4</v>
      </c>
      <c r="O39" s="112">
        <v>0</v>
      </c>
      <c r="P39" s="112">
        <v>0.72</v>
      </c>
      <c r="Q39" s="167" t="s">
        <v>14</v>
      </c>
    </row>
    <row r="40" spans="1:17" customFormat="1">
      <c r="A40" s="80">
        <v>45420.333333333336</v>
      </c>
      <c r="B40" s="112">
        <v>11.11</v>
      </c>
      <c r="C40" s="112">
        <v>13.3</v>
      </c>
      <c r="D40" s="112">
        <v>25</v>
      </c>
      <c r="E40" s="112">
        <v>12.05</v>
      </c>
      <c r="F40" s="112">
        <v>1.1200000000000001</v>
      </c>
      <c r="G40" s="112">
        <v>24.15</v>
      </c>
      <c r="H40" s="112">
        <v>9.93</v>
      </c>
      <c r="I40" s="112">
        <v>9.01</v>
      </c>
      <c r="J40" s="112">
        <v>0.28000000000000003</v>
      </c>
      <c r="K40" s="112">
        <v>146.69</v>
      </c>
      <c r="L40" s="112">
        <v>26.95</v>
      </c>
      <c r="M40" s="112">
        <v>69.81</v>
      </c>
      <c r="N40" s="112">
        <v>123.9</v>
      </c>
      <c r="O40" s="112">
        <v>0</v>
      </c>
      <c r="P40" s="112">
        <v>0.71</v>
      </c>
      <c r="Q40" s="167" t="s">
        <v>14</v>
      </c>
    </row>
    <row r="41" spans="1:17" customFormat="1">
      <c r="A41" s="80">
        <v>45420.34375</v>
      </c>
      <c r="B41" s="112">
        <v>11.1</v>
      </c>
      <c r="C41" s="112">
        <v>13.31</v>
      </c>
      <c r="D41" s="112">
        <v>25</v>
      </c>
      <c r="E41" s="112">
        <v>12.47</v>
      </c>
      <c r="F41" s="112">
        <v>1</v>
      </c>
      <c r="G41" s="112">
        <v>24.4</v>
      </c>
      <c r="H41" s="112">
        <v>9.93</v>
      </c>
      <c r="I41" s="112">
        <v>8.69</v>
      </c>
      <c r="J41" s="112">
        <v>0.37</v>
      </c>
      <c r="K41" s="112">
        <v>124.71</v>
      </c>
      <c r="L41" s="112">
        <v>27.2</v>
      </c>
      <c r="M41" s="112">
        <v>69.680000000000007</v>
      </c>
      <c r="N41" s="112">
        <v>139.1</v>
      </c>
      <c r="O41" s="112">
        <v>0</v>
      </c>
      <c r="P41" s="112">
        <v>0.69</v>
      </c>
      <c r="Q41" s="167" t="s">
        <v>14</v>
      </c>
    </row>
    <row r="42" spans="1:17" customFormat="1">
      <c r="A42" s="80">
        <v>45420.354166666664</v>
      </c>
      <c r="B42" s="112">
        <v>11.15</v>
      </c>
      <c r="C42" s="112">
        <v>13.23</v>
      </c>
      <c r="D42" s="112">
        <v>25</v>
      </c>
      <c r="E42" s="112">
        <v>12.06</v>
      </c>
      <c r="F42" s="112">
        <v>1</v>
      </c>
      <c r="G42" s="112">
        <v>24.4</v>
      </c>
      <c r="H42" s="112">
        <v>9.93</v>
      </c>
      <c r="I42" s="112">
        <v>8.42</v>
      </c>
      <c r="J42" s="112">
        <v>0.23</v>
      </c>
      <c r="K42" s="112">
        <v>152.22999999999999</v>
      </c>
      <c r="L42" s="112">
        <v>27.7</v>
      </c>
      <c r="M42" s="112">
        <v>69.58</v>
      </c>
      <c r="N42" s="112">
        <v>146.1</v>
      </c>
      <c r="O42" s="112">
        <v>0</v>
      </c>
      <c r="P42" s="112">
        <v>0.68</v>
      </c>
      <c r="Q42" s="167" t="s">
        <v>14</v>
      </c>
    </row>
    <row r="43" spans="1:17" customFormat="1">
      <c r="A43" s="80">
        <v>45420.364583333336</v>
      </c>
      <c r="B43" s="112">
        <v>11.14</v>
      </c>
      <c r="C43" s="112">
        <v>13.26</v>
      </c>
      <c r="D43" s="112">
        <v>25</v>
      </c>
      <c r="E43" s="112">
        <v>12.31</v>
      </c>
      <c r="F43" s="112">
        <v>1</v>
      </c>
      <c r="G43" s="112">
        <v>24.4</v>
      </c>
      <c r="H43" s="112">
        <v>9.93</v>
      </c>
      <c r="I43" s="112">
        <v>8.2100000000000009</v>
      </c>
      <c r="J43" s="112">
        <v>0.2</v>
      </c>
      <c r="K43" s="112">
        <v>199.02</v>
      </c>
      <c r="L43" s="112">
        <v>27.91</v>
      </c>
      <c r="M43" s="112">
        <v>69.42</v>
      </c>
      <c r="N43" s="112">
        <v>148</v>
      </c>
      <c r="O43" s="112">
        <v>0</v>
      </c>
      <c r="P43" s="112">
        <v>0.67</v>
      </c>
      <c r="Q43" s="167" t="s">
        <v>14</v>
      </c>
    </row>
    <row r="44" spans="1:17" customFormat="1">
      <c r="A44" s="80">
        <v>45420.375</v>
      </c>
      <c r="B44" s="112">
        <v>11.08</v>
      </c>
      <c r="C44" s="112">
        <v>13.34</v>
      </c>
      <c r="D44" s="112">
        <v>25</v>
      </c>
      <c r="E44" s="112">
        <v>11.95</v>
      </c>
      <c r="F44" s="112">
        <v>1.66</v>
      </c>
      <c r="G44" s="112">
        <v>23.43</v>
      </c>
      <c r="H44" s="112">
        <v>9.3699999999999992</v>
      </c>
      <c r="I44" s="112">
        <v>8</v>
      </c>
      <c r="J44" s="112">
        <v>0.18</v>
      </c>
      <c r="K44" s="112">
        <v>202.92</v>
      </c>
      <c r="L44" s="112">
        <v>28.57</v>
      </c>
      <c r="M44" s="112">
        <v>65.36</v>
      </c>
      <c r="N44" s="112">
        <v>171.3</v>
      </c>
      <c r="O44" s="112">
        <v>0</v>
      </c>
      <c r="P44" s="112">
        <v>0.66</v>
      </c>
      <c r="Q44" s="167" t="s">
        <v>14</v>
      </c>
    </row>
    <row r="45" spans="1:17" customFormat="1">
      <c r="A45" s="80">
        <v>45420.385416666664</v>
      </c>
      <c r="B45" s="112">
        <v>11.07</v>
      </c>
      <c r="C45" s="112">
        <v>13.36</v>
      </c>
      <c r="D45" s="112">
        <v>25</v>
      </c>
      <c r="E45" s="112">
        <v>12.75</v>
      </c>
      <c r="F45" s="112">
        <v>1.03</v>
      </c>
      <c r="G45" s="112">
        <v>23.19</v>
      </c>
      <c r="H45" s="112">
        <v>9.3699999999999992</v>
      </c>
      <c r="I45" s="112">
        <v>7.79</v>
      </c>
      <c r="J45" s="112">
        <v>0.18</v>
      </c>
      <c r="K45" s="112">
        <v>207.89</v>
      </c>
      <c r="L45" s="112">
        <v>29.29</v>
      </c>
      <c r="M45" s="112">
        <v>62.18</v>
      </c>
      <c r="N45" s="112">
        <v>202.6</v>
      </c>
      <c r="O45" s="112">
        <v>0</v>
      </c>
      <c r="P45" s="112">
        <v>0.65</v>
      </c>
      <c r="Q45" s="167" t="s">
        <v>14</v>
      </c>
    </row>
    <row r="46" spans="1:17" customFormat="1">
      <c r="A46" s="80">
        <v>45420.395833333336</v>
      </c>
      <c r="B46" s="112">
        <v>11.08</v>
      </c>
      <c r="C46" s="112">
        <v>13.33</v>
      </c>
      <c r="D46" s="112">
        <v>25</v>
      </c>
      <c r="E46" s="112">
        <v>13.08</v>
      </c>
      <c r="F46" s="112">
        <v>1.77</v>
      </c>
      <c r="G46" s="112">
        <v>23.19</v>
      </c>
      <c r="H46" s="112">
        <v>9.3699999999999992</v>
      </c>
      <c r="I46" s="112">
        <v>7.56</v>
      </c>
      <c r="J46" s="112">
        <v>0.35</v>
      </c>
      <c r="K46" s="112">
        <v>252.02</v>
      </c>
      <c r="L46" s="112">
        <v>29.85</v>
      </c>
      <c r="M46" s="112">
        <v>59.61</v>
      </c>
      <c r="N46" s="112">
        <v>198.5</v>
      </c>
      <c r="O46" s="112">
        <v>0</v>
      </c>
      <c r="P46" s="112">
        <v>0.64</v>
      </c>
      <c r="Q46" s="167" t="s">
        <v>14</v>
      </c>
    </row>
    <row r="47" spans="1:17" customFormat="1">
      <c r="A47" s="80">
        <v>45420.40625</v>
      </c>
      <c r="B47" s="112">
        <v>11.11</v>
      </c>
      <c r="C47" s="112">
        <v>13.3</v>
      </c>
      <c r="D47" s="112">
        <v>25</v>
      </c>
      <c r="E47" s="112">
        <v>12.9</v>
      </c>
      <c r="F47" s="112">
        <v>1.79</v>
      </c>
      <c r="G47" s="112">
        <v>23.19</v>
      </c>
      <c r="H47" s="112">
        <v>9.3699999999999992</v>
      </c>
      <c r="I47" s="112">
        <v>7.44</v>
      </c>
      <c r="J47" s="112">
        <v>0.39</v>
      </c>
      <c r="K47" s="112">
        <v>260.98</v>
      </c>
      <c r="L47" s="112">
        <v>30.2</v>
      </c>
      <c r="M47" s="112">
        <v>56.76</v>
      </c>
      <c r="N47" s="112">
        <v>342.8</v>
      </c>
      <c r="O47" s="112">
        <v>0</v>
      </c>
      <c r="P47" s="112">
        <v>0.63</v>
      </c>
      <c r="Q47" s="167" t="s">
        <v>14</v>
      </c>
    </row>
    <row r="48" spans="1:17" customFormat="1">
      <c r="A48" s="80">
        <v>45420.416666666664</v>
      </c>
      <c r="B48" s="112">
        <v>11.1</v>
      </c>
      <c r="C48" s="112">
        <v>13.31</v>
      </c>
      <c r="D48" s="112">
        <v>25</v>
      </c>
      <c r="E48" s="112">
        <v>12.71</v>
      </c>
      <c r="F48" s="112">
        <v>2.14</v>
      </c>
      <c r="G48" s="112">
        <v>18.670000000000002</v>
      </c>
      <c r="H48" s="112">
        <v>10.74</v>
      </c>
      <c r="I48" s="112">
        <v>7.29</v>
      </c>
      <c r="J48" s="112">
        <v>0.67</v>
      </c>
      <c r="K48" s="112">
        <v>268.32</v>
      </c>
      <c r="L48" s="112">
        <v>29.97</v>
      </c>
      <c r="M48" s="112">
        <v>57.78</v>
      </c>
      <c r="N48" s="112">
        <v>214.6</v>
      </c>
      <c r="O48" s="112">
        <v>0</v>
      </c>
      <c r="P48" s="112">
        <v>0.62</v>
      </c>
      <c r="Q48" s="167" t="s">
        <v>14</v>
      </c>
    </row>
    <row r="49" spans="1:17" customFormat="1">
      <c r="A49" s="80">
        <v>45420.427083333336</v>
      </c>
      <c r="B49" s="112">
        <v>11.12</v>
      </c>
      <c r="C49" s="112">
        <v>13.28</v>
      </c>
      <c r="D49" s="112">
        <v>25</v>
      </c>
      <c r="E49" s="112">
        <v>9.33</v>
      </c>
      <c r="F49" s="112">
        <v>2.15</v>
      </c>
      <c r="G49" s="112">
        <v>17.54</v>
      </c>
      <c r="H49" s="112">
        <v>10.74</v>
      </c>
      <c r="I49" s="112">
        <v>7.12</v>
      </c>
      <c r="J49" s="112">
        <v>0.65</v>
      </c>
      <c r="K49" s="112">
        <v>245.9</v>
      </c>
      <c r="L49" s="112">
        <v>30.9</v>
      </c>
      <c r="M49" s="112">
        <v>55.65</v>
      </c>
      <c r="N49" s="112">
        <v>184.6</v>
      </c>
      <c r="O49" s="112">
        <v>0</v>
      </c>
      <c r="P49" s="112">
        <v>0.6</v>
      </c>
      <c r="Q49" s="167" t="s">
        <v>14</v>
      </c>
    </row>
    <row r="50" spans="1:17" customFormat="1">
      <c r="A50" s="80">
        <v>45420.4375</v>
      </c>
      <c r="B50" s="112">
        <v>11.1</v>
      </c>
      <c r="C50" s="112">
        <v>13.31</v>
      </c>
      <c r="D50" s="112">
        <v>25</v>
      </c>
      <c r="E50" s="112">
        <v>12.27</v>
      </c>
      <c r="F50" s="112">
        <v>1.88</v>
      </c>
      <c r="G50" s="112">
        <v>17.54</v>
      </c>
      <c r="H50" s="112">
        <v>10.74</v>
      </c>
      <c r="I50" s="112">
        <v>6.93</v>
      </c>
      <c r="J50" s="112">
        <v>0.85</v>
      </c>
      <c r="K50" s="112">
        <v>254.61</v>
      </c>
      <c r="L50" s="112">
        <v>31.02</v>
      </c>
      <c r="M50" s="112">
        <v>55.3</v>
      </c>
      <c r="N50" s="112">
        <v>244.5</v>
      </c>
      <c r="O50" s="112">
        <v>0</v>
      </c>
      <c r="P50" s="112">
        <v>0.6</v>
      </c>
      <c r="Q50" s="167" t="s">
        <v>14</v>
      </c>
    </row>
    <row r="51" spans="1:17" customFormat="1">
      <c r="A51" s="80">
        <v>45420.447916666664</v>
      </c>
      <c r="B51" s="112">
        <v>11.07</v>
      </c>
      <c r="C51" s="112">
        <v>13.36</v>
      </c>
      <c r="D51" s="112">
        <v>25</v>
      </c>
      <c r="E51" s="112">
        <v>12.44</v>
      </c>
      <c r="F51" s="112">
        <v>4.7699999999999996</v>
      </c>
      <c r="G51" s="112">
        <v>17.54</v>
      </c>
      <c r="H51" s="112">
        <v>10.74</v>
      </c>
      <c r="I51" s="112">
        <v>6.73</v>
      </c>
      <c r="J51" s="112">
        <v>0.5</v>
      </c>
      <c r="K51" s="112">
        <v>247.57</v>
      </c>
      <c r="L51" s="112">
        <v>31.7</v>
      </c>
      <c r="M51" s="112">
        <v>54.51</v>
      </c>
      <c r="N51" s="112">
        <v>495.6</v>
      </c>
      <c r="O51" s="112">
        <v>0</v>
      </c>
      <c r="P51" s="112">
        <v>0.6</v>
      </c>
      <c r="Q51" s="167" t="s">
        <v>14</v>
      </c>
    </row>
    <row r="52" spans="1:17" customFormat="1">
      <c r="A52" s="80">
        <v>45420.458333333336</v>
      </c>
      <c r="B52" s="112">
        <v>11.12</v>
      </c>
      <c r="C52" s="112">
        <v>13.29</v>
      </c>
      <c r="D52" s="112">
        <v>25</v>
      </c>
      <c r="E52" s="112">
        <v>11.93</v>
      </c>
      <c r="F52" s="112">
        <v>9.2899999999999991</v>
      </c>
      <c r="G52" s="112">
        <v>18.04</v>
      </c>
      <c r="H52" s="112">
        <v>8.11</v>
      </c>
      <c r="I52" s="112">
        <v>6.6</v>
      </c>
      <c r="J52" s="112">
        <v>0.56000000000000005</v>
      </c>
      <c r="K52" s="112">
        <v>253.81</v>
      </c>
      <c r="L52" s="112">
        <v>31.52</v>
      </c>
      <c r="M52" s="112">
        <v>53.51</v>
      </c>
      <c r="N52" s="112">
        <v>705.9</v>
      </c>
      <c r="O52" s="112">
        <v>0</v>
      </c>
      <c r="P52" s="112">
        <v>0.57999999999999996</v>
      </c>
      <c r="Q52" s="167" t="s">
        <v>14</v>
      </c>
    </row>
    <row r="53" spans="1:17" customFormat="1">
      <c r="A53" s="80">
        <v>45420.46875</v>
      </c>
      <c r="B53" s="112">
        <v>11.1</v>
      </c>
      <c r="C53" s="112">
        <v>13.31</v>
      </c>
      <c r="D53" s="112">
        <v>25</v>
      </c>
      <c r="E53" s="112">
        <v>10.9</v>
      </c>
      <c r="F53" s="112">
        <v>8.18</v>
      </c>
      <c r="G53" s="112">
        <v>18.170000000000002</v>
      </c>
      <c r="H53" s="112">
        <v>8.11</v>
      </c>
      <c r="I53" s="112">
        <v>6.39</v>
      </c>
      <c r="J53" s="112">
        <v>0.77</v>
      </c>
      <c r="K53" s="112">
        <v>258.54000000000002</v>
      </c>
      <c r="L53" s="112">
        <v>31.74</v>
      </c>
      <c r="M53" s="112">
        <v>51.99</v>
      </c>
      <c r="N53" s="112">
        <v>740.7</v>
      </c>
      <c r="O53" s="112">
        <v>0</v>
      </c>
      <c r="P53" s="112">
        <v>0.56000000000000005</v>
      </c>
      <c r="Q53" s="167" t="s">
        <v>14</v>
      </c>
    </row>
    <row r="54" spans="1:17" customFormat="1">
      <c r="A54" s="80">
        <v>45420.479166666664</v>
      </c>
      <c r="B54" s="112">
        <v>11.07</v>
      </c>
      <c r="C54" s="112">
        <v>13.35</v>
      </c>
      <c r="D54" s="112">
        <v>25</v>
      </c>
      <c r="E54" s="112">
        <v>10.74</v>
      </c>
      <c r="F54" s="112">
        <v>7.89</v>
      </c>
      <c r="G54" s="112">
        <v>18.170000000000002</v>
      </c>
      <c r="H54" s="112">
        <v>8.11</v>
      </c>
      <c r="I54" s="112">
        <v>6.22</v>
      </c>
      <c r="J54" s="112">
        <v>0.9</v>
      </c>
      <c r="K54" s="112">
        <v>270.58</v>
      </c>
      <c r="L54" s="112">
        <v>31.94</v>
      </c>
      <c r="M54" s="112">
        <v>51.18</v>
      </c>
      <c r="N54" s="112">
        <v>831.8</v>
      </c>
      <c r="O54" s="112">
        <v>0</v>
      </c>
      <c r="P54" s="112">
        <v>0.54</v>
      </c>
      <c r="Q54" s="167" t="s">
        <v>14</v>
      </c>
    </row>
    <row r="55" spans="1:17" customFormat="1">
      <c r="A55" s="80">
        <v>45420.489583333336</v>
      </c>
      <c r="B55" s="112">
        <v>11.06</v>
      </c>
      <c r="C55" s="112">
        <v>13.37</v>
      </c>
      <c r="D55" s="112">
        <v>25</v>
      </c>
      <c r="E55" s="112">
        <v>9.77</v>
      </c>
      <c r="F55" s="112">
        <v>10.5</v>
      </c>
      <c r="G55" s="112">
        <v>18.170000000000002</v>
      </c>
      <c r="H55" s="112">
        <v>8.11</v>
      </c>
      <c r="I55" s="112">
        <v>6.2</v>
      </c>
      <c r="J55" s="112">
        <v>0.67</v>
      </c>
      <c r="K55" s="112">
        <v>250.77</v>
      </c>
      <c r="L55" s="112">
        <v>32.56</v>
      </c>
      <c r="M55" s="112">
        <v>50.46</v>
      </c>
      <c r="N55" s="112">
        <v>845.9</v>
      </c>
      <c r="O55" s="112">
        <v>0</v>
      </c>
      <c r="P55" s="112">
        <v>0.54</v>
      </c>
      <c r="Q55" s="167" t="s">
        <v>14</v>
      </c>
    </row>
    <row r="56" spans="1:17" customFormat="1">
      <c r="A56" s="80">
        <v>45420.5</v>
      </c>
      <c r="B56" s="112">
        <v>11.07</v>
      </c>
      <c r="C56" s="112">
        <v>13.36</v>
      </c>
      <c r="D56" s="112">
        <v>25</v>
      </c>
      <c r="E56" s="112">
        <v>10.23</v>
      </c>
      <c r="F56" s="112">
        <v>10.39</v>
      </c>
      <c r="G56" s="112">
        <v>18.29</v>
      </c>
      <c r="H56" s="112">
        <v>8.85</v>
      </c>
      <c r="I56" s="112">
        <v>6.17</v>
      </c>
      <c r="J56" s="112">
        <v>0.89</v>
      </c>
      <c r="K56" s="112">
        <v>267.75</v>
      </c>
      <c r="L56" s="112">
        <v>32.950000000000003</v>
      </c>
      <c r="M56" s="112">
        <v>49.57</v>
      </c>
      <c r="N56" s="112">
        <v>854.2</v>
      </c>
      <c r="O56" s="112">
        <v>0</v>
      </c>
      <c r="P56" s="112">
        <v>0.53</v>
      </c>
      <c r="Q56" s="167" t="s">
        <v>14</v>
      </c>
    </row>
    <row r="57" spans="1:17" customFormat="1">
      <c r="A57" s="80">
        <v>45420.510416666664</v>
      </c>
      <c r="B57" s="112">
        <v>11.08</v>
      </c>
      <c r="C57" s="112">
        <v>13.34</v>
      </c>
      <c r="D57" s="112">
        <v>25</v>
      </c>
      <c r="E57" s="112">
        <v>9.65</v>
      </c>
      <c r="F57" s="112">
        <v>9.23</v>
      </c>
      <c r="G57" s="112">
        <v>18.32</v>
      </c>
      <c r="H57" s="112">
        <v>8.92</v>
      </c>
      <c r="I57" s="112">
        <v>6.02</v>
      </c>
      <c r="J57" s="112">
        <v>0.7</v>
      </c>
      <c r="K57" s="112">
        <v>267.08999999999997</v>
      </c>
      <c r="L57" s="112">
        <v>33.36</v>
      </c>
      <c r="M57" s="112">
        <v>48.5</v>
      </c>
      <c r="N57" s="112">
        <v>856.4</v>
      </c>
      <c r="O57" s="112">
        <v>0</v>
      </c>
      <c r="P57" s="112">
        <v>0.52</v>
      </c>
      <c r="Q57" s="167" t="s">
        <v>14</v>
      </c>
    </row>
    <row r="58" spans="1:17" customFormat="1">
      <c r="A58" s="80">
        <v>45420.520833333336</v>
      </c>
      <c r="B58" s="112">
        <v>11.06</v>
      </c>
      <c r="C58" s="112">
        <v>13.37</v>
      </c>
      <c r="D58" s="112">
        <v>25</v>
      </c>
      <c r="E58" s="112">
        <v>9.66</v>
      </c>
      <c r="F58" s="112">
        <v>14</v>
      </c>
      <c r="G58" s="112">
        <v>18.32</v>
      </c>
      <c r="H58" s="112">
        <v>8.92</v>
      </c>
      <c r="I58" s="112">
        <v>5.89</v>
      </c>
      <c r="J58" s="112">
        <v>0.81</v>
      </c>
      <c r="K58" s="112">
        <v>266.11</v>
      </c>
      <c r="L58" s="112">
        <v>33.81</v>
      </c>
      <c r="M58" s="112">
        <v>46.64</v>
      </c>
      <c r="N58" s="112">
        <v>860.7</v>
      </c>
      <c r="O58" s="112">
        <v>0</v>
      </c>
      <c r="P58" s="112">
        <v>0.51</v>
      </c>
      <c r="Q58" s="167" t="s">
        <v>14</v>
      </c>
    </row>
    <row r="59" spans="1:17" customFormat="1">
      <c r="A59" s="80">
        <v>45420.53125</v>
      </c>
      <c r="B59" s="112">
        <v>11.06</v>
      </c>
      <c r="C59" s="112">
        <v>13.38</v>
      </c>
      <c r="D59" s="112">
        <v>25</v>
      </c>
      <c r="E59" s="112">
        <v>10.31</v>
      </c>
      <c r="F59" s="112">
        <v>14.26</v>
      </c>
      <c r="G59" s="112">
        <v>18.32</v>
      </c>
      <c r="H59" s="112">
        <v>8.92</v>
      </c>
      <c r="I59" s="112">
        <v>5.81</v>
      </c>
      <c r="J59" s="112">
        <v>1.2</v>
      </c>
      <c r="K59" s="112">
        <v>283.89999999999998</v>
      </c>
      <c r="L59" s="112">
        <v>33.64</v>
      </c>
      <c r="M59" s="112">
        <v>46.83</v>
      </c>
      <c r="N59" s="112">
        <v>856</v>
      </c>
      <c r="O59" s="112">
        <v>0</v>
      </c>
      <c r="P59" s="112">
        <v>0.51</v>
      </c>
      <c r="Q59" s="167" t="s">
        <v>14</v>
      </c>
    </row>
    <row r="60" spans="1:17" customFormat="1">
      <c r="A60" s="80">
        <v>45420.541666666664</v>
      </c>
      <c r="B60" s="112">
        <v>11.06</v>
      </c>
      <c r="C60" s="112">
        <v>13.37</v>
      </c>
      <c r="D60" s="112">
        <v>25</v>
      </c>
      <c r="E60" s="112">
        <v>9.4600000000000009</v>
      </c>
      <c r="F60" s="112">
        <v>13.1</v>
      </c>
      <c r="G60" s="112">
        <v>20.14</v>
      </c>
      <c r="H60" s="112">
        <v>8.86</v>
      </c>
      <c r="I60" s="112">
        <v>5.61</v>
      </c>
      <c r="J60" s="112">
        <v>0.69</v>
      </c>
      <c r="K60" s="112">
        <v>243.53</v>
      </c>
      <c r="L60" s="112">
        <v>34.21</v>
      </c>
      <c r="M60" s="112">
        <v>45.44</v>
      </c>
      <c r="N60" s="112">
        <v>839.5</v>
      </c>
      <c r="O60" s="112">
        <v>0</v>
      </c>
      <c r="P60" s="112">
        <v>0.5</v>
      </c>
      <c r="Q60" s="167" t="s">
        <v>14</v>
      </c>
    </row>
    <row r="61" spans="1:17" customFormat="1">
      <c r="A61" s="80">
        <v>45420.552083333336</v>
      </c>
      <c r="B61" s="112">
        <v>11.06</v>
      </c>
      <c r="C61" s="112">
        <v>13.37</v>
      </c>
      <c r="D61" s="112">
        <v>25</v>
      </c>
      <c r="E61" s="112">
        <v>9.9499999999999993</v>
      </c>
      <c r="F61" s="112">
        <v>15.43</v>
      </c>
      <c r="G61" s="112">
        <v>20.59</v>
      </c>
      <c r="H61" s="112">
        <v>8.86</v>
      </c>
      <c r="I61" s="112">
        <v>5.58</v>
      </c>
      <c r="J61" s="112">
        <v>0.67</v>
      </c>
      <c r="K61" s="112">
        <v>235.5</v>
      </c>
      <c r="L61" s="112">
        <v>34.76</v>
      </c>
      <c r="M61" s="112">
        <v>44.05</v>
      </c>
      <c r="N61" s="112">
        <v>717.9</v>
      </c>
      <c r="O61" s="112">
        <v>0</v>
      </c>
      <c r="P61" s="112">
        <v>0.49</v>
      </c>
      <c r="Q61" s="167" t="s">
        <v>14</v>
      </c>
    </row>
    <row r="62" spans="1:17" customFormat="1">
      <c r="A62" s="80">
        <v>45420.5625</v>
      </c>
      <c r="B62" s="112">
        <v>11.05</v>
      </c>
      <c r="C62" s="112">
        <v>13.38</v>
      </c>
      <c r="D62" s="112">
        <v>25</v>
      </c>
      <c r="E62" s="112">
        <v>9.3800000000000008</v>
      </c>
      <c r="F62" s="112">
        <v>13.49</v>
      </c>
      <c r="G62" s="112">
        <v>20.59</v>
      </c>
      <c r="H62" s="112">
        <v>8.86</v>
      </c>
      <c r="I62" s="112">
        <v>5.49</v>
      </c>
      <c r="J62" s="112">
        <v>0.9</v>
      </c>
      <c r="K62" s="112">
        <v>260.95</v>
      </c>
      <c r="L62" s="112">
        <v>34.520000000000003</v>
      </c>
      <c r="M62" s="112">
        <v>42.7</v>
      </c>
      <c r="N62" s="112">
        <v>779.1</v>
      </c>
      <c r="O62" s="112">
        <v>0</v>
      </c>
      <c r="P62" s="112">
        <v>0.49</v>
      </c>
      <c r="Q62" s="167" t="s">
        <v>14</v>
      </c>
    </row>
    <row r="63" spans="1:17" customFormat="1">
      <c r="A63" s="80">
        <v>45420.572916666664</v>
      </c>
      <c r="B63" s="112">
        <v>11.06</v>
      </c>
      <c r="C63" s="112">
        <v>13.37</v>
      </c>
      <c r="D63" s="112">
        <v>25</v>
      </c>
      <c r="E63" s="112">
        <v>9.1999999999999993</v>
      </c>
      <c r="F63" s="112">
        <v>11.29</v>
      </c>
      <c r="G63" s="112">
        <v>20.59</v>
      </c>
      <c r="H63" s="112">
        <v>8.86</v>
      </c>
      <c r="I63" s="112">
        <v>5.41</v>
      </c>
      <c r="J63" s="112">
        <v>0.78</v>
      </c>
      <c r="K63" s="112">
        <v>268.73</v>
      </c>
      <c r="L63" s="112">
        <v>35.020000000000003</v>
      </c>
      <c r="M63" s="112">
        <v>41.8</v>
      </c>
      <c r="N63" s="112">
        <v>770.7</v>
      </c>
      <c r="O63" s="112">
        <v>0</v>
      </c>
      <c r="P63" s="112">
        <v>0.5</v>
      </c>
      <c r="Q63" s="167" t="s">
        <v>14</v>
      </c>
    </row>
    <row r="64" spans="1:17" customFormat="1">
      <c r="A64" s="80">
        <v>45420.583333333336</v>
      </c>
      <c r="B64" s="112">
        <v>11.05</v>
      </c>
      <c r="C64" s="112">
        <v>13.4</v>
      </c>
      <c r="D64" s="112">
        <v>25</v>
      </c>
      <c r="E64" s="112">
        <v>9.84</v>
      </c>
      <c r="F64" s="112">
        <v>34.33</v>
      </c>
      <c r="G64" s="112">
        <v>17.21</v>
      </c>
      <c r="H64" s="112">
        <v>9.18</v>
      </c>
      <c r="I64" s="112">
        <v>5.43</v>
      </c>
      <c r="J64" s="112">
        <v>0.6</v>
      </c>
      <c r="K64" s="112">
        <v>312.43</v>
      </c>
      <c r="L64" s="112">
        <v>35.090000000000003</v>
      </c>
      <c r="M64" s="112">
        <v>40.64</v>
      </c>
      <c r="N64" s="112">
        <v>745.3</v>
      </c>
      <c r="O64" s="112">
        <v>0</v>
      </c>
      <c r="P64" s="112">
        <v>0.49</v>
      </c>
      <c r="Q64" s="167" t="s">
        <v>14</v>
      </c>
    </row>
    <row r="65" spans="1:17" customFormat="1">
      <c r="A65" s="80">
        <v>45420.59375</v>
      </c>
      <c r="B65" s="112">
        <v>11.06</v>
      </c>
      <c r="C65" s="112">
        <v>13.38</v>
      </c>
      <c r="D65" s="112">
        <v>25</v>
      </c>
      <c r="E65" s="112">
        <v>10.130000000000001</v>
      </c>
      <c r="F65" s="112">
        <v>16.47</v>
      </c>
      <c r="G65" s="112">
        <v>16.37</v>
      </c>
      <c r="H65" s="112">
        <v>9.18</v>
      </c>
      <c r="I65" s="112">
        <v>5.25</v>
      </c>
      <c r="J65" s="112">
        <v>0.73</v>
      </c>
      <c r="K65" s="112">
        <v>258.14999999999998</v>
      </c>
      <c r="L65" s="112">
        <v>35.369999999999997</v>
      </c>
      <c r="M65" s="112">
        <v>39.69</v>
      </c>
      <c r="N65" s="112">
        <v>722.1</v>
      </c>
      <c r="O65" s="112">
        <v>0</v>
      </c>
      <c r="P65" s="112">
        <v>0.41</v>
      </c>
      <c r="Q65" s="167" t="s">
        <v>14</v>
      </c>
    </row>
    <row r="66" spans="1:17" customFormat="1">
      <c r="A66" s="80">
        <v>45420.604166666664</v>
      </c>
      <c r="B66" s="112">
        <v>11.06</v>
      </c>
      <c r="C66" s="112">
        <v>13.38</v>
      </c>
      <c r="D66" s="112">
        <v>25</v>
      </c>
      <c r="E66" s="112">
        <v>9.9700000000000006</v>
      </c>
      <c r="F66" s="112">
        <v>14.77</v>
      </c>
      <c r="G66" s="112">
        <v>16.37</v>
      </c>
      <c r="H66" s="112">
        <v>9.18</v>
      </c>
      <c r="I66" s="112">
        <v>4.96</v>
      </c>
      <c r="J66" s="112">
        <v>0.73</v>
      </c>
      <c r="K66" s="112">
        <v>271.43</v>
      </c>
      <c r="L66" s="112">
        <v>35.119999999999997</v>
      </c>
      <c r="M66" s="112">
        <v>40.119999999999997</v>
      </c>
      <c r="N66" s="112">
        <v>665.5</v>
      </c>
      <c r="O66" s="112">
        <v>0</v>
      </c>
      <c r="P66" s="112">
        <v>0.43</v>
      </c>
      <c r="Q66" s="167" t="s">
        <v>14</v>
      </c>
    </row>
    <row r="67" spans="1:17" customFormat="1">
      <c r="A67" s="80">
        <v>45420.614583333336</v>
      </c>
      <c r="B67" s="112">
        <v>11.06</v>
      </c>
      <c r="C67" s="112">
        <v>13.38</v>
      </c>
      <c r="D67" s="112">
        <v>25</v>
      </c>
      <c r="E67" s="112">
        <v>10.57</v>
      </c>
      <c r="F67" s="112">
        <v>18.170000000000002</v>
      </c>
      <c r="G67" s="112">
        <v>16.37</v>
      </c>
      <c r="H67" s="112">
        <v>9.18</v>
      </c>
      <c r="I67" s="112">
        <v>5.08</v>
      </c>
      <c r="J67" s="112">
        <v>0.75</v>
      </c>
      <c r="K67" s="112">
        <v>277.64999999999998</v>
      </c>
      <c r="L67" s="112">
        <v>35.409999999999997</v>
      </c>
      <c r="M67" s="112">
        <v>39.840000000000003</v>
      </c>
      <c r="N67" s="112">
        <v>650</v>
      </c>
      <c r="O67" s="112">
        <v>0</v>
      </c>
      <c r="P67" s="112">
        <v>0.45</v>
      </c>
      <c r="Q67" s="167" t="s">
        <v>14</v>
      </c>
    </row>
    <row r="68" spans="1:17" customFormat="1">
      <c r="A68" s="80">
        <v>45420.625</v>
      </c>
      <c r="B68" s="112">
        <v>11.21</v>
      </c>
      <c r="C68" s="112">
        <v>13.55</v>
      </c>
      <c r="D68" s="112">
        <v>25.21</v>
      </c>
      <c r="E68" s="112">
        <v>11.2</v>
      </c>
      <c r="F68" s="112">
        <v>27.23</v>
      </c>
      <c r="G68" s="112">
        <v>15.2</v>
      </c>
      <c r="H68" s="112">
        <v>6.78</v>
      </c>
      <c r="I68" s="112">
        <v>5.25</v>
      </c>
      <c r="J68" s="112">
        <v>0.26</v>
      </c>
      <c r="K68" s="112">
        <v>236.19</v>
      </c>
      <c r="L68" s="112">
        <v>35.85</v>
      </c>
      <c r="M68" s="112">
        <v>38.950000000000003</v>
      </c>
      <c r="N68" s="112">
        <v>598.70000000000005</v>
      </c>
      <c r="O68" s="112">
        <v>0</v>
      </c>
      <c r="P68" s="112">
        <v>0.45</v>
      </c>
      <c r="Q68" s="167" t="s">
        <v>14</v>
      </c>
    </row>
    <row r="69" spans="1:17" customFormat="1">
      <c r="A69" s="80">
        <v>45420.635416666664</v>
      </c>
      <c r="B69" s="112">
        <v>11.09</v>
      </c>
      <c r="C69" s="112">
        <v>13.33</v>
      </c>
      <c r="D69" s="112">
        <v>25</v>
      </c>
      <c r="E69" s="112">
        <v>11.3</v>
      </c>
      <c r="F69" s="112">
        <v>16.12</v>
      </c>
      <c r="G69" s="112">
        <v>14.91</v>
      </c>
      <c r="H69" s="112">
        <v>6.78</v>
      </c>
      <c r="I69" s="112">
        <v>5.1100000000000003</v>
      </c>
      <c r="J69" s="112">
        <v>0.51</v>
      </c>
      <c r="K69" s="112">
        <v>294.08999999999997</v>
      </c>
      <c r="L69" s="112">
        <v>35.979999999999997</v>
      </c>
      <c r="M69" s="112">
        <v>38.65</v>
      </c>
      <c r="N69" s="112">
        <v>536.6</v>
      </c>
      <c r="O69" s="112">
        <v>0</v>
      </c>
      <c r="P69" s="112">
        <v>0.45</v>
      </c>
      <c r="Q69" s="167" t="s">
        <v>14</v>
      </c>
    </row>
    <row r="70" spans="1:17" customFormat="1">
      <c r="A70" s="80">
        <v>45420.645833333336</v>
      </c>
      <c r="B70" s="112">
        <v>11.07</v>
      </c>
      <c r="C70" s="112">
        <v>13.36</v>
      </c>
      <c r="D70" s="112">
        <v>25</v>
      </c>
      <c r="E70" s="112">
        <v>10.65</v>
      </c>
      <c r="F70" s="112">
        <v>18.78</v>
      </c>
      <c r="G70" s="112">
        <v>14.91</v>
      </c>
      <c r="H70" s="112">
        <v>6.78</v>
      </c>
      <c r="I70" s="112">
        <v>5.07</v>
      </c>
      <c r="J70" s="112">
        <v>0.65</v>
      </c>
      <c r="K70" s="112">
        <v>300.08999999999997</v>
      </c>
      <c r="L70" s="112">
        <v>35.67</v>
      </c>
      <c r="M70" s="112">
        <v>39.049999999999997</v>
      </c>
      <c r="N70" s="112">
        <v>505.4</v>
      </c>
      <c r="O70" s="112">
        <v>0</v>
      </c>
      <c r="P70" s="112">
        <v>0.46</v>
      </c>
      <c r="Q70" s="167" t="s">
        <v>14</v>
      </c>
    </row>
    <row r="71" spans="1:17" customFormat="1">
      <c r="A71" s="80">
        <v>45420.65625</v>
      </c>
      <c r="B71" s="112">
        <v>11.07</v>
      </c>
      <c r="C71" s="112">
        <v>13.36</v>
      </c>
      <c r="D71" s="112">
        <v>25</v>
      </c>
      <c r="E71" s="112">
        <v>10.61</v>
      </c>
      <c r="F71" s="112">
        <v>11.43</v>
      </c>
      <c r="G71" s="112">
        <v>14.91</v>
      </c>
      <c r="H71" s="112">
        <v>6.78</v>
      </c>
      <c r="I71" s="112">
        <v>5.22</v>
      </c>
      <c r="J71" s="112">
        <v>0.5</v>
      </c>
      <c r="K71" s="112">
        <v>223.34</v>
      </c>
      <c r="L71" s="112">
        <v>36.33</v>
      </c>
      <c r="M71" s="112">
        <v>37.880000000000003</v>
      </c>
      <c r="N71" s="112">
        <v>452.9</v>
      </c>
      <c r="O71" s="112">
        <v>0</v>
      </c>
      <c r="P71" s="112">
        <v>0.47</v>
      </c>
      <c r="Q71" s="167" t="s">
        <v>14</v>
      </c>
    </row>
    <row r="72" spans="1:17" customFormat="1">
      <c r="A72" s="80">
        <v>45420.666666666664</v>
      </c>
      <c r="B72" s="112">
        <v>11.07</v>
      </c>
      <c r="C72" s="112">
        <v>13.36</v>
      </c>
      <c r="D72" s="112">
        <v>25</v>
      </c>
      <c r="E72" s="112">
        <v>11.53</v>
      </c>
      <c r="F72" s="112">
        <v>15.65</v>
      </c>
      <c r="G72" s="112">
        <v>14.62</v>
      </c>
      <c r="H72" s="112">
        <v>9.7100000000000009</v>
      </c>
      <c r="I72" s="112">
        <v>5.25</v>
      </c>
      <c r="J72" s="112">
        <v>0.48</v>
      </c>
      <c r="K72" s="112">
        <v>260.13</v>
      </c>
      <c r="L72" s="112">
        <v>36.270000000000003</v>
      </c>
      <c r="M72" s="112">
        <v>37.82</v>
      </c>
      <c r="N72" s="112">
        <v>304.2</v>
      </c>
      <c r="O72" s="112">
        <v>0</v>
      </c>
      <c r="P72" s="112">
        <v>0.47</v>
      </c>
      <c r="Q72" s="167" t="s">
        <v>14</v>
      </c>
    </row>
    <row r="73" spans="1:17" customFormat="1">
      <c r="A73" s="80">
        <v>45420.677083333336</v>
      </c>
      <c r="B73" s="112">
        <v>11.1</v>
      </c>
      <c r="C73" s="112">
        <v>13.31</v>
      </c>
      <c r="D73" s="112">
        <v>25</v>
      </c>
      <c r="E73" s="112">
        <v>10.89</v>
      </c>
      <c r="F73" s="112">
        <v>10.96</v>
      </c>
      <c r="G73" s="112">
        <v>14.54</v>
      </c>
      <c r="H73" s="112">
        <v>9.7100000000000009</v>
      </c>
      <c r="I73" s="112">
        <v>5.21</v>
      </c>
      <c r="J73" s="112">
        <v>0.48</v>
      </c>
      <c r="K73" s="112">
        <v>231.73</v>
      </c>
      <c r="L73" s="112">
        <v>36.299999999999997</v>
      </c>
      <c r="M73" s="112">
        <v>37.770000000000003</v>
      </c>
      <c r="N73" s="112">
        <v>222</v>
      </c>
      <c r="O73" s="112">
        <v>0</v>
      </c>
      <c r="P73" s="112">
        <v>0.47</v>
      </c>
      <c r="Q73" s="167" t="s">
        <v>14</v>
      </c>
    </row>
    <row r="74" spans="1:17" customFormat="1">
      <c r="A74" s="80">
        <v>45420.6875</v>
      </c>
      <c r="B74" s="112">
        <v>11.14</v>
      </c>
      <c r="C74" s="112">
        <v>13.24</v>
      </c>
      <c r="D74" s="112">
        <v>25</v>
      </c>
      <c r="E74" s="112">
        <v>10.65</v>
      </c>
      <c r="F74" s="112">
        <v>16.38</v>
      </c>
      <c r="G74" s="112">
        <v>14.54</v>
      </c>
      <c r="H74" s="112">
        <v>9.7100000000000009</v>
      </c>
      <c r="I74" s="112">
        <v>5.29</v>
      </c>
      <c r="J74" s="112">
        <v>0.27</v>
      </c>
      <c r="K74" s="112">
        <v>223.08</v>
      </c>
      <c r="L74" s="112">
        <v>36.020000000000003</v>
      </c>
      <c r="M74" s="112">
        <v>38.4</v>
      </c>
      <c r="N74" s="112">
        <v>173.2</v>
      </c>
      <c r="O74" s="112">
        <v>0</v>
      </c>
      <c r="P74" s="112">
        <v>0.47</v>
      </c>
      <c r="Q74" s="167" t="s">
        <v>14</v>
      </c>
    </row>
    <row r="75" spans="1:17" customFormat="1">
      <c r="A75" s="80">
        <v>45420.697916666664</v>
      </c>
      <c r="B75" s="112">
        <v>11.14</v>
      </c>
      <c r="C75" s="112">
        <v>13.26</v>
      </c>
      <c r="D75" s="112">
        <v>25</v>
      </c>
      <c r="E75" s="112">
        <v>11.52</v>
      </c>
      <c r="F75" s="112">
        <v>14.05</v>
      </c>
      <c r="G75" s="112">
        <v>14.54</v>
      </c>
      <c r="H75" s="112">
        <v>9.7100000000000009</v>
      </c>
      <c r="I75" s="112">
        <v>5.21</v>
      </c>
      <c r="J75" s="112">
        <v>0.41</v>
      </c>
      <c r="K75" s="112">
        <v>232.42</v>
      </c>
      <c r="L75" s="112">
        <v>35.840000000000003</v>
      </c>
      <c r="M75" s="112">
        <v>38.270000000000003</v>
      </c>
      <c r="N75" s="112">
        <v>121.1</v>
      </c>
      <c r="O75" s="112">
        <v>0</v>
      </c>
      <c r="P75" s="112">
        <v>0.47</v>
      </c>
      <c r="Q75" s="167" t="s">
        <v>14</v>
      </c>
    </row>
    <row r="76" spans="1:17" customFormat="1">
      <c r="A76" s="80">
        <v>45420.708333333336</v>
      </c>
      <c r="B76" s="112">
        <v>11.15</v>
      </c>
      <c r="C76" s="112">
        <v>13.24</v>
      </c>
      <c r="D76" s="112">
        <v>25</v>
      </c>
      <c r="E76" s="112">
        <v>11.51</v>
      </c>
      <c r="F76" s="112">
        <v>22.35</v>
      </c>
      <c r="G76" s="112">
        <v>17.760000000000002</v>
      </c>
      <c r="H76" s="112">
        <v>7.24</v>
      </c>
      <c r="I76" s="112">
        <v>5.15</v>
      </c>
      <c r="J76" s="112">
        <v>0.28999999999999998</v>
      </c>
      <c r="K76" s="112">
        <v>200.06</v>
      </c>
      <c r="L76" s="112">
        <v>35.450000000000003</v>
      </c>
      <c r="M76" s="112">
        <v>38.71</v>
      </c>
      <c r="N76" s="112">
        <v>155.9</v>
      </c>
      <c r="O76" s="112">
        <v>0</v>
      </c>
      <c r="P76" s="112">
        <v>0.46</v>
      </c>
      <c r="Q76" s="167" t="s">
        <v>14</v>
      </c>
    </row>
    <row r="77" spans="1:17" customFormat="1">
      <c r="A77" s="80">
        <v>45420.71875</v>
      </c>
      <c r="B77" s="112">
        <v>11.12</v>
      </c>
      <c r="C77" s="112">
        <v>13.27</v>
      </c>
      <c r="D77" s="112">
        <v>25</v>
      </c>
      <c r="E77" s="112">
        <v>12.19</v>
      </c>
      <c r="F77" s="112">
        <v>20.260000000000002</v>
      </c>
      <c r="G77" s="112">
        <v>18.57</v>
      </c>
      <c r="H77" s="112">
        <v>7.24</v>
      </c>
      <c r="I77" s="112">
        <v>5.0599999999999996</v>
      </c>
      <c r="J77" s="112">
        <v>0.26</v>
      </c>
      <c r="K77" s="112">
        <v>196.22</v>
      </c>
      <c r="L77" s="112">
        <v>35.47</v>
      </c>
      <c r="M77" s="112">
        <v>39.99</v>
      </c>
      <c r="N77" s="112">
        <v>131.30000000000001</v>
      </c>
      <c r="O77" s="112">
        <v>0</v>
      </c>
      <c r="P77" s="112">
        <v>0.45</v>
      </c>
      <c r="Q77" s="167" t="s">
        <v>14</v>
      </c>
    </row>
    <row r="78" spans="1:17" customFormat="1">
      <c r="A78" s="80">
        <v>45420.729166666664</v>
      </c>
      <c r="B78" s="112">
        <v>11.11</v>
      </c>
      <c r="C78" s="112">
        <v>13.29</v>
      </c>
      <c r="D78" s="112">
        <v>25</v>
      </c>
      <c r="E78" s="112">
        <v>12.13</v>
      </c>
      <c r="F78" s="112">
        <v>27.04</v>
      </c>
      <c r="G78" s="112">
        <v>18.57</v>
      </c>
      <c r="H78" s="112">
        <v>7.24</v>
      </c>
      <c r="I78" s="112">
        <v>4.8600000000000003</v>
      </c>
      <c r="J78" s="112">
        <v>0.28000000000000003</v>
      </c>
      <c r="K78" s="112">
        <v>170.98</v>
      </c>
      <c r="L78" s="112">
        <v>35.19</v>
      </c>
      <c r="M78" s="112">
        <v>39.65</v>
      </c>
      <c r="N78" s="112">
        <v>76.3</v>
      </c>
      <c r="O78" s="112">
        <v>0</v>
      </c>
      <c r="P78" s="112">
        <v>0.44</v>
      </c>
      <c r="Q78" s="167" t="s">
        <v>14</v>
      </c>
    </row>
    <row r="79" spans="1:17" customFormat="1">
      <c r="A79" s="80">
        <v>45420.739583333336</v>
      </c>
      <c r="B79" s="112">
        <v>11.11</v>
      </c>
      <c r="C79" s="112">
        <v>13.3</v>
      </c>
      <c r="D79" s="112">
        <v>25</v>
      </c>
      <c r="E79" s="112">
        <v>12.18</v>
      </c>
      <c r="F79" s="112">
        <v>19.48</v>
      </c>
      <c r="G79" s="112">
        <v>18.57</v>
      </c>
      <c r="H79" s="112">
        <v>7.24</v>
      </c>
      <c r="I79" s="112">
        <v>4.75</v>
      </c>
      <c r="J79" s="112">
        <v>0.33</v>
      </c>
      <c r="K79" s="112">
        <v>161.03</v>
      </c>
      <c r="L79" s="112">
        <v>35.06</v>
      </c>
      <c r="M79" s="112">
        <v>40.340000000000003</v>
      </c>
      <c r="N79" s="112">
        <v>42.5</v>
      </c>
      <c r="O79" s="112">
        <v>0</v>
      </c>
      <c r="P79" s="112">
        <v>0.44</v>
      </c>
      <c r="Q79" s="167" t="s">
        <v>14</v>
      </c>
    </row>
    <row r="80" spans="1:17" customFormat="1">
      <c r="A80" s="80">
        <v>45420.75</v>
      </c>
      <c r="B80" s="112">
        <v>11.13</v>
      </c>
      <c r="C80" s="112">
        <v>13.26</v>
      </c>
      <c r="D80" s="112">
        <v>25</v>
      </c>
      <c r="E80" s="112">
        <v>12.66</v>
      </c>
      <c r="F80" s="112">
        <v>36.6</v>
      </c>
      <c r="G80" s="112">
        <v>18.239999999999998</v>
      </c>
      <c r="H80" s="112">
        <v>6.74</v>
      </c>
      <c r="I80" s="112">
        <v>4.58</v>
      </c>
      <c r="J80" s="112">
        <v>0.23</v>
      </c>
      <c r="K80" s="112">
        <v>161.72999999999999</v>
      </c>
      <c r="L80" s="112">
        <v>34.03</v>
      </c>
      <c r="M80" s="112">
        <v>43.32</v>
      </c>
      <c r="N80" s="112">
        <v>19.100000000000001</v>
      </c>
      <c r="O80" s="112">
        <v>0</v>
      </c>
      <c r="P80" s="112">
        <v>0.44</v>
      </c>
      <c r="Q80" s="167" t="s">
        <v>14</v>
      </c>
    </row>
    <row r="81" spans="1:17" customFormat="1">
      <c r="A81" s="80">
        <v>45420.760416666664</v>
      </c>
      <c r="B81" s="112">
        <v>11.11</v>
      </c>
      <c r="C81" s="112">
        <v>13.3</v>
      </c>
      <c r="D81" s="112">
        <v>25</v>
      </c>
      <c r="E81" s="112">
        <v>9.17</v>
      </c>
      <c r="F81" s="112">
        <v>22.82</v>
      </c>
      <c r="G81" s="112">
        <v>18.16</v>
      </c>
      <c r="H81" s="112">
        <v>6.74</v>
      </c>
      <c r="I81" s="112">
        <v>4.37</v>
      </c>
      <c r="J81" s="112">
        <v>0.22</v>
      </c>
      <c r="K81" s="112">
        <v>168.56</v>
      </c>
      <c r="L81" s="112">
        <v>32.94</v>
      </c>
      <c r="M81" s="112">
        <v>47.44</v>
      </c>
      <c r="N81" s="112">
        <v>2.5</v>
      </c>
      <c r="O81" s="112">
        <v>0</v>
      </c>
      <c r="P81" s="112">
        <v>0.44</v>
      </c>
      <c r="Q81" s="167" t="s">
        <v>14</v>
      </c>
    </row>
    <row r="82" spans="1:17" customFormat="1">
      <c r="A82" s="80">
        <v>45420.770833333336</v>
      </c>
      <c r="B82" s="112">
        <v>11.09</v>
      </c>
      <c r="C82" s="112">
        <v>13.33</v>
      </c>
      <c r="D82" s="112">
        <v>25</v>
      </c>
      <c r="E82" s="112">
        <v>10.93</v>
      </c>
      <c r="F82" s="112">
        <v>20.47</v>
      </c>
      <c r="G82" s="112">
        <v>18.16</v>
      </c>
      <c r="H82" s="112">
        <v>6.74</v>
      </c>
      <c r="I82" s="112">
        <v>4.32</v>
      </c>
      <c r="J82" s="112">
        <v>0.26</v>
      </c>
      <c r="K82" s="112">
        <v>167.57</v>
      </c>
      <c r="L82" s="112">
        <v>32.35</v>
      </c>
      <c r="M82" s="112">
        <v>49.76</v>
      </c>
      <c r="N82" s="112">
        <v>0</v>
      </c>
      <c r="O82" s="112">
        <v>0</v>
      </c>
      <c r="P82" s="112">
        <v>0.44</v>
      </c>
      <c r="Q82" s="167" t="s">
        <v>14</v>
      </c>
    </row>
    <row r="83" spans="1:17" customFormat="1">
      <c r="A83" s="80">
        <v>45420.78125</v>
      </c>
      <c r="B83" s="112">
        <v>11.1</v>
      </c>
      <c r="C83" s="112">
        <v>13.31</v>
      </c>
      <c r="D83" s="112">
        <v>25</v>
      </c>
      <c r="E83" s="112">
        <v>11.04</v>
      </c>
      <c r="F83" s="112">
        <v>22.37</v>
      </c>
      <c r="G83" s="112">
        <v>18.16</v>
      </c>
      <c r="H83" s="112">
        <v>6.74</v>
      </c>
      <c r="I83" s="112">
        <v>4.33</v>
      </c>
      <c r="J83" s="112">
        <v>0.22</v>
      </c>
      <c r="K83" s="112">
        <v>162.49</v>
      </c>
      <c r="L83" s="112">
        <v>31.63</v>
      </c>
      <c r="M83" s="112">
        <v>53.87</v>
      </c>
      <c r="N83" s="112">
        <v>0</v>
      </c>
      <c r="O83" s="112">
        <v>0</v>
      </c>
      <c r="P83" s="112">
        <v>0.46</v>
      </c>
      <c r="Q83" s="167" t="s">
        <v>14</v>
      </c>
    </row>
    <row r="84" spans="1:17" customFormat="1">
      <c r="A84" s="80">
        <v>45420.791666666664</v>
      </c>
      <c r="B84" s="112">
        <v>11.1</v>
      </c>
      <c r="C84" s="112">
        <v>13.32</v>
      </c>
      <c r="D84" s="112">
        <v>25</v>
      </c>
      <c r="E84" s="112">
        <v>11.26</v>
      </c>
      <c r="F84" s="112">
        <v>15.56</v>
      </c>
      <c r="G84" s="112">
        <v>17.87</v>
      </c>
      <c r="H84" s="112">
        <v>8.24</v>
      </c>
      <c r="I84" s="112">
        <v>4.42</v>
      </c>
      <c r="J84" s="112">
        <v>0.27</v>
      </c>
      <c r="K84" s="112">
        <v>163.06</v>
      </c>
      <c r="L84" s="112">
        <v>31.32</v>
      </c>
      <c r="M84" s="112">
        <v>52.3</v>
      </c>
      <c r="N84" s="112">
        <v>0</v>
      </c>
      <c r="O84" s="112">
        <v>0</v>
      </c>
      <c r="P84" s="112">
        <v>0.46</v>
      </c>
      <c r="Q84" s="167" t="s">
        <v>14</v>
      </c>
    </row>
    <row r="85" spans="1:17" customFormat="1">
      <c r="A85" s="80">
        <v>45420.802083333336</v>
      </c>
      <c r="B85" s="112">
        <v>11.1</v>
      </c>
      <c r="C85" s="112">
        <v>13.31</v>
      </c>
      <c r="D85" s="112">
        <v>25</v>
      </c>
      <c r="E85" s="112">
        <v>11.08</v>
      </c>
      <c r="F85" s="112">
        <v>19.13</v>
      </c>
      <c r="G85" s="112">
        <v>17.8</v>
      </c>
      <c r="H85" s="112">
        <v>8.24</v>
      </c>
      <c r="I85" s="112">
        <v>4.47</v>
      </c>
      <c r="J85" s="112">
        <v>0.23</v>
      </c>
      <c r="K85" s="112">
        <v>159.78</v>
      </c>
      <c r="L85" s="112">
        <v>31.13</v>
      </c>
      <c r="M85" s="112">
        <v>55.43</v>
      </c>
      <c r="N85" s="112">
        <v>0</v>
      </c>
      <c r="O85" s="112">
        <v>0</v>
      </c>
      <c r="P85" s="112">
        <v>0.47</v>
      </c>
      <c r="Q85" s="167" t="s">
        <v>14</v>
      </c>
    </row>
    <row r="86" spans="1:17" customFormat="1">
      <c r="A86" s="80">
        <v>45420.8125</v>
      </c>
      <c r="B86" s="112">
        <v>11.1</v>
      </c>
      <c r="C86" s="112">
        <v>13.31</v>
      </c>
      <c r="D86" s="112">
        <v>25</v>
      </c>
      <c r="E86" s="112">
        <v>11.33</v>
      </c>
      <c r="F86" s="112">
        <v>12.57</v>
      </c>
      <c r="G86" s="112">
        <v>17.8</v>
      </c>
      <c r="H86" s="112">
        <v>8.24</v>
      </c>
      <c r="I86" s="112">
        <v>4.5</v>
      </c>
      <c r="J86" s="112">
        <v>0.34</v>
      </c>
      <c r="K86" s="112">
        <v>163.52000000000001</v>
      </c>
      <c r="L86" s="112">
        <v>31.03</v>
      </c>
      <c r="M86" s="112">
        <v>55.29</v>
      </c>
      <c r="N86" s="112">
        <v>0</v>
      </c>
      <c r="O86" s="112">
        <v>0</v>
      </c>
      <c r="P86" s="112">
        <v>0.49</v>
      </c>
      <c r="Q86" s="167" t="s">
        <v>14</v>
      </c>
    </row>
    <row r="87" spans="1:17" customFormat="1">
      <c r="A87" s="80">
        <v>45420.822916666664</v>
      </c>
      <c r="B87" s="112">
        <v>11.09</v>
      </c>
      <c r="C87" s="112">
        <v>13.33</v>
      </c>
      <c r="D87" s="112">
        <v>25</v>
      </c>
      <c r="E87" s="112">
        <v>11.93</v>
      </c>
      <c r="F87" s="112">
        <v>4.9000000000000004</v>
      </c>
      <c r="G87" s="112">
        <v>17.8</v>
      </c>
      <c r="H87" s="112">
        <v>8.24</v>
      </c>
      <c r="I87" s="112">
        <v>4.6100000000000003</v>
      </c>
      <c r="J87" s="112">
        <v>0.3</v>
      </c>
      <c r="K87" s="112">
        <v>167.38</v>
      </c>
      <c r="L87" s="112">
        <v>30.5</v>
      </c>
      <c r="M87" s="112">
        <v>60.62</v>
      </c>
      <c r="N87" s="112">
        <v>0</v>
      </c>
      <c r="O87" s="112">
        <v>0</v>
      </c>
      <c r="P87" s="112">
        <v>0.53</v>
      </c>
      <c r="Q87" s="167" t="s">
        <v>14</v>
      </c>
    </row>
    <row r="88" spans="1:17" customFormat="1">
      <c r="A88" s="80">
        <v>45420.833333333336</v>
      </c>
      <c r="B88" s="112">
        <v>11.09</v>
      </c>
      <c r="C88" s="112">
        <v>13.33</v>
      </c>
      <c r="D88" s="112">
        <v>25</v>
      </c>
      <c r="E88" s="112">
        <v>12.37</v>
      </c>
      <c r="F88" s="112">
        <v>2.5299999999999998</v>
      </c>
      <c r="G88" s="112">
        <v>26.04</v>
      </c>
      <c r="H88" s="112">
        <v>10.52</v>
      </c>
      <c r="I88" s="112">
        <v>4.82</v>
      </c>
      <c r="J88" s="112">
        <v>0.32</v>
      </c>
      <c r="K88" s="112">
        <v>164.67</v>
      </c>
      <c r="L88" s="112">
        <v>30.17</v>
      </c>
      <c r="M88" s="112">
        <v>60.56</v>
      </c>
      <c r="N88" s="112">
        <v>0</v>
      </c>
      <c r="O88" s="112">
        <v>0</v>
      </c>
      <c r="P88" s="112">
        <v>0.65</v>
      </c>
      <c r="Q88" s="167" t="s">
        <v>14</v>
      </c>
    </row>
    <row r="89" spans="1:17" customFormat="1">
      <c r="A89" s="80">
        <v>45420.84375</v>
      </c>
      <c r="B89" s="112">
        <v>11.06</v>
      </c>
      <c r="C89" s="112">
        <v>13.37</v>
      </c>
      <c r="D89" s="112">
        <v>25</v>
      </c>
      <c r="E89" s="112">
        <v>11.59</v>
      </c>
      <c r="F89" s="112">
        <v>1.02</v>
      </c>
      <c r="G89" s="112">
        <v>28.1</v>
      </c>
      <c r="H89" s="112">
        <v>10.52</v>
      </c>
      <c r="I89" s="112">
        <v>5.39</v>
      </c>
      <c r="J89" s="112">
        <v>0.24</v>
      </c>
      <c r="K89" s="112">
        <v>157.68</v>
      </c>
      <c r="L89" s="112">
        <v>29.83</v>
      </c>
      <c r="M89" s="112">
        <v>64.27</v>
      </c>
      <c r="N89" s="112">
        <v>0</v>
      </c>
      <c r="O89" s="112">
        <v>0</v>
      </c>
      <c r="P89" s="112">
        <v>0.8</v>
      </c>
      <c r="Q89" s="167" t="s">
        <v>14</v>
      </c>
    </row>
    <row r="90" spans="1:17" customFormat="1">
      <c r="A90" s="80">
        <v>45420.854166666664</v>
      </c>
      <c r="B90" s="112">
        <v>11.1</v>
      </c>
      <c r="C90" s="112">
        <v>13.32</v>
      </c>
      <c r="D90" s="112">
        <v>25</v>
      </c>
      <c r="E90" s="112">
        <v>11.9</v>
      </c>
      <c r="F90" s="112">
        <v>3.43</v>
      </c>
      <c r="G90" s="112">
        <v>28.1</v>
      </c>
      <c r="H90" s="112">
        <v>10.52</v>
      </c>
      <c r="I90" s="112">
        <v>6.26</v>
      </c>
      <c r="J90" s="112">
        <v>0.34</v>
      </c>
      <c r="K90" s="112">
        <v>175.11</v>
      </c>
      <c r="L90" s="112">
        <v>29.14</v>
      </c>
      <c r="M90" s="112">
        <v>68.5</v>
      </c>
      <c r="N90" s="112">
        <v>0</v>
      </c>
      <c r="O90" s="112">
        <v>0</v>
      </c>
      <c r="P90" s="112">
        <v>0.68</v>
      </c>
      <c r="Q90" s="167" t="s">
        <v>14</v>
      </c>
    </row>
    <row r="91" spans="1:17" customFormat="1">
      <c r="A91" s="80">
        <v>45420.864583333336</v>
      </c>
      <c r="B91" s="112">
        <v>11.13</v>
      </c>
      <c r="C91" s="112">
        <v>13.3</v>
      </c>
      <c r="D91" s="112">
        <v>25.02</v>
      </c>
      <c r="E91" s="112">
        <v>11.11</v>
      </c>
      <c r="F91" s="112">
        <v>5.9</v>
      </c>
      <c r="G91" s="112">
        <v>28.1</v>
      </c>
      <c r="H91" s="112">
        <v>10.52</v>
      </c>
      <c r="I91" s="112">
        <v>6.89</v>
      </c>
      <c r="J91" s="112">
        <v>0.23</v>
      </c>
      <c r="K91" s="112">
        <v>161.47999999999999</v>
      </c>
      <c r="L91" s="112">
        <v>28.97</v>
      </c>
      <c r="M91" s="112">
        <v>64.680000000000007</v>
      </c>
      <c r="N91" s="112">
        <v>0</v>
      </c>
      <c r="O91" s="112">
        <v>0</v>
      </c>
      <c r="P91" s="112">
        <v>0.69</v>
      </c>
      <c r="Q91" s="167" t="s">
        <v>14</v>
      </c>
    </row>
    <row r="92" spans="1:17" customFormat="1">
      <c r="A92" s="80">
        <v>45420.875</v>
      </c>
      <c r="B92" s="112">
        <v>11.14</v>
      </c>
      <c r="C92" s="112">
        <v>13.26</v>
      </c>
      <c r="D92" s="112">
        <v>25.01</v>
      </c>
      <c r="E92" s="112">
        <v>10.99</v>
      </c>
      <c r="F92" s="112">
        <v>3.81</v>
      </c>
      <c r="G92" s="112">
        <v>53.05</v>
      </c>
      <c r="H92" s="112">
        <v>15.42</v>
      </c>
      <c r="I92" s="112">
        <v>6.63</v>
      </c>
      <c r="J92" s="112">
        <v>0.28000000000000003</v>
      </c>
      <c r="K92" s="112">
        <v>176.11</v>
      </c>
      <c r="L92" s="112">
        <v>28.94</v>
      </c>
      <c r="M92" s="112">
        <v>68.39</v>
      </c>
      <c r="N92" s="112">
        <v>0</v>
      </c>
      <c r="O92" s="112">
        <v>0</v>
      </c>
      <c r="P92" s="112">
        <v>0.72</v>
      </c>
      <c r="Q92" s="167" t="s">
        <v>14</v>
      </c>
    </row>
    <row r="93" spans="1:17" customFormat="1">
      <c r="A93" s="80">
        <v>45420.885416666664</v>
      </c>
      <c r="B93" s="112">
        <v>11.12</v>
      </c>
      <c r="C93" s="112">
        <v>13.27</v>
      </c>
      <c r="D93" s="112">
        <v>25</v>
      </c>
      <c r="E93" s="112">
        <v>10.44</v>
      </c>
      <c r="F93" s="112">
        <v>2.25</v>
      </c>
      <c r="G93" s="112">
        <v>59.29</v>
      </c>
      <c r="H93" s="112">
        <v>15.42</v>
      </c>
      <c r="I93" s="112">
        <v>6.45</v>
      </c>
      <c r="J93" s="112">
        <v>0.23</v>
      </c>
      <c r="K93" s="112">
        <v>171.1</v>
      </c>
      <c r="L93" s="112">
        <v>28.31</v>
      </c>
      <c r="M93" s="112">
        <v>72.849999999999994</v>
      </c>
      <c r="N93" s="112">
        <v>0</v>
      </c>
      <c r="O93" s="112">
        <v>0</v>
      </c>
      <c r="P93" s="112">
        <v>0.7</v>
      </c>
      <c r="Q93" s="167" t="s">
        <v>14</v>
      </c>
    </row>
    <row r="94" spans="1:17" customFormat="1">
      <c r="A94" s="80">
        <v>45420.895833333336</v>
      </c>
      <c r="B94" s="112">
        <v>11.09</v>
      </c>
      <c r="C94" s="112">
        <v>13.32</v>
      </c>
      <c r="D94" s="112">
        <v>25</v>
      </c>
      <c r="E94" s="112">
        <v>9.94</v>
      </c>
      <c r="F94" s="112">
        <v>1.67</v>
      </c>
      <c r="G94" s="112">
        <v>59.29</v>
      </c>
      <c r="H94" s="112">
        <v>15.42</v>
      </c>
      <c r="I94" s="112">
        <v>6.62</v>
      </c>
      <c r="J94" s="112">
        <v>0.23</v>
      </c>
      <c r="K94" s="112">
        <v>171.72</v>
      </c>
      <c r="L94" s="112">
        <v>28.28</v>
      </c>
      <c r="M94" s="112">
        <v>69.33</v>
      </c>
      <c r="N94" s="112">
        <v>0</v>
      </c>
      <c r="O94" s="112">
        <v>0</v>
      </c>
      <c r="P94" s="112">
        <v>0.74</v>
      </c>
      <c r="Q94" s="167" t="s">
        <v>14</v>
      </c>
    </row>
    <row r="95" spans="1:17" customFormat="1">
      <c r="A95" s="80">
        <v>45420.90625</v>
      </c>
      <c r="B95" s="112">
        <v>11.1</v>
      </c>
      <c r="C95" s="112">
        <v>13.31</v>
      </c>
      <c r="D95" s="112">
        <v>25</v>
      </c>
      <c r="E95" s="112">
        <v>10.16</v>
      </c>
      <c r="F95" s="112">
        <v>1.48</v>
      </c>
      <c r="G95" s="112">
        <v>59.29</v>
      </c>
      <c r="H95" s="112">
        <v>15.42</v>
      </c>
      <c r="I95" s="112">
        <v>6.73</v>
      </c>
      <c r="J95" s="112">
        <v>0.12</v>
      </c>
      <c r="K95" s="112">
        <v>191.14</v>
      </c>
      <c r="L95" s="112">
        <v>28.56</v>
      </c>
      <c r="M95" s="112">
        <v>67.5</v>
      </c>
      <c r="N95" s="112">
        <v>0</v>
      </c>
      <c r="O95" s="112">
        <v>0</v>
      </c>
      <c r="P95" s="112">
        <v>0.85</v>
      </c>
      <c r="Q95" s="167" t="s">
        <v>14</v>
      </c>
    </row>
    <row r="96" spans="1:17" customFormat="1">
      <c r="A96" s="80">
        <v>45420.916666666664</v>
      </c>
      <c r="B96" s="112">
        <v>11.15</v>
      </c>
      <c r="C96" s="112">
        <v>13.3</v>
      </c>
      <c r="D96" s="112">
        <v>25.03</v>
      </c>
      <c r="E96" s="112">
        <v>10.23</v>
      </c>
      <c r="F96" s="112">
        <v>1</v>
      </c>
      <c r="G96" s="112">
        <v>64.459999999999994</v>
      </c>
      <c r="H96" s="112">
        <v>19.010000000000002</v>
      </c>
      <c r="I96" s="112">
        <v>7.13</v>
      </c>
      <c r="J96" s="112">
        <v>0.18</v>
      </c>
      <c r="K96" s="112">
        <v>159.93</v>
      </c>
      <c r="L96" s="112">
        <v>28.63</v>
      </c>
      <c r="M96" s="112">
        <v>69.150000000000006</v>
      </c>
      <c r="N96" s="112">
        <v>0</v>
      </c>
      <c r="O96" s="112">
        <v>0</v>
      </c>
      <c r="P96" s="112">
        <v>0.98</v>
      </c>
      <c r="Q96" s="167" t="s">
        <v>14</v>
      </c>
    </row>
    <row r="97" spans="1:22" customFormat="1">
      <c r="A97" s="80">
        <v>45420.927083333336</v>
      </c>
      <c r="B97" s="112">
        <v>11.16</v>
      </c>
      <c r="C97" s="112">
        <v>13.27</v>
      </c>
      <c r="D97" s="112">
        <v>25.02</v>
      </c>
      <c r="E97" s="112">
        <v>10.5</v>
      </c>
      <c r="F97" s="112">
        <v>1</v>
      </c>
      <c r="G97" s="112">
        <v>65.75</v>
      </c>
      <c r="H97" s="112">
        <v>19.010000000000002</v>
      </c>
      <c r="I97" s="112">
        <v>7.96</v>
      </c>
      <c r="J97" s="112">
        <v>0.28000000000000003</v>
      </c>
      <c r="K97" s="112">
        <v>172.83</v>
      </c>
      <c r="L97" s="112">
        <v>28.18</v>
      </c>
      <c r="M97" s="112">
        <v>76.11</v>
      </c>
      <c r="N97" s="112">
        <v>0</v>
      </c>
      <c r="O97" s="112">
        <v>0</v>
      </c>
      <c r="P97" s="112">
        <v>0.83</v>
      </c>
      <c r="Q97" s="167" t="s">
        <v>14</v>
      </c>
    </row>
    <row r="98" spans="1:22" customFormat="1">
      <c r="A98" s="80">
        <v>45420.9375</v>
      </c>
      <c r="B98" s="112">
        <v>11.11</v>
      </c>
      <c r="C98" s="112">
        <v>13.31</v>
      </c>
      <c r="D98" s="112">
        <v>25</v>
      </c>
      <c r="E98" s="112">
        <v>9.9700000000000006</v>
      </c>
      <c r="F98" s="112">
        <v>1</v>
      </c>
      <c r="G98" s="112">
        <v>65.75</v>
      </c>
      <c r="H98" s="112">
        <v>19.010000000000002</v>
      </c>
      <c r="I98" s="112">
        <v>8.43</v>
      </c>
      <c r="J98" s="112">
        <v>0.28000000000000003</v>
      </c>
      <c r="K98" s="112">
        <v>167.06</v>
      </c>
      <c r="L98" s="112">
        <v>27.68</v>
      </c>
      <c r="M98" s="112">
        <v>75.75</v>
      </c>
      <c r="N98" s="112">
        <v>0</v>
      </c>
      <c r="O98" s="112">
        <v>0</v>
      </c>
      <c r="P98" s="112">
        <v>0.81</v>
      </c>
      <c r="Q98" s="167" t="s">
        <v>14</v>
      </c>
    </row>
    <row r="99" spans="1:22" customFormat="1">
      <c r="A99" s="80">
        <v>45420.947916666664</v>
      </c>
      <c r="B99" s="112">
        <v>11.21</v>
      </c>
      <c r="C99" s="112">
        <v>13.33</v>
      </c>
      <c r="D99" s="112">
        <v>25.1</v>
      </c>
      <c r="E99" s="112">
        <v>9.8000000000000007</v>
      </c>
      <c r="F99" s="112">
        <v>1</v>
      </c>
      <c r="G99" s="112">
        <v>65.75</v>
      </c>
      <c r="H99" s="112">
        <v>19.010000000000002</v>
      </c>
      <c r="I99" s="112">
        <v>8.02</v>
      </c>
      <c r="J99" s="112">
        <v>0.23</v>
      </c>
      <c r="K99" s="112">
        <v>85</v>
      </c>
      <c r="L99" s="112">
        <v>27.88</v>
      </c>
      <c r="M99" s="112">
        <v>72.900000000000006</v>
      </c>
      <c r="N99" s="112">
        <v>0</v>
      </c>
      <c r="O99" s="112">
        <v>0</v>
      </c>
      <c r="P99" s="112">
        <v>0.93</v>
      </c>
      <c r="Q99" s="167" t="s">
        <v>14</v>
      </c>
    </row>
    <row r="100" spans="1:22" customFormat="1">
      <c r="A100" s="80">
        <v>45420.958333333336</v>
      </c>
      <c r="B100" s="112">
        <v>11.16</v>
      </c>
      <c r="C100" s="112">
        <v>13.26</v>
      </c>
      <c r="D100" s="112">
        <v>25.02</v>
      </c>
      <c r="E100" s="112">
        <v>9.92</v>
      </c>
      <c r="F100" s="112">
        <v>1.51</v>
      </c>
      <c r="G100" s="112">
        <v>79.36</v>
      </c>
      <c r="H100" s="112">
        <v>22.22</v>
      </c>
      <c r="I100" s="112">
        <v>8.0500000000000007</v>
      </c>
      <c r="J100" s="112">
        <v>0.54</v>
      </c>
      <c r="K100" s="112">
        <v>48.92</v>
      </c>
      <c r="L100" s="112">
        <v>29.04</v>
      </c>
      <c r="M100" s="112">
        <v>64.62</v>
      </c>
      <c r="N100" s="112">
        <v>0</v>
      </c>
      <c r="O100" s="112">
        <v>0</v>
      </c>
      <c r="P100" s="112">
        <v>0.9</v>
      </c>
      <c r="Q100" s="167" t="s">
        <v>14</v>
      </c>
    </row>
    <row r="101" spans="1:22" customFormat="1">
      <c r="A101" s="80">
        <v>45420.96875</v>
      </c>
      <c r="B101" s="112">
        <v>11.11</v>
      </c>
      <c r="C101" s="112">
        <v>13.29</v>
      </c>
      <c r="D101" s="112">
        <v>25</v>
      </c>
      <c r="E101" s="112">
        <v>11.03</v>
      </c>
      <c r="F101" s="112">
        <v>3.09</v>
      </c>
      <c r="G101" s="112">
        <v>82.77</v>
      </c>
      <c r="H101" s="112">
        <v>22.22</v>
      </c>
      <c r="I101" s="112">
        <v>8.66</v>
      </c>
      <c r="J101" s="112">
        <v>0.61</v>
      </c>
      <c r="K101" s="112">
        <v>52.35</v>
      </c>
      <c r="L101" s="112">
        <v>29.33</v>
      </c>
      <c r="M101" s="112">
        <v>61.79</v>
      </c>
      <c r="N101" s="112">
        <v>0</v>
      </c>
      <c r="O101" s="112">
        <v>0</v>
      </c>
      <c r="P101" s="112">
        <v>0.77</v>
      </c>
      <c r="Q101" s="167" t="s">
        <v>14</v>
      </c>
    </row>
    <row r="102" spans="1:22" customFormat="1">
      <c r="A102" s="80">
        <v>45420.979166666664</v>
      </c>
      <c r="B102" s="112">
        <v>11.08</v>
      </c>
      <c r="C102" s="112">
        <v>13.35</v>
      </c>
      <c r="D102" s="112">
        <v>25</v>
      </c>
      <c r="E102" s="112">
        <v>12.08</v>
      </c>
      <c r="F102" s="112">
        <v>4.0999999999999996</v>
      </c>
      <c r="G102" s="112">
        <v>82.77</v>
      </c>
      <c r="H102" s="112">
        <v>22.22</v>
      </c>
      <c r="I102" s="112">
        <v>8.5500000000000007</v>
      </c>
      <c r="J102" s="112">
        <v>1.61</v>
      </c>
      <c r="K102" s="112">
        <v>46.37</v>
      </c>
      <c r="L102" s="112">
        <v>29</v>
      </c>
      <c r="M102" s="112">
        <v>62.83</v>
      </c>
      <c r="N102" s="112">
        <v>0</v>
      </c>
      <c r="O102" s="112">
        <v>0</v>
      </c>
      <c r="P102" s="112">
        <v>0.78</v>
      </c>
      <c r="Q102" s="167" t="s">
        <v>14</v>
      </c>
    </row>
    <row r="103" spans="1:22" customFormat="1">
      <c r="A103" s="80">
        <v>45420.989583333336</v>
      </c>
      <c r="B103" s="112">
        <v>11.08</v>
      </c>
      <c r="C103" s="112">
        <v>13.34</v>
      </c>
      <c r="D103" s="112">
        <v>25</v>
      </c>
      <c r="E103" s="112">
        <v>13.3</v>
      </c>
      <c r="F103" s="112">
        <v>8.9</v>
      </c>
      <c r="G103" s="112">
        <v>82.77</v>
      </c>
      <c r="H103" s="112">
        <v>22.22</v>
      </c>
      <c r="I103" s="112">
        <v>7.81</v>
      </c>
      <c r="J103" s="112">
        <v>1.38</v>
      </c>
      <c r="K103" s="112">
        <v>47.84</v>
      </c>
      <c r="L103" s="112">
        <v>28.53</v>
      </c>
      <c r="M103" s="112">
        <v>58.45</v>
      </c>
      <c r="N103" s="112">
        <v>0</v>
      </c>
      <c r="O103" s="112">
        <v>0</v>
      </c>
      <c r="P103" s="112">
        <v>0.73</v>
      </c>
      <c r="Q103" s="167" t="s">
        <v>14</v>
      </c>
    </row>
    <row r="104" spans="1:22" customFormat="1">
      <c r="A104" s="80">
        <v>45421</v>
      </c>
      <c r="B104" s="112">
        <v>11.09</v>
      </c>
      <c r="C104" s="112">
        <v>13.33</v>
      </c>
      <c r="D104" s="112">
        <v>25</v>
      </c>
      <c r="E104" s="112">
        <v>13.79</v>
      </c>
      <c r="F104" s="112">
        <v>12.35</v>
      </c>
      <c r="G104" s="112">
        <v>80.48</v>
      </c>
      <c r="H104" s="112">
        <v>18.309999999999999</v>
      </c>
      <c r="I104" s="112">
        <v>7.65</v>
      </c>
      <c r="J104" s="112">
        <v>0.94</v>
      </c>
      <c r="K104" s="112">
        <v>57.24</v>
      </c>
      <c r="L104" s="112">
        <v>28.2</v>
      </c>
      <c r="M104" s="112">
        <v>58.1</v>
      </c>
      <c r="N104" s="112">
        <v>0</v>
      </c>
      <c r="O104" s="112">
        <v>0</v>
      </c>
      <c r="P104" s="112">
        <v>0.7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11.05</v>
      </c>
      <c r="C106" s="183">
        <f>MIN(C9:C104)</f>
        <v>13.23</v>
      </c>
      <c r="D106" s="183">
        <f t="shared" ref="D106:Q106" si="0">MIN(D9:D104)</f>
        <v>25</v>
      </c>
      <c r="E106" s="183">
        <f t="shared" si="0"/>
        <v>9.17</v>
      </c>
      <c r="F106" s="183">
        <f t="shared" si="0"/>
        <v>1</v>
      </c>
      <c r="G106" s="183">
        <f t="shared" si="0"/>
        <v>14.54</v>
      </c>
      <c r="H106" s="183">
        <f t="shared" si="0"/>
        <v>6.74</v>
      </c>
      <c r="I106" s="183">
        <f t="shared" si="0"/>
        <v>3.63</v>
      </c>
      <c r="J106" s="183">
        <f t="shared" si="0"/>
        <v>0.12</v>
      </c>
      <c r="K106" s="183">
        <f t="shared" si="0"/>
        <v>46.37</v>
      </c>
      <c r="L106" s="183">
        <f t="shared" si="0"/>
        <v>22.62</v>
      </c>
      <c r="M106" s="183">
        <f t="shared" si="0"/>
        <v>37.770000000000003</v>
      </c>
      <c r="N106" s="183">
        <f t="shared" si="0"/>
        <v>0</v>
      </c>
      <c r="O106" s="183">
        <f t="shared" si="0"/>
        <v>0</v>
      </c>
      <c r="P106" s="183">
        <f t="shared" si="0"/>
        <v>0.41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11.21</v>
      </c>
      <c r="C107" s="184">
        <f t="shared" ref="C107:Q107" si="1">MAX(C9:C104)</f>
        <v>13.55</v>
      </c>
      <c r="D107" s="184">
        <f t="shared" si="1"/>
        <v>25.21</v>
      </c>
      <c r="E107" s="184">
        <f t="shared" si="1"/>
        <v>13.79</v>
      </c>
      <c r="F107" s="184">
        <f t="shared" si="1"/>
        <v>36.6</v>
      </c>
      <c r="G107" s="184">
        <f t="shared" si="1"/>
        <v>82.77</v>
      </c>
      <c r="H107" s="184">
        <f t="shared" si="1"/>
        <v>22.22</v>
      </c>
      <c r="I107" s="184">
        <f t="shared" si="1"/>
        <v>9.61</v>
      </c>
      <c r="J107" s="184">
        <f t="shared" si="1"/>
        <v>1.61</v>
      </c>
      <c r="K107" s="184">
        <f t="shared" si="1"/>
        <v>349.74</v>
      </c>
      <c r="L107" s="184">
        <f t="shared" si="1"/>
        <v>36.33</v>
      </c>
      <c r="M107" s="184">
        <f t="shared" si="1"/>
        <v>88.66</v>
      </c>
      <c r="N107" s="184">
        <f t="shared" si="1"/>
        <v>860.7</v>
      </c>
      <c r="O107" s="184">
        <f t="shared" si="1"/>
        <v>0</v>
      </c>
      <c r="P107" s="184">
        <f t="shared" si="1"/>
        <v>0.98</v>
      </c>
      <c r="Q107" s="184">
        <f t="shared" si="1"/>
        <v>0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11.099166666666664</v>
      </c>
      <c r="C108" s="183">
        <f t="shared" ref="C108:P108" si="2">AVERAGE(C9:C104)</f>
        <v>13.321249999999985</v>
      </c>
      <c r="D108" s="183">
        <f t="shared" si="2"/>
        <v>25.004270833333337</v>
      </c>
      <c r="E108" s="183">
        <f t="shared" si="2"/>
        <v>11.249270833333329</v>
      </c>
      <c r="F108" s="183">
        <f t="shared" si="2"/>
        <v>7.4826041666666656</v>
      </c>
      <c r="G108" s="183">
        <f t="shared" si="2"/>
        <v>27.645624999999985</v>
      </c>
      <c r="H108" s="183">
        <f t="shared" si="2"/>
        <v>10.436979166666665</v>
      </c>
      <c r="I108" s="183">
        <f t="shared" si="2"/>
        <v>5.8305208333333312</v>
      </c>
      <c r="J108" s="183">
        <f t="shared" si="2"/>
        <v>0.46364583333333309</v>
      </c>
      <c r="K108" s="183">
        <f t="shared" si="2"/>
        <v>213.00083333333339</v>
      </c>
      <c r="L108" s="183">
        <f t="shared" si="2"/>
        <v>29.114791666666672</v>
      </c>
      <c r="M108" s="183">
        <f t="shared" si="2"/>
        <v>63.068854166666682</v>
      </c>
      <c r="N108" s="183">
        <f t="shared" si="2"/>
        <v>198.15520833333335</v>
      </c>
      <c r="O108" s="183">
        <f t="shared" si="2"/>
        <v>0</v>
      </c>
      <c r="P108" s="183">
        <f t="shared" si="2"/>
        <v>0.56562499999999993</v>
      </c>
      <c r="Q108" s="167" t="s">
        <v>14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3.1310555363854221E-2</v>
      </c>
      <c r="C109" s="183">
        <f t="shared" ref="C109:P109" si="3">STDEV(C9:C104)</f>
        <v>4.5008771075027279E-2</v>
      </c>
      <c r="D109" s="183">
        <f t="shared" si="3"/>
        <v>2.3962461505519731E-2</v>
      </c>
      <c r="E109" s="183">
        <f t="shared" si="3"/>
        <v>1.0254860154982945</v>
      </c>
      <c r="F109" s="183">
        <f t="shared" si="3"/>
        <v>8.368004760589324</v>
      </c>
      <c r="G109" s="183">
        <f t="shared" si="3"/>
        <v>17.510864105192727</v>
      </c>
      <c r="H109" s="183">
        <f t="shared" si="3"/>
        <v>3.7591796752935767</v>
      </c>
      <c r="I109" s="183">
        <f t="shared" si="3"/>
        <v>1.6227140162421707</v>
      </c>
      <c r="J109" s="183">
        <f t="shared" si="3"/>
        <v>0.27640214711507716</v>
      </c>
      <c r="K109" s="183">
        <f t="shared" si="3"/>
        <v>62.476392133629744</v>
      </c>
      <c r="L109" s="183">
        <f t="shared" si="3"/>
        <v>4.6023746683336197</v>
      </c>
      <c r="M109" s="183">
        <f t="shared" si="3"/>
        <v>16.754781681644182</v>
      </c>
      <c r="N109" s="183">
        <f t="shared" si="3"/>
        <v>291.58650891821804</v>
      </c>
      <c r="O109" s="183">
        <f t="shared" si="3"/>
        <v>0</v>
      </c>
      <c r="P109" s="183">
        <f t="shared" si="3"/>
        <v>0.14082323746642919</v>
      </c>
      <c r="Q109" s="167" t="s">
        <v>14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0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17"/>
  <sheetViews>
    <sheetView zoomScale="80" zoomScaleNormal="80" workbookViewId="0">
      <pane xSplit="1" ySplit="8" topLeftCell="B81" activePane="bottomRight" state="frozen"/>
      <selection activeCell="A9" sqref="A9"/>
      <selection pane="topRight" activeCell="A9" sqref="A9"/>
      <selection pane="bottomLeft" activeCell="A9" sqref="A9"/>
      <selection pane="bottomRight" activeCell="Q76" sqref="Q9:Q76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45421.010416666664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45421.010416666664</v>
      </c>
      <c r="B9" s="112">
        <v>11.38</v>
      </c>
      <c r="C9" s="112">
        <v>13</v>
      </c>
      <c r="D9" s="112">
        <v>25.06</v>
      </c>
      <c r="E9" s="112">
        <v>12.43</v>
      </c>
      <c r="F9" s="112">
        <v>11.39</v>
      </c>
      <c r="G9" s="112">
        <v>79.900000000000006</v>
      </c>
      <c r="H9" s="112">
        <v>18.309999999999999</v>
      </c>
      <c r="I9" s="112">
        <v>7.19</v>
      </c>
      <c r="J9" s="112">
        <v>0.59</v>
      </c>
      <c r="K9" s="112">
        <v>55.95</v>
      </c>
      <c r="L9" s="112">
        <v>27.99</v>
      </c>
      <c r="M9" s="112">
        <v>58.15</v>
      </c>
      <c r="N9" s="112">
        <v>0</v>
      </c>
      <c r="O9" s="112">
        <v>0</v>
      </c>
      <c r="P9" s="112">
        <v>0.68</v>
      </c>
      <c r="Q9" s="167" t="s">
        <v>14</v>
      </c>
    </row>
    <row r="10" spans="1:21" customFormat="1">
      <c r="A10" s="80">
        <v>45421.020833333336</v>
      </c>
      <c r="B10" s="112">
        <v>11.37</v>
      </c>
      <c r="C10" s="112">
        <v>13.11</v>
      </c>
      <c r="D10" s="112">
        <v>25.11</v>
      </c>
      <c r="E10" s="112">
        <v>11.22</v>
      </c>
      <c r="F10" s="112">
        <v>14.91</v>
      </c>
      <c r="G10" s="112">
        <v>79.900000000000006</v>
      </c>
      <c r="H10" s="112">
        <v>18.309999999999999</v>
      </c>
      <c r="I10" s="112">
        <v>6.86</v>
      </c>
      <c r="J10" s="112">
        <v>0.32</v>
      </c>
      <c r="K10" s="112">
        <v>77.349999999999994</v>
      </c>
      <c r="L10" s="112">
        <v>27.84</v>
      </c>
      <c r="M10" s="112">
        <v>58.21</v>
      </c>
      <c r="N10" s="112">
        <v>0</v>
      </c>
      <c r="O10" s="112">
        <v>0</v>
      </c>
      <c r="P10" s="112">
        <v>0.64</v>
      </c>
      <c r="Q10" s="167" t="s">
        <v>14</v>
      </c>
    </row>
    <row r="11" spans="1:21" customFormat="1">
      <c r="A11" s="80">
        <v>45421.03125</v>
      </c>
      <c r="B11" s="112">
        <v>11.36</v>
      </c>
      <c r="C11" s="112">
        <v>13.14</v>
      </c>
      <c r="D11" s="112">
        <v>25.12</v>
      </c>
      <c r="E11" s="112">
        <v>9.8800000000000008</v>
      </c>
      <c r="F11" s="112">
        <v>5.72</v>
      </c>
      <c r="G11" s="112">
        <v>79.900000000000006</v>
      </c>
      <c r="H11" s="112">
        <v>18.309999999999999</v>
      </c>
      <c r="I11" s="112">
        <v>6.72</v>
      </c>
      <c r="J11" s="112">
        <v>0.18</v>
      </c>
      <c r="K11" s="112">
        <v>187.05</v>
      </c>
      <c r="L11" s="112">
        <v>27.48</v>
      </c>
      <c r="M11" s="112">
        <v>62.33</v>
      </c>
      <c r="N11" s="112">
        <v>0</v>
      </c>
      <c r="O11" s="112">
        <v>0</v>
      </c>
      <c r="P11" s="112">
        <v>0.68</v>
      </c>
      <c r="Q11" s="167" t="s">
        <v>14</v>
      </c>
    </row>
    <row r="12" spans="1:21" customFormat="1">
      <c r="A12" s="80">
        <v>45421.041666666664</v>
      </c>
      <c r="B12" s="112">
        <v>11.34</v>
      </c>
      <c r="C12" s="112">
        <v>13.14</v>
      </c>
      <c r="D12" s="112">
        <v>25.11</v>
      </c>
      <c r="E12" s="112">
        <v>9.6</v>
      </c>
      <c r="F12" s="112">
        <v>3.51</v>
      </c>
      <c r="G12" s="112">
        <v>70.790000000000006</v>
      </c>
      <c r="H12" s="112">
        <v>18.88</v>
      </c>
      <c r="I12" s="112">
        <v>6.64</v>
      </c>
      <c r="J12" s="112">
        <v>0.15</v>
      </c>
      <c r="K12" s="112">
        <v>117.69</v>
      </c>
      <c r="L12" s="112">
        <v>27.33</v>
      </c>
      <c r="M12" s="112">
        <v>62.91</v>
      </c>
      <c r="N12" s="112">
        <v>0</v>
      </c>
      <c r="O12" s="112">
        <v>0</v>
      </c>
      <c r="P12" s="112">
        <v>0.71</v>
      </c>
      <c r="Q12" s="167" t="s">
        <v>14</v>
      </c>
    </row>
    <row r="13" spans="1:21" customFormat="1">
      <c r="A13" s="80">
        <v>45421.052083333336</v>
      </c>
      <c r="B13" s="112">
        <v>11.35</v>
      </c>
      <c r="C13" s="112">
        <v>13.13</v>
      </c>
      <c r="D13" s="112">
        <v>25.1</v>
      </c>
      <c r="E13" s="112">
        <v>9.66</v>
      </c>
      <c r="F13" s="112">
        <v>2.89</v>
      </c>
      <c r="G13" s="112">
        <v>68.510000000000005</v>
      </c>
      <c r="H13" s="112">
        <v>18.88</v>
      </c>
      <c r="I13" s="112">
        <v>6.92</v>
      </c>
      <c r="J13" s="112">
        <v>0.17</v>
      </c>
      <c r="K13" s="112">
        <v>200.75</v>
      </c>
      <c r="L13" s="112">
        <v>27.25</v>
      </c>
      <c r="M13" s="112">
        <v>64.290000000000006</v>
      </c>
      <c r="N13" s="112">
        <v>0</v>
      </c>
      <c r="O13" s="112">
        <v>0</v>
      </c>
      <c r="P13" s="112">
        <v>0.7</v>
      </c>
      <c r="Q13" s="167" t="s">
        <v>14</v>
      </c>
    </row>
    <row r="14" spans="1:21" customFormat="1">
      <c r="A14" s="80">
        <v>45421.0625</v>
      </c>
      <c r="B14" s="112">
        <v>11.35</v>
      </c>
      <c r="C14" s="112">
        <v>13.15</v>
      </c>
      <c r="D14" s="112">
        <v>25.12</v>
      </c>
      <c r="E14" s="112">
        <v>9.7200000000000006</v>
      </c>
      <c r="F14" s="112">
        <v>2.92</v>
      </c>
      <c r="G14" s="112">
        <v>68.510000000000005</v>
      </c>
      <c r="H14" s="112">
        <v>18.88</v>
      </c>
      <c r="I14" s="112">
        <v>7.09</v>
      </c>
      <c r="J14" s="112">
        <v>0.22</v>
      </c>
      <c r="K14" s="112">
        <v>197.64</v>
      </c>
      <c r="L14" s="112">
        <v>27.19</v>
      </c>
      <c r="M14" s="112">
        <v>64.41</v>
      </c>
      <c r="N14" s="112">
        <v>0</v>
      </c>
      <c r="O14" s="112">
        <v>0</v>
      </c>
      <c r="P14" s="112">
        <v>0.7</v>
      </c>
      <c r="Q14" s="167" t="s">
        <v>14</v>
      </c>
    </row>
    <row r="15" spans="1:21" customFormat="1">
      <c r="A15" s="80">
        <v>45421.072916666664</v>
      </c>
      <c r="B15" s="112">
        <v>11.35</v>
      </c>
      <c r="C15" s="112">
        <v>13.12</v>
      </c>
      <c r="D15" s="112">
        <v>25.1</v>
      </c>
      <c r="E15" s="112">
        <v>9.73</v>
      </c>
      <c r="F15" s="112">
        <v>2.89</v>
      </c>
      <c r="G15" s="112">
        <v>68.510000000000005</v>
      </c>
      <c r="H15" s="112">
        <v>18.88</v>
      </c>
      <c r="I15" s="112">
        <v>7.02</v>
      </c>
      <c r="J15" s="112">
        <v>0.16</v>
      </c>
      <c r="K15" s="112">
        <v>208.06</v>
      </c>
      <c r="L15" s="112">
        <v>26.92</v>
      </c>
      <c r="M15" s="112">
        <v>66.849999999999994</v>
      </c>
      <c r="N15" s="112">
        <v>0</v>
      </c>
      <c r="O15" s="112">
        <v>0</v>
      </c>
      <c r="P15" s="112">
        <v>0.69</v>
      </c>
      <c r="Q15" s="167" t="s">
        <v>14</v>
      </c>
    </row>
    <row r="16" spans="1:21" customFormat="1">
      <c r="A16" s="80">
        <v>45421.083333333336</v>
      </c>
      <c r="B16" s="112">
        <v>11.32</v>
      </c>
      <c r="C16" s="112">
        <v>13.12</v>
      </c>
      <c r="D16" s="112">
        <v>25.08</v>
      </c>
      <c r="E16" s="112">
        <v>9.4700000000000006</v>
      </c>
      <c r="F16" s="112">
        <v>3.91</v>
      </c>
      <c r="G16" s="112">
        <v>59.47</v>
      </c>
      <c r="H16" s="112">
        <v>19.71</v>
      </c>
      <c r="I16" s="112">
        <v>6.97</v>
      </c>
      <c r="J16" s="112">
        <v>0.16</v>
      </c>
      <c r="K16" s="112">
        <v>225.9</v>
      </c>
      <c r="L16" s="112">
        <v>26.56</v>
      </c>
      <c r="M16" s="112">
        <v>69.92</v>
      </c>
      <c r="N16" s="112">
        <v>0</v>
      </c>
      <c r="O16" s="112">
        <v>0</v>
      </c>
      <c r="P16" s="112">
        <v>0.67</v>
      </c>
      <c r="Q16" s="167" t="s">
        <v>14</v>
      </c>
    </row>
    <row r="17" spans="1:17" customFormat="1">
      <c r="A17" s="80">
        <v>45421.09375</v>
      </c>
      <c r="B17" s="112">
        <v>11.31</v>
      </c>
      <c r="C17" s="112">
        <v>13.16</v>
      </c>
      <c r="D17" s="112">
        <v>25.09</v>
      </c>
      <c r="E17" s="112">
        <v>8.11</v>
      </c>
      <c r="F17" s="112">
        <v>1.75</v>
      </c>
      <c r="G17" s="112">
        <v>57.21</v>
      </c>
      <c r="H17" s="112">
        <v>19.71</v>
      </c>
      <c r="I17" s="112">
        <v>6.88</v>
      </c>
      <c r="J17" s="112">
        <v>0.12</v>
      </c>
      <c r="K17" s="112">
        <v>231.82</v>
      </c>
      <c r="L17" s="112">
        <v>26.55</v>
      </c>
      <c r="M17" s="112">
        <v>69.599999999999994</v>
      </c>
      <c r="N17" s="112">
        <v>0</v>
      </c>
      <c r="O17" s="112">
        <v>0</v>
      </c>
      <c r="P17" s="112">
        <v>0.65</v>
      </c>
      <c r="Q17" s="167" t="s">
        <v>14</v>
      </c>
    </row>
    <row r="18" spans="1:17" customFormat="1">
      <c r="A18" s="80">
        <v>45421.104166666664</v>
      </c>
      <c r="B18" s="112">
        <v>11.32</v>
      </c>
      <c r="C18" s="112">
        <v>13.14</v>
      </c>
      <c r="D18" s="112">
        <v>25.09</v>
      </c>
      <c r="E18" s="112">
        <v>11.28</v>
      </c>
      <c r="F18" s="112">
        <v>1.64</v>
      </c>
      <c r="G18" s="112">
        <v>57.21</v>
      </c>
      <c r="H18" s="112">
        <v>19.71</v>
      </c>
      <c r="I18" s="112">
        <v>6.76</v>
      </c>
      <c r="J18" s="112">
        <v>0.11</v>
      </c>
      <c r="K18" s="112">
        <v>116.01</v>
      </c>
      <c r="L18" s="112">
        <v>26.69</v>
      </c>
      <c r="M18" s="112">
        <v>69.17</v>
      </c>
      <c r="N18" s="112">
        <v>0</v>
      </c>
      <c r="O18" s="112">
        <v>0</v>
      </c>
      <c r="P18" s="112">
        <v>0.65</v>
      </c>
      <c r="Q18" s="167" t="s">
        <v>14</v>
      </c>
    </row>
    <row r="19" spans="1:17" customFormat="1">
      <c r="A19" s="80">
        <v>45421.114583333336</v>
      </c>
      <c r="B19" s="112">
        <v>11.31</v>
      </c>
      <c r="C19" s="112">
        <v>13.13</v>
      </c>
      <c r="D19" s="112">
        <v>25.07</v>
      </c>
      <c r="E19" s="112">
        <v>11.29</v>
      </c>
      <c r="F19" s="112">
        <v>1</v>
      </c>
      <c r="G19" s="112">
        <v>57.21</v>
      </c>
      <c r="H19" s="112">
        <v>19.71</v>
      </c>
      <c r="I19" s="112">
        <v>6.73</v>
      </c>
      <c r="J19" s="112">
        <v>0.35</v>
      </c>
      <c r="K19" s="112">
        <v>161.75</v>
      </c>
      <c r="L19" s="112">
        <v>27.1</v>
      </c>
      <c r="M19" s="112">
        <v>68.319999999999993</v>
      </c>
      <c r="N19" s="112">
        <v>0</v>
      </c>
      <c r="O19" s="112">
        <v>0</v>
      </c>
      <c r="P19" s="112">
        <v>0.65</v>
      </c>
      <c r="Q19" s="167" t="s">
        <v>14</v>
      </c>
    </row>
    <row r="20" spans="1:17" customFormat="1">
      <c r="A20" s="80">
        <v>45421.125</v>
      </c>
      <c r="B20" s="112">
        <v>11.33</v>
      </c>
      <c r="C20" s="112">
        <v>13.16</v>
      </c>
      <c r="D20" s="112">
        <v>25.11</v>
      </c>
      <c r="E20" s="112">
        <v>11.29</v>
      </c>
      <c r="F20" s="112">
        <v>1.07</v>
      </c>
      <c r="G20" s="112">
        <v>47.81</v>
      </c>
      <c r="H20" s="112">
        <v>13.16</v>
      </c>
      <c r="I20" s="112">
        <v>6.69</v>
      </c>
      <c r="J20" s="112">
        <v>0.21</v>
      </c>
      <c r="K20" s="112">
        <v>113.35</v>
      </c>
      <c r="L20" s="112">
        <v>27.09</v>
      </c>
      <c r="M20" s="112">
        <v>68.7</v>
      </c>
      <c r="N20" s="112">
        <v>0</v>
      </c>
      <c r="O20" s="112">
        <v>0</v>
      </c>
      <c r="P20" s="112">
        <v>0.64</v>
      </c>
      <c r="Q20" s="167" t="s">
        <v>14</v>
      </c>
    </row>
    <row r="21" spans="1:17" customFormat="1">
      <c r="A21" s="80">
        <v>45421.135416666664</v>
      </c>
      <c r="B21" s="112">
        <v>11.33</v>
      </c>
      <c r="C21" s="112">
        <v>13.18</v>
      </c>
      <c r="D21" s="112">
        <v>25.11</v>
      </c>
      <c r="E21" s="112">
        <v>11.77</v>
      </c>
      <c r="F21" s="112">
        <v>1.03</v>
      </c>
      <c r="G21" s="112">
        <v>45.46</v>
      </c>
      <c r="H21" s="112">
        <v>13.16</v>
      </c>
      <c r="I21" s="112">
        <v>6.63</v>
      </c>
      <c r="J21" s="112">
        <v>0.15</v>
      </c>
      <c r="K21" s="112">
        <v>187.2</v>
      </c>
      <c r="L21" s="112">
        <v>27.08</v>
      </c>
      <c r="M21" s="112">
        <v>68.540000000000006</v>
      </c>
      <c r="N21" s="112">
        <v>0</v>
      </c>
      <c r="O21" s="112">
        <v>0</v>
      </c>
      <c r="P21" s="112">
        <v>0.63</v>
      </c>
      <c r="Q21" s="167" t="s">
        <v>14</v>
      </c>
    </row>
    <row r="22" spans="1:17" customFormat="1">
      <c r="A22" s="80">
        <v>45421.145833333336</v>
      </c>
      <c r="B22" s="112">
        <v>11.31</v>
      </c>
      <c r="C22" s="112">
        <v>13.14</v>
      </c>
      <c r="D22" s="112">
        <v>25.08</v>
      </c>
      <c r="E22" s="112">
        <v>12.11</v>
      </c>
      <c r="F22" s="112">
        <v>1</v>
      </c>
      <c r="G22" s="112">
        <v>45.46</v>
      </c>
      <c r="H22" s="112">
        <v>13.16</v>
      </c>
      <c r="I22" s="112">
        <v>6.55</v>
      </c>
      <c r="J22" s="112">
        <v>0.13</v>
      </c>
      <c r="K22" s="112">
        <v>200.9</v>
      </c>
      <c r="L22" s="112">
        <v>26.9</v>
      </c>
      <c r="M22" s="112">
        <v>68.209999999999994</v>
      </c>
      <c r="N22" s="112">
        <v>0</v>
      </c>
      <c r="O22" s="112">
        <v>0</v>
      </c>
      <c r="P22" s="112">
        <v>0.63</v>
      </c>
      <c r="Q22" s="167" t="s">
        <v>14</v>
      </c>
    </row>
    <row r="23" spans="1:17" customFormat="1">
      <c r="A23" s="80">
        <v>45421.15625</v>
      </c>
      <c r="B23" s="112">
        <v>11.34</v>
      </c>
      <c r="C23" s="112">
        <v>13.22</v>
      </c>
      <c r="D23" s="112">
        <v>25.15</v>
      </c>
      <c r="E23" s="112">
        <v>11.74</v>
      </c>
      <c r="F23" s="112">
        <v>1.02</v>
      </c>
      <c r="G23" s="112">
        <v>45.46</v>
      </c>
      <c r="H23" s="112">
        <v>13.16</v>
      </c>
      <c r="I23" s="112">
        <v>6.47</v>
      </c>
      <c r="J23" s="112">
        <v>0.11</v>
      </c>
      <c r="K23" s="112">
        <v>229.55</v>
      </c>
      <c r="L23" s="112">
        <v>26.69</v>
      </c>
      <c r="M23" s="112">
        <v>68.680000000000007</v>
      </c>
      <c r="N23" s="112">
        <v>0</v>
      </c>
      <c r="O23" s="112">
        <v>0</v>
      </c>
      <c r="P23" s="112">
        <v>0.61</v>
      </c>
      <c r="Q23" s="167" t="s">
        <v>14</v>
      </c>
    </row>
    <row r="24" spans="1:17" customFormat="1">
      <c r="A24" s="80">
        <v>45421.166666666664</v>
      </c>
      <c r="B24" s="112">
        <v>11.32</v>
      </c>
      <c r="C24" s="112">
        <v>13.14</v>
      </c>
      <c r="D24" s="112">
        <v>25.09</v>
      </c>
      <c r="E24" s="112">
        <v>11.56</v>
      </c>
      <c r="F24" s="112">
        <v>2.41</v>
      </c>
      <c r="G24" s="112">
        <v>43.31</v>
      </c>
      <c r="H24" s="112">
        <v>8.86</v>
      </c>
      <c r="I24" s="112">
        <v>6.41</v>
      </c>
      <c r="J24" s="112">
        <v>0.12</v>
      </c>
      <c r="K24" s="112">
        <v>218.66</v>
      </c>
      <c r="L24" s="112">
        <v>26.69</v>
      </c>
      <c r="M24" s="112">
        <v>68.2</v>
      </c>
      <c r="N24" s="112">
        <v>0</v>
      </c>
      <c r="O24" s="112">
        <v>0</v>
      </c>
      <c r="P24" s="112">
        <v>0.6</v>
      </c>
      <c r="Q24" s="167" t="s">
        <v>14</v>
      </c>
    </row>
    <row r="25" spans="1:17" customFormat="1">
      <c r="A25" s="80">
        <v>45421.177083333336</v>
      </c>
      <c r="B25" s="112">
        <v>11.3</v>
      </c>
      <c r="C25" s="112">
        <v>13.16</v>
      </c>
      <c r="D25" s="112">
        <v>25.09</v>
      </c>
      <c r="E25" s="112">
        <v>11.72</v>
      </c>
      <c r="F25" s="112">
        <v>1.1299999999999999</v>
      </c>
      <c r="G25" s="112">
        <v>42.77</v>
      </c>
      <c r="H25" s="112">
        <v>8.86</v>
      </c>
      <c r="I25" s="112">
        <v>6.32</v>
      </c>
      <c r="J25" s="112">
        <v>0.17</v>
      </c>
      <c r="K25" s="112">
        <v>232.61</v>
      </c>
      <c r="L25" s="112">
        <v>26.62</v>
      </c>
      <c r="M25" s="112">
        <v>69.180000000000007</v>
      </c>
      <c r="N25" s="112">
        <v>0</v>
      </c>
      <c r="O25" s="112">
        <v>0</v>
      </c>
      <c r="P25" s="112">
        <v>0.6</v>
      </c>
      <c r="Q25" s="167" t="s">
        <v>14</v>
      </c>
    </row>
    <row r="26" spans="1:17" customFormat="1">
      <c r="A26" s="80">
        <v>45421.1875</v>
      </c>
      <c r="B26" s="112">
        <v>11.33</v>
      </c>
      <c r="C26" s="112">
        <v>13.14</v>
      </c>
      <c r="D26" s="112">
        <v>25.09</v>
      </c>
      <c r="E26" s="112">
        <v>11.41</v>
      </c>
      <c r="F26" s="112">
        <v>1.07</v>
      </c>
      <c r="G26" s="112">
        <v>42.77</v>
      </c>
      <c r="H26" s="112">
        <v>8.86</v>
      </c>
      <c r="I26" s="112">
        <v>6.23</v>
      </c>
      <c r="J26" s="112">
        <v>0.08</v>
      </c>
      <c r="K26" s="112">
        <v>177.79</v>
      </c>
      <c r="L26" s="112">
        <v>26.6</v>
      </c>
      <c r="M26" s="112">
        <v>69.11</v>
      </c>
      <c r="N26" s="112">
        <v>0</v>
      </c>
      <c r="O26" s="112">
        <v>0</v>
      </c>
      <c r="P26" s="112">
        <v>0.59</v>
      </c>
      <c r="Q26" s="167" t="s">
        <v>14</v>
      </c>
    </row>
    <row r="27" spans="1:17" customFormat="1">
      <c r="A27" s="80">
        <v>45421.197916666664</v>
      </c>
      <c r="B27" s="112">
        <v>11.31</v>
      </c>
      <c r="C27" s="112">
        <v>13.14</v>
      </c>
      <c r="D27" s="112">
        <v>25.08</v>
      </c>
      <c r="E27" s="112">
        <v>11.04</v>
      </c>
      <c r="F27" s="112">
        <v>1.02</v>
      </c>
      <c r="G27" s="112">
        <v>42.77</v>
      </c>
      <c r="H27" s="112">
        <v>8.86</v>
      </c>
      <c r="I27" s="112">
        <v>6.2</v>
      </c>
      <c r="J27" s="112">
        <v>0.27</v>
      </c>
      <c r="K27" s="112">
        <v>266.04000000000002</v>
      </c>
      <c r="L27" s="112">
        <v>26.37</v>
      </c>
      <c r="M27" s="112">
        <v>70.709999999999994</v>
      </c>
      <c r="N27" s="112">
        <v>0</v>
      </c>
      <c r="O27" s="112">
        <v>0</v>
      </c>
      <c r="P27" s="112">
        <v>0.59</v>
      </c>
      <c r="Q27" s="167" t="s">
        <v>14</v>
      </c>
    </row>
    <row r="28" spans="1:17" customFormat="1">
      <c r="A28" s="80">
        <v>45421.208333333336</v>
      </c>
      <c r="B28" s="112">
        <v>11.31</v>
      </c>
      <c r="C28" s="112">
        <v>13.13</v>
      </c>
      <c r="D28" s="112">
        <v>25.07</v>
      </c>
      <c r="E28" s="112">
        <v>11.37</v>
      </c>
      <c r="F28" s="112">
        <v>1.06</v>
      </c>
      <c r="G28" s="112">
        <v>41.08</v>
      </c>
      <c r="H28" s="112">
        <v>11.33</v>
      </c>
      <c r="I28" s="112">
        <v>6.12</v>
      </c>
      <c r="J28" s="112">
        <v>0.33</v>
      </c>
      <c r="K28" s="112">
        <v>276.58999999999997</v>
      </c>
      <c r="L28" s="112">
        <v>26.65</v>
      </c>
      <c r="M28" s="112">
        <v>68.23</v>
      </c>
      <c r="N28" s="112">
        <v>0</v>
      </c>
      <c r="O28" s="112">
        <v>0</v>
      </c>
      <c r="P28" s="112">
        <v>0.59</v>
      </c>
      <c r="Q28" s="167" t="s">
        <v>14</v>
      </c>
    </row>
    <row r="29" spans="1:17" customFormat="1">
      <c r="A29" s="80">
        <v>45421.21875</v>
      </c>
      <c r="B29" s="112">
        <v>11.32</v>
      </c>
      <c r="C29" s="112">
        <v>13.11</v>
      </c>
      <c r="D29" s="112">
        <v>25.07</v>
      </c>
      <c r="E29" s="112">
        <v>11.11</v>
      </c>
      <c r="F29" s="112">
        <v>1.07</v>
      </c>
      <c r="G29" s="112">
        <v>40.659999999999997</v>
      </c>
      <c r="H29" s="112">
        <v>11.33</v>
      </c>
      <c r="I29" s="112">
        <v>6.06</v>
      </c>
      <c r="J29" s="112">
        <v>0.35</v>
      </c>
      <c r="K29" s="112">
        <v>22.99</v>
      </c>
      <c r="L29" s="112">
        <v>26.93</v>
      </c>
      <c r="M29" s="112">
        <v>68.13</v>
      </c>
      <c r="N29" s="112">
        <v>0</v>
      </c>
      <c r="O29" s="112">
        <v>0</v>
      </c>
      <c r="P29" s="112">
        <v>0.57999999999999996</v>
      </c>
      <c r="Q29" s="167" t="s">
        <v>14</v>
      </c>
    </row>
    <row r="30" spans="1:17" customFormat="1">
      <c r="A30" s="80">
        <v>45421.229166666664</v>
      </c>
      <c r="B30" s="112">
        <v>11.32</v>
      </c>
      <c r="C30" s="112">
        <v>13.14</v>
      </c>
      <c r="D30" s="112">
        <v>25.09</v>
      </c>
      <c r="E30" s="112">
        <v>12.16</v>
      </c>
      <c r="F30" s="112">
        <v>1</v>
      </c>
      <c r="G30" s="112">
        <v>40.659999999999997</v>
      </c>
      <c r="H30" s="112">
        <v>11.33</v>
      </c>
      <c r="I30" s="112">
        <v>5.98</v>
      </c>
      <c r="J30" s="112">
        <v>0.38</v>
      </c>
      <c r="K30" s="112">
        <v>28.64</v>
      </c>
      <c r="L30" s="112">
        <v>27.18</v>
      </c>
      <c r="M30" s="112">
        <v>66.2</v>
      </c>
      <c r="N30" s="112">
        <v>0</v>
      </c>
      <c r="O30" s="112">
        <v>0</v>
      </c>
      <c r="P30" s="112">
        <v>0.59</v>
      </c>
      <c r="Q30" s="167" t="s">
        <v>14</v>
      </c>
    </row>
    <row r="31" spans="1:17" customFormat="1">
      <c r="A31" s="80">
        <v>45421.239583333336</v>
      </c>
      <c r="B31" s="112">
        <v>11.35</v>
      </c>
      <c r="C31" s="112">
        <v>13.19</v>
      </c>
      <c r="D31" s="112">
        <v>25.14</v>
      </c>
      <c r="E31" s="112">
        <v>12.47</v>
      </c>
      <c r="F31" s="112">
        <v>1.49</v>
      </c>
      <c r="G31" s="112">
        <v>40.659999999999997</v>
      </c>
      <c r="H31" s="112">
        <v>11.33</v>
      </c>
      <c r="I31" s="112">
        <v>5.96</v>
      </c>
      <c r="J31" s="112">
        <v>0.49</v>
      </c>
      <c r="K31" s="112">
        <v>27.27</v>
      </c>
      <c r="L31" s="112">
        <v>27.21</v>
      </c>
      <c r="M31" s="112">
        <v>66.069999999999993</v>
      </c>
      <c r="N31" s="112">
        <v>0.5</v>
      </c>
      <c r="O31" s="112">
        <v>0</v>
      </c>
      <c r="P31" s="112">
        <v>0.59</v>
      </c>
      <c r="Q31" s="167" t="s">
        <v>14</v>
      </c>
    </row>
    <row r="32" spans="1:17" customFormat="1">
      <c r="A32" s="80">
        <v>45421.25</v>
      </c>
      <c r="B32" s="112">
        <v>11.37</v>
      </c>
      <c r="C32" s="112">
        <v>13.17</v>
      </c>
      <c r="D32" s="112">
        <v>25.15</v>
      </c>
      <c r="E32" s="112">
        <v>16.82</v>
      </c>
      <c r="F32" s="112">
        <v>2.12</v>
      </c>
      <c r="G32" s="112">
        <v>39.56</v>
      </c>
      <c r="H32" s="112">
        <v>13.39</v>
      </c>
      <c r="I32" s="112">
        <v>5.99</v>
      </c>
      <c r="J32" s="112">
        <v>0.51</v>
      </c>
      <c r="K32" s="112">
        <v>16.04</v>
      </c>
      <c r="L32" s="112">
        <v>26.94</v>
      </c>
      <c r="M32" s="112">
        <v>67.209999999999994</v>
      </c>
      <c r="N32" s="112">
        <v>12.1</v>
      </c>
      <c r="O32" s="112">
        <v>0</v>
      </c>
      <c r="P32" s="112">
        <v>0.62</v>
      </c>
      <c r="Q32" s="167" t="s">
        <v>14</v>
      </c>
    </row>
    <row r="33" spans="1:17" customFormat="1">
      <c r="A33" s="80">
        <v>45421.260416666664</v>
      </c>
      <c r="B33" s="112">
        <v>11.4</v>
      </c>
      <c r="C33" s="112">
        <v>13.18</v>
      </c>
      <c r="D33" s="112">
        <v>25.17</v>
      </c>
      <c r="E33" s="112">
        <v>18.23</v>
      </c>
      <c r="F33" s="112">
        <v>1.41</v>
      </c>
      <c r="G33" s="112">
        <v>39.29</v>
      </c>
      <c r="H33" s="112">
        <v>13.39</v>
      </c>
      <c r="I33" s="112">
        <v>6.17</v>
      </c>
      <c r="J33" s="112">
        <v>0.96</v>
      </c>
      <c r="K33" s="112">
        <v>62.66</v>
      </c>
      <c r="L33" s="112">
        <v>26.62</v>
      </c>
      <c r="M33" s="112">
        <v>67.47</v>
      </c>
      <c r="N33" s="112">
        <v>22.6</v>
      </c>
      <c r="O33" s="112">
        <v>0</v>
      </c>
      <c r="P33" s="112">
        <v>0.62</v>
      </c>
      <c r="Q33" s="167" t="s">
        <v>14</v>
      </c>
    </row>
    <row r="34" spans="1:17" customFormat="1">
      <c r="A34" s="80">
        <v>45421.270833333336</v>
      </c>
      <c r="B34" s="112">
        <v>11.37</v>
      </c>
      <c r="C34" s="112">
        <v>13.19</v>
      </c>
      <c r="D34" s="112">
        <v>25.16</v>
      </c>
      <c r="E34" s="112">
        <v>14.21</v>
      </c>
      <c r="F34" s="112">
        <v>1.08</v>
      </c>
      <c r="G34" s="112">
        <v>39.29</v>
      </c>
      <c r="H34" s="112">
        <v>13.39</v>
      </c>
      <c r="I34" s="112">
        <v>6.57</v>
      </c>
      <c r="J34" s="112">
        <v>0.77</v>
      </c>
      <c r="K34" s="112">
        <v>70.930000000000007</v>
      </c>
      <c r="L34" s="112">
        <v>26.45</v>
      </c>
      <c r="M34" s="112">
        <v>67.72</v>
      </c>
      <c r="N34" s="112">
        <v>18.2</v>
      </c>
      <c r="O34" s="112">
        <v>0</v>
      </c>
      <c r="P34" s="112">
        <v>0.6</v>
      </c>
      <c r="Q34" s="167" t="s">
        <v>14</v>
      </c>
    </row>
    <row r="35" spans="1:17" customFormat="1">
      <c r="A35" s="80">
        <v>45421.28125</v>
      </c>
      <c r="B35" s="112">
        <v>11.35</v>
      </c>
      <c r="C35" s="112">
        <v>13.12</v>
      </c>
      <c r="D35" s="112">
        <v>25.1</v>
      </c>
      <c r="E35" s="112">
        <v>12.58</v>
      </c>
      <c r="F35" s="112">
        <v>1.36</v>
      </c>
      <c r="G35" s="112">
        <v>39.29</v>
      </c>
      <c r="H35" s="112">
        <v>13.39</v>
      </c>
      <c r="I35" s="112">
        <v>6.76</v>
      </c>
      <c r="J35" s="112">
        <v>0.73</v>
      </c>
      <c r="K35" s="112">
        <v>64.180000000000007</v>
      </c>
      <c r="L35" s="112">
        <v>26.48</v>
      </c>
      <c r="M35" s="112">
        <v>68.319999999999993</v>
      </c>
      <c r="N35" s="112">
        <v>11.7</v>
      </c>
      <c r="O35" s="112">
        <v>0</v>
      </c>
      <c r="P35" s="112">
        <v>0.6</v>
      </c>
      <c r="Q35" s="167" t="s">
        <v>14</v>
      </c>
    </row>
    <row r="36" spans="1:17" customFormat="1">
      <c r="A36" s="80">
        <v>45421.291666666664</v>
      </c>
      <c r="B36" s="112">
        <v>11.34</v>
      </c>
      <c r="C36" s="112">
        <v>13.1</v>
      </c>
      <c r="D36" s="112">
        <v>25.08</v>
      </c>
      <c r="E36" s="112">
        <v>21.11</v>
      </c>
      <c r="F36" s="112">
        <v>1.41</v>
      </c>
      <c r="G36" s="112">
        <v>56.12</v>
      </c>
      <c r="H36" s="112">
        <v>22.93</v>
      </c>
      <c r="I36" s="112">
        <v>6.63</v>
      </c>
      <c r="J36" s="112">
        <v>0.71</v>
      </c>
      <c r="K36" s="112">
        <v>36.83</v>
      </c>
      <c r="L36" s="112">
        <v>26.33</v>
      </c>
      <c r="M36" s="112">
        <v>69.91</v>
      </c>
      <c r="N36" s="112">
        <v>11.5</v>
      </c>
      <c r="O36" s="112">
        <v>0</v>
      </c>
      <c r="P36" s="112">
        <v>0.65</v>
      </c>
      <c r="Q36" s="167" t="s">
        <v>14</v>
      </c>
    </row>
    <row r="37" spans="1:17" customFormat="1">
      <c r="A37" s="80">
        <v>45421.302083333336</v>
      </c>
      <c r="B37" s="112">
        <v>11.34</v>
      </c>
      <c r="C37" s="112">
        <v>13.11</v>
      </c>
      <c r="D37" s="112">
        <v>25.09</v>
      </c>
      <c r="E37" s="112">
        <v>17.309999999999999</v>
      </c>
      <c r="F37" s="112">
        <v>1.01</v>
      </c>
      <c r="G37" s="112">
        <v>60.33</v>
      </c>
      <c r="H37" s="112">
        <v>22.93</v>
      </c>
      <c r="I37" s="112">
        <v>6.73</v>
      </c>
      <c r="J37" s="112">
        <v>0.37</v>
      </c>
      <c r="K37" s="112">
        <v>355.15</v>
      </c>
      <c r="L37" s="112">
        <v>26.44</v>
      </c>
      <c r="M37" s="112">
        <v>69.34</v>
      </c>
      <c r="N37" s="112">
        <v>20.2</v>
      </c>
      <c r="O37" s="112">
        <v>0</v>
      </c>
      <c r="P37" s="112">
        <v>0.65</v>
      </c>
      <c r="Q37" s="167" t="s">
        <v>14</v>
      </c>
    </row>
    <row r="38" spans="1:17" customFormat="1">
      <c r="A38" s="80">
        <v>45421.3125</v>
      </c>
      <c r="B38" s="112">
        <v>11.41</v>
      </c>
      <c r="C38" s="112">
        <v>13.18</v>
      </c>
      <c r="D38" s="112">
        <v>25.18</v>
      </c>
      <c r="E38" s="112">
        <v>18.07</v>
      </c>
      <c r="F38" s="112">
        <v>1.01</v>
      </c>
      <c r="G38" s="112">
        <v>60.33</v>
      </c>
      <c r="H38" s="112">
        <v>22.93</v>
      </c>
      <c r="I38" s="112">
        <v>6.94</v>
      </c>
      <c r="J38" s="112">
        <v>0.37</v>
      </c>
      <c r="K38" s="112">
        <v>0.86</v>
      </c>
      <c r="L38" s="112">
        <v>26.54</v>
      </c>
      <c r="M38" s="112">
        <v>66.69</v>
      </c>
      <c r="N38" s="112">
        <v>24.3</v>
      </c>
      <c r="O38" s="112">
        <v>0</v>
      </c>
      <c r="P38" s="112">
        <v>0.66</v>
      </c>
      <c r="Q38" s="167" t="s">
        <v>14</v>
      </c>
    </row>
    <row r="39" spans="1:17" customFormat="1">
      <c r="A39" s="80">
        <v>45421.322916666664</v>
      </c>
      <c r="B39" s="112">
        <v>11.4</v>
      </c>
      <c r="C39" s="112">
        <v>13.13</v>
      </c>
      <c r="D39" s="112">
        <v>25.14</v>
      </c>
      <c r="E39" s="112">
        <v>21.59</v>
      </c>
      <c r="F39" s="112">
        <v>1</v>
      </c>
      <c r="G39" s="112">
        <v>60.33</v>
      </c>
      <c r="H39" s="112">
        <v>22.93</v>
      </c>
      <c r="I39" s="112">
        <v>7.04</v>
      </c>
      <c r="J39" s="112">
        <v>0.52</v>
      </c>
      <c r="K39" s="112">
        <v>299.35000000000002</v>
      </c>
      <c r="L39" s="112">
        <v>26.57</v>
      </c>
      <c r="M39" s="112">
        <v>67.209999999999994</v>
      </c>
      <c r="N39" s="112">
        <v>23.5</v>
      </c>
      <c r="O39" s="112">
        <v>0</v>
      </c>
      <c r="P39" s="112">
        <v>0.68</v>
      </c>
      <c r="Q39" s="167" t="s">
        <v>14</v>
      </c>
    </row>
    <row r="40" spans="1:17" customFormat="1">
      <c r="A40" s="80">
        <v>45421.333333333336</v>
      </c>
      <c r="B40" s="112">
        <v>11.42</v>
      </c>
      <c r="C40" s="112">
        <v>13.09</v>
      </c>
      <c r="D40" s="112">
        <v>25.14</v>
      </c>
      <c r="E40" s="112">
        <v>40.36</v>
      </c>
      <c r="F40" s="112">
        <v>1</v>
      </c>
      <c r="G40" s="112">
        <v>82.12</v>
      </c>
      <c r="H40" s="112">
        <v>31.01</v>
      </c>
      <c r="I40" s="112">
        <v>7.21</v>
      </c>
      <c r="J40" s="112">
        <v>0.9</v>
      </c>
      <c r="K40" s="112">
        <v>309.23</v>
      </c>
      <c r="L40" s="112">
        <v>26.71</v>
      </c>
      <c r="M40" s="112">
        <v>66.34</v>
      </c>
      <c r="N40" s="112">
        <v>21.9</v>
      </c>
      <c r="O40" s="112">
        <v>0</v>
      </c>
      <c r="P40" s="112">
        <v>0.72</v>
      </c>
      <c r="Q40" s="167" t="s">
        <v>14</v>
      </c>
    </row>
    <row r="41" spans="1:17" customFormat="1">
      <c r="A41" s="80">
        <v>45421.34375</v>
      </c>
      <c r="B41" s="112">
        <v>11.38</v>
      </c>
      <c r="C41" s="112">
        <v>13.14</v>
      </c>
      <c r="D41" s="112">
        <v>25.14</v>
      </c>
      <c r="E41" s="112">
        <v>24.31</v>
      </c>
      <c r="F41" s="112">
        <v>1</v>
      </c>
      <c r="G41" s="112">
        <v>87.57</v>
      </c>
      <c r="H41" s="112">
        <v>31.01</v>
      </c>
      <c r="I41" s="112">
        <v>7.53</v>
      </c>
      <c r="J41" s="112">
        <v>1</v>
      </c>
      <c r="K41" s="112">
        <v>292.18</v>
      </c>
      <c r="L41" s="112">
        <v>26.8</v>
      </c>
      <c r="M41" s="112">
        <v>64.5</v>
      </c>
      <c r="N41" s="112">
        <v>31.9</v>
      </c>
      <c r="O41" s="112">
        <v>0</v>
      </c>
      <c r="P41" s="112">
        <v>0.69</v>
      </c>
      <c r="Q41" s="167" t="s">
        <v>14</v>
      </c>
    </row>
    <row r="42" spans="1:17" customFormat="1">
      <c r="A42" s="80">
        <v>45421.354166666664</v>
      </c>
      <c r="B42" s="112">
        <v>11.34</v>
      </c>
      <c r="C42" s="112">
        <v>13.14</v>
      </c>
      <c r="D42" s="112">
        <v>25.11</v>
      </c>
      <c r="E42" s="112">
        <v>17.579999999999998</v>
      </c>
      <c r="F42" s="112">
        <v>1</v>
      </c>
      <c r="G42" s="112">
        <v>87.57</v>
      </c>
      <c r="H42" s="112">
        <v>31.01</v>
      </c>
      <c r="I42" s="112">
        <v>7.65</v>
      </c>
      <c r="J42" s="112">
        <v>1.58</v>
      </c>
      <c r="K42" s="112">
        <v>291.69</v>
      </c>
      <c r="L42" s="112">
        <v>27.2</v>
      </c>
      <c r="M42" s="112">
        <v>61.47</v>
      </c>
      <c r="N42" s="112">
        <v>86</v>
      </c>
      <c r="O42" s="112">
        <v>0</v>
      </c>
      <c r="P42" s="112">
        <v>0.7</v>
      </c>
      <c r="Q42" s="167" t="s">
        <v>14</v>
      </c>
    </row>
    <row r="43" spans="1:17" customFormat="1">
      <c r="A43" s="80">
        <v>45421.364583333336</v>
      </c>
      <c r="B43" s="112">
        <v>11.36</v>
      </c>
      <c r="C43" s="112">
        <v>13.11</v>
      </c>
      <c r="D43" s="112">
        <v>25.11</v>
      </c>
      <c r="E43" s="112">
        <v>15.45</v>
      </c>
      <c r="F43" s="112">
        <v>1.1599999999999999</v>
      </c>
      <c r="G43" s="112">
        <v>87.57</v>
      </c>
      <c r="H43" s="112">
        <v>31.01</v>
      </c>
      <c r="I43" s="112">
        <v>7.52</v>
      </c>
      <c r="J43" s="112">
        <v>1.7</v>
      </c>
      <c r="K43" s="112">
        <v>295.83</v>
      </c>
      <c r="L43" s="112">
        <v>27.55</v>
      </c>
      <c r="M43" s="112">
        <v>59.77</v>
      </c>
      <c r="N43" s="112">
        <v>117.1</v>
      </c>
      <c r="O43" s="112">
        <v>0</v>
      </c>
      <c r="P43" s="112">
        <v>0.7</v>
      </c>
      <c r="Q43" s="167" t="s">
        <v>14</v>
      </c>
    </row>
    <row r="44" spans="1:17" customFormat="1">
      <c r="A44" s="80">
        <v>45421.375</v>
      </c>
      <c r="B44" s="112">
        <v>11.39</v>
      </c>
      <c r="C44" s="112">
        <v>13.19</v>
      </c>
      <c r="D44" s="112">
        <v>25.17</v>
      </c>
      <c r="E44" s="112">
        <v>12.14</v>
      </c>
      <c r="F44" s="112">
        <v>2.13</v>
      </c>
      <c r="G44" s="112">
        <v>86.39</v>
      </c>
      <c r="H44" s="112">
        <v>28.85</v>
      </c>
      <c r="I44" s="112">
        <v>7.54</v>
      </c>
      <c r="J44" s="112">
        <v>2.2799999999999998</v>
      </c>
      <c r="K44" s="112">
        <v>301.43</v>
      </c>
      <c r="L44" s="112">
        <v>27.49</v>
      </c>
      <c r="M44" s="112">
        <v>59.13</v>
      </c>
      <c r="N44" s="112">
        <v>148</v>
      </c>
      <c r="O44" s="112">
        <v>0</v>
      </c>
      <c r="P44" s="112">
        <v>0.68</v>
      </c>
      <c r="Q44" s="167" t="s">
        <v>14</v>
      </c>
    </row>
    <row r="45" spans="1:17" customFormat="1">
      <c r="A45" s="80">
        <v>45421.385416666664</v>
      </c>
      <c r="B45" s="112">
        <v>11.37</v>
      </c>
      <c r="C45" s="112">
        <v>13.14</v>
      </c>
      <c r="D45" s="112">
        <v>25.13</v>
      </c>
      <c r="E45" s="112">
        <v>9.94</v>
      </c>
      <c r="F45" s="112">
        <v>4.74</v>
      </c>
      <c r="G45" s="112">
        <v>86.1</v>
      </c>
      <c r="H45" s="112">
        <v>28.85</v>
      </c>
      <c r="I45" s="112">
        <v>7.48</v>
      </c>
      <c r="J45" s="112">
        <v>2.14</v>
      </c>
      <c r="K45" s="112">
        <v>303.64999999999998</v>
      </c>
      <c r="L45" s="112">
        <v>27.31</v>
      </c>
      <c r="M45" s="112">
        <v>56.35</v>
      </c>
      <c r="N45" s="112">
        <v>172.1</v>
      </c>
      <c r="O45" s="112">
        <v>0</v>
      </c>
      <c r="P45" s="112">
        <v>0.66</v>
      </c>
      <c r="Q45" s="167" t="s">
        <v>14</v>
      </c>
    </row>
    <row r="46" spans="1:17" customFormat="1">
      <c r="A46" s="80">
        <v>45421.395833333336</v>
      </c>
      <c r="B46" s="112">
        <v>11.4</v>
      </c>
      <c r="C46" s="112">
        <v>13.17</v>
      </c>
      <c r="D46" s="112">
        <v>25.17</v>
      </c>
      <c r="E46" s="112">
        <v>8.7899999999999991</v>
      </c>
      <c r="F46" s="112">
        <v>3.66</v>
      </c>
      <c r="G46" s="112">
        <v>86.1</v>
      </c>
      <c r="H46" s="112">
        <v>28.85</v>
      </c>
      <c r="I46" s="112">
        <v>7.35</v>
      </c>
      <c r="J46" s="112">
        <v>1.82</v>
      </c>
      <c r="K46" s="112">
        <v>300.22000000000003</v>
      </c>
      <c r="L46" s="112">
        <v>27.37</v>
      </c>
      <c r="M46" s="112">
        <v>53.84</v>
      </c>
      <c r="N46" s="112">
        <v>191.5</v>
      </c>
      <c r="O46" s="112">
        <v>0</v>
      </c>
      <c r="P46" s="112">
        <v>0.65</v>
      </c>
      <c r="Q46" s="167" t="s">
        <v>14</v>
      </c>
    </row>
    <row r="47" spans="1:17" customFormat="1">
      <c r="A47" s="80">
        <v>45421.40625</v>
      </c>
      <c r="B47" s="112">
        <v>11.39</v>
      </c>
      <c r="C47" s="112">
        <v>13.15</v>
      </c>
      <c r="D47" s="112">
        <v>25.15</v>
      </c>
      <c r="E47" s="112">
        <v>8.94</v>
      </c>
      <c r="F47" s="112">
        <v>3.27</v>
      </c>
      <c r="G47" s="112">
        <v>86.1</v>
      </c>
      <c r="H47" s="112">
        <v>28.85</v>
      </c>
      <c r="I47" s="112">
        <v>7.21</v>
      </c>
      <c r="J47" s="112">
        <v>1.86</v>
      </c>
      <c r="K47" s="112">
        <v>295.24</v>
      </c>
      <c r="L47" s="112">
        <v>27.6</v>
      </c>
      <c r="M47" s="112">
        <v>50.88</v>
      </c>
      <c r="N47" s="112">
        <v>217.7</v>
      </c>
      <c r="O47" s="112">
        <v>0</v>
      </c>
      <c r="P47" s="112">
        <v>0.63</v>
      </c>
      <c r="Q47" s="167" t="s">
        <v>14</v>
      </c>
    </row>
    <row r="48" spans="1:17" customFormat="1">
      <c r="A48" s="80">
        <v>45421.416666666664</v>
      </c>
      <c r="B48" s="112">
        <v>11.37</v>
      </c>
      <c r="C48" s="112">
        <v>13.18</v>
      </c>
      <c r="D48" s="112">
        <v>25.15</v>
      </c>
      <c r="E48" s="112">
        <v>8.75</v>
      </c>
      <c r="F48" s="112">
        <v>2.62</v>
      </c>
      <c r="G48" s="112">
        <v>73.98</v>
      </c>
      <c r="H48" s="112">
        <v>22.72</v>
      </c>
      <c r="I48" s="112">
        <v>7.03</v>
      </c>
      <c r="J48" s="112">
        <v>1.92</v>
      </c>
      <c r="K48" s="112">
        <v>292.33999999999997</v>
      </c>
      <c r="L48" s="112">
        <v>28.16</v>
      </c>
      <c r="M48" s="112">
        <v>46.77</v>
      </c>
      <c r="N48" s="112">
        <v>215.9</v>
      </c>
      <c r="O48" s="112">
        <v>0</v>
      </c>
      <c r="P48" s="112">
        <v>0.64</v>
      </c>
      <c r="Q48" s="167" t="s">
        <v>14</v>
      </c>
    </row>
    <row r="49" spans="1:17" customFormat="1">
      <c r="A49" s="80">
        <v>45421.427083333336</v>
      </c>
      <c r="B49" s="112">
        <v>11.36</v>
      </c>
      <c r="C49" s="112">
        <v>13.15</v>
      </c>
      <c r="D49" s="112">
        <v>25.13</v>
      </c>
      <c r="E49" s="112">
        <v>10.97</v>
      </c>
      <c r="F49" s="112">
        <v>2.19</v>
      </c>
      <c r="G49" s="112">
        <v>70.95</v>
      </c>
      <c r="H49" s="112">
        <v>22.72</v>
      </c>
      <c r="I49" s="112">
        <v>6.87</v>
      </c>
      <c r="J49" s="112">
        <v>2.19</v>
      </c>
      <c r="K49" s="112">
        <v>294.7</v>
      </c>
      <c r="L49" s="112">
        <v>28.4</v>
      </c>
      <c r="M49" s="112">
        <v>43.61</v>
      </c>
      <c r="N49" s="112">
        <v>203.2</v>
      </c>
      <c r="O49" s="112">
        <v>0</v>
      </c>
      <c r="P49" s="112">
        <v>0.64</v>
      </c>
      <c r="Q49" s="167" t="s">
        <v>14</v>
      </c>
    </row>
    <row r="50" spans="1:17" customFormat="1">
      <c r="A50" s="80">
        <v>45421.4375</v>
      </c>
      <c r="B50" s="112">
        <v>11.37</v>
      </c>
      <c r="C50" s="112">
        <v>13.11</v>
      </c>
      <c r="D50" s="112">
        <v>25.11</v>
      </c>
      <c r="E50" s="112">
        <v>12.98</v>
      </c>
      <c r="F50" s="112">
        <v>2.85</v>
      </c>
      <c r="G50" s="112">
        <v>70.95</v>
      </c>
      <c r="H50" s="112">
        <v>22.72</v>
      </c>
      <c r="I50" s="112">
        <v>6.72</v>
      </c>
      <c r="J50" s="112">
        <v>1.24</v>
      </c>
      <c r="K50" s="112">
        <v>281.32</v>
      </c>
      <c r="L50" s="112">
        <v>28.65</v>
      </c>
      <c r="M50" s="112">
        <v>43.36</v>
      </c>
      <c r="N50" s="112">
        <v>193.6</v>
      </c>
      <c r="O50" s="112">
        <v>0</v>
      </c>
      <c r="P50" s="112">
        <v>0.63</v>
      </c>
      <c r="Q50" s="167" t="s">
        <v>14</v>
      </c>
    </row>
    <row r="51" spans="1:17" customFormat="1">
      <c r="A51" s="80">
        <v>45421.447916666664</v>
      </c>
      <c r="B51" s="112">
        <v>11.38</v>
      </c>
      <c r="C51" s="112">
        <v>13.14</v>
      </c>
      <c r="D51" s="112">
        <v>25.13</v>
      </c>
      <c r="E51" s="112">
        <v>13.57</v>
      </c>
      <c r="F51" s="112">
        <v>2.3199999999999998</v>
      </c>
      <c r="G51" s="112">
        <v>70.95</v>
      </c>
      <c r="H51" s="112">
        <v>22.72</v>
      </c>
      <c r="I51" s="112">
        <v>6.55</v>
      </c>
      <c r="J51" s="112">
        <v>1.1599999999999999</v>
      </c>
      <c r="K51" s="112">
        <v>289.43</v>
      </c>
      <c r="L51" s="112">
        <v>28.95</v>
      </c>
      <c r="M51" s="112">
        <v>42.97</v>
      </c>
      <c r="N51" s="112">
        <v>212.2</v>
      </c>
      <c r="O51" s="112">
        <v>0</v>
      </c>
      <c r="P51" s="112">
        <v>0.63</v>
      </c>
      <c r="Q51" s="167" t="s">
        <v>14</v>
      </c>
    </row>
    <row r="52" spans="1:17" customFormat="1">
      <c r="A52" s="80">
        <v>45421.458333333336</v>
      </c>
      <c r="B52" s="112">
        <v>11.37</v>
      </c>
      <c r="C52" s="112">
        <v>13.12</v>
      </c>
      <c r="D52" s="112">
        <v>25.11</v>
      </c>
      <c r="E52" s="112">
        <v>13.48</v>
      </c>
      <c r="F52" s="112">
        <v>3.11</v>
      </c>
      <c r="G52" s="112">
        <v>59.01</v>
      </c>
      <c r="H52" s="112">
        <v>19.03</v>
      </c>
      <c r="I52" s="112">
        <v>6.34</v>
      </c>
      <c r="J52" s="112">
        <v>0.76</v>
      </c>
      <c r="K52" s="112">
        <v>284.95</v>
      </c>
      <c r="L52" s="112">
        <v>29.45</v>
      </c>
      <c r="M52" s="112">
        <v>43.38</v>
      </c>
      <c r="N52" s="112">
        <v>256.8</v>
      </c>
      <c r="O52" s="112">
        <v>0</v>
      </c>
      <c r="P52" s="112">
        <v>0.62</v>
      </c>
      <c r="Q52" s="167" t="s">
        <v>14</v>
      </c>
    </row>
    <row r="53" spans="1:17" customFormat="1">
      <c r="A53" s="80">
        <v>45421.46875</v>
      </c>
      <c r="B53" s="112">
        <v>11.38</v>
      </c>
      <c r="C53" s="112">
        <v>13.23</v>
      </c>
      <c r="D53" s="112">
        <v>25.18</v>
      </c>
      <c r="E53" s="112">
        <v>13.58</v>
      </c>
      <c r="F53" s="112">
        <v>1.93</v>
      </c>
      <c r="G53" s="112">
        <v>56.02</v>
      </c>
      <c r="H53" s="112">
        <v>19.03</v>
      </c>
      <c r="I53" s="112">
        <v>6.19</v>
      </c>
      <c r="J53" s="112">
        <v>0.6</v>
      </c>
      <c r="K53" s="112">
        <v>246.5</v>
      </c>
      <c r="L53" s="112">
        <v>30.51</v>
      </c>
      <c r="M53" s="112">
        <v>41.32</v>
      </c>
      <c r="N53" s="112">
        <v>383</v>
      </c>
      <c r="O53" s="112">
        <v>0</v>
      </c>
      <c r="P53" s="112">
        <v>0.61</v>
      </c>
      <c r="Q53" s="167" t="s">
        <v>14</v>
      </c>
    </row>
    <row r="54" spans="1:17" customFormat="1">
      <c r="A54" s="80">
        <v>45421.479166666664</v>
      </c>
      <c r="B54" s="112">
        <v>11.37</v>
      </c>
      <c r="C54" s="112">
        <v>13.17</v>
      </c>
      <c r="D54" s="112">
        <v>25.14</v>
      </c>
      <c r="E54" s="112">
        <v>12.56</v>
      </c>
      <c r="F54" s="112">
        <v>4.28</v>
      </c>
      <c r="G54" s="112">
        <v>56.02</v>
      </c>
      <c r="H54" s="112">
        <v>19.03</v>
      </c>
      <c r="I54" s="112">
        <v>6.08</v>
      </c>
      <c r="J54" s="112">
        <v>0.66</v>
      </c>
      <c r="K54" s="112">
        <v>251.19</v>
      </c>
      <c r="L54" s="112">
        <v>31.92</v>
      </c>
      <c r="M54" s="112">
        <v>39.5</v>
      </c>
      <c r="N54" s="112">
        <v>601.6</v>
      </c>
      <c r="O54" s="112">
        <v>0</v>
      </c>
      <c r="P54" s="112">
        <v>0.59</v>
      </c>
      <c r="Q54" s="167" t="s">
        <v>14</v>
      </c>
    </row>
    <row r="55" spans="1:17" customFormat="1">
      <c r="A55" s="80">
        <v>45421.489583333336</v>
      </c>
      <c r="B55" s="112">
        <v>11.36</v>
      </c>
      <c r="C55" s="112">
        <v>13.13</v>
      </c>
      <c r="D55" s="112">
        <v>25.12</v>
      </c>
      <c r="E55" s="112">
        <v>13.1</v>
      </c>
      <c r="F55" s="112">
        <v>5.07</v>
      </c>
      <c r="G55" s="112">
        <v>56.02</v>
      </c>
      <c r="H55" s="112">
        <v>19.03</v>
      </c>
      <c r="I55" s="112">
        <v>5.96</v>
      </c>
      <c r="J55" s="112">
        <v>0.68</v>
      </c>
      <c r="K55" s="112">
        <v>245.75</v>
      </c>
      <c r="L55" s="112">
        <v>32.78</v>
      </c>
      <c r="M55" s="112">
        <v>38.340000000000003</v>
      </c>
      <c r="N55" s="112">
        <v>551.9</v>
      </c>
      <c r="O55" s="112">
        <v>0</v>
      </c>
      <c r="P55" s="112">
        <v>0.57999999999999996</v>
      </c>
      <c r="Q55" s="167" t="s">
        <v>14</v>
      </c>
    </row>
    <row r="56" spans="1:17" customFormat="1">
      <c r="A56" s="80">
        <v>45421.5</v>
      </c>
      <c r="B56" s="112">
        <v>11.37</v>
      </c>
      <c r="C56" s="112">
        <v>13.23</v>
      </c>
      <c r="D56" s="112">
        <v>25.17</v>
      </c>
      <c r="E56" s="112">
        <v>13.75</v>
      </c>
      <c r="F56" s="112">
        <v>4.1399999999999997</v>
      </c>
      <c r="G56" s="112">
        <v>47.33</v>
      </c>
      <c r="H56" s="112">
        <v>18.12</v>
      </c>
      <c r="I56" s="112">
        <v>5.84</v>
      </c>
      <c r="J56" s="112">
        <v>0.44</v>
      </c>
      <c r="K56" s="112">
        <v>233.89</v>
      </c>
      <c r="L56" s="112">
        <v>33.630000000000003</v>
      </c>
      <c r="M56" s="112">
        <v>37.31</v>
      </c>
      <c r="N56" s="112">
        <v>518.9</v>
      </c>
      <c r="O56" s="112">
        <v>0</v>
      </c>
      <c r="P56" s="112">
        <v>0.56999999999999995</v>
      </c>
      <c r="Q56" s="167" t="s">
        <v>14</v>
      </c>
    </row>
    <row r="57" spans="1:17" customFormat="1">
      <c r="A57" s="80">
        <v>45421.510416666664</v>
      </c>
      <c r="B57" s="112">
        <v>11.37</v>
      </c>
      <c r="C57" s="112">
        <v>13.15</v>
      </c>
      <c r="D57" s="112">
        <v>25.13</v>
      </c>
      <c r="E57" s="112">
        <v>18.04</v>
      </c>
      <c r="F57" s="112">
        <v>8.98</v>
      </c>
      <c r="G57" s="112">
        <v>45.16</v>
      </c>
      <c r="H57" s="112">
        <v>18.12</v>
      </c>
      <c r="I57" s="112">
        <v>5.72</v>
      </c>
      <c r="J57" s="112">
        <v>0.23</v>
      </c>
      <c r="K57" s="112">
        <v>222.99</v>
      </c>
      <c r="L57" s="112">
        <v>34.42</v>
      </c>
      <c r="M57" s="112">
        <v>36.9</v>
      </c>
      <c r="N57" s="112">
        <v>459</v>
      </c>
      <c r="O57" s="112">
        <v>0</v>
      </c>
      <c r="P57" s="112">
        <v>0.59</v>
      </c>
      <c r="Q57" s="167" t="s">
        <v>14</v>
      </c>
    </row>
    <row r="58" spans="1:17" customFormat="1">
      <c r="A58" s="80">
        <v>45421.520833333336</v>
      </c>
      <c r="B58" s="112">
        <v>11.38</v>
      </c>
      <c r="C58" s="112">
        <v>13.12</v>
      </c>
      <c r="D58" s="112">
        <v>25.12</v>
      </c>
      <c r="E58" s="112">
        <v>15.21</v>
      </c>
      <c r="F58" s="112">
        <v>6.06</v>
      </c>
      <c r="G58" s="112">
        <v>45.16</v>
      </c>
      <c r="H58" s="112">
        <v>18.12</v>
      </c>
      <c r="I58" s="112">
        <v>5.66</v>
      </c>
      <c r="J58" s="112">
        <v>0.86</v>
      </c>
      <c r="K58" s="112">
        <v>250.05</v>
      </c>
      <c r="L58" s="112">
        <v>34.44</v>
      </c>
      <c r="M58" s="112">
        <v>37.369999999999997</v>
      </c>
      <c r="N58" s="112">
        <v>628.29999999999995</v>
      </c>
      <c r="O58" s="112">
        <v>0</v>
      </c>
      <c r="P58" s="112">
        <v>0.59</v>
      </c>
      <c r="Q58" s="167" t="s">
        <v>14</v>
      </c>
    </row>
    <row r="59" spans="1:17" customFormat="1">
      <c r="A59" s="80">
        <v>45421.53125</v>
      </c>
      <c r="B59" s="112">
        <v>11.36</v>
      </c>
      <c r="C59" s="112">
        <v>13.13</v>
      </c>
      <c r="D59" s="112">
        <v>25.11</v>
      </c>
      <c r="E59" s="112">
        <v>12.87</v>
      </c>
      <c r="F59" s="112">
        <v>6.25</v>
      </c>
      <c r="G59" s="112">
        <v>45.16</v>
      </c>
      <c r="H59" s="112">
        <v>18.12</v>
      </c>
      <c r="I59" s="112">
        <v>5.77</v>
      </c>
      <c r="J59" s="112">
        <v>1.04</v>
      </c>
      <c r="K59" s="112">
        <v>253.25</v>
      </c>
      <c r="L59" s="112">
        <v>34.520000000000003</v>
      </c>
      <c r="M59" s="112">
        <v>36.89</v>
      </c>
      <c r="N59" s="112">
        <v>622.79999999999995</v>
      </c>
      <c r="O59" s="112">
        <v>0</v>
      </c>
      <c r="P59" s="112">
        <v>0.56999999999999995</v>
      </c>
      <c r="Q59" s="167" t="s">
        <v>14</v>
      </c>
    </row>
    <row r="60" spans="1:17" customFormat="1">
      <c r="A60" s="80">
        <v>45421.541666666664</v>
      </c>
      <c r="B60" s="112">
        <v>11.34</v>
      </c>
      <c r="C60" s="112">
        <v>13.14</v>
      </c>
      <c r="D60" s="112">
        <v>25.1</v>
      </c>
      <c r="E60" s="112">
        <v>13.79</v>
      </c>
      <c r="F60" s="112">
        <v>7.2</v>
      </c>
      <c r="G60" s="112">
        <v>37.880000000000003</v>
      </c>
      <c r="H60" s="112">
        <v>14.76</v>
      </c>
      <c r="I60" s="112">
        <v>5.84</v>
      </c>
      <c r="J60" s="112">
        <v>1.1499999999999999</v>
      </c>
      <c r="K60" s="112">
        <v>261.25</v>
      </c>
      <c r="L60" s="112">
        <v>34.19</v>
      </c>
      <c r="M60" s="112">
        <v>37.6</v>
      </c>
      <c r="N60" s="112">
        <v>497.4</v>
      </c>
      <c r="O60" s="112">
        <v>0</v>
      </c>
      <c r="P60" s="112">
        <v>0.55000000000000004</v>
      </c>
      <c r="Q60" s="167" t="s">
        <v>14</v>
      </c>
    </row>
    <row r="61" spans="1:17" customFormat="1">
      <c r="A61" s="80">
        <v>45421.552083333336</v>
      </c>
      <c r="B61" s="112">
        <v>11.34</v>
      </c>
      <c r="C61" s="112">
        <v>13.14</v>
      </c>
      <c r="D61" s="112">
        <v>25.1</v>
      </c>
      <c r="E61" s="112">
        <v>14.24</v>
      </c>
      <c r="F61" s="112">
        <v>9.07</v>
      </c>
      <c r="G61" s="112">
        <v>36.06</v>
      </c>
      <c r="H61" s="112">
        <v>14.76</v>
      </c>
      <c r="I61" s="112">
        <v>5.65</v>
      </c>
      <c r="J61" s="112">
        <v>1.04</v>
      </c>
      <c r="K61" s="112">
        <v>261.76</v>
      </c>
      <c r="L61" s="112">
        <v>34.64</v>
      </c>
      <c r="M61" s="112">
        <v>36.44</v>
      </c>
      <c r="N61" s="112">
        <v>716.9</v>
      </c>
      <c r="O61" s="112">
        <v>0</v>
      </c>
      <c r="P61" s="112">
        <v>0.53</v>
      </c>
      <c r="Q61" s="167" t="s">
        <v>14</v>
      </c>
    </row>
    <row r="62" spans="1:17" customFormat="1">
      <c r="A62" s="80">
        <v>45421.5625</v>
      </c>
      <c r="B62" s="112">
        <v>11.33</v>
      </c>
      <c r="C62" s="112">
        <v>13.15</v>
      </c>
      <c r="D62" s="112">
        <v>25.1</v>
      </c>
      <c r="E62" s="112">
        <v>13.93</v>
      </c>
      <c r="F62" s="112">
        <v>9.51</v>
      </c>
      <c r="G62" s="112">
        <v>36.06</v>
      </c>
      <c r="H62" s="112">
        <v>14.76</v>
      </c>
      <c r="I62" s="112">
        <v>5.47</v>
      </c>
      <c r="J62" s="112">
        <v>1.01</v>
      </c>
      <c r="K62" s="112">
        <v>257.94</v>
      </c>
      <c r="L62" s="112">
        <v>35.79</v>
      </c>
      <c r="M62" s="112">
        <v>35.53</v>
      </c>
      <c r="N62" s="112">
        <v>748.8</v>
      </c>
      <c r="O62" s="112">
        <v>0</v>
      </c>
      <c r="P62" s="112">
        <v>0.52</v>
      </c>
      <c r="Q62" s="167" t="s">
        <v>14</v>
      </c>
    </row>
    <row r="63" spans="1:17" customFormat="1">
      <c r="A63" s="80">
        <v>45421.572916666664</v>
      </c>
      <c r="B63" s="112">
        <v>11.35</v>
      </c>
      <c r="C63" s="112">
        <v>13.18</v>
      </c>
      <c r="D63" s="112">
        <v>25.13</v>
      </c>
      <c r="E63" s="112">
        <v>13.88</v>
      </c>
      <c r="F63" s="112">
        <v>9.8699999999999992</v>
      </c>
      <c r="G63" s="112">
        <v>36.06</v>
      </c>
      <c r="H63" s="112">
        <v>14.76</v>
      </c>
      <c r="I63" s="112">
        <v>5.31</v>
      </c>
      <c r="J63" s="112">
        <v>1.1299999999999999</v>
      </c>
      <c r="K63" s="112">
        <v>264.08</v>
      </c>
      <c r="L63" s="112">
        <v>35.479999999999997</v>
      </c>
      <c r="M63" s="112">
        <v>36.1</v>
      </c>
      <c r="N63" s="112">
        <v>731.9</v>
      </c>
      <c r="O63" s="112">
        <v>0</v>
      </c>
      <c r="P63" s="112">
        <v>0.51</v>
      </c>
      <c r="Q63" s="167" t="s">
        <v>14</v>
      </c>
    </row>
    <row r="64" spans="1:17" customFormat="1">
      <c r="A64" s="80">
        <v>45421.583333333336</v>
      </c>
      <c r="B64" s="112">
        <v>11.35</v>
      </c>
      <c r="C64" s="112">
        <v>13.14</v>
      </c>
      <c r="D64" s="112">
        <v>25.11</v>
      </c>
      <c r="E64" s="112">
        <v>13.97</v>
      </c>
      <c r="F64" s="112">
        <v>9.34</v>
      </c>
      <c r="G64" s="112">
        <v>30.51</v>
      </c>
      <c r="H64" s="112">
        <v>16.600000000000001</v>
      </c>
      <c r="I64" s="112">
        <v>5.19</v>
      </c>
      <c r="J64" s="112">
        <v>1.0900000000000001</v>
      </c>
      <c r="K64" s="112">
        <v>262.62</v>
      </c>
      <c r="L64" s="112">
        <v>35.99</v>
      </c>
      <c r="M64" s="112">
        <v>33.19</v>
      </c>
      <c r="N64" s="112">
        <v>785.2</v>
      </c>
      <c r="O64" s="112">
        <v>0</v>
      </c>
      <c r="P64" s="112">
        <v>0.5</v>
      </c>
      <c r="Q64" s="167" t="s">
        <v>14</v>
      </c>
    </row>
    <row r="65" spans="1:17" customFormat="1">
      <c r="A65" s="80">
        <v>45421.59375</v>
      </c>
      <c r="B65" s="112">
        <v>11.33</v>
      </c>
      <c r="C65" s="112">
        <v>13.12</v>
      </c>
      <c r="D65" s="112">
        <v>25.08</v>
      </c>
      <c r="E65" s="112">
        <v>14.3</v>
      </c>
      <c r="F65" s="112">
        <v>6.86</v>
      </c>
      <c r="G65" s="112">
        <v>29.13</v>
      </c>
      <c r="H65" s="112">
        <v>16.600000000000001</v>
      </c>
      <c r="I65" s="112">
        <v>5.12</v>
      </c>
      <c r="J65" s="112">
        <v>1.38</v>
      </c>
      <c r="K65" s="112">
        <v>264.55</v>
      </c>
      <c r="L65" s="112">
        <v>35.74</v>
      </c>
      <c r="M65" s="112">
        <v>34.43</v>
      </c>
      <c r="N65" s="112">
        <v>712.4</v>
      </c>
      <c r="O65" s="112">
        <v>0</v>
      </c>
      <c r="P65" s="112">
        <v>0.44</v>
      </c>
      <c r="Q65" s="167" t="s">
        <v>14</v>
      </c>
    </row>
    <row r="66" spans="1:17" customFormat="1">
      <c r="A66" s="80">
        <v>45421.604166666664</v>
      </c>
      <c r="B66" s="112">
        <v>11.33</v>
      </c>
      <c r="C66" s="112">
        <v>13.12</v>
      </c>
      <c r="D66" s="112">
        <v>25.08</v>
      </c>
      <c r="E66" s="112">
        <v>13.42</v>
      </c>
      <c r="F66" s="112">
        <v>8.17</v>
      </c>
      <c r="G66" s="112">
        <v>29.13</v>
      </c>
      <c r="H66" s="112">
        <v>16.600000000000001</v>
      </c>
      <c r="I66" s="112">
        <v>5.04</v>
      </c>
      <c r="J66" s="112">
        <v>0.81</v>
      </c>
      <c r="K66" s="112">
        <v>253.24</v>
      </c>
      <c r="L66" s="112">
        <v>36.29</v>
      </c>
      <c r="M66" s="112">
        <v>33.96</v>
      </c>
      <c r="N66" s="112">
        <v>695.4</v>
      </c>
      <c r="O66" s="112">
        <v>0</v>
      </c>
      <c r="P66" s="112">
        <v>0.44</v>
      </c>
      <c r="Q66" s="167" t="s">
        <v>14</v>
      </c>
    </row>
    <row r="67" spans="1:17" customFormat="1">
      <c r="A67" s="80">
        <v>45421.614583333336</v>
      </c>
      <c r="B67" s="112">
        <v>11.33</v>
      </c>
      <c r="C67" s="112">
        <v>13.11</v>
      </c>
      <c r="D67" s="112">
        <v>25.08</v>
      </c>
      <c r="E67" s="112">
        <v>14.14</v>
      </c>
      <c r="F67" s="112">
        <v>7.68</v>
      </c>
      <c r="G67" s="112">
        <v>29.13</v>
      </c>
      <c r="H67" s="112">
        <v>16.600000000000001</v>
      </c>
      <c r="I67" s="112">
        <v>4.95</v>
      </c>
      <c r="J67" s="112">
        <v>1.22</v>
      </c>
      <c r="K67" s="112">
        <v>252.82</v>
      </c>
      <c r="L67" s="112">
        <v>36.17</v>
      </c>
      <c r="M67" s="112">
        <v>33.49</v>
      </c>
      <c r="N67" s="112">
        <v>664.8</v>
      </c>
      <c r="O67" s="112">
        <v>0</v>
      </c>
      <c r="P67" s="112">
        <v>0.43</v>
      </c>
      <c r="Q67" s="167" t="s">
        <v>14</v>
      </c>
    </row>
    <row r="68" spans="1:17" customFormat="1">
      <c r="A68" s="80">
        <v>45421.625</v>
      </c>
      <c r="B68" s="112">
        <v>11.33</v>
      </c>
      <c r="C68" s="112">
        <v>13.11</v>
      </c>
      <c r="D68" s="112">
        <v>25.08</v>
      </c>
      <c r="E68" s="112">
        <v>14.17</v>
      </c>
      <c r="F68" s="112">
        <v>8.48</v>
      </c>
      <c r="G68" s="112">
        <v>24.11</v>
      </c>
      <c r="H68" s="112">
        <v>12.28</v>
      </c>
      <c r="I68" s="112">
        <v>4.92</v>
      </c>
      <c r="J68" s="112">
        <v>1.23</v>
      </c>
      <c r="K68" s="112">
        <v>263.8</v>
      </c>
      <c r="L68" s="112">
        <v>36.42</v>
      </c>
      <c r="M68" s="112">
        <v>30.22</v>
      </c>
      <c r="N68" s="112">
        <v>629.29999999999995</v>
      </c>
      <c r="O68" s="112">
        <v>0</v>
      </c>
      <c r="P68" s="112">
        <v>0.43</v>
      </c>
      <c r="Q68" s="167" t="s">
        <v>14</v>
      </c>
    </row>
    <row r="69" spans="1:17" customFormat="1">
      <c r="A69" s="80">
        <v>45421.635416666664</v>
      </c>
      <c r="B69" s="112">
        <v>11.33</v>
      </c>
      <c r="C69" s="112">
        <v>13.12</v>
      </c>
      <c r="D69" s="112">
        <v>25.08</v>
      </c>
      <c r="E69" s="112">
        <v>14.48</v>
      </c>
      <c r="F69" s="112">
        <v>9.24</v>
      </c>
      <c r="G69" s="112">
        <v>22.86</v>
      </c>
      <c r="H69" s="112">
        <v>12.28</v>
      </c>
      <c r="I69" s="112">
        <v>4.91</v>
      </c>
      <c r="J69" s="112">
        <v>1.55</v>
      </c>
      <c r="K69" s="112">
        <v>268.57</v>
      </c>
      <c r="L69" s="112">
        <v>35.659999999999997</v>
      </c>
      <c r="M69" s="112">
        <v>31.09</v>
      </c>
      <c r="N69" s="112">
        <v>565.6</v>
      </c>
      <c r="O69" s="112">
        <v>0</v>
      </c>
      <c r="P69" s="112">
        <v>0.43</v>
      </c>
      <c r="Q69" s="167" t="s">
        <v>14</v>
      </c>
    </row>
    <row r="70" spans="1:17" customFormat="1">
      <c r="A70" s="80">
        <v>45421.645833333336</v>
      </c>
      <c r="B70" s="112">
        <v>11.37</v>
      </c>
      <c r="C70" s="112">
        <v>13.13</v>
      </c>
      <c r="D70" s="112">
        <v>25.12</v>
      </c>
      <c r="E70" s="112">
        <v>14.07</v>
      </c>
      <c r="F70" s="112">
        <v>11.63</v>
      </c>
      <c r="G70" s="112">
        <v>22.86</v>
      </c>
      <c r="H70" s="112">
        <v>12.28</v>
      </c>
      <c r="I70" s="112">
        <v>4.91</v>
      </c>
      <c r="J70" s="112">
        <v>1.49</v>
      </c>
      <c r="K70" s="112">
        <v>266.14999999999998</v>
      </c>
      <c r="L70" s="112">
        <v>35.6</v>
      </c>
      <c r="M70" s="112">
        <v>31.86</v>
      </c>
      <c r="N70" s="112">
        <v>529.4</v>
      </c>
      <c r="O70" s="112">
        <v>0</v>
      </c>
      <c r="P70" s="112">
        <v>0.42</v>
      </c>
      <c r="Q70" s="167" t="s">
        <v>14</v>
      </c>
    </row>
    <row r="71" spans="1:17" customFormat="1">
      <c r="A71" s="80">
        <v>45421.65625</v>
      </c>
      <c r="B71" s="112">
        <v>11.39</v>
      </c>
      <c r="C71" s="112">
        <v>13.1</v>
      </c>
      <c r="D71" s="112">
        <v>25.13</v>
      </c>
      <c r="E71" s="112">
        <v>15.95</v>
      </c>
      <c r="F71" s="112">
        <v>10.68</v>
      </c>
      <c r="G71" s="112">
        <v>22.86</v>
      </c>
      <c r="H71" s="112">
        <v>12.28</v>
      </c>
      <c r="I71" s="112">
        <v>5.2</v>
      </c>
      <c r="J71" s="112">
        <v>1.7</v>
      </c>
      <c r="K71" s="112">
        <v>272.7</v>
      </c>
      <c r="L71" s="112">
        <v>35.299999999999997</v>
      </c>
      <c r="M71" s="112">
        <v>32.42</v>
      </c>
      <c r="N71" s="112">
        <v>477.5</v>
      </c>
      <c r="O71" s="112">
        <v>0</v>
      </c>
      <c r="P71" s="112">
        <v>0.43</v>
      </c>
      <c r="Q71" s="167" t="s">
        <v>14</v>
      </c>
    </row>
    <row r="72" spans="1:17" customFormat="1">
      <c r="A72" s="80">
        <v>45421.666666666664</v>
      </c>
      <c r="B72" s="112">
        <v>11.4</v>
      </c>
      <c r="C72" s="112">
        <v>13.09</v>
      </c>
      <c r="D72" s="112">
        <v>25.13</v>
      </c>
      <c r="E72" s="112">
        <v>24.81</v>
      </c>
      <c r="F72" s="112">
        <v>14.1</v>
      </c>
      <c r="G72" s="112">
        <v>28.95</v>
      </c>
      <c r="H72" s="112">
        <v>12.99</v>
      </c>
      <c r="I72" s="112">
        <v>5.57</v>
      </c>
      <c r="J72" s="112">
        <v>1.56</v>
      </c>
      <c r="K72" s="112">
        <v>274.74</v>
      </c>
      <c r="L72" s="112">
        <v>35.270000000000003</v>
      </c>
      <c r="M72" s="112">
        <v>32.08</v>
      </c>
      <c r="N72" s="112">
        <v>318.60000000000002</v>
      </c>
      <c r="O72" s="112">
        <v>0</v>
      </c>
      <c r="P72" s="112">
        <v>0.48</v>
      </c>
      <c r="Q72" s="167" t="s">
        <v>14</v>
      </c>
    </row>
    <row r="73" spans="1:17" customFormat="1">
      <c r="A73" s="80">
        <v>45421.677083333336</v>
      </c>
      <c r="B73" s="112">
        <v>11.41</v>
      </c>
      <c r="C73" s="112">
        <v>13.13</v>
      </c>
      <c r="D73" s="112">
        <v>25.16</v>
      </c>
      <c r="E73" s="112">
        <v>16.52</v>
      </c>
      <c r="F73" s="112">
        <v>9.32</v>
      </c>
      <c r="G73" s="112">
        <v>30.47</v>
      </c>
      <c r="H73" s="112">
        <v>12.99</v>
      </c>
      <c r="I73" s="112">
        <v>5.93</v>
      </c>
      <c r="J73" s="112">
        <v>1.64</v>
      </c>
      <c r="K73" s="112">
        <v>275.01</v>
      </c>
      <c r="L73" s="112">
        <v>34.75</v>
      </c>
      <c r="M73" s="112">
        <v>31.23</v>
      </c>
      <c r="N73" s="112">
        <v>282.89999999999998</v>
      </c>
      <c r="O73" s="112">
        <v>0</v>
      </c>
      <c r="P73" s="112">
        <v>0.52</v>
      </c>
      <c r="Q73" s="167" t="s">
        <v>14</v>
      </c>
    </row>
    <row r="74" spans="1:17" customFormat="1">
      <c r="A74" s="80">
        <v>45421.6875</v>
      </c>
      <c r="B74" s="112">
        <v>11.4</v>
      </c>
      <c r="C74" s="112">
        <v>13.11</v>
      </c>
      <c r="D74" s="112">
        <v>25.14</v>
      </c>
      <c r="E74" s="112">
        <v>14.12</v>
      </c>
      <c r="F74" s="112">
        <v>9.6300000000000008</v>
      </c>
      <c r="G74" s="112">
        <v>30.47</v>
      </c>
      <c r="H74" s="112">
        <v>12.99</v>
      </c>
      <c r="I74" s="112">
        <v>6.4</v>
      </c>
      <c r="J74" s="112">
        <v>1.81</v>
      </c>
      <c r="K74" s="112">
        <v>293.26</v>
      </c>
      <c r="L74" s="112">
        <v>34.44</v>
      </c>
      <c r="M74" s="112">
        <v>30.84</v>
      </c>
      <c r="N74" s="112">
        <v>167.2</v>
      </c>
      <c r="O74" s="112">
        <v>0</v>
      </c>
      <c r="P74" s="112">
        <v>0.49</v>
      </c>
      <c r="Q74" s="167" t="s">
        <v>14</v>
      </c>
    </row>
    <row r="75" spans="1:17" customFormat="1">
      <c r="A75" s="80">
        <v>45421.697916666664</v>
      </c>
      <c r="B75" s="112">
        <v>11.37</v>
      </c>
      <c r="C75" s="112">
        <v>13.09</v>
      </c>
      <c r="D75" s="112">
        <v>25.11</v>
      </c>
      <c r="E75" s="112">
        <v>13.47</v>
      </c>
      <c r="F75" s="112">
        <v>11.65</v>
      </c>
      <c r="G75" s="112">
        <v>30.47</v>
      </c>
      <c r="H75" s="112">
        <v>12.99</v>
      </c>
      <c r="I75" s="112">
        <v>6.37</v>
      </c>
      <c r="J75" s="112">
        <v>1.47</v>
      </c>
      <c r="K75" s="112">
        <v>260.85000000000002</v>
      </c>
      <c r="L75" s="112">
        <v>34.130000000000003</v>
      </c>
      <c r="M75" s="112">
        <v>31.88</v>
      </c>
      <c r="N75" s="112">
        <v>141</v>
      </c>
      <c r="O75" s="112">
        <v>0</v>
      </c>
      <c r="P75" s="112">
        <v>0.49</v>
      </c>
      <c r="Q75" s="167" t="s">
        <v>14</v>
      </c>
    </row>
    <row r="76" spans="1:17" customFormat="1">
      <c r="A76" s="80">
        <v>45421.708333333336</v>
      </c>
      <c r="B76" s="112">
        <v>11.35</v>
      </c>
      <c r="C76" s="112">
        <v>13.17</v>
      </c>
      <c r="D76" s="112">
        <v>25.13</v>
      </c>
      <c r="E76" s="112">
        <v>20.239999999999998</v>
      </c>
      <c r="F76" s="112">
        <v>8.94</v>
      </c>
      <c r="G76" s="112">
        <v>32.93</v>
      </c>
      <c r="H76" s="112">
        <v>15.38</v>
      </c>
      <c r="I76" s="112">
        <v>6.46</v>
      </c>
      <c r="J76" s="112">
        <v>1.54</v>
      </c>
      <c r="K76" s="112">
        <v>261.5</v>
      </c>
      <c r="L76" s="112">
        <v>33.61</v>
      </c>
      <c r="M76" s="112">
        <v>36.659999999999997</v>
      </c>
      <c r="N76" s="112">
        <v>158.80000000000001</v>
      </c>
      <c r="O76" s="112">
        <v>0</v>
      </c>
      <c r="P76" s="112">
        <v>0.56000000000000005</v>
      </c>
      <c r="Q76" s="167" t="s">
        <v>14</v>
      </c>
    </row>
    <row r="77" spans="1:17" customFormat="1">
      <c r="A77" s="80">
        <v>45421.71875</v>
      </c>
      <c r="B77" s="112">
        <v>11.37</v>
      </c>
      <c r="C77" s="112">
        <v>13.13</v>
      </c>
      <c r="D77" s="112">
        <v>25.12</v>
      </c>
      <c r="E77" s="112">
        <v>23.04</v>
      </c>
      <c r="F77" s="112">
        <v>7.63</v>
      </c>
      <c r="G77" s="112">
        <v>33.549999999999997</v>
      </c>
      <c r="H77" s="112">
        <v>15.38</v>
      </c>
      <c r="I77" s="112">
        <v>6.62</v>
      </c>
      <c r="J77" s="112">
        <v>1.49</v>
      </c>
      <c r="K77" s="112">
        <v>260.11</v>
      </c>
      <c r="L77" s="112">
        <v>33.11</v>
      </c>
      <c r="M77" s="112">
        <v>41.69</v>
      </c>
      <c r="N77" s="112">
        <v>138.69999999999999</v>
      </c>
      <c r="O77" s="112">
        <v>0</v>
      </c>
      <c r="P77" s="112">
        <v>0.56000000000000005</v>
      </c>
      <c r="Q77" s="112">
        <v>4.6100000000000003</v>
      </c>
    </row>
    <row r="78" spans="1:17" customFormat="1">
      <c r="A78" s="80">
        <v>45421.729166666664</v>
      </c>
      <c r="B78" s="112">
        <v>11.36</v>
      </c>
      <c r="C78" s="112">
        <v>13.09</v>
      </c>
      <c r="D78" s="112">
        <v>25.09</v>
      </c>
      <c r="E78" s="112">
        <v>18.59</v>
      </c>
      <c r="F78" s="112">
        <v>13.97</v>
      </c>
      <c r="G78" s="112">
        <v>33.549999999999997</v>
      </c>
      <c r="H78" s="112">
        <v>15.38</v>
      </c>
      <c r="I78" s="112">
        <v>6.82</v>
      </c>
      <c r="J78" s="112">
        <v>1.2</v>
      </c>
      <c r="K78" s="112">
        <v>268.33999999999997</v>
      </c>
      <c r="L78" s="112">
        <v>32.64</v>
      </c>
      <c r="M78" s="112">
        <v>44.55</v>
      </c>
      <c r="N78" s="112">
        <v>84.1</v>
      </c>
      <c r="O78" s="112">
        <v>0</v>
      </c>
      <c r="P78" s="112">
        <v>0.53</v>
      </c>
      <c r="Q78" s="112">
        <v>4.62</v>
      </c>
    </row>
    <row r="79" spans="1:17" customFormat="1">
      <c r="A79" s="80">
        <v>45421.739583333336</v>
      </c>
      <c r="B79" s="112">
        <v>11.36</v>
      </c>
      <c r="C79" s="112">
        <v>13.14</v>
      </c>
      <c r="D79" s="112">
        <v>25.12</v>
      </c>
      <c r="E79" s="112">
        <v>13.41</v>
      </c>
      <c r="F79" s="112">
        <v>15.37</v>
      </c>
      <c r="G79" s="112">
        <v>33.549999999999997</v>
      </c>
      <c r="H79" s="112">
        <v>15.38</v>
      </c>
      <c r="I79" s="112">
        <v>6.9</v>
      </c>
      <c r="J79" s="112">
        <v>1.06</v>
      </c>
      <c r="K79" s="112">
        <v>256.55</v>
      </c>
      <c r="L79" s="112">
        <v>32.32</v>
      </c>
      <c r="M79" s="112">
        <v>46.45</v>
      </c>
      <c r="N79" s="112">
        <v>45.7</v>
      </c>
      <c r="O79" s="112">
        <v>0</v>
      </c>
      <c r="P79" s="112">
        <v>0.53</v>
      </c>
      <c r="Q79" s="167" t="s">
        <v>14</v>
      </c>
    </row>
    <row r="80" spans="1:17" customFormat="1">
      <c r="A80" s="80">
        <v>45421.75</v>
      </c>
      <c r="B80" s="112">
        <v>11.35</v>
      </c>
      <c r="C80" s="112">
        <v>13.13</v>
      </c>
      <c r="D80" s="112">
        <v>25.11</v>
      </c>
      <c r="E80" s="112">
        <v>12.42</v>
      </c>
      <c r="F80" s="112">
        <v>20.309999999999999</v>
      </c>
      <c r="G80" s="112">
        <v>40.590000000000003</v>
      </c>
      <c r="H80" s="112">
        <v>16.010000000000002</v>
      </c>
      <c r="I80" s="112">
        <v>6.66</v>
      </c>
      <c r="J80" s="112">
        <v>0.81</v>
      </c>
      <c r="K80" s="112">
        <v>251.07</v>
      </c>
      <c r="L80" s="112">
        <v>31.98</v>
      </c>
      <c r="M80" s="112">
        <v>48</v>
      </c>
      <c r="N80" s="112">
        <v>16</v>
      </c>
      <c r="O80" s="112">
        <v>0</v>
      </c>
      <c r="P80" s="112">
        <v>0.5</v>
      </c>
      <c r="Q80" s="167" t="s">
        <v>14</v>
      </c>
    </row>
    <row r="81" spans="1:17" customFormat="1">
      <c r="A81" s="80">
        <v>45421.760416666664</v>
      </c>
      <c r="B81" s="112">
        <v>11.36</v>
      </c>
      <c r="C81" s="112">
        <v>13.12</v>
      </c>
      <c r="D81" s="112">
        <v>25.11</v>
      </c>
      <c r="E81" s="112">
        <v>9.82</v>
      </c>
      <c r="F81" s="112">
        <v>24.01</v>
      </c>
      <c r="G81" s="112">
        <v>42.36</v>
      </c>
      <c r="H81" s="112">
        <v>16.010000000000002</v>
      </c>
      <c r="I81" s="112">
        <v>6.6</v>
      </c>
      <c r="J81" s="112">
        <v>0.6</v>
      </c>
      <c r="K81" s="112">
        <v>244.59</v>
      </c>
      <c r="L81" s="112">
        <v>31.53</v>
      </c>
      <c r="M81" s="112">
        <v>49.83</v>
      </c>
      <c r="N81" s="112">
        <v>0.8</v>
      </c>
      <c r="O81" s="112">
        <v>0</v>
      </c>
      <c r="P81" s="112">
        <v>0.48</v>
      </c>
      <c r="Q81" s="167" t="s">
        <v>14</v>
      </c>
    </row>
    <row r="82" spans="1:17" customFormat="1">
      <c r="A82" s="80">
        <v>45421.770833333336</v>
      </c>
      <c r="B82" s="112">
        <v>11.37</v>
      </c>
      <c r="C82" s="112">
        <v>13.18</v>
      </c>
      <c r="D82" s="112">
        <v>25.14</v>
      </c>
      <c r="E82" s="112">
        <v>11.43</v>
      </c>
      <c r="F82" s="112">
        <v>24.5</v>
      </c>
      <c r="G82" s="112">
        <v>42.36</v>
      </c>
      <c r="H82" s="112">
        <v>16.010000000000002</v>
      </c>
      <c r="I82" s="112">
        <v>6.36</v>
      </c>
      <c r="J82" s="112">
        <v>0.52</v>
      </c>
      <c r="K82" s="112">
        <v>242.65</v>
      </c>
      <c r="L82" s="112">
        <v>31.29</v>
      </c>
      <c r="M82" s="112">
        <v>51.07</v>
      </c>
      <c r="N82" s="112">
        <v>0</v>
      </c>
      <c r="O82" s="112">
        <v>0</v>
      </c>
      <c r="P82" s="112">
        <v>0.48</v>
      </c>
      <c r="Q82" s="167" t="s">
        <v>14</v>
      </c>
    </row>
    <row r="83" spans="1:17" customFormat="1">
      <c r="A83" s="80">
        <v>45421.78125</v>
      </c>
      <c r="B83" s="112">
        <v>11.37</v>
      </c>
      <c r="C83" s="112">
        <v>13.18</v>
      </c>
      <c r="D83" s="112">
        <v>25.15</v>
      </c>
      <c r="E83" s="112">
        <v>11.03</v>
      </c>
      <c r="F83" s="112">
        <v>18.02</v>
      </c>
      <c r="G83" s="112">
        <v>42.36</v>
      </c>
      <c r="H83" s="112">
        <v>16.010000000000002</v>
      </c>
      <c r="I83" s="112">
        <v>5.82</v>
      </c>
      <c r="J83" s="112">
        <v>0.76</v>
      </c>
      <c r="K83" s="112">
        <v>250.76</v>
      </c>
      <c r="L83" s="112">
        <v>31.2</v>
      </c>
      <c r="M83" s="112">
        <v>51.1</v>
      </c>
      <c r="N83" s="112">
        <v>0</v>
      </c>
      <c r="O83" s="112">
        <v>0</v>
      </c>
      <c r="P83" s="112">
        <v>0.49</v>
      </c>
      <c r="Q83" s="167" t="s">
        <v>14</v>
      </c>
    </row>
    <row r="84" spans="1:17" customFormat="1">
      <c r="A84" s="80">
        <v>45421.791666666664</v>
      </c>
      <c r="B84" s="112">
        <v>11.36</v>
      </c>
      <c r="C84" s="112">
        <v>13.1</v>
      </c>
      <c r="D84" s="112">
        <v>25.1</v>
      </c>
      <c r="E84" s="112">
        <v>11.38</v>
      </c>
      <c r="F84" s="112">
        <v>21.17</v>
      </c>
      <c r="G84" s="112">
        <v>34.32</v>
      </c>
      <c r="H84" s="112">
        <v>12.58</v>
      </c>
      <c r="I84" s="112">
        <v>5.69</v>
      </c>
      <c r="J84" s="112">
        <v>0.85</v>
      </c>
      <c r="K84" s="112">
        <v>253.28</v>
      </c>
      <c r="L84" s="112">
        <v>30.95</v>
      </c>
      <c r="M84" s="112">
        <v>51.55</v>
      </c>
      <c r="N84" s="112">
        <v>0</v>
      </c>
      <c r="O84" s="112">
        <v>0</v>
      </c>
      <c r="P84" s="112">
        <v>0.48</v>
      </c>
      <c r="Q84" s="167" t="s">
        <v>14</v>
      </c>
    </row>
    <row r="85" spans="1:17" customFormat="1">
      <c r="A85" s="80">
        <v>45421.802083333336</v>
      </c>
      <c r="B85" s="112">
        <v>11.35</v>
      </c>
      <c r="C85" s="112">
        <v>13.12</v>
      </c>
      <c r="D85" s="112">
        <v>25.1</v>
      </c>
      <c r="E85" s="112">
        <v>10.93</v>
      </c>
      <c r="F85" s="112">
        <v>23.86</v>
      </c>
      <c r="G85" s="112">
        <v>32.32</v>
      </c>
      <c r="H85" s="112">
        <v>12.58</v>
      </c>
      <c r="I85" s="112">
        <v>5.6</v>
      </c>
      <c r="J85" s="112">
        <v>0.6</v>
      </c>
      <c r="K85" s="112">
        <v>247.05</v>
      </c>
      <c r="L85" s="112">
        <v>30.67</v>
      </c>
      <c r="M85" s="112">
        <v>52.08</v>
      </c>
      <c r="N85" s="112">
        <v>0</v>
      </c>
      <c r="O85" s="112">
        <v>0</v>
      </c>
      <c r="P85" s="112">
        <v>0.47</v>
      </c>
      <c r="Q85" s="167" t="s">
        <v>14</v>
      </c>
    </row>
    <row r="86" spans="1:17" customFormat="1">
      <c r="A86" s="80">
        <v>45421.8125</v>
      </c>
      <c r="B86" s="112">
        <v>11.35</v>
      </c>
      <c r="C86" s="112">
        <v>13.12</v>
      </c>
      <c r="D86" s="112">
        <v>25.1</v>
      </c>
      <c r="E86" s="112">
        <v>11.4</v>
      </c>
      <c r="F86" s="112">
        <v>20.79</v>
      </c>
      <c r="G86" s="112">
        <v>32.32</v>
      </c>
      <c r="H86" s="112">
        <v>12.58</v>
      </c>
      <c r="I86" s="112">
        <v>5.59</v>
      </c>
      <c r="J86" s="112">
        <v>0.71</v>
      </c>
      <c r="K86" s="112">
        <v>263.11</v>
      </c>
      <c r="L86" s="112">
        <v>30.35</v>
      </c>
      <c r="M86" s="112">
        <v>53.35</v>
      </c>
      <c r="N86" s="112">
        <v>0</v>
      </c>
      <c r="O86" s="112">
        <v>0</v>
      </c>
      <c r="P86" s="112">
        <v>0.46</v>
      </c>
      <c r="Q86" s="167" t="s">
        <v>14</v>
      </c>
    </row>
    <row r="87" spans="1:17" customFormat="1">
      <c r="A87" s="80">
        <v>45421.822916666664</v>
      </c>
      <c r="B87" s="112">
        <v>11.35</v>
      </c>
      <c r="C87" s="112">
        <v>13.13</v>
      </c>
      <c r="D87" s="112">
        <v>25.11</v>
      </c>
      <c r="E87" s="112">
        <v>11.94</v>
      </c>
      <c r="F87" s="112">
        <v>7.83</v>
      </c>
      <c r="G87" s="112">
        <v>32.32</v>
      </c>
      <c r="H87" s="112">
        <v>12.58</v>
      </c>
      <c r="I87" s="112">
        <v>5.55</v>
      </c>
      <c r="J87" s="112">
        <v>0.64</v>
      </c>
      <c r="K87" s="112">
        <v>250.63</v>
      </c>
      <c r="L87" s="112">
        <v>30.12</v>
      </c>
      <c r="M87" s="112">
        <v>54.54</v>
      </c>
      <c r="N87" s="112">
        <v>0</v>
      </c>
      <c r="O87" s="112">
        <v>0</v>
      </c>
      <c r="P87" s="112">
        <v>0.48</v>
      </c>
      <c r="Q87" s="167" t="s">
        <v>14</v>
      </c>
    </row>
    <row r="88" spans="1:17" customFormat="1">
      <c r="A88" s="80">
        <v>45421.833333333336</v>
      </c>
      <c r="B88" s="112">
        <v>11.35</v>
      </c>
      <c r="C88" s="112">
        <v>13.09</v>
      </c>
      <c r="D88" s="112">
        <v>25.08</v>
      </c>
      <c r="E88" s="112">
        <v>11.25</v>
      </c>
      <c r="F88" s="112">
        <v>11.64</v>
      </c>
      <c r="G88" s="112">
        <v>31.17</v>
      </c>
      <c r="H88" s="112">
        <v>13.24</v>
      </c>
      <c r="I88" s="112">
        <v>5.72</v>
      </c>
      <c r="J88" s="112">
        <v>0.28999999999999998</v>
      </c>
      <c r="K88" s="112">
        <v>234.64</v>
      </c>
      <c r="L88" s="112">
        <v>29.78</v>
      </c>
      <c r="M88" s="112">
        <v>56.77</v>
      </c>
      <c r="N88" s="112">
        <v>0</v>
      </c>
      <c r="O88" s="112">
        <v>0</v>
      </c>
      <c r="P88" s="112">
        <v>0.49</v>
      </c>
      <c r="Q88" s="112">
        <v>4.63</v>
      </c>
    </row>
    <row r="89" spans="1:17" customFormat="1">
      <c r="A89" s="80">
        <v>45421.84375</v>
      </c>
      <c r="B89" s="112">
        <v>11.36</v>
      </c>
      <c r="C89" s="112">
        <v>13.12</v>
      </c>
      <c r="D89" s="112">
        <v>25.11</v>
      </c>
      <c r="E89" s="112">
        <v>11.48</v>
      </c>
      <c r="F89" s="112">
        <v>12.46</v>
      </c>
      <c r="G89" s="112">
        <v>30.89</v>
      </c>
      <c r="H89" s="112">
        <v>13.24</v>
      </c>
      <c r="I89" s="112">
        <v>5.74</v>
      </c>
      <c r="J89" s="112">
        <v>0.19</v>
      </c>
      <c r="K89" s="112">
        <v>208.12</v>
      </c>
      <c r="L89" s="112">
        <v>29.33</v>
      </c>
      <c r="M89" s="112">
        <v>59.01</v>
      </c>
      <c r="N89" s="112">
        <v>0</v>
      </c>
      <c r="O89" s="112">
        <v>0</v>
      </c>
      <c r="P89" s="112">
        <v>0.48</v>
      </c>
      <c r="Q89" s="167" t="s">
        <v>14</v>
      </c>
    </row>
    <row r="90" spans="1:17" customFormat="1">
      <c r="A90" s="80">
        <v>45421.854166666664</v>
      </c>
      <c r="B90" s="112">
        <v>11.37</v>
      </c>
      <c r="C90" s="112">
        <v>13.15</v>
      </c>
      <c r="D90" s="112">
        <v>25.13</v>
      </c>
      <c r="E90" s="112">
        <v>11.79</v>
      </c>
      <c r="F90" s="112">
        <v>10.71</v>
      </c>
      <c r="G90" s="112">
        <v>30.89</v>
      </c>
      <c r="H90" s="112">
        <v>13.24</v>
      </c>
      <c r="I90" s="112">
        <v>5.6</v>
      </c>
      <c r="J90" s="112">
        <v>0.14000000000000001</v>
      </c>
      <c r="K90" s="112">
        <v>229.42</v>
      </c>
      <c r="L90" s="112">
        <v>29.05</v>
      </c>
      <c r="M90" s="112">
        <v>60.43</v>
      </c>
      <c r="N90" s="112">
        <v>0</v>
      </c>
      <c r="O90" s="112">
        <v>0</v>
      </c>
      <c r="P90" s="112">
        <v>0.48</v>
      </c>
      <c r="Q90" s="167" t="s">
        <v>14</v>
      </c>
    </row>
    <row r="91" spans="1:17" customFormat="1">
      <c r="A91" s="80">
        <v>45421.864583333336</v>
      </c>
      <c r="B91" s="112">
        <v>11.36</v>
      </c>
      <c r="C91" s="112">
        <v>13.13</v>
      </c>
      <c r="D91" s="112">
        <v>25.12</v>
      </c>
      <c r="E91" s="112">
        <v>11.74</v>
      </c>
      <c r="F91" s="112">
        <v>8.58</v>
      </c>
      <c r="G91" s="112">
        <v>30.89</v>
      </c>
      <c r="H91" s="112">
        <v>13.24</v>
      </c>
      <c r="I91" s="112">
        <v>5.51</v>
      </c>
      <c r="J91" s="112">
        <v>0.18</v>
      </c>
      <c r="K91" s="112">
        <v>189.13</v>
      </c>
      <c r="L91" s="112">
        <v>28.82</v>
      </c>
      <c r="M91" s="112">
        <v>61.94</v>
      </c>
      <c r="N91" s="112">
        <v>0</v>
      </c>
      <c r="O91" s="112">
        <v>0</v>
      </c>
      <c r="P91" s="112">
        <v>0.49</v>
      </c>
      <c r="Q91" s="167" t="s">
        <v>14</v>
      </c>
    </row>
    <row r="92" spans="1:17" customFormat="1">
      <c r="A92" s="80">
        <v>45421.875</v>
      </c>
      <c r="B92" s="112">
        <v>11.37</v>
      </c>
      <c r="C92" s="112">
        <v>13.11</v>
      </c>
      <c r="D92" s="112">
        <v>25.11</v>
      </c>
      <c r="E92" s="112">
        <v>12.05</v>
      </c>
      <c r="F92" s="112">
        <v>6.32</v>
      </c>
      <c r="G92" s="112">
        <v>28.65</v>
      </c>
      <c r="H92" s="112">
        <v>14.63</v>
      </c>
      <c r="I92" s="112">
        <v>5.45</v>
      </c>
      <c r="J92" s="112">
        <v>0.2</v>
      </c>
      <c r="K92" s="112">
        <v>184.44</v>
      </c>
      <c r="L92" s="112">
        <v>28.57</v>
      </c>
      <c r="M92" s="112">
        <v>62.95</v>
      </c>
      <c r="N92" s="112">
        <v>0</v>
      </c>
      <c r="O92" s="112">
        <v>0</v>
      </c>
      <c r="P92" s="112">
        <v>0.5</v>
      </c>
      <c r="Q92" s="167" t="s">
        <v>14</v>
      </c>
    </row>
    <row r="93" spans="1:17" customFormat="1">
      <c r="A93" s="80">
        <v>45421.885416666664</v>
      </c>
      <c r="B93" s="112">
        <v>11.39</v>
      </c>
      <c r="C93" s="112">
        <v>13.14</v>
      </c>
      <c r="D93" s="112">
        <v>25.15</v>
      </c>
      <c r="E93" s="112">
        <v>12.37</v>
      </c>
      <c r="F93" s="112">
        <v>6.61</v>
      </c>
      <c r="G93" s="112">
        <v>28.09</v>
      </c>
      <c r="H93" s="112">
        <v>14.63</v>
      </c>
      <c r="I93" s="112">
        <v>5.45</v>
      </c>
      <c r="J93" s="112">
        <v>0.15</v>
      </c>
      <c r="K93" s="112">
        <v>181.15</v>
      </c>
      <c r="L93" s="112">
        <v>28.17</v>
      </c>
      <c r="M93" s="112">
        <v>64.849999999999994</v>
      </c>
      <c r="N93" s="112">
        <v>0</v>
      </c>
      <c r="O93" s="112">
        <v>0</v>
      </c>
      <c r="P93" s="112">
        <v>0.49</v>
      </c>
      <c r="Q93" s="167" t="s">
        <v>14</v>
      </c>
    </row>
    <row r="94" spans="1:17" customFormat="1">
      <c r="A94" s="80">
        <v>45421.895833333336</v>
      </c>
      <c r="B94" s="112">
        <v>11.4</v>
      </c>
      <c r="C94" s="112">
        <v>13.1</v>
      </c>
      <c r="D94" s="112">
        <v>25.13</v>
      </c>
      <c r="E94" s="112">
        <v>12.41</v>
      </c>
      <c r="F94" s="112">
        <v>5.34</v>
      </c>
      <c r="G94" s="112">
        <v>28.09</v>
      </c>
      <c r="H94" s="112">
        <v>14.63</v>
      </c>
      <c r="I94" s="112">
        <v>5.42</v>
      </c>
      <c r="J94" s="112">
        <v>0.18</v>
      </c>
      <c r="K94" s="112">
        <v>185.3</v>
      </c>
      <c r="L94" s="112">
        <v>28</v>
      </c>
      <c r="M94" s="112">
        <v>66.209999999999994</v>
      </c>
      <c r="N94" s="112">
        <v>0</v>
      </c>
      <c r="O94" s="112">
        <v>0</v>
      </c>
      <c r="P94" s="112">
        <v>0.5</v>
      </c>
      <c r="Q94" s="112">
        <v>4.62</v>
      </c>
    </row>
    <row r="95" spans="1:17" customFormat="1">
      <c r="A95" s="80">
        <v>45421.90625</v>
      </c>
      <c r="B95" s="112">
        <v>11.38</v>
      </c>
      <c r="C95" s="112">
        <v>13.11</v>
      </c>
      <c r="D95" s="112">
        <v>25.12</v>
      </c>
      <c r="E95" s="112">
        <v>12.67</v>
      </c>
      <c r="F95" s="112">
        <v>4.41</v>
      </c>
      <c r="G95" s="112">
        <v>28.09</v>
      </c>
      <c r="H95" s="112">
        <v>14.63</v>
      </c>
      <c r="I95" s="112">
        <v>5.4</v>
      </c>
      <c r="J95" s="112">
        <v>0.2</v>
      </c>
      <c r="K95" s="112">
        <v>207.66</v>
      </c>
      <c r="L95" s="112">
        <v>27.74</v>
      </c>
      <c r="M95" s="112">
        <v>68.06</v>
      </c>
      <c r="N95" s="112">
        <v>0</v>
      </c>
      <c r="O95" s="112">
        <v>0</v>
      </c>
      <c r="P95" s="112">
        <v>0.5</v>
      </c>
      <c r="Q95" s="167" t="s">
        <v>14</v>
      </c>
    </row>
    <row r="96" spans="1:17" customFormat="1">
      <c r="A96" s="80">
        <v>45421.916666666664</v>
      </c>
      <c r="B96" s="112">
        <v>11.39</v>
      </c>
      <c r="C96" s="112">
        <v>13.11</v>
      </c>
      <c r="D96" s="112">
        <v>25.13</v>
      </c>
      <c r="E96" s="112">
        <v>12.91</v>
      </c>
      <c r="F96" s="112">
        <v>4</v>
      </c>
      <c r="G96" s="112">
        <v>29.84</v>
      </c>
      <c r="H96" s="112">
        <v>11.13</v>
      </c>
      <c r="I96" s="112">
        <v>5.35</v>
      </c>
      <c r="J96" s="112">
        <v>0.21</v>
      </c>
      <c r="K96" s="112">
        <v>226.37</v>
      </c>
      <c r="L96" s="112">
        <v>27.45</v>
      </c>
      <c r="M96" s="112">
        <v>68.17</v>
      </c>
      <c r="N96" s="112">
        <v>0</v>
      </c>
      <c r="O96" s="112">
        <v>0</v>
      </c>
      <c r="P96" s="112">
        <v>0.5</v>
      </c>
      <c r="Q96" s="167" t="s">
        <v>14</v>
      </c>
    </row>
    <row r="97" spans="1:22" customFormat="1">
      <c r="A97" s="80">
        <v>45421.927083333336</v>
      </c>
      <c r="B97" s="112">
        <v>11.39</v>
      </c>
      <c r="C97" s="112">
        <v>13.09</v>
      </c>
      <c r="D97" s="112">
        <v>25.12</v>
      </c>
      <c r="E97" s="112">
        <v>13.09</v>
      </c>
      <c r="F97" s="112">
        <v>4.17</v>
      </c>
      <c r="G97" s="112">
        <v>30.28</v>
      </c>
      <c r="H97" s="112">
        <v>11.13</v>
      </c>
      <c r="I97" s="112">
        <v>5.32</v>
      </c>
      <c r="J97" s="112">
        <v>0.19</v>
      </c>
      <c r="K97" s="112">
        <v>209.66</v>
      </c>
      <c r="L97" s="112">
        <v>27.62</v>
      </c>
      <c r="M97" s="112">
        <v>66.37</v>
      </c>
      <c r="N97" s="112">
        <v>0</v>
      </c>
      <c r="O97" s="112">
        <v>0</v>
      </c>
      <c r="P97" s="112">
        <v>0.5</v>
      </c>
      <c r="Q97" s="167" t="s">
        <v>14</v>
      </c>
    </row>
    <row r="98" spans="1:22" customFormat="1">
      <c r="A98" s="80">
        <v>45421.9375</v>
      </c>
      <c r="B98" s="112">
        <v>11.39</v>
      </c>
      <c r="C98" s="112">
        <v>13.12</v>
      </c>
      <c r="D98" s="112">
        <v>25.13</v>
      </c>
      <c r="E98" s="112">
        <v>13.12</v>
      </c>
      <c r="F98" s="112">
        <v>3.52</v>
      </c>
      <c r="G98" s="112">
        <v>30.28</v>
      </c>
      <c r="H98" s="112">
        <v>11.13</v>
      </c>
      <c r="I98" s="112">
        <v>5.35</v>
      </c>
      <c r="J98" s="112">
        <v>0.16</v>
      </c>
      <c r="K98" s="112">
        <v>153.81</v>
      </c>
      <c r="L98" s="112">
        <v>27.71</v>
      </c>
      <c r="M98" s="112">
        <v>66.13</v>
      </c>
      <c r="N98" s="112">
        <v>0</v>
      </c>
      <c r="O98" s="112">
        <v>0</v>
      </c>
      <c r="P98" s="112">
        <v>0.49</v>
      </c>
      <c r="Q98" s="167" t="s">
        <v>14</v>
      </c>
    </row>
    <row r="99" spans="1:22" customFormat="1">
      <c r="A99" s="80">
        <v>45421.947916666664</v>
      </c>
      <c r="B99" s="112">
        <v>11.42</v>
      </c>
      <c r="C99" s="112">
        <v>13.13</v>
      </c>
      <c r="D99" s="112">
        <v>25.16</v>
      </c>
      <c r="E99" s="112">
        <v>13.25</v>
      </c>
      <c r="F99" s="112">
        <v>2.4700000000000002</v>
      </c>
      <c r="G99" s="112">
        <v>30.28</v>
      </c>
      <c r="H99" s="112">
        <v>11.13</v>
      </c>
      <c r="I99" s="112">
        <v>5.33</v>
      </c>
      <c r="J99" s="112">
        <v>0.14000000000000001</v>
      </c>
      <c r="K99" s="112">
        <v>190.95</v>
      </c>
      <c r="L99" s="112">
        <v>27.37</v>
      </c>
      <c r="M99" s="112">
        <v>68.25</v>
      </c>
      <c r="N99" s="112">
        <v>0</v>
      </c>
      <c r="O99" s="112">
        <v>0</v>
      </c>
      <c r="P99" s="112">
        <v>0.5</v>
      </c>
      <c r="Q99" s="167" t="s">
        <v>14</v>
      </c>
    </row>
    <row r="100" spans="1:22" customFormat="1">
      <c r="A100" s="80">
        <v>45421.958333333336</v>
      </c>
      <c r="B100" s="112">
        <v>11.43</v>
      </c>
      <c r="C100" s="112">
        <v>13.13</v>
      </c>
      <c r="D100" s="112">
        <v>25.16</v>
      </c>
      <c r="E100" s="112">
        <v>13.66</v>
      </c>
      <c r="F100" s="112">
        <v>1.86</v>
      </c>
      <c r="G100" s="112">
        <v>30.85</v>
      </c>
      <c r="H100" s="112">
        <v>9.99</v>
      </c>
      <c r="I100" s="112">
        <v>5.28</v>
      </c>
      <c r="J100" s="112">
        <v>0.15</v>
      </c>
      <c r="K100" s="112">
        <v>183.19</v>
      </c>
      <c r="L100" s="112">
        <v>27.25</v>
      </c>
      <c r="M100" s="112">
        <v>69.12</v>
      </c>
      <c r="N100" s="112">
        <v>0</v>
      </c>
      <c r="O100" s="112">
        <v>0</v>
      </c>
      <c r="P100" s="112">
        <v>0.49</v>
      </c>
      <c r="Q100" s="167" t="s">
        <v>14</v>
      </c>
    </row>
    <row r="101" spans="1:22" customFormat="1">
      <c r="A101" s="80">
        <v>45421.96875</v>
      </c>
      <c r="B101" s="112">
        <v>11.43</v>
      </c>
      <c r="C101" s="112">
        <v>13.09</v>
      </c>
      <c r="D101" s="112">
        <v>25.15</v>
      </c>
      <c r="E101" s="112">
        <v>14.19</v>
      </c>
      <c r="F101" s="112">
        <v>1.01</v>
      </c>
      <c r="G101" s="112">
        <v>30.99</v>
      </c>
      <c r="H101" s="112">
        <v>9.99</v>
      </c>
      <c r="I101" s="112">
        <v>5.27</v>
      </c>
      <c r="J101" s="112">
        <v>0.08</v>
      </c>
      <c r="K101" s="112">
        <v>183.16</v>
      </c>
      <c r="L101" s="112">
        <v>26.64</v>
      </c>
      <c r="M101" s="112">
        <v>71.66</v>
      </c>
      <c r="N101" s="112">
        <v>0</v>
      </c>
      <c r="O101" s="112">
        <v>0</v>
      </c>
      <c r="P101" s="112">
        <v>0.49</v>
      </c>
      <c r="Q101" s="167" t="s">
        <v>14</v>
      </c>
    </row>
    <row r="102" spans="1:22" customFormat="1">
      <c r="A102" s="80">
        <v>45421.979166666664</v>
      </c>
      <c r="B102" s="112">
        <v>11.42</v>
      </c>
      <c r="C102" s="112">
        <v>13.13</v>
      </c>
      <c r="D102" s="112">
        <v>25.17</v>
      </c>
      <c r="E102" s="112">
        <v>13.55</v>
      </c>
      <c r="F102" s="112">
        <v>1</v>
      </c>
      <c r="G102" s="112">
        <v>30.99</v>
      </c>
      <c r="H102" s="112">
        <v>9.99</v>
      </c>
      <c r="I102" s="112">
        <v>5.24</v>
      </c>
      <c r="J102" s="112">
        <v>0.06</v>
      </c>
      <c r="K102" s="112">
        <v>162.22999999999999</v>
      </c>
      <c r="L102" s="112">
        <v>26.54</v>
      </c>
      <c r="M102" s="112">
        <v>70.930000000000007</v>
      </c>
      <c r="N102" s="112">
        <v>0</v>
      </c>
      <c r="O102" s="112">
        <v>0</v>
      </c>
      <c r="P102" s="112">
        <v>0.5</v>
      </c>
      <c r="Q102" s="167" t="s">
        <v>14</v>
      </c>
    </row>
    <row r="103" spans="1:22" customFormat="1">
      <c r="A103" s="80">
        <v>45421.989583333336</v>
      </c>
      <c r="B103" s="112">
        <v>11.43</v>
      </c>
      <c r="C103" s="112">
        <v>13.15</v>
      </c>
      <c r="D103" s="112">
        <v>25.18</v>
      </c>
      <c r="E103" s="112">
        <v>13.52</v>
      </c>
      <c r="F103" s="112">
        <v>1</v>
      </c>
      <c r="G103" s="112">
        <v>30.99</v>
      </c>
      <c r="H103" s="112">
        <v>9.99</v>
      </c>
      <c r="I103" s="112">
        <v>5.22</v>
      </c>
      <c r="J103" s="112">
        <v>0.14000000000000001</v>
      </c>
      <c r="K103" s="112">
        <v>195.48</v>
      </c>
      <c r="L103" s="112">
        <v>26.51</v>
      </c>
      <c r="M103" s="112">
        <v>71.069999999999993</v>
      </c>
      <c r="N103" s="112">
        <v>0</v>
      </c>
      <c r="O103" s="112">
        <v>0</v>
      </c>
      <c r="P103" s="112">
        <v>0.5</v>
      </c>
      <c r="Q103" s="167" t="s">
        <v>14</v>
      </c>
    </row>
    <row r="104" spans="1:22" customFormat="1">
      <c r="A104" s="80">
        <v>45422</v>
      </c>
      <c r="B104" s="112">
        <v>11.43</v>
      </c>
      <c r="C104" s="112">
        <v>13.14</v>
      </c>
      <c r="D104" s="112">
        <v>25.18</v>
      </c>
      <c r="E104" s="112">
        <v>14.13</v>
      </c>
      <c r="F104" s="112">
        <v>1</v>
      </c>
      <c r="G104" s="112">
        <v>28.86</v>
      </c>
      <c r="H104" s="112">
        <v>12.09</v>
      </c>
      <c r="I104" s="112">
        <v>5.21</v>
      </c>
      <c r="J104" s="112">
        <v>0.1</v>
      </c>
      <c r="K104" s="112">
        <v>220.84</v>
      </c>
      <c r="L104" s="112">
        <v>26.07</v>
      </c>
      <c r="M104" s="112">
        <v>73.14</v>
      </c>
      <c r="N104" s="112">
        <v>0</v>
      </c>
      <c r="O104" s="112">
        <v>0</v>
      </c>
      <c r="P104" s="112">
        <v>0.5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11.3</v>
      </c>
      <c r="C106" s="183">
        <f>MIN(C9:C104)</f>
        <v>13</v>
      </c>
      <c r="D106" s="183">
        <f t="shared" ref="D106:Q106" si="0">MIN(D9:D104)</f>
        <v>25.06</v>
      </c>
      <c r="E106" s="183">
        <f t="shared" si="0"/>
        <v>8.11</v>
      </c>
      <c r="F106" s="183">
        <f t="shared" si="0"/>
        <v>1</v>
      </c>
      <c r="G106" s="183">
        <f t="shared" si="0"/>
        <v>22.86</v>
      </c>
      <c r="H106" s="183">
        <f t="shared" si="0"/>
        <v>8.86</v>
      </c>
      <c r="I106" s="183">
        <f t="shared" si="0"/>
        <v>4.91</v>
      </c>
      <c r="J106" s="183">
        <f t="shared" si="0"/>
        <v>0.06</v>
      </c>
      <c r="K106" s="183">
        <f t="shared" si="0"/>
        <v>0.86</v>
      </c>
      <c r="L106" s="183">
        <f t="shared" si="0"/>
        <v>26.07</v>
      </c>
      <c r="M106" s="183">
        <f t="shared" si="0"/>
        <v>30.22</v>
      </c>
      <c r="N106" s="183">
        <f t="shared" si="0"/>
        <v>0</v>
      </c>
      <c r="O106" s="183">
        <f t="shared" si="0"/>
        <v>0</v>
      </c>
      <c r="P106" s="183">
        <f t="shared" si="0"/>
        <v>0.42</v>
      </c>
      <c r="Q106" s="183">
        <f t="shared" si="0"/>
        <v>4.6100000000000003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11.43</v>
      </c>
      <c r="C107" s="184">
        <f t="shared" ref="C107:Q107" si="1">MAX(C9:C104)</f>
        <v>13.23</v>
      </c>
      <c r="D107" s="184">
        <f t="shared" si="1"/>
        <v>25.18</v>
      </c>
      <c r="E107" s="184">
        <f t="shared" si="1"/>
        <v>40.36</v>
      </c>
      <c r="F107" s="184">
        <f t="shared" si="1"/>
        <v>24.5</v>
      </c>
      <c r="G107" s="184">
        <f t="shared" si="1"/>
        <v>87.57</v>
      </c>
      <c r="H107" s="184">
        <f t="shared" si="1"/>
        <v>31.01</v>
      </c>
      <c r="I107" s="184">
        <f t="shared" si="1"/>
        <v>7.65</v>
      </c>
      <c r="J107" s="184">
        <f t="shared" si="1"/>
        <v>2.2799999999999998</v>
      </c>
      <c r="K107" s="184">
        <f t="shared" si="1"/>
        <v>355.15</v>
      </c>
      <c r="L107" s="184">
        <f t="shared" si="1"/>
        <v>36.42</v>
      </c>
      <c r="M107" s="184">
        <f t="shared" si="1"/>
        <v>73.14</v>
      </c>
      <c r="N107" s="184">
        <f t="shared" si="1"/>
        <v>785.2</v>
      </c>
      <c r="O107" s="184">
        <f t="shared" si="1"/>
        <v>0</v>
      </c>
      <c r="P107" s="184">
        <f t="shared" si="1"/>
        <v>0.72</v>
      </c>
      <c r="Q107" s="184">
        <f t="shared" si="1"/>
        <v>4.63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11.362604166666676</v>
      </c>
      <c r="C108" s="183">
        <f t="shared" ref="C108:Q108" si="2">AVERAGE(C9:C104)</f>
        <v>13.135312499999998</v>
      </c>
      <c r="D108" s="183">
        <f t="shared" si="2"/>
        <v>25.119270833333317</v>
      </c>
      <c r="E108" s="183">
        <f t="shared" si="2"/>
        <v>13.65104166666667</v>
      </c>
      <c r="F108" s="183">
        <f t="shared" si="2"/>
        <v>6.1457291666666682</v>
      </c>
      <c r="G108" s="183">
        <f t="shared" si="2"/>
        <v>46.525208333333325</v>
      </c>
      <c r="H108" s="183">
        <f t="shared" si="2"/>
        <v>16.430625000000006</v>
      </c>
      <c r="I108" s="183">
        <f t="shared" si="2"/>
        <v>6.1641666666666692</v>
      </c>
      <c r="J108" s="183">
        <f t="shared" si="2"/>
        <v>0.73062500000000019</v>
      </c>
      <c r="K108" s="183">
        <f t="shared" si="2"/>
        <v>217.2074999999999</v>
      </c>
      <c r="L108" s="183">
        <f t="shared" si="2"/>
        <v>29.639479166666675</v>
      </c>
      <c r="M108" s="183">
        <f t="shared" si="2"/>
        <v>54.961250000000014</v>
      </c>
      <c r="N108" s="183">
        <f t="shared" si="2"/>
        <v>157.15</v>
      </c>
      <c r="O108" s="183">
        <f t="shared" si="2"/>
        <v>0</v>
      </c>
      <c r="P108" s="183">
        <f t="shared" si="2"/>
        <v>0.56729166666666664</v>
      </c>
      <c r="Q108" s="183">
        <f t="shared" si="2"/>
        <v>4.62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3.0958199038692433E-2</v>
      </c>
      <c r="C109" s="183">
        <f t="shared" ref="C109:Q109" si="3">STDEV(C9:C104)</f>
        <v>3.3212335216397E-2</v>
      </c>
      <c r="D109" s="183">
        <f t="shared" si="3"/>
        <v>2.9566865938132885E-2</v>
      </c>
      <c r="E109" s="183">
        <f t="shared" si="3"/>
        <v>4.2464542432894312</v>
      </c>
      <c r="F109" s="183">
        <f t="shared" si="3"/>
        <v>5.9212256456691295</v>
      </c>
      <c r="G109" s="183">
        <f t="shared" si="3"/>
        <v>18.795045482599509</v>
      </c>
      <c r="H109" s="183">
        <f t="shared" si="3"/>
        <v>5.4929159761507602</v>
      </c>
      <c r="I109" s="183">
        <f t="shared" si="3"/>
        <v>0.73210391362896521</v>
      </c>
      <c r="J109" s="183">
        <f t="shared" si="3"/>
        <v>0.59627053644430439</v>
      </c>
      <c r="K109" s="183">
        <f t="shared" si="3"/>
        <v>77.488311444541935</v>
      </c>
      <c r="L109" s="183">
        <f t="shared" si="3"/>
        <v>3.3469393307574977</v>
      </c>
      <c r="M109" s="183">
        <f t="shared" si="3"/>
        <v>13.99865258553567</v>
      </c>
      <c r="N109" s="183">
        <f t="shared" si="3"/>
        <v>240.98662902414537</v>
      </c>
      <c r="O109" s="183">
        <f t="shared" si="3"/>
        <v>0</v>
      </c>
      <c r="P109" s="183">
        <f t="shared" si="3"/>
        <v>8.2404383719194174E-2</v>
      </c>
      <c r="Q109" s="183">
        <f t="shared" si="3"/>
        <v>8.164965809277086E-3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4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Q108" sqref="Q108:Q10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45422.010416666664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45422.010416666664</v>
      </c>
      <c r="B9" s="112">
        <v>11.21</v>
      </c>
      <c r="C9" s="112">
        <v>13.16</v>
      </c>
      <c r="D9" s="112">
        <v>25.01</v>
      </c>
      <c r="E9" s="112">
        <v>14.13</v>
      </c>
      <c r="F9" s="112">
        <v>1</v>
      </c>
      <c r="G9" s="112">
        <v>28.32</v>
      </c>
      <c r="H9" s="112">
        <v>12.09</v>
      </c>
      <c r="I9" s="112">
        <v>5.22</v>
      </c>
      <c r="J9" s="112">
        <v>0.15</v>
      </c>
      <c r="K9" s="112">
        <v>226.35</v>
      </c>
      <c r="L9" s="112">
        <v>25.95</v>
      </c>
      <c r="M9" s="112">
        <v>73.099999999999994</v>
      </c>
      <c r="N9" s="112">
        <v>0</v>
      </c>
      <c r="O9" s="112">
        <v>0</v>
      </c>
      <c r="P9" s="112">
        <v>0.5</v>
      </c>
      <c r="Q9" s="167" t="s">
        <v>14</v>
      </c>
    </row>
    <row r="10" spans="1:21" customFormat="1">
      <c r="A10" s="80">
        <v>45422.020833333336</v>
      </c>
      <c r="B10" s="112">
        <v>11.25</v>
      </c>
      <c r="C10" s="112">
        <v>13.09</v>
      </c>
      <c r="D10" s="112">
        <v>25</v>
      </c>
      <c r="E10" s="112">
        <v>14.06</v>
      </c>
      <c r="F10" s="112">
        <v>1</v>
      </c>
      <c r="G10" s="112">
        <v>28.32</v>
      </c>
      <c r="H10" s="112">
        <v>12.09</v>
      </c>
      <c r="I10" s="112">
        <v>5.23</v>
      </c>
      <c r="J10" s="112">
        <v>0.67</v>
      </c>
      <c r="K10" s="112">
        <v>56</v>
      </c>
      <c r="L10" s="112">
        <v>26.07</v>
      </c>
      <c r="M10" s="112">
        <v>71.34</v>
      </c>
      <c r="N10" s="112">
        <v>0</v>
      </c>
      <c r="O10" s="112">
        <v>0</v>
      </c>
      <c r="P10" s="112">
        <v>0.5</v>
      </c>
      <c r="Q10" s="167" t="s">
        <v>14</v>
      </c>
    </row>
    <row r="11" spans="1:21" customFormat="1">
      <c r="A11" s="80">
        <v>45422.03125</v>
      </c>
      <c r="B11" s="112">
        <v>11.26</v>
      </c>
      <c r="C11" s="112">
        <v>13.09</v>
      </c>
      <c r="D11" s="112">
        <v>25.01</v>
      </c>
      <c r="E11" s="112">
        <v>13.75</v>
      </c>
      <c r="F11" s="112">
        <v>1.08</v>
      </c>
      <c r="G11" s="112">
        <v>28.32</v>
      </c>
      <c r="H11" s="112">
        <v>12.09</v>
      </c>
      <c r="I11" s="112">
        <v>5.24</v>
      </c>
      <c r="J11" s="112">
        <v>0.36</v>
      </c>
      <c r="K11" s="112">
        <v>35.97</v>
      </c>
      <c r="L11" s="112">
        <v>26.19</v>
      </c>
      <c r="M11" s="112">
        <v>71</v>
      </c>
      <c r="N11" s="112">
        <v>0</v>
      </c>
      <c r="O11" s="112">
        <v>0</v>
      </c>
      <c r="P11" s="112">
        <v>0.51</v>
      </c>
      <c r="Q11" s="167" t="s">
        <v>14</v>
      </c>
    </row>
    <row r="12" spans="1:21" customFormat="1">
      <c r="A12" s="80">
        <v>45422.041666666664</v>
      </c>
      <c r="B12" s="112">
        <v>11.28</v>
      </c>
      <c r="C12" s="112">
        <v>13.11</v>
      </c>
      <c r="D12" s="112">
        <v>25.04</v>
      </c>
      <c r="E12" s="112">
        <v>12.12</v>
      </c>
      <c r="F12" s="112">
        <v>3.22</v>
      </c>
      <c r="G12" s="112">
        <v>31.1</v>
      </c>
      <c r="H12" s="112">
        <v>13.52</v>
      </c>
      <c r="I12" s="112">
        <v>5.28</v>
      </c>
      <c r="J12" s="112">
        <v>0.28000000000000003</v>
      </c>
      <c r="K12" s="112">
        <v>38.69</v>
      </c>
      <c r="L12" s="112">
        <v>26.17</v>
      </c>
      <c r="M12" s="112">
        <v>70.98</v>
      </c>
      <c r="N12" s="112">
        <v>0</v>
      </c>
      <c r="O12" s="112">
        <v>0</v>
      </c>
      <c r="P12" s="112">
        <v>0.5</v>
      </c>
      <c r="Q12" s="167" t="s">
        <v>14</v>
      </c>
    </row>
    <row r="13" spans="1:21" customFormat="1">
      <c r="A13" s="80">
        <v>45422.052083333336</v>
      </c>
      <c r="B13" s="112">
        <v>11.3</v>
      </c>
      <c r="C13" s="112">
        <v>13.22</v>
      </c>
      <c r="D13" s="112">
        <v>25.11</v>
      </c>
      <c r="E13" s="112">
        <v>12.62</v>
      </c>
      <c r="F13" s="112">
        <v>1.82</v>
      </c>
      <c r="G13" s="112">
        <v>31.79</v>
      </c>
      <c r="H13" s="112">
        <v>13.52</v>
      </c>
      <c r="I13" s="112">
        <v>5.28</v>
      </c>
      <c r="J13" s="112">
        <v>0.32</v>
      </c>
      <c r="K13" s="112">
        <v>182.94</v>
      </c>
      <c r="L13" s="112">
        <v>25.72</v>
      </c>
      <c r="M13" s="112">
        <v>74.12</v>
      </c>
      <c r="N13" s="112">
        <v>0</v>
      </c>
      <c r="O13" s="112">
        <v>0</v>
      </c>
      <c r="P13" s="112">
        <v>0.48</v>
      </c>
      <c r="Q13" s="167" t="s">
        <v>14</v>
      </c>
    </row>
    <row r="14" spans="1:21" customFormat="1">
      <c r="A14" s="80">
        <v>45422.0625</v>
      </c>
      <c r="B14" s="112">
        <v>11.24</v>
      </c>
      <c r="C14" s="112">
        <v>13.18</v>
      </c>
      <c r="D14" s="112">
        <v>25.05</v>
      </c>
      <c r="E14" s="112">
        <v>12.57</v>
      </c>
      <c r="F14" s="112">
        <v>1.32</v>
      </c>
      <c r="G14" s="112">
        <v>31.79</v>
      </c>
      <c r="H14" s="112">
        <v>13.52</v>
      </c>
      <c r="I14" s="112">
        <v>5.48</v>
      </c>
      <c r="J14" s="112">
        <v>0.22</v>
      </c>
      <c r="K14" s="112">
        <v>196.56</v>
      </c>
      <c r="L14" s="112">
        <v>25.23</v>
      </c>
      <c r="M14" s="112">
        <v>76.13</v>
      </c>
      <c r="N14" s="112">
        <v>0</v>
      </c>
      <c r="O14" s="112">
        <v>0</v>
      </c>
      <c r="P14" s="112">
        <v>0.47</v>
      </c>
      <c r="Q14" s="167" t="s">
        <v>14</v>
      </c>
    </row>
    <row r="15" spans="1:21" customFormat="1">
      <c r="A15" s="80">
        <v>45422.072916666664</v>
      </c>
      <c r="B15" s="112">
        <v>11.22</v>
      </c>
      <c r="C15" s="112">
        <v>13.16</v>
      </c>
      <c r="D15" s="112">
        <v>25.02</v>
      </c>
      <c r="E15" s="112">
        <v>12.91</v>
      </c>
      <c r="F15" s="112">
        <v>1.01</v>
      </c>
      <c r="G15" s="112">
        <v>31.79</v>
      </c>
      <c r="H15" s="112">
        <v>13.52</v>
      </c>
      <c r="I15" s="112">
        <v>5.73</v>
      </c>
      <c r="J15" s="112">
        <v>0.21</v>
      </c>
      <c r="K15" s="112">
        <v>189.69</v>
      </c>
      <c r="L15" s="112">
        <v>25.08</v>
      </c>
      <c r="M15" s="112">
        <v>78.14</v>
      </c>
      <c r="N15" s="112">
        <v>0</v>
      </c>
      <c r="O15" s="112">
        <v>0</v>
      </c>
      <c r="P15" s="112">
        <v>0.47</v>
      </c>
      <c r="Q15" s="167" t="s">
        <v>14</v>
      </c>
    </row>
    <row r="16" spans="1:21" customFormat="1">
      <c r="A16" s="80">
        <v>45422.083333333336</v>
      </c>
      <c r="B16" s="112">
        <v>11.26</v>
      </c>
      <c r="C16" s="112">
        <v>13.1</v>
      </c>
      <c r="D16" s="112">
        <v>25.02</v>
      </c>
      <c r="E16" s="112">
        <v>11.78</v>
      </c>
      <c r="F16" s="112">
        <v>1.37</v>
      </c>
      <c r="G16" s="112">
        <v>32.57</v>
      </c>
      <c r="H16" s="112">
        <v>12.45</v>
      </c>
      <c r="I16" s="112">
        <v>5.66</v>
      </c>
      <c r="J16" s="112">
        <v>0.3</v>
      </c>
      <c r="K16" s="112">
        <v>328.12</v>
      </c>
      <c r="L16" s="112">
        <v>25.13</v>
      </c>
      <c r="M16" s="112">
        <v>75.91</v>
      </c>
      <c r="N16" s="112">
        <v>0</v>
      </c>
      <c r="O16" s="112">
        <v>0</v>
      </c>
      <c r="P16" s="112">
        <v>0.48</v>
      </c>
      <c r="Q16" s="167" t="s">
        <v>14</v>
      </c>
    </row>
    <row r="17" spans="1:17" customFormat="1">
      <c r="A17" s="80">
        <v>45422.09375</v>
      </c>
      <c r="B17" s="112">
        <v>11.3</v>
      </c>
      <c r="C17" s="112">
        <v>13.18</v>
      </c>
      <c r="D17" s="112">
        <v>25.09</v>
      </c>
      <c r="E17" s="112">
        <v>11.53</v>
      </c>
      <c r="F17" s="112">
        <v>1.01</v>
      </c>
      <c r="G17" s="112">
        <v>32.76</v>
      </c>
      <c r="H17" s="112">
        <v>12.45</v>
      </c>
      <c r="I17" s="112">
        <v>5.67</v>
      </c>
      <c r="J17" s="112">
        <v>0.16</v>
      </c>
      <c r="K17" s="112">
        <v>204.25</v>
      </c>
      <c r="L17" s="112">
        <v>25.52</v>
      </c>
      <c r="M17" s="112">
        <v>72.790000000000006</v>
      </c>
      <c r="N17" s="112">
        <v>0</v>
      </c>
      <c r="O17" s="112">
        <v>0</v>
      </c>
      <c r="P17" s="112">
        <v>0.48</v>
      </c>
      <c r="Q17" s="167" t="s">
        <v>14</v>
      </c>
    </row>
    <row r="18" spans="1:17" customFormat="1">
      <c r="A18" s="80">
        <v>45422.104166666664</v>
      </c>
      <c r="B18" s="112">
        <v>11.26</v>
      </c>
      <c r="C18" s="112">
        <v>13.13</v>
      </c>
      <c r="D18" s="112">
        <v>25.04</v>
      </c>
      <c r="E18" s="112">
        <v>14.73</v>
      </c>
      <c r="F18" s="112">
        <v>1</v>
      </c>
      <c r="G18" s="112">
        <v>32.76</v>
      </c>
      <c r="H18" s="112">
        <v>12.45</v>
      </c>
      <c r="I18" s="112">
        <v>5.73</v>
      </c>
      <c r="J18" s="112">
        <v>0.33</v>
      </c>
      <c r="K18" s="112">
        <v>167.12</v>
      </c>
      <c r="L18" s="112">
        <v>25.2</v>
      </c>
      <c r="M18" s="112">
        <v>75.319999999999993</v>
      </c>
      <c r="N18" s="112">
        <v>0</v>
      </c>
      <c r="O18" s="112">
        <v>0</v>
      </c>
      <c r="P18" s="112">
        <v>0.48</v>
      </c>
      <c r="Q18" s="167" t="s">
        <v>14</v>
      </c>
    </row>
    <row r="19" spans="1:17" customFormat="1">
      <c r="A19" s="80">
        <v>45422.114583333336</v>
      </c>
      <c r="B19" s="112">
        <v>11.25</v>
      </c>
      <c r="C19" s="112">
        <v>13.12</v>
      </c>
      <c r="D19" s="112">
        <v>25.02</v>
      </c>
      <c r="E19" s="112">
        <v>14.77</v>
      </c>
      <c r="F19" s="112">
        <v>1</v>
      </c>
      <c r="G19" s="112">
        <v>32.76</v>
      </c>
      <c r="H19" s="112">
        <v>12.45</v>
      </c>
      <c r="I19" s="112">
        <v>5.87</v>
      </c>
      <c r="J19" s="112">
        <v>0.17</v>
      </c>
      <c r="K19" s="112">
        <v>191.53</v>
      </c>
      <c r="L19" s="112">
        <v>24.99</v>
      </c>
      <c r="M19" s="112">
        <v>77.27</v>
      </c>
      <c r="N19" s="112">
        <v>0</v>
      </c>
      <c r="O19" s="112">
        <v>0</v>
      </c>
      <c r="P19" s="112">
        <v>0.49</v>
      </c>
      <c r="Q19" s="167" t="s">
        <v>14</v>
      </c>
    </row>
    <row r="20" spans="1:17" customFormat="1">
      <c r="A20" s="80">
        <v>45422.125</v>
      </c>
      <c r="B20" s="112">
        <v>11.27</v>
      </c>
      <c r="C20" s="112">
        <v>13.09</v>
      </c>
      <c r="D20" s="112">
        <v>25.02</v>
      </c>
      <c r="E20" s="112">
        <v>14.31</v>
      </c>
      <c r="F20" s="112">
        <v>1</v>
      </c>
      <c r="G20" s="112">
        <v>34.78</v>
      </c>
      <c r="H20" s="112">
        <v>11.05</v>
      </c>
      <c r="I20" s="112">
        <v>5.89</v>
      </c>
      <c r="J20" s="112">
        <v>0.14000000000000001</v>
      </c>
      <c r="K20" s="112">
        <v>182.14</v>
      </c>
      <c r="L20" s="112">
        <v>24.82</v>
      </c>
      <c r="M20" s="112">
        <v>77.790000000000006</v>
      </c>
      <c r="N20" s="112">
        <v>0</v>
      </c>
      <c r="O20" s="112">
        <v>0</v>
      </c>
      <c r="P20" s="112">
        <v>0.49</v>
      </c>
      <c r="Q20" s="167" t="s">
        <v>14</v>
      </c>
    </row>
    <row r="21" spans="1:17" customFormat="1">
      <c r="A21" s="80">
        <v>45422.135416666664</v>
      </c>
      <c r="B21" s="112">
        <v>11.26</v>
      </c>
      <c r="C21" s="112">
        <v>13.07</v>
      </c>
      <c r="D21" s="112">
        <v>25.01</v>
      </c>
      <c r="E21" s="112">
        <v>14.9</v>
      </c>
      <c r="F21" s="112">
        <v>1</v>
      </c>
      <c r="G21" s="112">
        <v>35.28</v>
      </c>
      <c r="H21" s="112">
        <v>11.05</v>
      </c>
      <c r="I21" s="112">
        <v>5.9</v>
      </c>
      <c r="J21" s="112">
        <v>0.34</v>
      </c>
      <c r="K21" s="112">
        <v>246.66</v>
      </c>
      <c r="L21" s="112">
        <v>24.52</v>
      </c>
      <c r="M21" s="112">
        <v>79.510000000000005</v>
      </c>
      <c r="N21" s="112">
        <v>0</v>
      </c>
      <c r="O21" s="112">
        <v>0</v>
      </c>
      <c r="P21" s="112">
        <v>0.49</v>
      </c>
      <c r="Q21" s="167" t="s">
        <v>14</v>
      </c>
    </row>
    <row r="22" spans="1:17" customFormat="1">
      <c r="A22" s="80">
        <v>45422.145833333336</v>
      </c>
      <c r="B22" s="112">
        <v>11.23</v>
      </c>
      <c r="C22" s="112">
        <v>13.13</v>
      </c>
      <c r="D22" s="112">
        <v>25.01</v>
      </c>
      <c r="E22" s="112">
        <v>14.96</v>
      </c>
      <c r="F22" s="112">
        <v>1</v>
      </c>
      <c r="G22" s="112">
        <v>35.28</v>
      </c>
      <c r="H22" s="112">
        <v>11.05</v>
      </c>
      <c r="I22" s="112">
        <v>5.91</v>
      </c>
      <c r="J22" s="112">
        <v>0.24</v>
      </c>
      <c r="K22" s="112">
        <v>179.15</v>
      </c>
      <c r="L22" s="112">
        <v>24.6</v>
      </c>
      <c r="M22" s="112">
        <v>78.72</v>
      </c>
      <c r="N22" s="112">
        <v>0</v>
      </c>
      <c r="O22" s="112">
        <v>0</v>
      </c>
      <c r="P22" s="112">
        <v>0.49</v>
      </c>
      <c r="Q22" s="167" t="s">
        <v>14</v>
      </c>
    </row>
    <row r="23" spans="1:17" customFormat="1">
      <c r="A23" s="80">
        <v>45422.15625</v>
      </c>
      <c r="B23" s="112">
        <v>11.25</v>
      </c>
      <c r="C23" s="112">
        <v>13.1</v>
      </c>
      <c r="D23" s="112">
        <v>25.01</v>
      </c>
      <c r="E23" s="112">
        <v>14.99</v>
      </c>
      <c r="F23" s="112">
        <v>1</v>
      </c>
      <c r="G23" s="112">
        <v>35.28</v>
      </c>
      <c r="H23" s="112">
        <v>11.05</v>
      </c>
      <c r="I23" s="112">
        <v>5.89</v>
      </c>
      <c r="J23" s="112">
        <v>0.16</v>
      </c>
      <c r="K23" s="112">
        <v>152</v>
      </c>
      <c r="L23" s="112">
        <v>24.45</v>
      </c>
      <c r="M23" s="112">
        <v>79.92</v>
      </c>
      <c r="N23" s="112">
        <v>0</v>
      </c>
      <c r="O23" s="112">
        <v>0</v>
      </c>
      <c r="P23" s="112">
        <v>0.5</v>
      </c>
      <c r="Q23" s="167" t="s">
        <v>14</v>
      </c>
    </row>
    <row r="24" spans="1:17" customFormat="1">
      <c r="A24" s="80">
        <v>45422.166666666664</v>
      </c>
      <c r="B24" s="112">
        <v>11.29</v>
      </c>
      <c r="C24" s="112">
        <v>13.14</v>
      </c>
      <c r="D24" s="112">
        <v>25.07</v>
      </c>
      <c r="E24" s="112">
        <v>14.36</v>
      </c>
      <c r="F24" s="112">
        <v>1</v>
      </c>
      <c r="G24" s="112">
        <v>31.01</v>
      </c>
      <c r="H24" s="112">
        <v>8.56</v>
      </c>
      <c r="I24" s="112">
        <v>5.93</v>
      </c>
      <c r="J24" s="112">
        <v>0.14000000000000001</v>
      </c>
      <c r="K24" s="112">
        <v>202.34</v>
      </c>
      <c r="L24" s="112">
        <v>24.33</v>
      </c>
      <c r="M24" s="112">
        <v>79.319999999999993</v>
      </c>
      <c r="N24" s="112">
        <v>0</v>
      </c>
      <c r="O24" s="112">
        <v>0</v>
      </c>
      <c r="P24" s="112">
        <v>0.5</v>
      </c>
      <c r="Q24" s="167" t="s">
        <v>14</v>
      </c>
    </row>
    <row r="25" spans="1:17" customFormat="1">
      <c r="A25" s="80">
        <v>45422.177083333336</v>
      </c>
      <c r="B25" s="112">
        <v>11.26</v>
      </c>
      <c r="C25" s="112">
        <v>13.16</v>
      </c>
      <c r="D25" s="112">
        <v>25.05</v>
      </c>
      <c r="E25" s="112">
        <v>14.87</v>
      </c>
      <c r="F25" s="112">
        <v>1</v>
      </c>
      <c r="G25" s="112">
        <v>29.94</v>
      </c>
      <c r="H25" s="112">
        <v>8.56</v>
      </c>
      <c r="I25" s="112">
        <v>5.98</v>
      </c>
      <c r="J25" s="112">
        <v>0.11</v>
      </c>
      <c r="K25" s="112">
        <v>103.48</v>
      </c>
      <c r="L25" s="112">
        <v>24.52</v>
      </c>
      <c r="M25" s="112">
        <v>77.28</v>
      </c>
      <c r="N25" s="112">
        <v>0</v>
      </c>
      <c r="O25" s="112">
        <v>0</v>
      </c>
      <c r="P25" s="112">
        <v>0.51</v>
      </c>
      <c r="Q25" s="167" t="s">
        <v>14</v>
      </c>
    </row>
    <row r="26" spans="1:17" customFormat="1">
      <c r="A26" s="80">
        <v>45422.1875</v>
      </c>
      <c r="B26" s="112">
        <v>11.26</v>
      </c>
      <c r="C26" s="112">
        <v>13.12</v>
      </c>
      <c r="D26" s="112">
        <v>25.03</v>
      </c>
      <c r="E26" s="112">
        <v>15.31</v>
      </c>
      <c r="F26" s="112">
        <v>1</v>
      </c>
      <c r="G26" s="112">
        <v>29.94</v>
      </c>
      <c r="H26" s="112">
        <v>8.56</v>
      </c>
      <c r="I26" s="112">
        <v>6</v>
      </c>
      <c r="J26" s="112">
        <v>0.22</v>
      </c>
      <c r="K26" s="112">
        <v>98</v>
      </c>
      <c r="L26" s="112">
        <v>24.88</v>
      </c>
      <c r="M26" s="112">
        <v>73.989999999999995</v>
      </c>
      <c r="N26" s="112">
        <v>0</v>
      </c>
      <c r="O26" s="112">
        <v>0</v>
      </c>
      <c r="P26" s="112">
        <v>0.5</v>
      </c>
      <c r="Q26" s="167" t="s">
        <v>14</v>
      </c>
    </row>
    <row r="27" spans="1:17" customFormat="1">
      <c r="A27" s="80">
        <v>45422.197916666664</v>
      </c>
      <c r="B27" s="112">
        <v>11.27</v>
      </c>
      <c r="C27" s="112">
        <v>13.1</v>
      </c>
      <c r="D27" s="112">
        <v>25.02</v>
      </c>
      <c r="E27" s="112">
        <v>14.82</v>
      </c>
      <c r="F27" s="112">
        <v>1</v>
      </c>
      <c r="G27" s="112">
        <v>29.94</v>
      </c>
      <c r="H27" s="112">
        <v>8.56</v>
      </c>
      <c r="I27" s="112">
        <v>6</v>
      </c>
      <c r="J27" s="112">
        <v>0.2</v>
      </c>
      <c r="K27" s="112">
        <v>174.75</v>
      </c>
      <c r="L27" s="112">
        <v>24.91</v>
      </c>
      <c r="M27" s="112">
        <v>75.260000000000005</v>
      </c>
      <c r="N27" s="112">
        <v>0</v>
      </c>
      <c r="O27" s="112">
        <v>0</v>
      </c>
      <c r="P27" s="112">
        <v>0.48</v>
      </c>
      <c r="Q27" s="167" t="s">
        <v>14</v>
      </c>
    </row>
    <row r="28" spans="1:17" customFormat="1">
      <c r="A28" s="80">
        <v>45422.208333333336</v>
      </c>
      <c r="B28" s="112">
        <v>11.27</v>
      </c>
      <c r="C28" s="112">
        <v>13.07</v>
      </c>
      <c r="D28" s="112">
        <v>25.01</v>
      </c>
      <c r="E28" s="112">
        <v>14.12</v>
      </c>
      <c r="F28" s="112">
        <v>1.56</v>
      </c>
      <c r="G28" s="112">
        <v>28.75</v>
      </c>
      <c r="H28" s="112">
        <v>11.87</v>
      </c>
      <c r="I28" s="112">
        <v>6</v>
      </c>
      <c r="J28" s="112">
        <v>0.2</v>
      </c>
      <c r="K28" s="112">
        <v>228.28</v>
      </c>
      <c r="L28" s="112">
        <v>24.41</v>
      </c>
      <c r="M28" s="112">
        <v>77.45</v>
      </c>
      <c r="N28" s="112">
        <v>0</v>
      </c>
      <c r="O28" s="112">
        <v>0</v>
      </c>
      <c r="P28" s="112">
        <v>0.46</v>
      </c>
      <c r="Q28" s="167" t="s">
        <v>14</v>
      </c>
    </row>
    <row r="29" spans="1:17" customFormat="1">
      <c r="A29" s="80">
        <v>45422.21875</v>
      </c>
      <c r="B29" s="112">
        <v>11.25</v>
      </c>
      <c r="C29" s="112">
        <v>13.09</v>
      </c>
      <c r="D29" s="112">
        <v>25.01</v>
      </c>
      <c r="E29" s="112">
        <v>13.86</v>
      </c>
      <c r="F29" s="112">
        <v>1</v>
      </c>
      <c r="G29" s="112">
        <v>28.45</v>
      </c>
      <c r="H29" s="112">
        <v>11.87</v>
      </c>
      <c r="I29" s="112">
        <v>5.91</v>
      </c>
      <c r="J29" s="112">
        <v>0.18</v>
      </c>
      <c r="K29" s="112">
        <v>184.78</v>
      </c>
      <c r="L29" s="112">
        <v>24.25</v>
      </c>
      <c r="M29" s="112">
        <v>79.599999999999994</v>
      </c>
      <c r="N29" s="112">
        <v>0</v>
      </c>
      <c r="O29" s="112">
        <v>0</v>
      </c>
      <c r="P29" s="112">
        <v>0.47</v>
      </c>
      <c r="Q29" s="167" t="s">
        <v>14</v>
      </c>
    </row>
    <row r="30" spans="1:17" customFormat="1">
      <c r="A30" s="80">
        <v>45422.229166666664</v>
      </c>
      <c r="B30" s="112">
        <v>11.31</v>
      </c>
      <c r="C30" s="112">
        <v>13.19</v>
      </c>
      <c r="D30" s="112">
        <v>25.11</v>
      </c>
      <c r="E30" s="112">
        <v>14.01</v>
      </c>
      <c r="F30" s="112">
        <v>1</v>
      </c>
      <c r="G30" s="112">
        <v>28.45</v>
      </c>
      <c r="H30" s="112">
        <v>11.87</v>
      </c>
      <c r="I30" s="112">
        <v>5.86</v>
      </c>
      <c r="J30" s="112">
        <v>0.17</v>
      </c>
      <c r="K30" s="112">
        <v>226.37</v>
      </c>
      <c r="L30" s="112">
        <v>24.14</v>
      </c>
      <c r="M30" s="112">
        <v>79.44</v>
      </c>
      <c r="N30" s="112">
        <v>0.4</v>
      </c>
      <c r="O30" s="112">
        <v>0</v>
      </c>
      <c r="P30" s="112">
        <v>0.48</v>
      </c>
      <c r="Q30" s="167" t="s">
        <v>14</v>
      </c>
    </row>
    <row r="31" spans="1:17" customFormat="1">
      <c r="A31" s="80">
        <v>45422.239583333336</v>
      </c>
      <c r="B31" s="112">
        <v>11.27</v>
      </c>
      <c r="C31" s="112">
        <v>13.14</v>
      </c>
      <c r="D31" s="112">
        <v>25.05</v>
      </c>
      <c r="E31" s="112">
        <v>14.55</v>
      </c>
      <c r="F31" s="112">
        <v>1</v>
      </c>
      <c r="G31" s="112">
        <v>28.45</v>
      </c>
      <c r="H31" s="112">
        <v>11.87</v>
      </c>
      <c r="I31" s="112">
        <v>5.89</v>
      </c>
      <c r="J31" s="112">
        <v>0.23</v>
      </c>
      <c r="K31" s="112">
        <v>225.56</v>
      </c>
      <c r="L31" s="112">
        <v>24.47</v>
      </c>
      <c r="M31" s="112">
        <v>77.59</v>
      </c>
      <c r="N31" s="112">
        <v>8</v>
      </c>
      <c r="O31" s="112">
        <v>0</v>
      </c>
      <c r="P31" s="112">
        <v>0.49</v>
      </c>
      <c r="Q31" s="167" t="s">
        <v>14</v>
      </c>
    </row>
    <row r="32" spans="1:17" customFormat="1">
      <c r="A32" s="80">
        <v>45422.25</v>
      </c>
      <c r="B32" s="112">
        <v>11.24</v>
      </c>
      <c r="C32" s="112">
        <v>13.11</v>
      </c>
      <c r="D32" s="112">
        <v>25.01</v>
      </c>
      <c r="E32" s="112">
        <v>13.98</v>
      </c>
      <c r="F32" s="112">
        <v>1.04</v>
      </c>
      <c r="G32" s="112">
        <v>28.42</v>
      </c>
      <c r="H32" s="112">
        <v>9.9499999999999993</v>
      </c>
      <c r="I32" s="112">
        <v>5.81</v>
      </c>
      <c r="J32" s="112">
        <v>0.23</v>
      </c>
      <c r="K32" s="112">
        <v>218.68</v>
      </c>
      <c r="L32" s="112">
        <v>24.97</v>
      </c>
      <c r="M32" s="112">
        <v>74.97</v>
      </c>
      <c r="N32" s="112">
        <v>19.399999999999999</v>
      </c>
      <c r="O32" s="112">
        <v>0</v>
      </c>
      <c r="P32" s="112">
        <v>0.48</v>
      </c>
      <c r="Q32" s="167" t="s">
        <v>14</v>
      </c>
    </row>
    <row r="33" spans="1:17" customFormat="1">
      <c r="A33" s="80">
        <v>45422.260416666664</v>
      </c>
      <c r="B33" s="112">
        <v>11.24</v>
      </c>
      <c r="C33" s="112">
        <v>13.11</v>
      </c>
      <c r="D33" s="112">
        <v>25</v>
      </c>
      <c r="E33" s="112">
        <v>14.21</v>
      </c>
      <c r="F33" s="112">
        <v>1</v>
      </c>
      <c r="G33" s="112">
        <v>28.41</v>
      </c>
      <c r="H33" s="112">
        <v>9.9499999999999993</v>
      </c>
      <c r="I33" s="112">
        <v>5.73</v>
      </c>
      <c r="J33" s="112">
        <v>0.27</v>
      </c>
      <c r="K33" s="112">
        <v>219.31</v>
      </c>
      <c r="L33" s="112">
        <v>25.67</v>
      </c>
      <c r="M33" s="112">
        <v>73.23</v>
      </c>
      <c r="N33" s="112">
        <v>31.6</v>
      </c>
      <c r="O33" s="112">
        <v>0</v>
      </c>
      <c r="P33" s="112">
        <v>0.48</v>
      </c>
      <c r="Q33" s="167" t="s">
        <v>14</v>
      </c>
    </row>
    <row r="34" spans="1:17" customFormat="1">
      <c r="A34" s="80">
        <v>45422.270833333336</v>
      </c>
      <c r="B34" s="112">
        <v>11.24</v>
      </c>
      <c r="C34" s="112">
        <v>13.13</v>
      </c>
      <c r="D34" s="112">
        <v>25.02</v>
      </c>
      <c r="E34" s="112">
        <v>13.83</v>
      </c>
      <c r="F34" s="112">
        <v>1</v>
      </c>
      <c r="G34" s="112">
        <v>28.41</v>
      </c>
      <c r="H34" s="112">
        <v>9.9499999999999993</v>
      </c>
      <c r="I34" s="112">
        <v>5.7</v>
      </c>
      <c r="J34" s="112">
        <v>0.15</v>
      </c>
      <c r="K34" s="112">
        <v>197.72</v>
      </c>
      <c r="L34" s="112">
        <v>25.99</v>
      </c>
      <c r="M34" s="112">
        <v>72.459999999999994</v>
      </c>
      <c r="N34" s="112">
        <v>45</v>
      </c>
      <c r="O34" s="112">
        <v>0</v>
      </c>
      <c r="P34" s="112">
        <v>0.5</v>
      </c>
      <c r="Q34" s="167" t="s">
        <v>14</v>
      </c>
    </row>
    <row r="35" spans="1:17" customFormat="1">
      <c r="A35" s="80">
        <v>45422.28125</v>
      </c>
      <c r="B35" s="112">
        <v>11.25</v>
      </c>
      <c r="C35" s="112">
        <v>13.08</v>
      </c>
      <c r="D35" s="112">
        <v>25</v>
      </c>
      <c r="E35" s="112">
        <v>14.3</v>
      </c>
      <c r="F35" s="112">
        <v>1</v>
      </c>
      <c r="G35" s="112">
        <v>28.41</v>
      </c>
      <c r="H35" s="112">
        <v>9.9499999999999993</v>
      </c>
      <c r="I35" s="112">
        <v>5.72</v>
      </c>
      <c r="J35" s="112">
        <v>0.32</v>
      </c>
      <c r="K35" s="112">
        <v>273.10000000000002</v>
      </c>
      <c r="L35" s="112">
        <v>26.64</v>
      </c>
      <c r="M35" s="112">
        <v>68.25</v>
      </c>
      <c r="N35" s="112">
        <v>54.4</v>
      </c>
      <c r="O35" s="112">
        <v>0</v>
      </c>
      <c r="P35" s="112">
        <v>0.49</v>
      </c>
      <c r="Q35" s="167" t="s">
        <v>14</v>
      </c>
    </row>
    <row r="36" spans="1:17" customFormat="1">
      <c r="A36" s="80">
        <v>45422.291666666664</v>
      </c>
      <c r="B36" s="112">
        <v>11.25</v>
      </c>
      <c r="C36" s="112">
        <v>13.13</v>
      </c>
      <c r="D36" s="112">
        <v>25.02</v>
      </c>
      <c r="E36" s="112">
        <v>13.94</v>
      </c>
      <c r="F36" s="112">
        <v>1.01</v>
      </c>
      <c r="G36" s="112">
        <v>28.13</v>
      </c>
      <c r="H36" s="112">
        <v>10.88</v>
      </c>
      <c r="I36" s="112">
        <v>5.72</v>
      </c>
      <c r="J36" s="112">
        <v>0.42</v>
      </c>
      <c r="K36" s="112">
        <v>244.9</v>
      </c>
      <c r="L36" s="112">
        <v>27.32</v>
      </c>
      <c r="M36" s="112">
        <v>64.459999999999994</v>
      </c>
      <c r="N36" s="112">
        <v>63.8</v>
      </c>
      <c r="O36" s="112">
        <v>0</v>
      </c>
      <c r="P36" s="112">
        <v>0.49</v>
      </c>
      <c r="Q36" s="167" t="s">
        <v>14</v>
      </c>
    </row>
    <row r="37" spans="1:17" customFormat="1">
      <c r="A37" s="80">
        <v>45422.302083333336</v>
      </c>
      <c r="B37" s="112">
        <v>11.26</v>
      </c>
      <c r="C37" s="112">
        <v>13.15</v>
      </c>
      <c r="D37" s="112">
        <v>25.05</v>
      </c>
      <c r="E37" s="112">
        <v>14.09</v>
      </c>
      <c r="F37" s="112">
        <v>1</v>
      </c>
      <c r="G37" s="112">
        <v>28.06</v>
      </c>
      <c r="H37" s="112">
        <v>10.88</v>
      </c>
      <c r="I37" s="112">
        <v>5.7</v>
      </c>
      <c r="J37" s="112">
        <v>0.48</v>
      </c>
      <c r="K37" s="112">
        <v>268.23</v>
      </c>
      <c r="L37" s="112">
        <v>27.82</v>
      </c>
      <c r="M37" s="112">
        <v>61.69</v>
      </c>
      <c r="N37" s="112">
        <v>75</v>
      </c>
      <c r="O37" s="112">
        <v>0</v>
      </c>
      <c r="P37" s="112">
        <v>0.49</v>
      </c>
      <c r="Q37" s="167" t="s">
        <v>14</v>
      </c>
    </row>
    <row r="38" spans="1:17" customFormat="1">
      <c r="A38" s="80">
        <v>45422.3125</v>
      </c>
      <c r="B38" s="112">
        <v>11.25</v>
      </c>
      <c r="C38" s="112">
        <v>13.13</v>
      </c>
      <c r="D38" s="112">
        <v>25.02</v>
      </c>
      <c r="E38" s="112">
        <v>14.39</v>
      </c>
      <c r="F38" s="112">
        <v>1</v>
      </c>
      <c r="G38" s="112">
        <v>28.06</v>
      </c>
      <c r="H38" s="112">
        <v>10.88</v>
      </c>
      <c r="I38" s="112">
        <v>5.69</v>
      </c>
      <c r="J38" s="112">
        <v>0.45</v>
      </c>
      <c r="K38" s="112">
        <v>259.67</v>
      </c>
      <c r="L38" s="112">
        <v>28.26</v>
      </c>
      <c r="M38" s="112">
        <v>60.26</v>
      </c>
      <c r="N38" s="112">
        <v>87.9</v>
      </c>
      <c r="O38" s="112">
        <v>0</v>
      </c>
      <c r="P38" s="112">
        <v>0.49</v>
      </c>
      <c r="Q38" s="167" t="s">
        <v>14</v>
      </c>
    </row>
    <row r="39" spans="1:17" customFormat="1">
      <c r="A39" s="80">
        <v>45422.322916666664</v>
      </c>
      <c r="B39" s="112">
        <v>11.26</v>
      </c>
      <c r="C39" s="112">
        <v>13.15</v>
      </c>
      <c r="D39" s="112">
        <v>25.04</v>
      </c>
      <c r="E39" s="112">
        <v>14.38</v>
      </c>
      <c r="F39" s="112">
        <v>1.04</v>
      </c>
      <c r="G39" s="112">
        <v>28.06</v>
      </c>
      <c r="H39" s="112">
        <v>10.88</v>
      </c>
      <c r="I39" s="112">
        <v>5.74</v>
      </c>
      <c r="J39" s="112">
        <v>0.46</v>
      </c>
      <c r="K39" s="112">
        <v>274.13</v>
      </c>
      <c r="L39" s="112">
        <v>29.14</v>
      </c>
      <c r="M39" s="112">
        <v>57.47</v>
      </c>
      <c r="N39" s="112">
        <v>121.9</v>
      </c>
      <c r="O39" s="112">
        <v>0</v>
      </c>
      <c r="P39" s="112">
        <v>0.49</v>
      </c>
      <c r="Q39" s="167" t="s">
        <v>14</v>
      </c>
    </row>
    <row r="40" spans="1:17" customFormat="1">
      <c r="A40" s="80">
        <v>45422.333333333336</v>
      </c>
      <c r="B40" s="112">
        <v>11.26</v>
      </c>
      <c r="C40" s="112">
        <v>13.18</v>
      </c>
      <c r="D40" s="112">
        <v>25.06</v>
      </c>
      <c r="E40" s="112">
        <v>15.11</v>
      </c>
      <c r="F40" s="112">
        <v>1.56</v>
      </c>
      <c r="G40" s="112">
        <v>27.8</v>
      </c>
      <c r="H40" s="112">
        <v>12.2</v>
      </c>
      <c r="I40" s="112">
        <v>5.81</v>
      </c>
      <c r="J40" s="112">
        <v>0.52</v>
      </c>
      <c r="K40" s="112">
        <v>255.98</v>
      </c>
      <c r="L40" s="112">
        <v>29.8</v>
      </c>
      <c r="M40" s="112">
        <v>55.24</v>
      </c>
      <c r="N40" s="112">
        <v>139.6</v>
      </c>
      <c r="O40" s="112">
        <v>0</v>
      </c>
      <c r="P40" s="112">
        <v>0.5</v>
      </c>
      <c r="Q40" s="167" t="s">
        <v>14</v>
      </c>
    </row>
    <row r="41" spans="1:17" customFormat="1">
      <c r="A41" s="80">
        <v>45422.34375</v>
      </c>
      <c r="B41" s="112">
        <v>11.25</v>
      </c>
      <c r="C41" s="112">
        <v>13.17</v>
      </c>
      <c r="D41" s="112">
        <v>25.05</v>
      </c>
      <c r="E41" s="112">
        <v>14.21</v>
      </c>
      <c r="F41" s="112">
        <v>1.26</v>
      </c>
      <c r="G41" s="112">
        <v>27.73</v>
      </c>
      <c r="H41" s="112">
        <v>12.2</v>
      </c>
      <c r="I41" s="112">
        <v>5.83</v>
      </c>
      <c r="J41" s="112">
        <v>0.47</v>
      </c>
      <c r="K41" s="112">
        <v>250.42</v>
      </c>
      <c r="L41" s="112">
        <v>30.63</v>
      </c>
      <c r="M41" s="112">
        <v>53.17</v>
      </c>
      <c r="N41" s="112">
        <v>123.9</v>
      </c>
      <c r="O41" s="112">
        <v>0</v>
      </c>
      <c r="P41" s="112">
        <v>0.49</v>
      </c>
      <c r="Q41" s="167" t="s">
        <v>14</v>
      </c>
    </row>
    <row r="42" spans="1:17" customFormat="1">
      <c r="A42" s="80">
        <v>45422.354166666664</v>
      </c>
      <c r="B42" s="112">
        <v>11.27</v>
      </c>
      <c r="C42" s="112">
        <v>13.13</v>
      </c>
      <c r="D42" s="112">
        <v>25.04</v>
      </c>
      <c r="E42" s="112">
        <v>14.65</v>
      </c>
      <c r="F42" s="112">
        <v>3.47</v>
      </c>
      <c r="G42" s="112">
        <v>27.73</v>
      </c>
      <c r="H42" s="112">
        <v>12.2</v>
      </c>
      <c r="I42" s="112">
        <v>5.89</v>
      </c>
      <c r="J42" s="112">
        <v>0.65</v>
      </c>
      <c r="K42" s="112">
        <v>258.64999999999998</v>
      </c>
      <c r="L42" s="112">
        <v>30.79</v>
      </c>
      <c r="M42" s="112">
        <v>50.54</v>
      </c>
      <c r="N42" s="112">
        <v>116.5</v>
      </c>
      <c r="O42" s="112">
        <v>0</v>
      </c>
      <c r="P42" s="112">
        <v>0.49</v>
      </c>
      <c r="Q42" s="167" t="s">
        <v>14</v>
      </c>
    </row>
    <row r="43" spans="1:17" customFormat="1">
      <c r="A43" s="80">
        <v>45422.364583333336</v>
      </c>
      <c r="B43" s="112">
        <v>11.28</v>
      </c>
      <c r="C43" s="112">
        <v>13.1</v>
      </c>
      <c r="D43" s="112">
        <v>25.04</v>
      </c>
      <c r="E43" s="112">
        <v>15.7</v>
      </c>
      <c r="F43" s="112">
        <v>2.69</v>
      </c>
      <c r="G43" s="112">
        <v>27.73</v>
      </c>
      <c r="H43" s="112">
        <v>12.2</v>
      </c>
      <c r="I43" s="112">
        <v>5.94</v>
      </c>
      <c r="J43" s="112">
        <v>0.75</v>
      </c>
      <c r="K43" s="112">
        <v>265.77</v>
      </c>
      <c r="L43" s="112">
        <v>31.2</v>
      </c>
      <c r="M43" s="112">
        <v>49.31</v>
      </c>
      <c r="N43" s="112">
        <v>124.8</v>
      </c>
      <c r="O43" s="112">
        <v>0</v>
      </c>
      <c r="P43" s="112">
        <v>0.49</v>
      </c>
      <c r="Q43" s="167" t="s">
        <v>14</v>
      </c>
    </row>
    <row r="44" spans="1:17" customFormat="1">
      <c r="A44" s="80">
        <v>45422.375</v>
      </c>
      <c r="B44" s="112">
        <v>11.29</v>
      </c>
      <c r="C44" s="112">
        <v>13.14</v>
      </c>
      <c r="D44" s="112">
        <v>25.06</v>
      </c>
      <c r="E44" s="112">
        <v>15.09</v>
      </c>
      <c r="F44" s="112">
        <v>4.8600000000000003</v>
      </c>
      <c r="G44" s="112">
        <v>26.9</v>
      </c>
      <c r="H44" s="112">
        <v>8.58</v>
      </c>
      <c r="I44" s="112">
        <v>5.93</v>
      </c>
      <c r="J44" s="112">
        <v>0.73</v>
      </c>
      <c r="K44" s="112">
        <v>272.77999999999997</v>
      </c>
      <c r="L44" s="112">
        <v>31.86</v>
      </c>
      <c r="M44" s="112">
        <v>47.74</v>
      </c>
      <c r="N44" s="112">
        <v>140.69999999999999</v>
      </c>
      <c r="O44" s="112">
        <v>0</v>
      </c>
      <c r="P44" s="112">
        <v>0.49</v>
      </c>
      <c r="Q44" s="167" t="s">
        <v>14</v>
      </c>
    </row>
    <row r="45" spans="1:17" customFormat="1">
      <c r="A45" s="80">
        <v>45422.385416666664</v>
      </c>
      <c r="B45" s="112">
        <v>11.32</v>
      </c>
      <c r="C45" s="112">
        <v>13.16</v>
      </c>
      <c r="D45" s="112">
        <v>25.1</v>
      </c>
      <c r="E45" s="112">
        <v>15.06</v>
      </c>
      <c r="F45" s="112">
        <v>2.78</v>
      </c>
      <c r="G45" s="112">
        <v>26.69</v>
      </c>
      <c r="H45" s="112">
        <v>8.58</v>
      </c>
      <c r="I45" s="112">
        <v>5.89</v>
      </c>
      <c r="J45" s="112">
        <v>1.37</v>
      </c>
      <c r="K45" s="112">
        <v>277.98</v>
      </c>
      <c r="L45" s="112">
        <v>31.88</v>
      </c>
      <c r="M45" s="112">
        <v>49.32</v>
      </c>
      <c r="N45" s="112">
        <v>176.8</v>
      </c>
      <c r="O45" s="112">
        <v>0</v>
      </c>
      <c r="P45" s="112">
        <v>0.48</v>
      </c>
      <c r="Q45" s="167" t="s">
        <v>14</v>
      </c>
    </row>
    <row r="46" spans="1:17" customFormat="1">
      <c r="A46" s="80">
        <v>45422.395833333336</v>
      </c>
      <c r="B46" s="112">
        <v>11.3</v>
      </c>
      <c r="C46" s="112">
        <v>13.15</v>
      </c>
      <c r="D46" s="112">
        <v>25.08</v>
      </c>
      <c r="E46" s="112">
        <v>14.34</v>
      </c>
      <c r="F46" s="112">
        <v>2.85</v>
      </c>
      <c r="G46" s="112">
        <v>26.69</v>
      </c>
      <c r="H46" s="112">
        <v>8.58</v>
      </c>
      <c r="I46" s="112">
        <v>5.9</v>
      </c>
      <c r="J46" s="112">
        <v>1.46</v>
      </c>
      <c r="K46" s="112">
        <v>262.49</v>
      </c>
      <c r="L46" s="112">
        <v>31.95</v>
      </c>
      <c r="M46" s="112">
        <v>50.88</v>
      </c>
      <c r="N46" s="112">
        <v>177.6</v>
      </c>
      <c r="O46" s="112">
        <v>0</v>
      </c>
      <c r="P46" s="112">
        <v>0.48</v>
      </c>
      <c r="Q46" s="167" t="s">
        <v>14</v>
      </c>
    </row>
    <row r="47" spans="1:17" customFormat="1">
      <c r="A47" s="80">
        <v>45422.40625</v>
      </c>
      <c r="B47" s="112">
        <v>11.33</v>
      </c>
      <c r="C47" s="112">
        <v>13.16</v>
      </c>
      <c r="D47" s="112">
        <v>25.1</v>
      </c>
      <c r="E47" s="112">
        <v>14.8</v>
      </c>
      <c r="F47" s="112">
        <v>3.16</v>
      </c>
      <c r="G47" s="112">
        <v>26.69</v>
      </c>
      <c r="H47" s="112">
        <v>8.58</v>
      </c>
      <c r="I47" s="112">
        <v>5.89</v>
      </c>
      <c r="J47" s="112">
        <v>1.56</v>
      </c>
      <c r="K47" s="112">
        <v>264.60000000000002</v>
      </c>
      <c r="L47" s="112">
        <v>32.26</v>
      </c>
      <c r="M47" s="112">
        <v>50.3</v>
      </c>
      <c r="N47" s="112">
        <v>274</v>
      </c>
      <c r="O47" s="112">
        <v>0</v>
      </c>
      <c r="P47" s="112">
        <v>0.47</v>
      </c>
      <c r="Q47" s="167" t="s">
        <v>14</v>
      </c>
    </row>
    <row r="48" spans="1:17" customFormat="1">
      <c r="A48" s="80">
        <v>45422.416666666664</v>
      </c>
      <c r="B48" s="112">
        <v>11.34</v>
      </c>
      <c r="C48" s="112">
        <v>13.15</v>
      </c>
      <c r="D48" s="112">
        <v>25.11</v>
      </c>
      <c r="E48" s="112">
        <v>15.07</v>
      </c>
      <c r="F48" s="112">
        <v>4.0599999999999996</v>
      </c>
      <c r="G48" s="112">
        <v>27.05</v>
      </c>
      <c r="H48" s="112">
        <v>10.33</v>
      </c>
      <c r="I48" s="112">
        <v>5.81</v>
      </c>
      <c r="J48" s="112">
        <v>1.28</v>
      </c>
      <c r="K48" s="112">
        <v>254.24</v>
      </c>
      <c r="L48" s="112">
        <v>33.049999999999997</v>
      </c>
      <c r="M48" s="112">
        <v>49.21</v>
      </c>
      <c r="N48" s="112">
        <v>204.3</v>
      </c>
      <c r="O48" s="112">
        <v>0</v>
      </c>
      <c r="P48" s="112">
        <v>0.47</v>
      </c>
      <c r="Q48" s="167" t="s">
        <v>14</v>
      </c>
    </row>
    <row r="49" spans="1:17" customFormat="1">
      <c r="A49" s="80">
        <v>45422.427083333336</v>
      </c>
      <c r="B49" s="112">
        <v>11.31</v>
      </c>
      <c r="C49" s="112">
        <v>13.14</v>
      </c>
      <c r="D49" s="112">
        <v>25.08</v>
      </c>
      <c r="E49" s="112">
        <v>11.07</v>
      </c>
      <c r="F49" s="112">
        <v>5.49</v>
      </c>
      <c r="G49" s="112">
        <v>27.14</v>
      </c>
      <c r="H49" s="112">
        <v>10.33</v>
      </c>
      <c r="I49" s="112">
        <v>5.72</v>
      </c>
      <c r="J49" s="112">
        <v>1.3</v>
      </c>
      <c r="K49" s="112">
        <v>272.54000000000002</v>
      </c>
      <c r="L49" s="112">
        <v>33.450000000000003</v>
      </c>
      <c r="M49" s="112">
        <v>48.33</v>
      </c>
      <c r="N49" s="112">
        <v>190.4</v>
      </c>
      <c r="O49" s="112">
        <v>0</v>
      </c>
      <c r="P49" s="112">
        <v>0.45</v>
      </c>
      <c r="Q49" s="167" t="s">
        <v>14</v>
      </c>
    </row>
    <row r="50" spans="1:17" customFormat="1">
      <c r="A50" s="80">
        <v>45422.4375</v>
      </c>
      <c r="B50" s="112">
        <v>11.31</v>
      </c>
      <c r="C50" s="112">
        <v>13.13</v>
      </c>
      <c r="D50" s="112">
        <v>25.08</v>
      </c>
      <c r="E50" s="112">
        <v>11.94</v>
      </c>
      <c r="F50" s="112">
        <v>7.18</v>
      </c>
      <c r="G50" s="112">
        <v>27.14</v>
      </c>
      <c r="H50" s="112">
        <v>10.33</v>
      </c>
      <c r="I50" s="112">
        <v>5.55</v>
      </c>
      <c r="J50" s="112">
        <v>1.1299999999999999</v>
      </c>
      <c r="K50" s="112">
        <v>260.26</v>
      </c>
      <c r="L50" s="112">
        <v>33.770000000000003</v>
      </c>
      <c r="M50" s="112">
        <v>47.96</v>
      </c>
      <c r="N50" s="112">
        <v>223.8</v>
      </c>
      <c r="O50" s="112">
        <v>0</v>
      </c>
      <c r="P50" s="112">
        <v>0.44</v>
      </c>
      <c r="Q50" s="167" t="s">
        <v>14</v>
      </c>
    </row>
    <row r="51" spans="1:17" customFormat="1">
      <c r="A51" s="80">
        <v>45422.447916666664</v>
      </c>
      <c r="B51" s="112">
        <v>11.3</v>
      </c>
      <c r="C51" s="112">
        <v>13.1</v>
      </c>
      <c r="D51" s="112">
        <v>25.05</v>
      </c>
      <c r="E51" s="112">
        <v>11.71</v>
      </c>
      <c r="F51" s="112">
        <v>6.8</v>
      </c>
      <c r="G51" s="112">
        <v>27.14</v>
      </c>
      <c r="H51" s="112">
        <v>10.33</v>
      </c>
      <c r="I51" s="112">
        <v>5.38</v>
      </c>
      <c r="J51" s="112">
        <v>1.36</v>
      </c>
      <c r="K51" s="112">
        <v>267.35000000000002</v>
      </c>
      <c r="L51" s="112">
        <v>33.869999999999997</v>
      </c>
      <c r="M51" s="112">
        <v>47.56</v>
      </c>
      <c r="N51" s="112">
        <v>388.2</v>
      </c>
      <c r="O51" s="112">
        <v>0</v>
      </c>
      <c r="P51" s="112">
        <v>0.44</v>
      </c>
      <c r="Q51" s="167" t="s">
        <v>14</v>
      </c>
    </row>
    <row r="52" spans="1:17" customFormat="1">
      <c r="A52" s="80">
        <v>45422.458333333336</v>
      </c>
      <c r="B52" s="112">
        <v>11.26</v>
      </c>
      <c r="C52" s="112">
        <v>13.09</v>
      </c>
      <c r="D52" s="112">
        <v>25.01</v>
      </c>
      <c r="E52" s="112">
        <v>11.3</v>
      </c>
      <c r="F52" s="112">
        <v>7.5</v>
      </c>
      <c r="G52" s="112">
        <v>24.15</v>
      </c>
      <c r="H52" s="112">
        <v>10.47</v>
      </c>
      <c r="I52" s="112">
        <v>5.31</v>
      </c>
      <c r="J52" s="112">
        <v>1.37</v>
      </c>
      <c r="K52" s="112">
        <v>266.97000000000003</v>
      </c>
      <c r="L52" s="112">
        <v>34.18</v>
      </c>
      <c r="M52" s="112">
        <v>47.13</v>
      </c>
      <c r="N52" s="112">
        <v>658.6</v>
      </c>
      <c r="O52" s="112">
        <v>0</v>
      </c>
      <c r="P52" s="112">
        <v>0.43</v>
      </c>
      <c r="Q52" s="167" t="s">
        <v>14</v>
      </c>
    </row>
    <row r="53" spans="1:17" customFormat="1">
      <c r="A53" s="80">
        <v>45422.46875</v>
      </c>
      <c r="B53" s="112">
        <v>11.24</v>
      </c>
      <c r="C53" s="112">
        <v>13.09</v>
      </c>
      <c r="D53" s="112">
        <v>25</v>
      </c>
      <c r="E53" s="112">
        <v>11.54</v>
      </c>
      <c r="F53" s="112">
        <v>9.08</v>
      </c>
      <c r="G53" s="112">
        <v>23.4</v>
      </c>
      <c r="H53" s="112">
        <v>10.47</v>
      </c>
      <c r="I53" s="112">
        <v>5.28</v>
      </c>
      <c r="J53" s="112">
        <v>1.08</v>
      </c>
      <c r="K53" s="112">
        <v>264.41000000000003</v>
      </c>
      <c r="L53" s="112">
        <v>34.72</v>
      </c>
      <c r="M53" s="112">
        <v>45.95</v>
      </c>
      <c r="N53" s="112">
        <v>746.1</v>
      </c>
      <c r="O53" s="112">
        <v>0</v>
      </c>
      <c r="P53" s="112">
        <v>0.42</v>
      </c>
      <c r="Q53" s="167" t="s">
        <v>14</v>
      </c>
    </row>
    <row r="54" spans="1:17" customFormat="1">
      <c r="A54" s="80">
        <v>45422.479166666664</v>
      </c>
      <c r="B54" s="112">
        <v>11.22</v>
      </c>
      <c r="C54" s="112">
        <v>13.13</v>
      </c>
      <c r="D54" s="112">
        <v>25</v>
      </c>
      <c r="E54" s="112">
        <v>11.16</v>
      </c>
      <c r="F54" s="112">
        <v>9.1300000000000008</v>
      </c>
      <c r="G54" s="112">
        <v>23.4</v>
      </c>
      <c r="H54" s="112">
        <v>10.47</v>
      </c>
      <c r="I54" s="112">
        <v>5.24</v>
      </c>
      <c r="J54" s="112">
        <v>1.54</v>
      </c>
      <c r="K54" s="112">
        <v>267.87</v>
      </c>
      <c r="L54" s="112">
        <v>34.770000000000003</v>
      </c>
      <c r="M54" s="112">
        <v>45.61</v>
      </c>
      <c r="N54" s="112">
        <v>837.2</v>
      </c>
      <c r="O54" s="112">
        <v>0</v>
      </c>
      <c r="P54" s="112">
        <v>0.41</v>
      </c>
      <c r="Q54" s="167" t="s">
        <v>14</v>
      </c>
    </row>
    <row r="55" spans="1:17" customFormat="1">
      <c r="A55" s="80">
        <v>45422.489583333336</v>
      </c>
      <c r="B55" s="112">
        <v>11.23</v>
      </c>
      <c r="C55" s="112">
        <v>13.13</v>
      </c>
      <c r="D55" s="112">
        <v>25.01</v>
      </c>
      <c r="E55" s="112">
        <v>10.77</v>
      </c>
      <c r="F55" s="112">
        <v>9.01</v>
      </c>
      <c r="G55" s="112">
        <v>23.4</v>
      </c>
      <c r="H55" s="112">
        <v>10.47</v>
      </c>
      <c r="I55" s="112">
        <v>5.18</v>
      </c>
      <c r="J55" s="112">
        <v>1.58</v>
      </c>
      <c r="K55" s="112">
        <v>276.47000000000003</v>
      </c>
      <c r="L55" s="112">
        <v>34.83</v>
      </c>
      <c r="M55" s="112">
        <v>45.34</v>
      </c>
      <c r="N55" s="112">
        <v>842.2</v>
      </c>
      <c r="O55" s="112">
        <v>0</v>
      </c>
      <c r="P55" s="112">
        <v>0.41</v>
      </c>
      <c r="Q55" s="167" t="s">
        <v>14</v>
      </c>
    </row>
    <row r="56" spans="1:17" customFormat="1">
      <c r="A56" s="80">
        <v>45422.5</v>
      </c>
      <c r="B56" s="112">
        <v>11.25</v>
      </c>
      <c r="C56" s="112">
        <v>13.14</v>
      </c>
      <c r="D56" s="112">
        <v>25.03</v>
      </c>
      <c r="E56" s="112">
        <v>11.87</v>
      </c>
      <c r="F56" s="112">
        <v>14.26</v>
      </c>
      <c r="G56" s="112">
        <v>24.87</v>
      </c>
      <c r="H56" s="112">
        <v>10.42</v>
      </c>
      <c r="I56" s="112">
        <v>5.12</v>
      </c>
      <c r="J56" s="112">
        <v>1.29</v>
      </c>
      <c r="K56" s="112">
        <v>270.88</v>
      </c>
      <c r="L56" s="112">
        <v>35.659999999999997</v>
      </c>
      <c r="M56" s="112">
        <v>43.4</v>
      </c>
      <c r="N56" s="112">
        <v>841.7</v>
      </c>
      <c r="O56" s="112">
        <v>0</v>
      </c>
      <c r="P56" s="112">
        <v>0.41</v>
      </c>
      <c r="Q56" s="167" t="s">
        <v>14</v>
      </c>
    </row>
    <row r="57" spans="1:17" customFormat="1">
      <c r="A57" s="80">
        <v>45422.510416666664</v>
      </c>
      <c r="B57" s="112">
        <v>11.28</v>
      </c>
      <c r="C57" s="112">
        <v>13.09</v>
      </c>
      <c r="D57" s="112">
        <v>25.03</v>
      </c>
      <c r="E57" s="112">
        <v>12.4</v>
      </c>
      <c r="F57" s="112">
        <v>10.47</v>
      </c>
      <c r="G57" s="112">
        <v>25.23</v>
      </c>
      <c r="H57" s="112">
        <v>10.42</v>
      </c>
      <c r="I57" s="112">
        <v>5.05</v>
      </c>
      <c r="J57" s="112">
        <v>1.1599999999999999</v>
      </c>
      <c r="K57" s="112">
        <v>265.33</v>
      </c>
      <c r="L57" s="112">
        <v>35.92</v>
      </c>
      <c r="M57" s="112">
        <v>41.49</v>
      </c>
      <c r="N57" s="112">
        <v>831.8</v>
      </c>
      <c r="O57" s="112">
        <v>0</v>
      </c>
      <c r="P57" s="112">
        <v>0.42</v>
      </c>
      <c r="Q57" s="167" t="s">
        <v>14</v>
      </c>
    </row>
    <row r="58" spans="1:17" customFormat="1">
      <c r="A58" s="80">
        <v>45422.520833333336</v>
      </c>
      <c r="B58" s="112">
        <v>11.25</v>
      </c>
      <c r="C58" s="112">
        <v>13.09</v>
      </c>
      <c r="D58" s="112">
        <v>25</v>
      </c>
      <c r="E58" s="112">
        <v>15.78</v>
      </c>
      <c r="F58" s="112">
        <v>15.42</v>
      </c>
      <c r="G58" s="112">
        <v>25.23</v>
      </c>
      <c r="H58" s="112">
        <v>10.42</v>
      </c>
      <c r="I58" s="112">
        <v>5.45</v>
      </c>
      <c r="J58" s="112">
        <v>1.76</v>
      </c>
      <c r="K58" s="112">
        <v>296.72000000000003</v>
      </c>
      <c r="L58" s="112">
        <v>36.22</v>
      </c>
      <c r="M58" s="112">
        <v>39.81</v>
      </c>
      <c r="N58" s="112">
        <v>832.3</v>
      </c>
      <c r="O58" s="112">
        <v>0</v>
      </c>
      <c r="P58" s="112">
        <v>0.47</v>
      </c>
      <c r="Q58" s="167" t="s">
        <v>14</v>
      </c>
    </row>
    <row r="59" spans="1:17" customFormat="1">
      <c r="A59" s="80">
        <v>45422.53125</v>
      </c>
      <c r="B59" s="112">
        <v>11.24</v>
      </c>
      <c r="C59" s="112">
        <v>13.1</v>
      </c>
      <c r="D59" s="112">
        <v>25</v>
      </c>
      <c r="E59" s="112">
        <v>15.07</v>
      </c>
      <c r="F59" s="112">
        <v>17.39</v>
      </c>
      <c r="G59" s="112">
        <v>25.23</v>
      </c>
      <c r="H59" s="112">
        <v>10.42</v>
      </c>
      <c r="I59" s="112">
        <v>6.18</v>
      </c>
      <c r="J59" s="112">
        <v>1.28</v>
      </c>
      <c r="K59" s="112">
        <v>271.54000000000002</v>
      </c>
      <c r="L59" s="112">
        <v>36.47</v>
      </c>
      <c r="M59" s="112">
        <v>38.090000000000003</v>
      </c>
      <c r="N59" s="112">
        <v>841.7</v>
      </c>
      <c r="O59" s="112">
        <v>0</v>
      </c>
      <c r="P59" s="112">
        <v>0.45</v>
      </c>
      <c r="Q59" s="167" t="s">
        <v>14</v>
      </c>
    </row>
    <row r="60" spans="1:17" customFormat="1">
      <c r="A60" s="80">
        <v>45422.541666666664</v>
      </c>
      <c r="B60" s="112">
        <v>11.26</v>
      </c>
      <c r="C60" s="112">
        <v>13.07</v>
      </c>
      <c r="D60" s="112">
        <v>25</v>
      </c>
      <c r="E60" s="112">
        <v>15.45</v>
      </c>
      <c r="F60" s="112">
        <v>19.22</v>
      </c>
      <c r="G60" s="112">
        <v>29.52</v>
      </c>
      <c r="H60" s="112">
        <v>9.6</v>
      </c>
      <c r="I60" s="112">
        <v>6.36</v>
      </c>
      <c r="J60" s="112">
        <v>1.01</v>
      </c>
      <c r="K60" s="112">
        <v>263.37</v>
      </c>
      <c r="L60" s="112">
        <v>36.950000000000003</v>
      </c>
      <c r="M60" s="112">
        <v>36.590000000000003</v>
      </c>
      <c r="N60" s="112">
        <v>729.6</v>
      </c>
      <c r="O60" s="112">
        <v>0</v>
      </c>
      <c r="P60" s="112">
        <v>0.47</v>
      </c>
      <c r="Q60" s="167" t="s">
        <v>14</v>
      </c>
    </row>
    <row r="61" spans="1:17" customFormat="1">
      <c r="A61" s="80">
        <v>45422.552083333336</v>
      </c>
      <c r="B61" s="112">
        <v>11.25</v>
      </c>
      <c r="C61" s="112">
        <v>13.08</v>
      </c>
      <c r="D61" s="112">
        <v>25</v>
      </c>
      <c r="E61" s="112">
        <v>16.68</v>
      </c>
      <c r="F61" s="112">
        <v>17.13</v>
      </c>
      <c r="G61" s="112">
        <v>30.59</v>
      </c>
      <c r="H61" s="112">
        <v>9.6</v>
      </c>
      <c r="I61" s="112">
        <v>6.44</v>
      </c>
      <c r="J61" s="112">
        <v>1.26</v>
      </c>
      <c r="K61" s="112">
        <v>282.11</v>
      </c>
      <c r="L61" s="112">
        <v>37.15</v>
      </c>
      <c r="M61" s="112">
        <v>35.880000000000003</v>
      </c>
      <c r="N61" s="112">
        <v>762.4</v>
      </c>
      <c r="O61" s="112">
        <v>0</v>
      </c>
      <c r="P61" s="112">
        <v>0.51</v>
      </c>
      <c r="Q61" s="167" t="s">
        <v>14</v>
      </c>
    </row>
    <row r="62" spans="1:17" customFormat="1">
      <c r="A62" s="80">
        <v>45422.5625</v>
      </c>
      <c r="B62" s="112">
        <v>11.26</v>
      </c>
      <c r="C62" s="112">
        <v>13.08</v>
      </c>
      <c r="D62" s="112">
        <v>25.01</v>
      </c>
      <c r="E62" s="112">
        <v>16.02</v>
      </c>
      <c r="F62" s="112">
        <v>16.649999999999999</v>
      </c>
      <c r="G62" s="112">
        <v>30.59</v>
      </c>
      <c r="H62" s="112">
        <v>9.6</v>
      </c>
      <c r="I62" s="112">
        <v>6.58</v>
      </c>
      <c r="J62" s="112">
        <v>1.28</v>
      </c>
      <c r="K62" s="112">
        <v>283.68</v>
      </c>
      <c r="L62" s="112">
        <v>37.42</v>
      </c>
      <c r="M62" s="112">
        <v>35.04</v>
      </c>
      <c r="N62" s="112">
        <v>756.9</v>
      </c>
      <c r="O62" s="112">
        <v>0</v>
      </c>
      <c r="P62" s="112">
        <v>0.52</v>
      </c>
      <c r="Q62" s="167" t="s">
        <v>14</v>
      </c>
    </row>
    <row r="63" spans="1:17" customFormat="1">
      <c r="A63" s="80">
        <v>45422.572916666664</v>
      </c>
      <c r="B63" s="112">
        <v>11.27</v>
      </c>
      <c r="C63" s="112">
        <v>13.11</v>
      </c>
      <c r="D63" s="112">
        <v>25.03</v>
      </c>
      <c r="E63" s="112">
        <v>17.28</v>
      </c>
      <c r="F63" s="112">
        <v>17.27</v>
      </c>
      <c r="G63" s="112">
        <v>30.59</v>
      </c>
      <c r="H63" s="112">
        <v>9.6</v>
      </c>
      <c r="I63" s="112">
        <v>7.01</v>
      </c>
      <c r="J63" s="112">
        <v>1</v>
      </c>
      <c r="K63" s="112">
        <v>272.64</v>
      </c>
      <c r="L63" s="112">
        <v>37.49</v>
      </c>
      <c r="M63" s="112">
        <v>36.17</v>
      </c>
      <c r="N63" s="112">
        <v>738.3</v>
      </c>
      <c r="O63" s="112">
        <v>0</v>
      </c>
      <c r="P63" s="112">
        <v>0.54</v>
      </c>
      <c r="Q63" s="167" t="s">
        <v>14</v>
      </c>
    </row>
    <row r="64" spans="1:17" customFormat="1">
      <c r="A64" s="80">
        <v>45422.583333333336</v>
      </c>
      <c r="B64" s="112">
        <v>11.32</v>
      </c>
      <c r="C64" s="112">
        <v>13.1</v>
      </c>
      <c r="D64" s="112">
        <v>25.07</v>
      </c>
      <c r="E64" s="112">
        <v>17.14</v>
      </c>
      <c r="F64" s="112">
        <v>15.39</v>
      </c>
      <c r="G64" s="112">
        <v>34.159999999999997</v>
      </c>
      <c r="H64" s="112">
        <v>11.52</v>
      </c>
      <c r="I64" s="112">
        <v>7.33</v>
      </c>
      <c r="J64" s="112">
        <v>1.57</v>
      </c>
      <c r="K64" s="112">
        <v>285.18</v>
      </c>
      <c r="L64" s="112">
        <v>37.42</v>
      </c>
      <c r="M64" s="112">
        <v>34.869999999999997</v>
      </c>
      <c r="N64" s="112">
        <v>736.8</v>
      </c>
      <c r="O64" s="112">
        <v>0</v>
      </c>
      <c r="P64" s="112">
        <v>0.56000000000000005</v>
      </c>
      <c r="Q64" s="167" t="s">
        <v>14</v>
      </c>
    </row>
    <row r="65" spans="1:17" customFormat="1">
      <c r="A65" s="80">
        <v>45422.59375</v>
      </c>
      <c r="B65" s="112">
        <v>11.3</v>
      </c>
      <c r="C65" s="112">
        <v>13.09</v>
      </c>
      <c r="D65" s="112">
        <v>25.04</v>
      </c>
      <c r="E65" s="112">
        <v>15.62</v>
      </c>
      <c r="F65" s="112">
        <v>18.190000000000001</v>
      </c>
      <c r="G65" s="112">
        <v>35.06</v>
      </c>
      <c r="H65" s="112">
        <v>11.52</v>
      </c>
      <c r="I65" s="112">
        <v>7.46</v>
      </c>
      <c r="J65" s="112">
        <v>1.23</v>
      </c>
      <c r="K65" s="112">
        <v>273.97000000000003</v>
      </c>
      <c r="L65" s="112">
        <v>37.92</v>
      </c>
      <c r="M65" s="112">
        <v>34.29</v>
      </c>
      <c r="N65" s="112">
        <v>693</v>
      </c>
      <c r="O65" s="112">
        <v>0</v>
      </c>
      <c r="P65" s="112">
        <v>0.53</v>
      </c>
      <c r="Q65" s="167" t="s">
        <v>14</v>
      </c>
    </row>
    <row r="66" spans="1:17" customFormat="1">
      <c r="A66" s="80">
        <v>45422.604166666664</v>
      </c>
      <c r="B66" s="112">
        <v>11.28</v>
      </c>
      <c r="C66" s="112">
        <v>13.12</v>
      </c>
      <c r="D66" s="112">
        <v>25.05</v>
      </c>
      <c r="E66" s="112">
        <v>15.01</v>
      </c>
      <c r="F66" s="112">
        <v>13.03</v>
      </c>
      <c r="G66" s="112">
        <v>35.06</v>
      </c>
      <c r="H66" s="112">
        <v>11.52</v>
      </c>
      <c r="I66" s="112">
        <v>7.56</v>
      </c>
      <c r="J66" s="112">
        <v>1.48</v>
      </c>
      <c r="K66" s="112">
        <v>286.55</v>
      </c>
      <c r="L66" s="112">
        <v>37.86</v>
      </c>
      <c r="M66" s="112">
        <v>34.119999999999997</v>
      </c>
      <c r="N66" s="112">
        <v>683.5</v>
      </c>
      <c r="O66" s="112">
        <v>0</v>
      </c>
      <c r="P66" s="112">
        <v>0.56999999999999995</v>
      </c>
      <c r="Q66" s="167" t="s">
        <v>14</v>
      </c>
    </row>
    <row r="67" spans="1:17" customFormat="1">
      <c r="A67" s="80">
        <v>45422.614583333336</v>
      </c>
      <c r="B67" s="112">
        <v>11.3</v>
      </c>
      <c r="C67" s="112">
        <v>13.16</v>
      </c>
      <c r="D67" s="112">
        <v>25.09</v>
      </c>
      <c r="E67" s="112">
        <v>13.2</v>
      </c>
      <c r="F67" s="112">
        <v>9.57</v>
      </c>
      <c r="G67" s="112">
        <v>35.06</v>
      </c>
      <c r="H67" s="112">
        <v>11.52</v>
      </c>
      <c r="I67" s="112">
        <v>7.57</v>
      </c>
      <c r="J67" s="112">
        <v>1.53</v>
      </c>
      <c r="K67" s="112">
        <v>280.39999999999998</v>
      </c>
      <c r="L67" s="112">
        <v>37.94</v>
      </c>
      <c r="M67" s="112">
        <v>33.49</v>
      </c>
      <c r="N67" s="112">
        <v>655.7</v>
      </c>
      <c r="O67" s="112">
        <v>0</v>
      </c>
      <c r="P67" s="112">
        <v>0.56999999999999995</v>
      </c>
      <c r="Q67" s="167" t="s">
        <v>14</v>
      </c>
    </row>
    <row r="68" spans="1:17" customFormat="1">
      <c r="A68" s="80">
        <v>45422.625</v>
      </c>
      <c r="B68" s="112">
        <v>11.27</v>
      </c>
      <c r="C68" s="112">
        <v>13.18</v>
      </c>
      <c r="D68" s="112">
        <v>25.06</v>
      </c>
      <c r="E68" s="112">
        <v>13.49</v>
      </c>
      <c r="F68" s="112">
        <v>11.87</v>
      </c>
      <c r="G68" s="112">
        <v>36.119999999999997</v>
      </c>
      <c r="H68" s="112">
        <v>10.57</v>
      </c>
      <c r="I68" s="112">
        <v>7.85</v>
      </c>
      <c r="J68" s="112">
        <v>1.35</v>
      </c>
      <c r="K68" s="112">
        <v>286.68</v>
      </c>
      <c r="L68" s="112">
        <v>38.020000000000003</v>
      </c>
      <c r="M68" s="112">
        <v>32.79</v>
      </c>
      <c r="N68" s="112">
        <v>622</v>
      </c>
      <c r="O68" s="112">
        <v>0</v>
      </c>
      <c r="P68" s="112">
        <v>0.56000000000000005</v>
      </c>
      <c r="Q68" s="167" t="s">
        <v>14</v>
      </c>
    </row>
    <row r="69" spans="1:17" customFormat="1">
      <c r="A69" s="80">
        <v>45422.635416666664</v>
      </c>
      <c r="B69" s="112">
        <v>11.27</v>
      </c>
      <c r="C69" s="112">
        <v>13.21</v>
      </c>
      <c r="D69" s="112">
        <v>25.08</v>
      </c>
      <c r="E69" s="112">
        <v>15.02</v>
      </c>
      <c r="F69" s="112">
        <v>13.27</v>
      </c>
      <c r="G69" s="112">
        <v>36.39</v>
      </c>
      <c r="H69" s="112">
        <v>10.57</v>
      </c>
      <c r="I69" s="112">
        <v>8</v>
      </c>
      <c r="J69" s="112">
        <v>1.5</v>
      </c>
      <c r="K69" s="112">
        <v>281.83999999999997</v>
      </c>
      <c r="L69" s="112">
        <v>38.17</v>
      </c>
      <c r="M69" s="112">
        <v>32.950000000000003</v>
      </c>
      <c r="N69" s="112">
        <v>546.6</v>
      </c>
      <c r="O69" s="112">
        <v>0</v>
      </c>
      <c r="P69" s="112">
        <v>0.56999999999999995</v>
      </c>
      <c r="Q69" s="167" t="s">
        <v>14</v>
      </c>
    </row>
    <row r="70" spans="1:17" customFormat="1">
      <c r="A70" s="80">
        <v>45422.645833333336</v>
      </c>
      <c r="B70" s="112">
        <v>11.34</v>
      </c>
      <c r="C70" s="112">
        <v>13.13</v>
      </c>
      <c r="D70" s="112">
        <v>25.1</v>
      </c>
      <c r="E70" s="112">
        <v>13.61</v>
      </c>
      <c r="F70" s="112">
        <v>12.52</v>
      </c>
      <c r="G70" s="112">
        <v>36.39</v>
      </c>
      <c r="H70" s="112">
        <v>10.57</v>
      </c>
      <c r="I70" s="112">
        <v>8.18</v>
      </c>
      <c r="J70" s="112">
        <v>1.0900000000000001</v>
      </c>
      <c r="K70" s="112">
        <v>264.33999999999997</v>
      </c>
      <c r="L70" s="112">
        <v>37.950000000000003</v>
      </c>
      <c r="M70" s="112">
        <v>34.14</v>
      </c>
      <c r="N70" s="112">
        <v>513.29999999999995</v>
      </c>
      <c r="O70" s="112">
        <v>0</v>
      </c>
      <c r="P70" s="112">
        <v>0.56000000000000005</v>
      </c>
      <c r="Q70" s="167" t="s">
        <v>14</v>
      </c>
    </row>
    <row r="71" spans="1:17" customFormat="1">
      <c r="A71" s="80">
        <v>45422.65625</v>
      </c>
      <c r="B71" s="112">
        <v>11.35</v>
      </c>
      <c r="C71" s="112">
        <v>13.18</v>
      </c>
      <c r="D71" s="112">
        <v>25.13</v>
      </c>
      <c r="E71" s="112">
        <v>13.69</v>
      </c>
      <c r="F71" s="112">
        <v>11.15</v>
      </c>
      <c r="G71" s="112">
        <v>36.39</v>
      </c>
      <c r="H71" s="112">
        <v>10.57</v>
      </c>
      <c r="I71" s="112">
        <v>8.24</v>
      </c>
      <c r="J71" s="112">
        <v>1.08</v>
      </c>
      <c r="K71" s="112">
        <v>251.72</v>
      </c>
      <c r="L71" s="112">
        <v>37.979999999999997</v>
      </c>
      <c r="M71" s="112">
        <v>35.29</v>
      </c>
      <c r="N71" s="112">
        <v>459.7</v>
      </c>
      <c r="O71" s="112">
        <v>0</v>
      </c>
      <c r="P71" s="112">
        <v>0.56999999999999995</v>
      </c>
      <c r="Q71" s="167" t="s">
        <v>14</v>
      </c>
    </row>
    <row r="72" spans="1:17" customFormat="1">
      <c r="A72" s="80">
        <v>45422.666666666664</v>
      </c>
      <c r="B72" s="112">
        <v>11.36</v>
      </c>
      <c r="C72" s="112">
        <v>13.1</v>
      </c>
      <c r="D72" s="112">
        <v>25.09</v>
      </c>
      <c r="E72" s="112">
        <v>15.14</v>
      </c>
      <c r="F72" s="112">
        <v>14.24</v>
      </c>
      <c r="G72" s="112">
        <v>33.31</v>
      </c>
      <c r="H72" s="112">
        <v>11.47</v>
      </c>
      <c r="I72" s="112">
        <v>8.19</v>
      </c>
      <c r="J72" s="112">
        <v>1.08</v>
      </c>
      <c r="K72" s="112">
        <v>258.94</v>
      </c>
      <c r="L72" s="112">
        <v>37.94</v>
      </c>
      <c r="M72" s="112">
        <v>34.950000000000003</v>
      </c>
      <c r="N72" s="112">
        <v>334.5</v>
      </c>
      <c r="O72" s="112">
        <v>0</v>
      </c>
      <c r="P72" s="112">
        <v>0.56000000000000005</v>
      </c>
      <c r="Q72" s="167" t="s">
        <v>14</v>
      </c>
    </row>
    <row r="73" spans="1:17" customFormat="1">
      <c r="A73" s="80">
        <v>45422.677083333336</v>
      </c>
      <c r="B73" s="112">
        <v>11.34</v>
      </c>
      <c r="C73" s="112">
        <v>13.11</v>
      </c>
      <c r="D73" s="112">
        <v>25.09</v>
      </c>
      <c r="E73" s="112">
        <v>15.26</v>
      </c>
      <c r="F73" s="112">
        <v>15.08</v>
      </c>
      <c r="G73" s="112">
        <v>32.549999999999997</v>
      </c>
      <c r="H73" s="112">
        <v>11.47</v>
      </c>
      <c r="I73" s="112">
        <v>8.1300000000000008</v>
      </c>
      <c r="J73" s="112">
        <v>0.72</v>
      </c>
      <c r="K73" s="112">
        <v>256.02999999999997</v>
      </c>
      <c r="L73" s="112">
        <v>38.21</v>
      </c>
      <c r="M73" s="112">
        <v>35.01</v>
      </c>
      <c r="N73" s="112">
        <v>236.7</v>
      </c>
      <c r="O73" s="112">
        <v>0</v>
      </c>
      <c r="P73" s="112">
        <v>0.54</v>
      </c>
      <c r="Q73" s="167" t="s">
        <v>14</v>
      </c>
    </row>
    <row r="74" spans="1:17" customFormat="1">
      <c r="A74" s="80">
        <v>45422.6875</v>
      </c>
      <c r="B74" s="112">
        <v>11.33</v>
      </c>
      <c r="C74" s="112">
        <v>13.09</v>
      </c>
      <c r="D74" s="112">
        <v>25.07</v>
      </c>
      <c r="E74" s="112">
        <v>15.39</v>
      </c>
      <c r="F74" s="112">
        <v>17.98</v>
      </c>
      <c r="G74" s="112">
        <v>32.549999999999997</v>
      </c>
      <c r="H74" s="112">
        <v>11.47</v>
      </c>
      <c r="I74" s="112">
        <v>7.91</v>
      </c>
      <c r="J74" s="112">
        <v>0.86</v>
      </c>
      <c r="K74" s="112">
        <v>259.94</v>
      </c>
      <c r="L74" s="112">
        <v>37.6</v>
      </c>
      <c r="M74" s="112">
        <v>36.369999999999997</v>
      </c>
      <c r="N74" s="112">
        <v>165.7</v>
      </c>
      <c r="O74" s="112">
        <v>0</v>
      </c>
      <c r="P74" s="112">
        <v>0.54</v>
      </c>
      <c r="Q74" s="167" t="s">
        <v>14</v>
      </c>
    </row>
    <row r="75" spans="1:17" customFormat="1">
      <c r="A75" s="80">
        <v>45422.697916666664</v>
      </c>
      <c r="B75" s="112">
        <v>11.35</v>
      </c>
      <c r="C75" s="112">
        <v>13.05</v>
      </c>
      <c r="D75" s="112">
        <v>25.07</v>
      </c>
      <c r="E75" s="112">
        <v>16.45</v>
      </c>
      <c r="F75" s="112">
        <v>19.09</v>
      </c>
      <c r="G75" s="112">
        <v>32.549999999999997</v>
      </c>
      <c r="H75" s="112">
        <v>11.47</v>
      </c>
      <c r="I75" s="112">
        <v>7.81</v>
      </c>
      <c r="J75" s="112">
        <v>0.9</v>
      </c>
      <c r="K75" s="112">
        <v>264.02999999999997</v>
      </c>
      <c r="L75" s="112">
        <v>37.53</v>
      </c>
      <c r="M75" s="112">
        <v>36.549999999999997</v>
      </c>
      <c r="N75" s="112">
        <v>131.69999999999999</v>
      </c>
      <c r="O75" s="112">
        <v>0</v>
      </c>
      <c r="P75" s="112">
        <v>0.56000000000000005</v>
      </c>
      <c r="Q75" s="167" t="s">
        <v>14</v>
      </c>
    </row>
    <row r="76" spans="1:17" customFormat="1">
      <c r="A76" s="80">
        <v>45422.708333333336</v>
      </c>
      <c r="B76" s="112">
        <v>11.35</v>
      </c>
      <c r="C76" s="112">
        <v>13.07</v>
      </c>
      <c r="D76" s="112">
        <v>25.08</v>
      </c>
      <c r="E76" s="112">
        <v>16.07</v>
      </c>
      <c r="F76" s="112">
        <v>16.149999999999999</v>
      </c>
      <c r="G76" s="112">
        <v>30.06</v>
      </c>
      <c r="H76" s="112">
        <v>13.34</v>
      </c>
      <c r="I76" s="112">
        <v>7.59</v>
      </c>
      <c r="J76" s="112">
        <v>0.88</v>
      </c>
      <c r="K76" s="112">
        <v>255.34</v>
      </c>
      <c r="L76" s="112">
        <v>37.11</v>
      </c>
      <c r="M76" s="112">
        <v>37.520000000000003</v>
      </c>
      <c r="N76" s="112">
        <v>144.69999999999999</v>
      </c>
      <c r="O76" s="112">
        <v>0</v>
      </c>
      <c r="P76" s="112">
        <v>0.54</v>
      </c>
      <c r="Q76" s="167" t="s">
        <v>14</v>
      </c>
    </row>
    <row r="77" spans="1:17" customFormat="1">
      <c r="A77" s="80">
        <v>45422.71875</v>
      </c>
      <c r="B77" s="112">
        <v>11.34</v>
      </c>
      <c r="C77" s="112">
        <v>13.09</v>
      </c>
      <c r="D77" s="112">
        <v>25.08</v>
      </c>
      <c r="E77" s="112">
        <v>15.35</v>
      </c>
      <c r="F77" s="112">
        <v>18.64</v>
      </c>
      <c r="G77" s="112">
        <v>29.44</v>
      </c>
      <c r="H77" s="112">
        <v>13.34</v>
      </c>
      <c r="I77" s="112">
        <v>7.47</v>
      </c>
      <c r="J77" s="112">
        <v>0.76</v>
      </c>
      <c r="K77" s="112">
        <v>253.69</v>
      </c>
      <c r="L77" s="112">
        <v>36.99</v>
      </c>
      <c r="M77" s="112">
        <v>37.71</v>
      </c>
      <c r="N77" s="112">
        <v>131.1</v>
      </c>
      <c r="O77" s="112">
        <v>0</v>
      </c>
      <c r="P77" s="112">
        <v>0.51</v>
      </c>
      <c r="Q77" s="167" t="s">
        <v>14</v>
      </c>
    </row>
    <row r="78" spans="1:17" customFormat="1">
      <c r="A78" s="80">
        <v>45422.729166666664</v>
      </c>
      <c r="B78" s="112">
        <v>11.33</v>
      </c>
      <c r="C78" s="112">
        <v>13.13</v>
      </c>
      <c r="D78" s="112">
        <v>25.09</v>
      </c>
      <c r="E78" s="112">
        <v>14.83</v>
      </c>
      <c r="F78" s="112">
        <v>15.43</v>
      </c>
      <c r="G78" s="112">
        <v>29.44</v>
      </c>
      <c r="H78" s="112">
        <v>13.34</v>
      </c>
      <c r="I78" s="112">
        <v>7.4</v>
      </c>
      <c r="J78" s="112">
        <v>0.91</v>
      </c>
      <c r="K78" s="112">
        <v>257.10000000000002</v>
      </c>
      <c r="L78" s="112">
        <v>36.659999999999997</v>
      </c>
      <c r="M78" s="112">
        <v>38.380000000000003</v>
      </c>
      <c r="N78" s="112">
        <v>86</v>
      </c>
      <c r="O78" s="112">
        <v>0</v>
      </c>
      <c r="P78" s="112">
        <v>0.51</v>
      </c>
      <c r="Q78" s="167" t="s">
        <v>14</v>
      </c>
    </row>
    <row r="79" spans="1:17" customFormat="1">
      <c r="A79" s="80">
        <v>45422.739583333336</v>
      </c>
      <c r="B79" s="112">
        <v>11.31</v>
      </c>
      <c r="C79" s="112">
        <v>13.14</v>
      </c>
      <c r="D79" s="112">
        <v>25.08</v>
      </c>
      <c r="E79" s="112">
        <v>15.83</v>
      </c>
      <c r="F79" s="112">
        <v>24.17</v>
      </c>
      <c r="G79" s="112">
        <v>29.44</v>
      </c>
      <c r="H79" s="112">
        <v>13.34</v>
      </c>
      <c r="I79" s="112">
        <v>7.13</v>
      </c>
      <c r="J79" s="112">
        <v>0.59</v>
      </c>
      <c r="K79" s="112">
        <v>259.69</v>
      </c>
      <c r="L79" s="112">
        <v>36.39</v>
      </c>
      <c r="M79" s="112">
        <v>39.090000000000003</v>
      </c>
      <c r="N79" s="112">
        <v>52.4</v>
      </c>
      <c r="O79" s="112">
        <v>0</v>
      </c>
      <c r="P79" s="112">
        <v>0.49</v>
      </c>
      <c r="Q79" s="167" t="s">
        <v>14</v>
      </c>
    </row>
    <row r="80" spans="1:17" customFormat="1">
      <c r="A80" s="80">
        <v>45422.75</v>
      </c>
      <c r="B80" s="112">
        <v>11.31</v>
      </c>
      <c r="C80" s="112">
        <v>13.13</v>
      </c>
      <c r="D80" s="112">
        <v>25.08</v>
      </c>
      <c r="E80" s="112">
        <v>15.54</v>
      </c>
      <c r="F80" s="112">
        <v>30.66</v>
      </c>
      <c r="G80" s="112">
        <v>29.02</v>
      </c>
      <c r="H80" s="112">
        <v>12.57</v>
      </c>
      <c r="I80" s="112">
        <v>6.95</v>
      </c>
      <c r="J80" s="112">
        <v>0.36</v>
      </c>
      <c r="K80" s="112">
        <v>246.15</v>
      </c>
      <c r="L80" s="112">
        <v>36.24</v>
      </c>
      <c r="M80" s="112">
        <v>39.61</v>
      </c>
      <c r="N80" s="112">
        <v>20.5</v>
      </c>
      <c r="O80" s="112">
        <v>0</v>
      </c>
      <c r="P80" s="112">
        <v>0.48</v>
      </c>
      <c r="Q80" s="167" t="s">
        <v>14</v>
      </c>
    </row>
    <row r="81" spans="1:17" customFormat="1">
      <c r="A81" s="80">
        <v>45422.760416666664</v>
      </c>
      <c r="B81" s="112">
        <v>11.35</v>
      </c>
      <c r="C81" s="112">
        <v>13.15</v>
      </c>
      <c r="D81" s="112">
        <v>25.11</v>
      </c>
      <c r="E81" s="112">
        <v>11.49</v>
      </c>
      <c r="F81" s="112">
        <v>29.9</v>
      </c>
      <c r="G81" s="112">
        <v>28.92</v>
      </c>
      <c r="H81" s="112">
        <v>12.57</v>
      </c>
      <c r="I81" s="112">
        <v>6.64</v>
      </c>
      <c r="J81" s="112">
        <v>0.28999999999999998</v>
      </c>
      <c r="K81" s="112">
        <v>237.54</v>
      </c>
      <c r="L81" s="112">
        <v>35.549999999999997</v>
      </c>
      <c r="M81" s="112">
        <v>41.71</v>
      </c>
      <c r="N81" s="112">
        <v>2.4</v>
      </c>
      <c r="O81" s="112">
        <v>0</v>
      </c>
      <c r="P81" s="112">
        <v>0.47</v>
      </c>
      <c r="Q81" s="167" t="s">
        <v>14</v>
      </c>
    </row>
    <row r="82" spans="1:17" customFormat="1">
      <c r="A82" s="80">
        <v>45422.770833333336</v>
      </c>
      <c r="B82" s="112">
        <v>11.38</v>
      </c>
      <c r="C82" s="112">
        <v>13.14</v>
      </c>
      <c r="D82" s="112">
        <v>25.14</v>
      </c>
      <c r="E82" s="112">
        <v>11.81</v>
      </c>
      <c r="F82" s="112">
        <v>25.73</v>
      </c>
      <c r="G82" s="112">
        <v>28.92</v>
      </c>
      <c r="H82" s="112">
        <v>12.57</v>
      </c>
      <c r="I82" s="112">
        <v>6.21</v>
      </c>
      <c r="J82" s="112">
        <v>0.27</v>
      </c>
      <c r="K82" s="112">
        <v>249.3</v>
      </c>
      <c r="L82" s="112">
        <v>35.06</v>
      </c>
      <c r="M82" s="112">
        <v>42.78</v>
      </c>
      <c r="N82" s="112">
        <v>0</v>
      </c>
      <c r="O82" s="112">
        <v>0</v>
      </c>
      <c r="P82" s="112">
        <v>0.47</v>
      </c>
      <c r="Q82" s="167" t="s">
        <v>14</v>
      </c>
    </row>
    <row r="83" spans="1:17" customFormat="1">
      <c r="A83" s="80">
        <v>45422.78125</v>
      </c>
      <c r="B83" s="112">
        <v>11.38</v>
      </c>
      <c r="C83" s="112">
        <v>13.12</v>
      </c>
      <c r="D83" s="112">
        <v>25.12</v>
      </c>
      <c r="E83" s="112">
        <v>12.25</v>
      </c>
      <c r="F83" s="112">
        <v>30.8</v>
      </c>
      <c r="G83" s="112">
        <v>28.92</v>
      </c>
      <c r="H83" s="112">
        <v>12.57</v>
      </c>
      <c r="I83" s="112">
        <v>5.67</v>
      </c>
      <c r="J83" s="112">
        <v>0.41</v>
      </c>
      <c r="K83" s="112">
        <v>245.28</v>
      </c>
      <c r="L83" s="112">
        <v>34.71</v>
      </c>
      <c r="M83" s="112">
        <v>43.12</v>
      </c>
      <c r="N83" s="112">
        <v>0</v>
      </c>
      <c r="O83" s="112">
        <v>0</v>
      </c>
      <c r="P83" s="112">
        <v>0.47</v>
      </c>
      <c r="Q83" s="167" t="s">
        <v>14</v>
      </c>
    </row>
    <row r="84" spans="1:17" customFormat="1">
      <c r="A84" s="80">
        <v>45422.791666666664</v>
      </c>
      <c r="B84" s="112">
        <v>11.36</v>
      </c>
      <c r="C84" s="112">
        <v>13.09</v>
      </c>
      <c r="D84" s="112">
        <v>25.09</v>
      </c>
      <c r="E84" s="112">
        <v>12.6</v>
      </c>
      <c r="F84" s="112">
        <v>27.44</v>
      </c>
      <c r="G84" s="112">
        <v>28.57</v>
      </c>
      <c r="H84" s="112">
        <v>13.39</v>
      </c>
      <c r="I84" s="112">
        <v>5.38</v>
      </c>
      <c r="J84" s="112">
        <v>0.13</v>
      </c>
      <c r="K84" s="112">
        <v>180.13</v>
      </c>
      <c r="L84" s="112">
        <v>34.31</v>
      </c>
      <c r="M84" s="112">
        <v>45</v>
      </c>
      <c r="N84" s="112">
        <v>0</v>
      </c>
      <c r="O84" s="112">
        <v>0</v>
      </c>
      <c r="P84" s="112">
        <v>0.47</v>
      </c>
      <c r="Q84" s="167" t="s">
        <v>14</v>
      </c>
    </row>
    <row r="85" spans="1:17" customFormat="1">
      <c r="A85" s="80">
        <v>45422.802083333336</v>
      </c>
      <c r="B85" s="112">
        <v>11.36</v>
      </c>
      <c r="C85" s="112">
        <v>13.1</v>
      </c>
      <c r="D85" s="112">
        <v>25.1</v>
      </c>
      <c r="E85" s="112">
        <v>12.7</v>
      </c>
      <c r="F85" s="112">
        <v>19.52</v>
      </c>
      <c r="G85" s="112">
        <v>28.48</v>
      </c>
      <c r="H85" s="112">
        <v>13.39</v>
      </c>
      <c r="I85" s="112">
        <v>5.56</v>
      </c>
      <c r="J85" s="112">
        <v>0.15</v>
      </c>
      <c r="K85" s="112">
        <v>179.02</v>
      </c>
      <c r="L85" s="112">
        <v>33.74</v>
      </c>
      <c r="M85" s="112">
        <v>48.23</v>
      </c>
      <c r="N85" s="112">
        <v>0</v>
      </c>
      <c r="O85" s="112">
        <v>0</v>
      </c>
      <c r="P85" s="112">
        <v>0.49</v>
      </c>
      <c r="Q85" s="167" t="s">
        <v>14</v>
      </c>
    </row>
    <row r="86" spans="1:17" customFormat="1">
      <c r="A86" s="80">
        <v>45422.8125</v>
      </c>
      <c r="B86" s="112">
        <v>11.35</v>
      </c>
      <c r="C86" s="112">
        <v>13.12</v>
      </c>
      <c r="D86" s="112">
        <v>25.09</v>
      </c>
      <c r="E86" s="112">
        <v>12.44</v>
      </c>
      <c r="F86" s="112">
        <v>23.25</v>
      </c>
      <c r="G86" s="112">
        <v>28.48</v>
      </c>
      <c r="H86" s="112">
        <v>13.39</v>
      </c>
      <c r="I86" s="112">
        <v>5.43</v>
      </c>
      <c r="J86" s="112">
        <v>0.17</v>
      </c>
      <c r="K86" s="112">
        <v>172.85</v>
      </c>
      <c r="L86" s="112">
        <v>33.19</v>
      </c>
      <c r="M86" s="112">
        <v>51.12</v>
      </c>
      <c r="N86" s="112">
        <v>0</v>
      </c>
      <c r="O86" s="112">
        <v>0</v>
      </c>
      <c r="P86" s="112">
        <v>0.53</v>
      </c>
      <c r="Q86" s="167" t="s">
        <v>14</v>
      </c>
    </row>
    <row r="87" spans="1:17" customFormat="1">
      <c r="A87" s="80">
        <v>45422.822916666664</v>
      </c>
      <c r="B87" s="112">
        <v>11.32</v>
      </c>
      <c r="C87" s="112">
        <v>13.2</v>
      </c>
      <c r="D87" s="112">
        <v>25.12</v>
      </c>
      <c r="E87" s="112">
        <v>12.95</v>
      </c>
      <c r="F87" s="112">
        <v>26.16</v>
      </c>
      <c r="G87" s="112">
        <v>28.48</v>
      </c>
      <c r="H87" s="112">
        <v>13.39</v>
      </c>
      <c r="I87" s="112">
        <v>5.42</v>
      </c>
      <c r="J87" s="112">
        <v>0.42</v>
      </c>
      <c r="K87" s="112">
        <v>78.95</v>
      </c>
      <c r="L87" s="112">
        <v>33.36</v>
      </c>
      <c r="M87" s="112">
        <v>48.87</v>
      </c>
      <c r="N87" s="112">
        <v>0</v>
      </c>
      <c r="O87" s="112">
        <v>0</v>
      </c>
      <c r="P87" s="112">
        <v>0.63</v>
      </c>
      <c r="Q87" s="167" t="s">
        <v>14</v>
      </c>
    </row>
    <row r="88" spans="1:17" customFormat="1">
      <c r="A88" s="80">
        <v>45422.833333333336</v>
      </c>
      <c r="B88" s="112">
        <v>11.32</v>
      </c>
      <c r="C88" s="112">
        <v>13.13</v>
      </c>
      <c r="D88" s="112">
        <v>25.08</v>
      </c>
      <c r="E88" s="112">
        <v>14.11</v>
      </c>
      <c r="F88" s="112">
        <v>12.63</v>
      </c>
      <c r="G88" s="112">
        <v>40.450000000000003</v>
      </c>
      <c r="H88" s="112">
        <v>13.62</v>
      </c>
      <c r="I88" s="112">
        <v>5.41</v>
      </c>
      <c r="J88" s="112">
        <v>1.75</v>
      </c>
      <c r="K88" s="112">
        <v>53.71</v>
      </c>
      <c r="L88" s="112">
        <v>32.880000000000003</v>
      </c>
      <c r="M88" s="112">
        <v>47.19</v>
      </c>
      <c r="N88" s="112">
        <v>0</v>
      </c>
      <c r="O88" s="112">
        <v>0</v>
      </c>
      <c r="P88" s="112">
        <v>0.6</v>
      </c>
      <c r="Q88" s="167" t="s">
        <v>14</v>
      </c>
    </row>
    <row r="89" spans="1:17" customFormat="1">
      <c r="A89" s="80">
        <v>45422.84375</v>
      </c>
      <c r="B89" s="112">
        <v>11.28</v>
      </c>
      <c r="C89" s="112">
        <v>13.12</v>
      </c>
      <c r="D89" s="112">
        <v>25.04</v>
      </c>
      <c r="E89" s="112">
        <v>12.19</v>
      </c>
      <c r="F89" s="112">
        <v>16.61</v>
      </c>
      <c r="G89" s="112">
        <v>43.45</v>
      </c>
      <c r="H89" s="112">
        <v>13.62</v>
      </c>
      <c r="I89" s="112">
        <v>5.81</v>
      </c>
      <c r="J89" s="112">
        <v>1.03</v>
      </c>
      <c r="K89" s="112">
        <v>63.08</v>
      </c>
      <c r="L89" s="112">
        <v>31.88</v>
      </c>
      <c r="M89" s="112">
        <v>48.28</v>
      </c>
      <c r="N89" s="112">
        <v>0</v>
      </c>
      <c r="O89" s="112">
        <v>0</v>
      </c>
      <c r="P89" s="112">
        <v>0.54</v>
      </c>
      <c r="Q89" s="167" t="s">
        <v>14</v>
      </c>
    </row>
    <row r="90" spans="1:17" customFormat="1">
      <c r="A90" s="80">
        <v>45422.854166666664</v>
      </c>
      <c r="B90" s="112">
        <v>11.3</v>
      </c>
      <c r="C90" s="112">
        <v>13.1</v>
      </c>
      <c r="D90" s="112">
        <v>25.05</v>
      </c>
      <c r="E90" s="112">
        <v>13.3</v>
      </c>
      <c r="F90" s="112">
        <v>15.38</v>
      </c>
      <c r="G90" s="112">
        <v>43.45</v>
      </c>
      <c r="H90" s="112">
        <v>13.62</v>
      </c>
      <c r="I90" s="112">
        <v>6.08</v>
      </c>
      <c r="J90" s="112">
        <v>1.33</v>
      </c>
      <c r="K90" s="112">
        <v>50.73</v>
      </c>
      <c r="L90" s="112">
        <v>31.46</v>
      </c>
      <c r="M90" s="112">
        <v>48.87</v>
      </c>
      <c r="N90" s="112">
        <v>0</v>
      </c>
      <c r="O90" s="112">
        <v>0</v>
      </c>
      <c r="P90" s="112">
        <v>0.54</v>
      </c>
      <c r="Q90" s="167" t="s">
        <v>14</v>
      </c>
    </row>
    <row r="91" spans="1:17" customFormat="1">
      <c r="A91" s="80">
        <v>45422.864583333336</v>
      </c>
      <c r="B91" s="112">
        <v>11.31</v>
      </c>
      <c r="C91" s="112">
        <v>13.1</v>
      </c>
      <c r="D91" s="112">
        <v>25.06</v>
      </c>
      <c r="E91" s="112">
        <v>12.77</v>
      </c>
      <c r="F91" s="112">
        <v>14.68</v>
      </c>
      <c r="G91" s="112">
        <v>43.45</v>
      </c>
      <c r="H91" s="112">
        <v>13.62</v>
      </c>
      <c r="I91" s="112">
        <v>5.69</v>
      </c>
      <c r="J91" s="112">
        <v>0.66</v>
      </c>
      <c r="K91" s="112">
        <v>76.239999999999995</v>
      </c>
      <c r="L91" s="112">
        <v>31.31</v>
      </c>
      <c r="M91" s="112">
        <v>49.01</v>
      </c>
      <c r="N91" s="112">
        <v>0</v>
      </c>
      <c r="O91" s="112">
        <v>0</v>
      </c>
      <c r="P91" s="112">
        <v>0.53</v>
      </c>
      <c r="Q91" s="167" t="s">
        <v>14</v>
      </c>
    </row>
    <row r="92" spans="1:17" customFormat="1">
      <c r="A92" s="80">
        <v>45422.875</v>
      </c>
      <c r="B92" s="112">
        <v>11.33</v>
      </c>
      <c r="C92" s="112">
        <v>13.1</v>
      </c>
      <c r="D92" s="112">
        <v>25.07</v>
      </c>
      <c r="E92" s="112">
        <v>14.4</v>
      </c>
      <c r="F92" s="112">
        <v>19.27</v>
      </c>
      <c r="G92" s="112">
        <v>58.19</v>
      </c>
      <c r="H92" s="112">
        <v>16.059999999999999</v>
      </c>
      <c r="I92" s="112">
        <v>5.66</v>
      </c>
      <c r="J92" s="112">
        <v>0.23</v>
      </c>
      <c r="K92" s="112">
        <v>133.47</v>
      </c>
      <c r="L92" s="112">
        <v>31.21</v>
      </c>
      <c r="M92" s="112">
        <v>50.17</v>
      </c>
      <c r="N92" s="112">
        <v>0</v>
      </c>
      <c r="O92" s="112">
        <v>0</v>
      </c>
      <c r="P92" s="112">
        <v>0.52</v>
      </c>
      <c r="Q92" s="167" t="s">
        <v>14</v>
      </c>
    </row>
    <row r="93" spans="1:17" customFormat="1">
      <c r="A93" s="80">
        <v>45422.885416666664</v>
      </c>
      <c r="B93" s="112">
        <v>11.33</v>
      </c>
      <c r="C93" s="112">
        <v>13.09</v>
      </c>
      <c r="D93" s="112">
        <v>25.06</v>
      </c>
      <c r="E93" s="112">
        <v>12.27</v>
      </c>
      <c r="F93" s="112">
        <v>21.95</v>
      </c>
      <c r="G93" s="112">
        <v>61.87</v>
      </c>
      <c r="H93" s="112">
        <v>16.059999999999999</v>
      </c>
      <c r="I93" s="112">
        <v>5.43</v>
      </c>
      <c r="J93" s="112">
        <v>0.2</v>
      </c>
      <c r="K93" s="112">
        <v>143.91</v>
      </c>
      <c r="L93" s="112">
        <v>30.82</v>
      </c>
      <c r="M93" s="112">
        <v>50.85</v>
      </c>
      <c r="N93" s="112">
        <v>0</v>
      </c>
      <c r="O93" s="112">
        <v>0</v>
      </c>
      <c r="P93" s="112">
        <v>0.48</v>
      </c>
      <c r="Q93" s="167" t="s">
        <v>14</v>
      </c>
    </row>
    <row r="94" spans="1:17" customFormat="1">
      <c r="A94" s="80">
        <v>45422.895833333336</v>
      </c>
      <c r="B94" s="112">
        <v>11.31</v>
      </c>
      <c r="C94" s="112">
        <v>13.17</v>
      </c>
      <c r="D94" s="112">
        <v>25.09</v>
      </c>
      <c r="E94" s="112">
        <v>13.9</v>
      </c>
      <c r="F94" s="112">
        <v>17.239999999999998</v>
      </c>
      <c r="G94" s="112">
        <v>61.87</v>
      </c>
      <c r="H94" s="112">
        <v>16.059999999999999</v>
      </c>
      <c r="I94" s="112">
        <v>5.24</v>
      </c>
      <c r="J94" s="112">
        <v>0.32</v>
      </c>
      <c r="K94" s="112">
        <v>113.28</v>
      </c>
      <c r="L94" s="112">
        <v>30.94</v>
      </c>
      <c r="M94" s="112">
        <v>49.46</v>
      </c>
      <c r="N94" s="112">
        <v>0</v>
      </c>
      <c r="O94" s="112">
        <v>0</v>
      </c>
      <c r="P94" s="112">
        <v>0.5</v>
      </c>
      <c r="Q94" s="167" t="s">
        <v>14</v>
      </c>
    </row>
    <row r="95" spans="1:17" customFormat="1">
      <c r="A95" s="80">
        <v>45422.90625</v>
      </c>
      <c r="B95" s="112">
        <v>11.27</v>
      </c>
      <c r="C95" s="112">
        <v>13.15</v>
      </c>
      <c r="D95" s="112">
        <v>25.05</v>
      </c>
      <c r="E95" s="112">
        <v>15.67</v>
      </c>
      <c r="F95" s="112">
        <v>12.93</v>
      </c>
      <c r="G95" s="112">
        <v>61.87</v>
      </c>
      <c r="H95" s="112">
        <v>16.059999999999999</v>
      </c>
      <c r="I95" s="112">
        <v>5.16</v>
      </c>
      <c r="J95" s="112">
        <v>0.78</v>
      </c>
      <c r="K95" s="112">
        <v>73.709999999999994</v>
      </c>
      <c r="L95" s="112">
        <v>30.97</v>
      </c>
      <c r="M95" s="112">
        <v>49.36</v>
      </c>
      <c r="N95" s="112">
        <v>0</v>
      </c>
      <c r="O95" s="112">
        <v>0</v>
      </c>
      <c r="P95" s="112">
        <v>0.52</v>
      </c>
      <c r="Q95" s="167" t="s">
        <v>14</v>
      </c>
    </row>
    <row r="96" spans="1:17" customFormat="1">
      <c r="A96" s="80">
        <v>45422.916666666664</v>
      </c>
      <c r="B96" s="112">
        <v>11.29</v>
      </c>
      <c r="C96" s="112">
        <v>13.08</v>
      </c>
      <c r="D96" s="112">
        <v>25.03</v>
      </c>
      <c r="E96" s="112">
        <v>11.87</v>
      </c>
      <c r="F96" s="112">
        <v>12.33</v>
      </c>
      <c r="G96" s="112">
        <v>66.86</v>
      </c>
      <c r="H96" s="112">
        <v>14.17</v>
      </c>
      <c r="I96" s="112">
        <v>5.31</v>
      </c>
      <c r="J96" s="112">
        <v>0.79</v>
      </c>
      <c r="K96" s="112">
        <v>74.23</v>
      </c>
      <c r="L96" s="112">
        <v>30.83</v>
      </c>
      <c r="M96" s="112">
        <v>50.37</v>
      </c>
      <c r="N96" s="112">
        <v>0</v>
      </c>
      <c r="O96" s="112">
        <v>0</v>
      </c>
      <c r="P96" s="112">
        <v>0.5</v>
      </c>
      <c r="Q96" s="167" t="s">
        <v>14</v>
      </c>
    </row>
    <row r="97" spans="1:22" customFormat="1">
      <c r="A97" s="80">
        <v>45422.927083333336</v>
      </c>
      <c r="B97" s="112">
        <v>11.3</v>
      </c>
      <c r="C97" s="112">
        <v>13.09</v>
      </c>
      <c r="D97" s="112">
        <v>25.04</v>
      </c>
      <c r="E97" s="112">
        <v>17.21</v>
      </c>
      <c r="F97" s="112">
        <v>17.88</v>
      </c>
      <c r="G97" s="112">
        <v>68.11</v>
      </c>
      <c r="H97" s="112">
        <v>14.17</v>
      </c>
      <c r="I97" s="112">
        <v>5.25</v>
      </c>
      <c r="J97" s="112">
        <v>0.15</v>
      </c>
      <c r="K97" s="112">
        <v>175.42</v>
      </c>
      <c r="L97" s="112">
        <v>30.51</v>
      </c>
      <c r="M97" s="112">
        <v>52.8</v>
      </c>
      <c r="N97" s="112">
        <v>0</v>
      </c>
      <c r="O97" s="112">
        <v>0</v>
      </c>
      <c r="P97" s="112">
        <v>0.46</v>
      </c>
      <c r="Q97" s="167" t="s">
        <v>14</v>
      </c>
    </row>
    <row r="98" spans="1:22" customFormat="1">
      <c r="A98" s="80">
        <v>45422.9375</v>
      </c>
      <c r="B98" s="112">
        <v>11.29</v>
      </c>
      <c r="C98" s="112">
        <v>13.09</v>
      </c>
      <c r="D98" s="112">
        <v>25.04</v>
      </c>
      <c r="E98" s="112">
        <v>17.86</v>
      </c>
      <c r="F98" s="112">
        <v>19.649999999999999</v>
      </c>
      <c r="G98" s="112">
        <v>68.11</v>
      </c>
      <c r="H98" s="112">
        <v>14.17</v>
      </c>
      <c r="I98" s="112">
        <v>4.97</v>
      </c>
      <c r="J98" s="112">
        <v>0.15</v>
      </c>
      <c r="K98" s="112">
        <v>244.52</v>
      </c>
      <c r="L98" s="112">
        <v>29.97</v>
      </c>
      <c r="M98" s="112">
        <v>54.89</v>
      </c>
      <c r="N98" s="112">
        <v>0</v>
      </c>
      <c r="O98" s="112">
        <v>0</v>
      </c>
      <c r="P98" s="112">
        <v>0.46</v>
      </c>
      <c r="Q98" s="167" t="s">
        <v>14</v>
      </c>
    </row>
    <row r="99" spans="1:22" customFormat="1">
      <c r="A99" s="80">
        <v>45422.947916666664</v>
      </c>
      <c r="B99" s="112">
        <v>11.31</v>
      </c>
      <c r="C99" s="112">
        <v>13.07</v>
      </c>
      <c r="D99" s="112">
        <v>25.04</v>
      </c>
      <c r="E99" s="112">
        <v>14.16</v>
      </c>
      <c r="F99" s="112">
        <v>17.04</v>
      </c>
      <c r="G99" s="112">
        <v>68.11</v>
      </c>
      <c r="H99" s="112">
        <v>14.17</v>
      </c>
      <c r="I99" s="112">
        <v>4.74</v>
      </c>
      <c r="J99" s="112">
        <v>0.15</v>
      </c>
      <c r="K99" s="112">
        <v>327.67</v>
      </c>
      <c r="L99" s="112">
        <v>29.81</v>
      </c>
      <c r="M99" s="112">
        <v>56.26</v>
      </c>
      <c r="N99" s="112">
        <v>0</v>
      </c>
      <c r="O99" s="112">
        <v>0</v>
      </c>
      <c r="P99" s="112">
        <v>0.47</v>
      </c>
      <c r="Q99" s="167" t="s">
        <v>14</v>
      </c>
    </row>
    <row r="100" spans="1:22" customFormat="1">
      <c r="A100" s="80">
        <v>45422.958333333336</v>
      </c>
      <c r="B100" s="112">
        <v>11.31</v>
      </c>
      <c r="C100" s="112">
        <v>13.15</v>
      </c>
      <c r="D100" s="112">
        <v>25.08</v>
      </c>
      <c r="E100" s="112">
        <v>14.59</v>
      </c>
      <c r="F100" s="112">
        <v>14.37</v>
      </c>
      <c r="G100" s="112">
        <v>64.64</v>
      </c>
      <c r="H100" s="112">
        <v>15.17</v>
      </c>
      <c r="I100" s="112">
        <v>4.5599999999999996</v>
      </c>
      <c r="J100" s="112">
        <v>0.18</v>
      </c>
      <c r="K100" s="112">
        <v>334.12</v>
      </c>
      <c r="L100" s="112">
        <v>29.81</v>
      </c>
      <c r="M100" s="112">
        <v>55.51</v>
      </c>
      <c r="N100" s="112">
        <v>0</v>
      </c>
      <c r="O100" s="112">
        <v>0</v>
      </c>
      <c r="P100" s="112">
        <v>0.49</v>
      </c>
      <c r="Q100" s="167" t="s">
        <v>14</v>
      </c>
    </row>
    <row r="101" spans="1:22" customFormat="1">
      <c r="A101" s="80">
        <v>45422.96875</v>
      </c>
      <c r="B101" s="112">
        <v>11.31</v>
      </c>
      <c r="C101" s="112">
        <v>13.09</v>
      </c>
      <c r="D101" s="112">
        <v>25.06</v>
      </c>
      <c r="E101" s="112">
        <v>15.17</v>
      </c>
      <c r="F101" s="112">
        <v>13.45</v>
      </c>
      <c r="G101" s="112">
        <v>63.77</v>
      </c>
      <c r="H101" s="112">
        <v>15.17</v>
      </c>
      <c r="I101" s="112">
        <v>4.7</v>
      </c>
      <c r="J101" s="112">
        <v>0.12</v>
      </c>
      <c r="K101" s="112">
        <v>353.27</v>
      </c>
      <c r="L101" s="112">
        <v>29.94</v>
      </c>
      <c r="M101" s="112">
        <v>55.31</v>
      </c>
      <c r="N101" s="112">
        <v>0</v>
      </c>
      <c r="O101" s="112">
        <v>0</v>
      </c>
      <c r="P101" s="112">
        <v>0.49</v>
      </c>
      <c r="Q101" s="167" t="s">
        <v>14</v>
      </c>
    </row>
    <row r="102" spans="1:22" customFormat="1">
      <c r="A102" s="80">
        <v>45422.979166666664</v>
      </c>
      <c r="B102" s="112">
        <v>11.31</v>
      </c>
      <c r="C102" s="112">
        <v>13.12</v>
      </c>
      <c r="D102" s="112">
        <v>25.07</v>
      </c>
      <c r="E102" s="112">
        <v>13.37</v>
      </c>
      <c r="F102" s="112">
        <v>13.24</v>
      </c>
      <c r="G102" s="112">
        <v>63.77</v>
      </c>
      <c r="H102" s="112">
        <v>15.17</v>
      </c>
      <c r="I102" s="112">
        <v>4.79</v>
      </c>
      <c r="J102" s="112">
        <v>0.27</v>
      </c>
      <c r="K102" s="112">
        <v>178.78</v>
      </c>
      <c r="L102" s="112">
        <v>29.41</v>
      </c>
      <c r="M102" s="112">
        <v>59.01</v>
      </c>
      <c r="N102" s="112">
        <v>0</v>
      </c>
      <c r="O102" s="112">
        <v>0</v>
      </c>
      <c r="P102" s="112">
        <v>0.47</v>
      </c>
      <c r="Q102" s="167" t="s">
        <v>14</v>
      </c>
    </row>
    <row r="103" spans="1:22" customFormat="1">
      <c r="A103" s="80">
        <v>45422.989583333336</v>
      </c>
      <c r="B103" s="112">
        <v>11.34</v>
      </c>
      <c r="C103" s="112">
        <v>13.08</v>
      </c>
      <c r="D103" s="112">
        <v>25.07</v>
      </c>
      <c r="E103" s="112">
        <v>12.67</v>
      </c>
      <c r="F103" s="112">
        <v>10.84</v>
      </c>
      <c r="G103" s="112">
        <v>63.77</v>
      </c>
      <c r="H103" s="112">
        <v>15.17</v>
      </c>
      <c r="I103" s="112">
        <v>4.6900000000000004</v>
      </c>
      <c r="J103" s="112">
        <v>0.1</v>
      </c>
      <c r="K103" s="112">
        <v>124.51</v>
      </c>
      <c r="L103" s="112">
        <v>28.99</v>
      </c>
      <c r="M103" s="112">
        <v>61.47</v>
      </c>
      <c r="N103" s="112">
        <v>0</v>
      </c>
      <c r="O103" s="112">
        <v>0</v>
      </c>
      <c r="P103" s="112">
        <v>0.48</v>
      </c>
      <c r="Q103" s="167" t="s">
        <v>14</v>
      </c>
    </row>
    <row r="104" spans="1:22" customFormat="1">
      <c r="A104" s="80">
        <v>45423</v>
      </c>
      <c r="B104" s="112">
        <v>11.34</v>
      </c>
      <c r="C104" s="112">
        <v>13.12</v>
      </c>
      <c r="D104" s="112">
        <v>25.09</v>
      </c>
      <c r="E104" s="112">
        <v>13.12</v>
      </c>
      <c r="F104" s="112">
        <v>4.28</v>
      </c>
      <c r="G104" s="112">
        <v>61.92</v>
      </c>
      <c r="H104" s="112">
        <v>16.34</v>
      </c>
      <c r="I104" s="112">
        <v>4.78</v>
      </c>
      <c r="J104" s="112">
        <v>0.49</v>
      </c>
      <c r="K104" s="112">
        <v>39.07</v>
      </c>
      <c r="L104" s="112">
        <v>29.38</v>
      </c>
      <c r="M104" s="112">
        <v>57.4</v>
      </c>
      <c r="N104" s="112">
        <v>0</v>
      </c>
      <c r="O104" s="112">
        <v>0</v>
      </c>
      <c r="P104" s="112">
        <v>0.52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11.21</v>
      </c>
      <c r="C106" s="183">
        <f>MIN(C9:C104)</f>
        <v>13.05</v>
      </c>
      <c r="D106" s="183">
        <f t="shared" ref="D106:Q106" si="0">MIN(D9:D104)</f>
        <v>25</v>
      </c>
      <c r="E106" s="183">
        <f t="shared" si="0"/>
        <v>10.77</v>
      </c>
      <c r="F106" s="183">
        <f t="shared" si="0"/>
        <v>1</v>
      </c>
      <c r="G106" s="183">
        <f t="shared" si="0"/>
        <v>23.4</v>
      </c>
      <c r="H106" s="183">
        <f t="shared" si="0"/>
        <v>8.56</v>
      </c>
      <c r="I106" s="183">
        <f t="shared" si="0"/>
        <v>4.5599999999999996</v>
      </c>
      <c r="J106" s="183">
        <f t="shared" si="0"/>
        <v>0.1</v>
      </c>
      <c r="K106" s="183">
        <f t="shared" si="0"/>
        <v>35.97</v>
      </c>
      <c r="L106" s="183">
        <f t="shared" si="0"/>
        <v>24.14</v>
      </c>
      <c r="M106" s="183">
        <f t="shared" si="0"/>
        <v>32.79</v>
      </c>
      <c r="N106" s="183">
        <f t="shared" si="0"/>
        <v>0</v>
      </c>
      <c r="O106" s="183">
        <f t="shared" si="0"/>
        <v>0</v>
      </c>
      <c r="P106" s="183">
        <f t="shared" si="0"/>
        <v>0.41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11.38</v>
      </c>
      <c r="C107" s="184">
        <f t="shared" ref="C107:Q107" si="1">MAX(C9:C104)</f>
        <v>13.22</v>
      </c>
      <c r="D107" s="184">
        <f t="shared" si="1"/>
        <v>25.14</v>
      </c>
      <c r="E107" s="184">
        <f t="shared" si="1"/>
        <v>17.86</v>
      </c>
      <c r="F107" s="184">
        <f t="shared" si="1"/>
        <v>30.8</v>
      </c>
      <c r="G107" s="184">
        <f t="shared" si="1"/>
        <v>68.11</v>
      </c>
      <c r="H107" s="184">
        <f t="shared" si="1"/>
        <v>16.34</v>
      </c>
      <c r="I107" s="184">
        <f t="shared" si="1"/>
        <v>8.24</v>
      </c>
      <c r="J107" s="184">
        <f t="shared" si="1"/>
        <v>1.76</v>
      </c>
      <c r="K107" s="184">
        <f t="shared" si="1"/>
        <v>353.27</v>
      </c>
      <c r="L107" s="184">
        <f t="shared" si="1"/>
        <v>38.21</v>
      </c>
      <c r="M107" s="184">
        <f t="shared" si="1"/>
        <v>79.92</v>
      </c>
      <c r="N107" s="184">
        <f t="shared" si="1"/>
        <v>842.2</v>
      </c>
      <c r="O107" s="184">
        <f t="shared" si="1"/>
        <v>0</v>
      </c>
      <c r="P107" s="184">
        <f t="shared" si="1"/>
        <v>0.63</v>
      </c>
      <c r="Q107" s="184">
        <f t="shared" si="1"/>
        <v>0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11.289374999999994</v>
      </c>
      <c r="C108" s="183">
        <f t="shared" ref="C108:P108" si="2">AVERAGE(C9:C104)</f>
        <v>13.121770833333327</v>
      </c>
      <c r="D108" s="183">
        <f t="shared" si="2"/>
        <v>25.052916666666651</v>
      </c>
      <c r="E108" s="183">
        <f t="shared" si="2"/>
        <v>14.049270833333333</v>
      </c>
      <c r="F108" s="183">
        <f t="shared" si="2"/>
        <v>9.9705208333333317</v>
      </c>
      <c r="G108" s="183">
        <f t="shared" si="2"/>
        <v>34.935833333333335</v>
      </c>
      <c r="H108" s="183">
        <f t="shared" si="2"/>
        <v>11.871354166666672</v>
      </c>
      <c r="I108" s="183">
        <f t="shared" si="2"/>
        <v>5.9942708333333314</v>
      </c>
      <c r="J108" s="183">
        <f t="shared" si="2"/>
        <v>0.67604166666666643</v>
      </c>
      <c r="K108" s="183">
        <f t="shared" si="2"/>
        <v>217.14479166666663</v>
      </c>
      <c r="L108" s="183">
        <f t="shared" si="2"/>
        <v>31.30854166666667</v>
      </c>
      <c r="M108" s="183">
        <f t="shared" si="2"/>
        <v>54.156145833333341</v>
      </c>
      <c r="N108" s="183">
        <f t="shared" si="2"/>
        <v>191.90729166666674</v>
      </c>
      <c r="O108" s="183">
        <f t="shared" si="2"/>
        <v>0</v>
      </c>
      <c r="P108" s="183">
        <f t="shared" si="2"/>
        <v>0.49583333333333335</v>
      </c>
      <c r="Q108" s="167" t="s">
        <v>14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3.9942392728054055E-2</v>
      </c>
      <c r="C109" s="183">
        <f t="shared" ref="C109:P109" si="3">STDEV(C9:C104)</f>
        <v>3.512368496633065E-2</v>
      </c>
      <c r="D109" s="183">
        <f t="shared" si="3"/>
        <v>3.6271394170719423E-2</v>
      </c>
      <c r="E109" s="183">
        <f t="shared" si="3"/>
        <v>1.5487103258019634</v>
      </c>
      <c r="F109" s="183">
        <f t="shared" si="3"/>
        <v>8.5504382614413004</v>
      </c>
      <c r="G109" s="183">
        <f t="shared" si="3"/>
        <v>12.293042162704696</v>
      </c>
      <c r="H109" s="183">
        <f t="shared" si="3"/>
        <v>1.9535423262918743</v>
      </c>
      <c r="I109" s="183">
        <f t="shared" si="3"/>
        <v>0.90689144570795399</v>
      </c>
      <c r="J109" s="183">
        <f t="shared" si="3"/>
        <v>0.5048949430413936</v>
      </c>
      <c r="K109" s="183">
        <f t="shared" si="3"/>
        <v>75.749826763452134</v>
      </c>
      <c r="L109" s="183">
        <f t="shared" si="3"/>
        <v>4.7442188595930928</v>
      </c>
      <c r="M109" s="183">
        <f t="shared" si="3"/>
        <v>15.294225492325046</v>
      </c>
      <c r="N109" s="183">
        <f t="shared" si="3"/>
        <v>286.16207856637789</v>
      </c>
      <c r="O109" s="183">
        <f t="shared" si="3"/>
        <v>0</v>
      </c>
      <c r="P109" s="183">
        <f t="shared" si="3"/>
        <v>4.0384120554771682E-2</v>
      </c>
      <c r="Q109" s="167" t="s">
        <v>14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0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Q27" sqref="Q11:Q27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45423.010416666664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45423.010416666664</v>
      </c>
      <c r="B9" s="112">
        <v>11.29</v>
      </c>
      <c r="C9" s="112">
        <v>13.19</v>
      </c>
      <c r="D9" s="112">
        <v>25.09</v>
      </c>
      <c r="E9" s="112">
        <v>11.72</v>
      </c>
      <c r="F9" s="112">
        <v>2.14</v>
      </c>
      <c r="G9" s="112">
        <v>61.46</v>
      </c>
      <c r="H9" s="112">
        <v>16.34</v>
      </c>
      <c r="I9" s="112">
        <v>4.9400000000000004</v>
      </c>
      <c r="J9" s="112">
        <v>0.12</v>
      </c>
      <c r="K9" s="112">
        <v>180.56</v>
      </c>
      <c r="L9" s="112">
        <v>29.45</v>
      </c>
      <c r="M9" s="112">
        <v>58.99</v>
      </c>
      <c r="N9" s="112">
        <v>0</v>
      </c>
      <c r="O9" s="112">
        <v>0</v>
      </c>
      <c r="P9" s="112">
        <v>0.51</v>
      </c>
      <c r="Q9" s="112">
        <v>4.63</v>
      </c>
    </row>
    <row r="10" spans="1:21" customFormat="1">
      <c r="A10" s="80">
        <v>45423.020833333336</v>
      </c>
      <c r="B10" s="112">
        <v>11.28</v>
      </c>
      <c r="C10" s="112">
        <v>13.17</v>
      </c>
      <c r="D10" s="112">
        <v>25.07</v>
      </c>
      <c r="E10" s="112">
        <v>10.86</v>
      </c>
      <c r="F10" s="112">
        <v>2.59</v>
      </c>
      <c r="G10" s="112">
        <v>61.46</v>
      </c>
      <c r="H10" s="112">
        <v>16.34</v>
      </c>
      <c r="I10" s="112">
        <v>5.2</v>
      </c>
      <c r="J10" s="112">
        <v>0.11</v>
      </c>
      <c r="K10" s="112">
        <v>98.5</v>
      </c>
      <c r="L10" s="112">
        <v>29.57</v>
      </c>
      <c r="M10" s="112">
        <v>57.82</v>
      </c>
      <c r="N10" s="112">
        <v>0</v>
      </c>
      <c r="O10" s="112">
        <v>0</v>
      </c>
      <c r="P10" s="112">
        <v>0.52</v>
      </c>
      <c r="Q10" s="112">
        <v>4.63</v>
      </c>
    </row>
    <row r="11" spans="1:21" customFormat="1">
      <c r="A11" s="80">
        <v>45423.03125</v>
      </c>
      <c r="B11" s="112">
        <v>11.31</v>
      </c>
      <c r="C11" s="112">
        <v>13.12</v>
      </c>
      <c r="D11" s="112">
        <v>25.07</v>
      </c>
      <c r="E11" s="112">
        <v>11.02</v>
      </c>
      <c r="F11" s="112">
        <v>2.17</v>
      </c>
      <c r="G11" s="112">
        <v>61.46</v>
      </c>
      <c r="H11" s="112">
        <v>16.34</v>
      </c>
      <c r="I11" s="112">
        <v>5.42</v>
      </c>
      <c r="J11" s="112">
        <v>0.22</v>
      </c>
      <c r="K11" s="112">
        <v>196.06</v>
      </c>
      <c r="L11" s="112">
        <v>29.23</v>
      </c>
      <c r="M11" s="112">
        <v>62.56</v>
      </c>
      <c r="N11" s="112">
        <v>0</v>
      </c>
      <c r="O11" s="112">
        <v>0</v>
      </c>
      <c r="P11" s="112">
        <v>0.53</v>
      </c>
      <c r="Q11" s="167" t="s">
        <v>14</v>
      </c>
    </row>
    <row r="12" spans="1:21" customFormat="1">
      <c r="A12" s="80">
        <v>45423.041666666664</v>
      </c>
      <c r="B12" s="112">
        <v>11.29</v>
      </c>
      <c r="C12" s="112">
        <v>13.11</v>
      </c>
      <c r="D12" s="112">
        <v>25.05</v>
      </c>
      <c r="E12" s="112">
        <v>10.63</v>
      </c>
      <c r="F12" s="112">
        <v>1.04</v>
      </c>
      <c r="G12" s="112">
        <v>62.74</v>
      </c>
      <c r="H12" s="112">
        <v>15.35</v>
      </c>
      <c r="I12" s="112">
        <v>5.44</v>
      </c>
      <c r="J12" s="112">
        <v>0.13</v>
      </c>
      <c r="K12" s="112">
        <v>156.43</v>
      </c>
      <c r="L12" s="112">
        <v>28.71</v>
      </c>
      <c r="M12" s="112">
        <v>63.78</v>
      </c>
      <c r="N12" s="112">
        <v>0</v>
      </c>
      <c r="O12" s="112">
        <v>0</v>
      </c>
      <c r="P12" s="112">
        <v>0.53</v>
      </c>
      <c r="Q12" s="167" t="s">
        <v>14</v>
      </c>
    </row>
    <row r="13" spans="1:21" customFormat="1">
      <c r="A13" s="80">
        <v>45423.052083333336</v>
      </c>
      <c r="B13" s="112">
        <v>11.31</v>
      </c>
      <c r="C13" s="112">
        <v>13.16</v>
      </c>
      <c r="D13" s="112">
        <v>25.08</v>
      </c>
      <c r="E13" s="112">
        <v>10.43</v>
      </c>
      <c r="F13" s="112">
        <v>1.17</v>
      </c>
      <c r="G13" s="112">
        <v>63.06</v>
      </c>
      <c r="H13" s="112">
        <v>15.35</v>
      </c>
      <c r="I13" s="112">
        <v>5.51</v>
      </c>
      <c r="J13" s="112">
        <v>0.21</v>
      </c>
      <c r="K13" s="112">
        <v>152.6</v>
      </c>
      <c r="L13" s="112">
        <v>28.86</v>
      </c>
      <c r="M13" s="112">
        <v>63.4</v>
      </c>
      <c r="N13" s="112">
        <v>0</v>
      </c>
      <c r="O13" s="112">
        <v>0</v>
      </c>
      <c r="P13" s="112">
        <v>0.53</v>
      </c>
      <c r="Q13" s="167" t="s">
        <v>14</v>
      </c>
    </row>
    <row r="14" spans="1:21" customFormat="1">
      <c r="A14" s="80">
        <v>45423.0625</v>
      </c>
      <c r="B14" s="112">
        <v>11.34</v>
      </c>
      <c r="C14" s="112">
        <v>13.22</v>
      </c>
      <c r="D14" s="112">
        <v>25.14</v>
      </c>
      <c r="E14" s="112">
        <v>10.48</v>
      </c>
      <c r="F14" s="112">
        <v>1</v>
      </c>
      <c r="G14" s="112">
        <v>63.06</v>
      </c>
      <c r="H14" s="112">
        <v>15.35</v>
      </c>
      <c r="I14" s="112">
        <v>5.52</v>
      </c>
      <c r="J14" s="112">
        <v>0.19</v>
      </c>
      <c r="K14" s="112">
        <v>140.47999999999999</v>
      </c>
      <c r="L14" s="112">
        <v>28.67</v>
      </c>
      <c r="M14" s="112">
        <v>64.89</v>
      </c>
      <c r="N14" s="112">
        <v>0</v>
      </c>
      <c r="O14" s="112">
        <v>0</v>
      </c>
      <c r="P14" s="112">
        <v>0.53</v>
      </c>
      <c r="Q14" s="167" t="s">
        <v>14</v>
      </c>
    </row>
    <row r="15" spans="1:21" customFormat="1">
      <c r="A15" s="80">
        <v>45423.072916666664</v>
      </c>
      <c r="B15" s="112">
        <v>11.31</v>
      </c>
      <c r="C15" s="112">
        <v>13.2</v>
      </c>
      <c r="D15" s="112">
        <v>25.11</v>
      </c>
      <c r="E15" s="112">
        <v>10.86</v>
      </c>
      <c r="F15" s="112">
        <v>1</v>
      </c>
      <c r="G15" s="112">
        <v>63.06</v>
      </c>
      <c r="H15" s="112">
        <v>15.35</v>
      </c>
      <c r="I15" s="112">
        <v>5.53</v>
      </c>
      <c r="J15" s="112">
        <v>0.22</v>
      </c>
      <c r="K15" s="112">
        <v>98.99</v>
      </c>
      <c r="L15" s="112">
        <v>28.53</v>
      </c>
      <c r="M15" s="112">
        <v>64.55</v>
      </c>
      <c r="N15" s="112">
        <v>0</v>
      </c>
      <c r="O15" s="112">
        <v>0</v>
      </c>
      <c r="P15" s="112">
        <v>0.53</v>
      </c>
      <c r="Q15" s="167" t="s">
        <v>14</v>
      </c>
    </row>
    <row r="16" spans="1:21" customFormat="1">
      <c r="A16" s="80">
        <v>45423.083333333336</v>
      </c>
      <c r="B16" s="112">
        <v>11.32</v>
      </c>
      <c r="C16" s="112">
        <v>13.17</v>
      </c>
      <c r="D16" s="112">
        <v>25.1</v>
      </c>
      <c r="E16" s="112">
        <v>10.33</v>
      </c>
      <c r="F16" s="112">
        <v>1</v>
      </c>
      <c r="G16" s="112">
        <v>61.8</v>
      </c>
      <c r="H16" s="112">
        <v>17.809999999999999</v>
      </c>
      <c r="I16" s="112">
        <v>5.55</v>
      </c>
      <c r="J16" s="112">
        <v>0.12</v>
      </c>
      <c r="K16" s="112">
        <v>39.35</v>
      </c>
      <c r="L16" s="112">
        <v>28.41</v>
      </c>
      <c r="M16" s="112">
        <v>64.72</v>
      </c>
      <c r="N16" s="112">
        <v>0</v>
      </c>
      <c r="O16" s="112">
        <v>0</v>
      </c>
      <c r="P16" s="112">
        <v>0.53</v>
      </c>
      <c r="Q16" s="167" t="s">
        <v>14</v>
      </c>
    </row>
    <row r="17" spans="1:17" customFormat="1">
      <c r="A17" s="80">
        <v>45423.09375</v>
      </c>
      <c r="B17" s="112">
        <v>11.34</v>
      </c>
      <c r="C17" s="112">
        <v>13.13</v>
      </c>
      <c r="D17" s="112">
        <v>25.1</v>
      </c>
      <c r="E17" s="112">
        <v>9.23</v>
      </c>
      <c r="F17" s="112">
        <v>1</v>
      </c>
      <c r="G17" s="112">
        <v>61.48</v>
      </c>
      <c r="H17" s="112">
        <v>17.809999999999999</v>
      </c>
      <c r="I17" s="112">
        <v>5.49</v>
      </c>
      <c r="J17" s="112">
        <v>0.5</v>
      </c>
      <c r="K17" s="112">
        <v>26.12</v>
      </c>
      <c r="L17" s="112">
        <v>28.37</v>
      </c>
      <c r="M17" s="112">
        <v>63.48</v>
      </c>
      <c r="N17" s="112">
        <v>0</v>
      </c>
      <c r="O17" s="112">
        <v>0</v>
      </c>
      <c r="P17" s="112">
        <v>0.53</v>
      </c>
      <c r="Q17" s="167" t="s">
        <v>14</v>
      </c>
    </row>
    <row r="18" spans="1:17" customFormat="1">
      <c r="A18" s="80">
        <v>45423.104166666664</v>
      </c>
      <c r="B18" s="112">
        <v>11.34</v>
      </c>
      <c r="C18" s="112">
        <v>13.16</v>
      </c>
      <c r="D18" s="112">
        <v>25.12</v>
      </c>
      <c r="E18" s="112">
        <v>11.24</v>
      </c>
      <c r="F18" s="112">
        <v>1</v>
      </c>
      <c r="G18" s="112">
        <v>61.48</v>
      </c>
      <c r="H18" s="112">
        <v>17.809999999999999</v>
      </c>
      <c r="I18" s="112">
        <v>5.47</v>
      </c>
      <c r="J18" s="112">
        <v>0.59</v>
      </c>
      <c r="K18" s="112">
        <v>44.38</v>
      </c>
      <c r="L18" s="112">
        <v>28.3</v>
      </c>
      <c r="M18" s="112">
        <v>63.12</v>
      </c>
      <c r="N18" s="112">
        <v>0</v>
      </c>
      <c r="O18" s="112">
        <v>0</v>
      </c>
      <c r="P18" s="112">
        <v>0.52</v>
      </c>
      <c r="Q18" s="167" t="s">
        <v>14</v>
      </c>
    </row>
    <row r="19" spans="1:17" customFormat="1">
      <c r="A19" s="80">
        <v>45423.114583333336</v>
      </c>
      <c r="B19" s="112">
        <v>11.32</v>
      </c>
      <c r="C19" s="112">
        <v>13.13</v>
      </c>
      <c r="D19" s="112">
        <v>25.08</v>
      </c>
      <c r="E19" s="112">
        <v>11.51</v>
      </c>
      <c r="F19" s="112">
        <v>1</v>
      </c>
      <c r="G19" s="112">
        <v>61.48</v>
      </c>
      <c r="H19" s="112">
        <v>17.809999999999999</v>
      </c>
      <c r="I19" s="112">
        <v>5.54</v>
      </c>
      <c r="J19" s="112">
        <v>0.69</v>
      </c>
      <c r="K19" s="112">
        <v>42.21</v>
      </c>
      <c r="L19" s="112">
        <v>28.15</v>
      </c>
      <c r="M19" s="112">
        <v>62.62</v>
      </c>
      <c r="N19" s="112">
        <v>0</v>
      </c>
      <c r="O19" s="112">
        <v>0</v>
      </c>
      <c r="P19" s="112">
        <v>0.53</v>
      </c>
      <c r="Q19" s="167" t="s">
        <v>14</v>
      </c>
    </row>
    <row r="20" spans="1:17" customFormat="1">
      <c r="A20" s="80">
        <v>45423.125</v>
      </c>
      <c r="B20" s="112">
        <v>11.3</v>
      </c>
      <c r="C20" s="112">
        <v>13.15</v>
      </c>
      <c r="D20" s="112">
        <v>25.07</v>
      </c>
      <c r="E20" s="112">
        <v>12.67</v>
      </c>
      <c r="F20" s="112">
        <v>1</v>
      </c>
      <c r="G20" s="112">
        <v>65.03</v>
      </c>
      <c r="H20" s="112">
        <v>18.79</v>
      </c>
      <c r="I20" s="112">
        <v>5.6</v>
      </c>
      <c r="J20" s="112">
        <v>1.01</v>
      </c>
      <c r="K20" s="112">
        <v>55.21</v>
      </c>
      <c r="L20" s="112">
        <v>27.76</v>
      </c>
      <c r="M20" s="112">
        <v>62.98</v>
      </c>
      <c r="N20" s="112">
        <v>0</v>
      </c>
      <c r="O20" s="112">
        <v>0</v>
      </c>
      <c r="P20" s="112">
        <v>0.53</v>
      </c>
      <c r="Q20" s="167" t="s">
        <v>14</v>
      </c>
    </row>
    <row r="21" spans="1:17" customFormat="1">
      <c r="A21" s="80">
        <v>45423.135416666664</v>
      </c>
      <c r="B21" s="112">
        <v>11.3</v>
      </c>
      <c r="C21" s="112">
        <v>13.15</v>
      </c>
      <c r="D21" s="112">
        <v>25.08</v>
      </c>
      <c r="E21" s="112">
        <v>12.17</v>
      </c>
      <c r="F21" s="112">
        <v>1</v>
      </c>
      <c r="G21" s="112">
        <v>65.91</v>
      </c>
      <c r="H21" s="112">
        <v>18.79</v>
      </c>
      <c r="I21" s="112">
        <v>5.6</v>
      </c>
      <c r="J21" s="112">
        <v>0.74</v>
      </c>
      <c r="K21" s="112">
        <v>38.56</v>
      </c>
      <c r="L21" s="112">
        <v>27.43</v>
      </c>
      <c r="M21" s="112">
        <v>64.3</v>
      </c>
      <c r="N21" s="112">
        <v>0</v>
      </c>
      <c r="O21" s="112">
        <v>0</v>
      </c>
      <c r="P21" s="112">
        <v>0.53</v>
      </c>
      <c r="Q21" s="167" t="s">
        <v>14</v>
      </c>
    </row>
    <row r="22" spans="1:17" customFormat="1">
      <c r="A22" s="80">
        <v>45423.145833333336</v>
      </c>
      <c r="B22" s="112">
        <v>11.31</v>
      </c>
      <c r="C22" s="112">
        <v>13.13</v>
      </c>
      <c r="D22" s="112">
        <v>25.08</v>
      </c>
      <c r="E22" s="112">
        <v>12.01</v>
      </c>
      <c r="F22" s="112">
        <v>1</v>
      </c>
      <c r="G22" s="112">
        <v>65.91</v>
      </c>
      <c r="H22" s="112">
        <v>18.79</v>
      </c>
      <c r="I22" s="112">
        <v>5.59</v>
      </c>
      <c r="J22" s="112">
        <v>0.63</v>
      </c>
      <c r="K22" s="112">
        <v>38.590000000000003</v>
      </c>
      <c r="L22" s="112">
        <v>27.17</v>
      </c>
      <c r="M22" s="112">
        <v>65.42</v>
      </c>
      <c r="N22" s="112">
        <v>0</v>
      </c>
      <c r="O22" s="112">
        <v>0</v>
      </c>
      <c r="P22" s="112">
        <v>0.52</v>
      </c>
      <c r="Q22" s="167" t="s">
        <v>14</v>
      </c>
    </row>
    <row r="23" spans="1:17" customFormat="1">
      <c r="A23" s="80">
        <v>45423.15625</v>
      </c>
      <c r="B23" s="112">
        <v>11.29</v>
      </c>
      <c r="C23" s="112">
        <v>13.13</v>
      </c>
      <c r="D23" s="112">
        <v>25.06</v>
      </c>
      <c r="E23" s="112">
        <v>11.7</v>
      </c>
      <c r="F23" s="112">
        <v>1</v>
      </c>
      <c r="G23" s="112">
        <v>65.91</v>
      </c>
      <c r="H23" s="112">
        <v>18.79</v>
      </c>
      <c r="I23" s="112">
        <v>5.6</v>
      </c>
      <c r="J23" s="112">
        <v>0.48</v>
      </c>
      <c r="K23" s="112">
        <v>45.15</v>
      </c>
      <c r="L23" s="112">
        <v>27.2</v>
      </c>
      <c r="M23" s="112">
        <v>64.92</v>
      </c>
      <c r="N23" s="112">
        <v>0</v>
      </c>
      <c r="O23" s="112">
        <v>0</v>
      </c>
      <c r="P23" s="112">
        <v>0.52</v>
      </c>
      <c r="Q23" s="167" t="s">
        <v>14</v>
      </c>
    </row>
    <row r="24" spans="1:17" customFormat="1">
      <c r="A24" s="80">
        <v>45423.166666666664</v>
      </c>
      <c r="B24" s="112">
        <v>11.3</v>
      </c>
      <c r="C24" s="112">
        <v>13.14</v>
      </c>
      <c r="D24" s="112">
        <v>25.07</v>
      </c>
      <c r="E24" s="112">
        <v>11.97</v>
      </c>
      <c r="F24" s="112">
        <v>1.0900000000000001</v>
      </c>
      <c r="G24" s="112">
        <v>65.25</v>
      </c>
      <c r="H24" s="112">
        <v>15.72</v>
      </c>
      <c r="I24" s="112">
        <v>5.63</v>
      </c>
      <c r="J24" s="112">
        <v>0.38</v>
      </c>
      <c r="K24" s="112">
        <v>40.79</v>
      </c>
      <c r="L24" s="112">
        <v>27.05</v>
      </c>
      <c r="M24" s="112">
        <v>65.36</v>
      </c>
      <c r="N24" s="112">
        <v>0</v>
      </c>
      <c r="O24" s="112">
        <v>0</v>
      </c>
      <c r="P24" s="112">
        <v>0.52</v>
      </c>
      <c r="Q24" s="167" t="s">
        <v>14</v>
      </c>
    </row>
    <row r="25" spans="1:17" customFormat="1">
      <c r="A25" s="80">
        <v>45423.177083333336</v>
      </c>
      <c r="B25" s="112">
        <v>11.28</v>
      </c>
      <c r="C25" s="112">
        <v>13.16</v>
      </c>
      <c r="D25" s="112">
        <v>25.07</v>
      </c>
      <c r="E25" s="112">
        <v>12.28</v>
      </c>
      <c r="F25" s="112">
        <v>1</v>
      </c>
      <c r="G25" s="112">
        <v>65.069999999999993</v>
      </c>
      <c r="H25" s="112">
        <v>15.72</v>
      </c>
      <c r="I25" s="112">
        <v>5.62</v>
      </c>
      <c r="J25" s="112">
        <v>0.8</v>
      </c>
      <c r="K25" s="112">
        <v>63.63</v>
      </c>
      <c r="L25" s="112">
        <v>27.04</v>
      </c>
      <c r="M25" s="112">
        <v>65.37</v>
      </c>
      <c r="N25" s="112">
        <v>0</v>
      </c>
      <c r="O25" s="112">
        <v>0</v>
      </c>
      <c r="P25" s="112">
        <v>0.52</v>
      </c>
      <c r="Q25" s="167" t="s">
        <v>14</v>
      </c>
    </row>
    <row r="26" spans="1:17" customFormat="1">
      <c r="A26" s="80">
        <v>45423.1875</v>
      </c>
      <c r="B26" s="112">
        <v>11.29</v>
      </c>
      <c r="C26" s="112">
        <v>13.13</v>
      </c>
      <c r="D26" s="112">
        <v>25.06</v>
      </c>
      <c r="E26" s="112">
        <v>11.99</v>
      </c>
      <c r="F26" s="112">
        <v>1</v>
      </c>
      <c r="G26" s="112">
        <v>65.069999999999993</v>
      </c>
      <c r="H26" s="112">
        <v>15.72</v>
      </c>
      <c r="I26" s="112">
        <v>5.56</v>
      </c>
      <c r="J26" s="112">
        <v>0.11</v>
      </c>
      <c r="K26" s="112">
        <v>89.62</v>
      </c>
      <c r="L26" s="112">
        <v>27.06</v>
      </c>
      <c r="M26" s="112">
        <v>65.98</v>
      </c>
      <c r="N26" s="112">
        <v>0</v>
      </c>
      <c r="O26" s="112">
        <v>0</v>
      </c>
      <c r="P26" s="112">
        <v>0.5</v>
      </c>
      <c r="Q26" s="167" t="s">
        <v>14</v>
      </c>
    </row>
    <row r="27" spans="1:17" customFormat="1">
      <c r="A27" s="80">
        <v>45423.197916666664</v>
      </c>
      <c r="B27" s="112">
        <v>11.3</v>
      </c>
      <c r="C27" s="112">
        <v>13.13</v>
      </c>
      <c r="D27" s="112">
        <v>25.06</v>
      </c>
      <c r="E27" s="112">
        <v>11.83</v>
      </c>
      <c r="F27" s="112">
        <v>1</v>
      </c>
      <c r="G27" s="112">
        <v>65.069999999999993</v>
      </c>
      <c r="H27" s="112">
        <v>15.72</v>
      </c>
      <c r="I27" s="112">
        <v>5.55</v>
      </c>
      <c r="J27" s="112">
        <v>0.2</v>
      </c>
      <c r="K27" s="112">
        <v>82.71</v>
      </c>
      <c r="L27" s="112">
        <v>26.94</v>
      </c>
      <c r="M27" s="112">
        <v>67.08</v>
      </c>
      <c r="N27" s="112">
        <v>0</v>
      </c>
      <c r="O27" s="112">
        <v>0</v>
      </c>
      <c r="P27" s="112">
        <v>0.51</v>
      </c>
      <c r="Q27" s="167" t="s">
        <v>14</v>
      </c>
    </row>
    <row r="28" spans="1:17" customFormat="1">
      <c r="A28" s="80">
        <v>45423.208333333336</v>
      </c>
      <c r="B28" s="112">
        <v>11.27</v>
      </c>
      <c r="C28" s="112">
        <v>13.13</v>
      </c>
      <c r="D28" s="112">
        <v>25.05</v>
      </c>
      <c r="E28" s="112">
        <v>12.21</v>
      </c>
      <c r="F28" s="112">
        <v>1</v>
      </c>
      <c r="G28" s="112">
        <v>57.37</v>
      </c>
      <c r="H28" s="112">
        <v>16.899999999999999</v>
      </c>
      <c r="I28" s="112">
        <v>5.51</v>
      </c>
      <c r="J28" s="112">
        <v>0.28999999999999998</v>
      </c>
      <c r="K28" s="112">
        <v>40.619999999999997</v>
      </c>
      <c r="L28" s="112">
        <v>26.89</v>
      </c>
      <c r="M28" s="112">
        <v>66.37</v>
      </c>
      <c r="N28" s="112">
        <v>0</v>
      </c>
      <c r="O28" s="112">
        <v>0</v>
      </c>
      <c r="P28" s="112">
        <v>0.51</v>
      </c>
      <c r="Q28" s="112">
        <v>4.6100000000000003</v>
      </c>
    </row>
    <row r="29" spans="1:17" customFormat="1">
      <c r="A29" s="80">
        <v>45423.21875</v>
      </c>
      <c r="B29" s="112">
        <v>11.28</v>
      </c>
      <c r="C29" s="112">
        <v>13.14</v>
      </c>
      <c r="D29" s="112">
        <v>25.06</v>
      </c>
      <c r="E29" s="112">
        <v>12.63</v>
      </c>
      <c r="F29" s="112">
        <v>1.05</v>
      </c>
      <c r="G29" s="112">
        <v>55.44</v>
      </c>
      <c r="H29" s="112">
        <v>16.899999999999999</v>
      </c>
      <c r="I29" s="112">
        <v>5.49</v>
      </c>
      <c r="J29" s="112">
        <v>0.3</v>
      </c>
      <c r="K29" s="112">
        <v>168.35</v>
      </c>
      <c r="L29" s="112">
        <v>26.65</v>
      </c>
      <c r="M29" s="112">
        <v>70.540000000000006</v>
      </c>
      <c r="N29" s="112">
        <v>0</v>
      </c>
      <c r="O29" s="112">
        <v>0</v>
      </c>
      <c r="P29" s="112">
        <v>0.5</v>
      </c>
      <c r="Q29" s="112">
        <v>4.59</v>
      </c>
    </row>
    <row r="30" spans="1:17" customFormat="1">
      <c r="A30" s="80">
        <v>45423.229166666664</v>
      </c>
      <c r="B30" s="112">
        <v>11.31</v>
      </c>
      <c r="C30" s="112">
        <v>13.11</v>
      </c>
      <c r="D30" s="112">
        <v>25.06</v>
      </c>
      <c r="E30" s="112">
        <v>13.06</v>
      </c>
      <c r="F30" s="112">
        <v>1.67</v>
      </c>
      <c r="G30" s="112">
        <v>55.44</v>
      </c>
      <c r="H30" s="112">
        <v>16.899999999999999</v>
      </c>
      <c r="I30" s="112">
        <v>5.47</v>
      </c>
      <c r="J30" s="112">
        <v>0.18</v>
      </c>
      <c r="K30" s="112">
        <v>151.25</v>
      </c>
      <c r="L30" s="112">
        <v>26.42</v>
      </c>
      <c r="M30" s="112">
        <v>71.27</v>
      </c>
      <c r="N30" s="112">
        <v>0.1</v>
      </c>
      <c r="O30" s="112">
        <v>0</v>
      </c>
      <c r="P30" s="112">
        <v>0.49</v>
      </c>
      <c r="Q30" s="112">
        <v>4.6100000000000003</v>
      </c>
    </row>
    <row r="31" spans="1:17" customFormat="1">
      <c r="A31" s="80">
        <v>45423.239583333336</v>
      </c>
      <c r="B31" s="112">
        <v>11.3</v>
      </c>
      <c r="C31" s="112">
        <v>13.13</v>
      </c>
      <c r="D31" s="112">
        <v>25.07</v>
      </c>
      <c r="E31" s="112">
        <v>11.45</v>
      </c>
      <c r="F31" s="112">
        <v>1.59</v>
      </c>
      <c r="G31" s="112">
        <v>55.44</v>
      </c>
      <c r="H31" s="112">
        <v>16.899999999999999</v>
      </c>
      <c r="I31" s="112">
        <v>5.44</v>
      </c>
      <c r="J31" s="112">
        <v>0.18</v>
      </c>
      <c r="K31" s="112">
        <v>173.71</v>
      </c>
      <c r="L31" s="112">
        <v>26.36</v>
      </c>
      <c r="M31" s="112">
        <v>72.5</v>
      </c>
      <c r="N31" s="112">
        <v>7.3</v>
      </c>
      <c r="O31" s="112">
        <v>0</v>
      </c>
      <c r="P31" s="112">
        <v>0.47</v>
      </c>
      <c r="Q31" s="112">
        <v>4.63</v>
      </c>
    </row>
    <row r="32" spans="1:17" customFormat="1">
      <c r="A32" s="80">
        <v>45423.25</v>
      </c>
      <c r="B32" s="112">
        <v>11.29</v>
      </c>
      <c r="C32" s="112">
        <v>13.1</v>
      </c>
      <c r="D32" s="112">
        <v>25.05</v>
      </c>
      <c r="E32" s="112">
        <v>13.94</v>
      </c>
      <c r="F32" s="112">
        <v>2.78</v>
      </c>
      <c r="G32" s="112">
        <v>56.02</v>
      </c>
      <c r="H32" s="112">
        <v>14.37</v>
      </c>
      <c r="I32" s="112">
        <v>5.41</v>
      </c>
      <c r="J32" s="112">
        <v>0.05</v>
      </c>
      <c r="K32" s="112">
        <v>48.2</v>
      </c>
      <c r="L32" s="112">
        <v>26.78</v>
      </c>
      <c r="M32" s="112">
        <v>69.88</v>
      </c>
      <c r="N32" s="112">
        <v>22.4</v>
      </c>
      <c r="O32" s="112">
        <v>0</v>
      </c>
      <c r="P32" s="112">
        <v>0.49</v>
      </c>
      <c r="Q32" s="112">
        <v>4.62</v>
      </c>
    </row>
    <row r="33" spans="1:17" customFormat="1">
      <c r="A33" s="80">
        <v>45423.260416666664</v>
      </c>
      <c r="B33" s="112">
        <v>11.31</v>
      </c>
      <c r="C33" s="112">
        <v>13.14</v>
      </c>
      <c r="D33" s="112">
        <v>25.07</v>
      </c>
      <c r="E33" s="112">
        <v>20.420000000000002</v>
      </c>
      <c r="F33" s="112">
        <v>3.66</v>
      </c>
      <c r="G33" s="112">
        <v>56.17</v>
      </c>
      <c r="H33" s="112">
        <v>14.37</v>
      </c>
      <c r="I33" s="112">
        <v>5.35</v>
      </c>
      <c r="J33" s="112">
        <v>0.04</v>
      </c>
      <c r="K33" s="112">
        <v>263.52</v>
      </c>
      <c r="L33" s="112">
        <v>27.42</v>
      </c>
      <c r="M33" s="112">
        <v>66.37</v>
      </c>
      <c r="N33" s="112">
        <v>52</v>
      </c>
      <c r="O33" s="112">
        <v>0</v>
      </c>
      <c r="P33" s="112">
        <v>0.52</v>
      </c>
      <c r="Q33" s="112">
        <v>4.63</v>
      </c>
    </row>
    <row r="34" spans="1:17" customFormat="1">
      <c r="A34" s="80">
        <v>45423.270833333336</v>
      </c>
      <c r="B34" s="112">
        <v>11.33</v>
      </c>
      <c r="C34" s="112">
        <v>13.21</v>
      </c>
      <c r="D34" s="112">
        <v>25.13</v>
      </c>
      <c r="E34" s="112">
        <v>17.46</v>
      </c>
      <c r="F34" s="112">
        <v>2.3199999999999998</v>
      </c>
      <c r="G34" s="112">
        <v>56.17</v>
      </c>
      <c r="H34" s="112">
        <v>14.37</v>
      </c>
      <c r="I34" s="112">
        <v>5.35</v>
      </c>
      <c r="J34" s="112">
        <v>0.27</v>
      </c>
      <c r="K34" s="112">
        <v>171.85</v>
      </c>
      <c r="L34" s="112">
        <v>28.44</v>
      </c>
      <c r="M34" s="112">
        <v>65.48</v>
      </c>
      <c r="N34" s="112">
        <v>85.1</v>
      </c>
      <c r="O34" s="112">
        <v>0</v>
      </c>
      <c r="P34" s="112">
        <v>0.5</v>
      </c>
      <c r="Q34" s="167" t="s">
        <v>14</v>
      </c>
    </row>
    <row r="35" spans="1:17" customFormat="1">
      <c r="A35" s="80">
        <v>45423.28125</v>
      </c>
      <c r="B35" s="112">
        <v>11.31</v>
      </c>
      <c r="C35" s="112">
        <v>13.13</v>
      </c>
      <c r="D35" s="112">
        <v>25.07</v>
      </c>
      <c r="E35" s="112">
        <v>17.46</v>
      </c>
      <c r="F35" s="112">
        <v>3.42</v>
      </c>
      <c r="G35" s="112">
        <v>56.17</v>
      </c>
      <c r="H35" s="112">
        <v>14.37</v>
      </c>
      <c r="I35" s="112">
        <v>5.48</v>
      </c>
      <c r="J35" s="112">
        <v>0.28000000000000003</v>
      </c>
      <c r="K35" s="112">
        <v>207.09</v>
      </c>
      <c r="L35" s="112">
        <v>29.03</v>
      </c>
      <c r="M35" s="112">
        <v>63.91</v>
      </c>
      <c r="N35" s="112">
        <v>88.6</v>
      </c>
      <c r="O35" s="112">
        <v>0</v>
      </c>
      <c r="P35" s="112">
        <v>0.49</v>
      </c>
      <c r="Q35" s="167" t="s">
        <v>14</v>
      </c>
    </row>
    <row r="36" spans="1:17" customFormat="1">
      <c r="A36" s="80">
        <v>45423.291666666664</v>
      </c>
      <c r="B36" s="112">
        <v>11.3</v>
      </c>
      <c r="C36" s="112">
        <v>13.14</v>
      </c>
      <c r="D36" s="112">
        <v>25.07</v>
      </c>
      <c r="E36" s="112">
        <v>14.99</v>
      </c>
      <c r="F36" s="112">
        <v>5.39</v>
      </c>
      <c r="G36" s="112">
        <v>61.32</v>
      </c>
      <c r="H36" s="112">
        <v>19.68</v>
      </c>
      <c r="I36" s="112">
        <v>5.51</v>
      </c>
      <c r="J36" s="112">
        <v>0.62</v>
      </c>
      <c r="K36" s="112">
        <v>250.43</v>
      </c>
      <c r="L36" s="112">
        <v>29.68</v>
      </c>
      <c r="M36" s="112">
        <v>62.53</v>
      </c>
      <c r="N36" s="112">
        <v>92.7</v>
      </c>
      <c r="O36" s="112">
        <v>0</v>
      </c>
      <c r="P36" s="112">
        <v>0.5</v>
      </c>
      <c r="Q36" s="112">
        <v>4.62</v>
      </c>
    </row>
    <row r="37" spans="1:17" customFormat="1">
      <c r="A37" s="80">
        <v>45423.302083333336</v>
      </c>
      <c r="B37" s="112">
        <v>11.29</v>
      </c>
      <c r="C37" s="112">
        <v>13.13</v>
      </c>
      <c r="D37" s="112">
        <v>25.05</v>
      </c>
      <c r="E37" s="112">
        <v>12.92</v>
      </c>
      <c r="F37" s="112">
        <v>4.37</v>
      </c>
      <c r="G37" s="112">
        <v>62.61</v>
      </c>
      <c r="H37" s="112">
        <v>19.68</v>
      </c>
      <c r="I37" s="112">
        <v>5.64</v>
      </c>
      <c r="J37" s="112">
        <v>0.91</v>
      </c>
      <c r="K37" s="112">
        <v>252.42</v>
      </c>
      <c r="L37" s="112">
        <v>30.12</v>
      </c>
      <c r="M37" s="112">
        <v>60.94</v>
      </c>
      <c r="N37" s="112">
        <v>93.6</v>
      </c>
      <c r="O37" s="112">
        <v>0</v>
      </c>
      <c r="P37" s="112">
        <v>0.51</v>
      </c>
      <c r="Q37" s="167" t="s">
        <v>14</v>
      </c>
    </row>
    <row r="38" spans="1:17" customFormat="1">
      <c r="A38" s="80">
        <v>45423.3125</v>
      </c>
      <c r="B38" s="112">
        <v>11.31</v>
      </c>
      <c r="C38" s="112">
        <v>13.06</v>
      </c>
      <c r="D38" s="112">
        <v>25.04</v>
      </c>
      <c r="E38" s="112">
        <v>11.72</v>
      </c>
      <c r="F38" s="112">
        <v>4.62</v>
      </c>
      <c r="G38" s="112">
        <v>62.61</v>
      </c>
      <c r="H38" s="112">
        <v>19.68</v>
      </c>
      <c r="I38" s="112">
        <v>5.65</v>
      </c>
      <c r="J38" s="112">
        <v>0.85</v>
      </c>
      <c r="K38" s="112">
        <v>259.55</v>
      </c>
      <c r="L38" s="112">
        <v>30.34</v>
      </c>
      <c r="M38" s="112">
        <v>60.79</v>
      </c>
      <c r="N38" s="112">
        <v>101.1</v>
      </c>
      <c r="O38" s="112">
        <v>0</v>
      </c>
      <c r="P38" s="112">
        <v>0.49</v>
      </c>
      <c r="Q38" s="112">
        <v>4.6100000000000003</v>
      </c>
    </row>
    <row r="39" spans="1:17" customFormat="1">
      <c r="A39" s="80">
        <v>45423.322916666664</v>
      </c>
      <c r="B39" s="112">
        <v>11.33</v>
      </c>
      <c r="C39" s="112">
        <v>13.14</v>
      </c>
      <c r="D39" s="112">
        <v>25.09</v>
      </c>
      <c r="E39" s="112">
        <v>10.65</v>
      </c>
      <c r="F39" s="112">
        <v>3.81</v>
      </c>
      <c r="G39" s="112">
        <v>62.61</v>
      </c>
      <c r="H39" s="112">
        <v>19.68</v>
      </c>
      <c r="I39" s="112">
        <v>5.62</v>
      </c>
      <c r="J39" s="112">
        <v>0.97</v>
      </c>
      <c r="K39" s="112">
        <v>250.22</v>
      </c>
      <c r="L39" s="112">
        <v>30.76</v>
      </c>
      <c r="M39" s="112">
        <v>60.1</v>
      </c>
      <c r="N39" s="112">
        <v>112.5</v>
      </c>
      <c r="O39" s="112">
        <v>0</v>
      </c>
      <c r="P39" s="112">
        <v>0.49</v>
      </c>
      <c r="Q39" s="167" t="s">
        <v>14</v>
      </c>
    </row>
    <row r="40" spans="1:17" customFormat="1">
      <c r="A40" s="80">
        <v>45423.333333333336</v>
      </c>
      <c r="B40" s="112">
        <v>11.31</v>
      </c>
      <c r="C40" s="112">
        <v>13.11</v>
      </c>
      <c r="D40" s="112">
        <v>25.06</v>
      </c>
      <c r="E40" s="112">
        <v>10.09</v>
      </c>
      <c r="F40" s="112">
        <v>7.69</v>
      </c>
      <c r="G40" s="112">
        <v>53.01</v>
      </c>
      <c r="H40" s="112">
        <v>17.309999999999999</v>
      </c>
      <c r="I40" s="112">
        <v>5.6</v>
      </c>
      <c r="J40" s="112">
        <v>1.05</v>
      </c>
      <c r="K40" s="112">
        <v>256.95</v>
      </c>
      <c r="L40" s="112">
        <v>31.21</v>
      </c>
      <c r="M40" s="112">
        <v>59.39</v>
      </c>
      <c r="N40" s="112">
        <v>122.9</v>
      </c>
      <c r="O40" s="112">
        <v>0</v>
      </c>
      <c r="P40" s="112">
        <v>0.47</v>
      </c>
      <c r="Q40" s="112">
        <v>4.6500000000000004</v>
      </c>
    </row>
    <row r="41" spans="1:17" customFormat="1">
      <c r="A41" s="80">
        <v>45423.34375</v>
      </c>
      <c r="B41" s="112">
        <v>11.3</v>
      </c>
      <c r="C41" s="112">
        <v>13.12</v>
      </c>
      <c r="D41" s="112">
        <v>25.06</v>
      </c>
      <c r="E41" s="112">
        <v>10.75</v>
      </c>
      <c r="F41" s="112">
        <v>7.99</v>
      </c>
      <c r="G41" s="112">
        <v>50.62</v>
      </c>
      <c r="H41" s="112">
        <v>17.309999999999999</v>
      </c>
      <c r="I41" s="112">
        <v>5.44</v>
      </c>
      <c r="J41" s="112">
        <v>0.92</v>
      </c>
      <c r="K41" s="112">
        <v>249.17</v>
      </c>
      <c r="L41" s="112">
        <v>31.85</v>
      </c>
      <c r="M41" s="112">
        <v>57.66</v>
      </c>
      <c r="N41" s="112">
        <v>139.1</v>
      </c>
      <c r="O41" s="112">
        <v>0</v>
      </c>
      <c r="P41" s="112">
        <v>0.44</v>
      </c>
      <c r="Q41" s="112">
        <v>4.6399999999999997</v>
      </c>
    </row>
    <row r="42" spans="1:17" customFormat="1">
      <c r="A42" s="80">
        <v>45423.354166666664</v>
      </c>
      <c r="B42" s="112">
        <v>11.31</v>
      </c>
      <c r="C42" s="112">
        <v>13.08</v>
      </c>
      <c r="D42" s="112">
        <v>25.05</v>
      </c>
      <c r="E42" s="112">
        <v>10.17</v>
      </c>
      <c r="F42" s="112">
        <v>5.83</v>
      </c>
      <c r="G42" s="112">
        <v>50.62</v>
      </c>
      <c r="H42" s="112">
        <v>17.309999999999999</v>
      </c>
      <c r="I42" s="112">
        <v>5.28</v>
      </c>
      <c r="J42" s="112">
        <v>1.07</v>
      </c>
      <c r="K42" s="112">
        <v>246.52</v>
      </c>
      <c r="L42" s="112">
        <v>32.22</v>
      </c>
      <c r="M42" s="112">
        <v>55.62</v>
      </c>
      <c r="N42" s="112">
        <v>140.6</v>
      </c>
      <c r="O42" s="112">
        <v>0</v>
      </c>
      <c r="P42" s="112">
        <v>0.45</v>
      </c>
      <c r="Q42" s="112">
        <v>4.6399999999999997</v>
      </c>
    </row>
    <row r="43" spans="1:17" customFormat="1">
      <c r="A43" s="80">
        <v>45423.364583333336</v>
      </c>
      <c r="B43" s="112">
        <v>11.35</v>
      </c>
      <c r="C43" s="112">
        <v>13.22</v>
      </c>
      <c r="D43" s="112">
        <v>25.16</v>
      </c>
      <c r="E43" s="112">
        <v>10.37</v>
      </c>
      <c r="F43" s="112">
        <v>9.14</v>
      </c>
      <c r="G43" s="112">
        <v>50.62</v>
      </c>
      <c r="H43" s="112">
        <v>17.309999999999999</v>
      </c>
      <c r="I43" s="112">
        <v>5.23</v>
      </c>
      <c r="J43" s="112">
        <v>0.89</v>
      </c>
      <c r="K43" s="112">
        <v>245.29</v>
      </c>
      <c r="L43" s="112">
        <v>32.880000000000003</v>
      </c>
      <c r="M43" s="112">
        <v>53.82</v>
      </c>
      <c r="N43" s="112">
        <v>143.30000000000001</v>
      </c>
      <c r="O43" s="112">
        <v>0</v>
      </c>
      <c r="P43" s="112">
        <v>0.43</v>
      </c>
      <c r="Q43" s="112">
        <v>4.6100000000000003</v>
      </c>
    </row>
    <row r="44" spans="1:17" customFormat="1">
      <c r="A44" s="80">
        <v>45423.375</v>
      </c>
      <c r="B44" s="112">
        <v>11.33</v>
      </c>
      <c r="C44" s="112">
        <v>13.15</v>
      </c>
      <c r="D44" s="112">
        <v>25.1</v>
      </c>
      <c r="E44" s="112">
        <v>11</v>
      </c>
      <c r="F44" s="112">
        <v>9.18</v>
      </c>
      <c r="G44" s="112">
        <v>38.01</v>
      </c>
      <c r="H44" s="112">
        <v>13.31</v>
      </c>
      <c r="I44" s="112">
        <v>5.16</v>
      </c>
      <c r="J44" s="112">
        <v>1.1000000000000001</v>
      </c>
      <c r="K44" s="112">
        <v>255.09</v>
      </c>
      <c r="L44" s="112">
        <v>33.26</v>
      </c>
      <c r="M44" s="112">
        <v>52.03</v>
      </c>
      <c r="N44" s="112">
        <v>149.4</v>
      </c>
      <c r="O44" s="112">
        <v>0</v>
      </c>
      <c r="P44" s="112">
        <v>0.43</v>
      </c>
      <c r="Q44" s="167" t="s">
        <v>14</v>
      </c>
    </row>
    <row r="45" spans="1:17" customFormat="1">
      <c r="A45" s="80">
        <v>45423.385416666664</v>
      </c>
      <c r="B45" s="112">
        <v>11.3</v>
      </c>
      <c r="C45" s="112">
        <v>13.13</v>
      </c>
      <c r="D45" s="112">
        <v>25.07</v>
      </c>
      <c r="E45" s="112">
        <v>10.68</v>
      </c>
      <c r="F45" s="112">
        <v>5.14</v>
      </c>
      <c r="G45" s="112">
        <v>34.86</v>
      </c>
      <c r="H45" s="112">
        <v>13.31</v>
      </c>
      <c r="I45" s="112">
        <v>5</v>
      </c>
      <c r="J45" s="112">
        <v>1.3</v>
      </c>
      <c r="K45" s="112">
        <v>257.5</v>
      </c>
      <c r="L45" s="112">
        <v>33.71</v>
      </c>
      <c r="M45" s="112">
        <v>50.36</v>
      </c>
      <c r="N45" s="112">
        <v>170.5</v>
      </c>
      <c r="O45" s="112">
        <v>0</v>
      </c>
      <c r="P45" s="112">
        <v>0.43</v>
      </c>
      <c r="Q45" s="167" t="s">
        <v>14</v>
      </c>
    </row>
    <row r="46" spans="1:17" customFormat="1">
      <c r="A46" s="80">
        <v>45423.395833333336</v>
      </c>
      <c r="B46" s="112">
        <v>11.29</v>
      </c>
      <c r="C46" s="112">
        <v>13.12</v>
      </c>
      <c r="D46" s="112">
        <v>25.05</v>
      </c>
      <c r="E46" s="112">
        <v>10.34</v>
      </c>
      <c r="F46" s="112">
        <v>6.02</v>
      </c>
      <c r="G46" s="112">
        <v>34.86</v>
      </c>
      <c r="H46" s="112">
        <v>13.31</v>
      </c>
      <c r="I46" s="112">
        <v>4.93</v>
      </c>
      <c r="J46" s="112">
        <v>1.26</v>
      </c>
      <c r="K46" s="112">
        <v>261.68</v>
      </c>
      <c r="L46" s="112">
        <v>33.94</v>
      </c>
      <c r="M46" s="112">
        <v>49.36</v>
      </c>
      <c r="N46" s="112">
        <v>175.6</v>
      </c>
      <c r="O46" s="112">
        <v>0</v>
      </c>
      <c r="P46" s="112">
        <v>0.43</v>
      </c>
      <c r="Q46" s="167" t="s">
        <v>14</v>
      </c>
    </row>
    <row r="47" spans="1:17" customFormat="1">
      <c r="A47" s="80">
        <v>45423.40625</v>
      </c>
      <c r="B47" s="112">
        <v>11.29</v>
      </c>
      <c r="C47" s="112">
        <v>13.1</v>
      </c>
      <c r="D47" s="112">
        <v>25.04</v>
      </c>
      <c r="E47" s="112">
        <v>9.69</v>
      </c>
      <c r="F47" s="112">
        <v>4.92</v>
      </c>
      <c r="G47" s="112">
        <v>34.86</v>
      </c>
      <c r="H47" s="112">
        <v>13.31</v>
      </c>
      <c r="I47" s="112">
        <v>4.95</v>
      </c>
      <c r="J47" s="112">
        <v>1.45</v>
      </c>
      <c r="K47" s="112">
        <v>255.32</v>
      </c>
      <c r="L47" s="112">
        <v>34.4</v>
      </c>
      <c r="M47" s="112">
        <v>48.09</v>
      </c>
      <c r="N47" s="112">
        <v>229.6</v>
      </c>
      <c r="O47" s="112">
        <v>0</v>
      </c>
      <c r="P47" s="112">
        <v>0.44</v>
      </c>
      <c r="Q47" s="167" t="s">
        <v>14</v>
      </c>
    </row>
    <row r="48" spans="1:17" customFormat="1">
      <c r="A48" s="80">
        <v>45423.416666666664</v>
      </c>
      <c r="B48" s="112">
        <v>11.29</v>
      </c>
      <c r="C48" s="112">
        <v>13.11</v>
      </c>
      <c r="D48" s="112">
        <v>25.05</v>
      </c>
      <c r="E48" s="112">
        <v>10.67</v>
      </c>
      <c r="F48" s="112">
        <v>7.45</v>
      </c>
      <c r="G48" s="112">
        <v>32.29</v>
      </c>
      <c r="H48" s="112">
        <v>13.01</v>
      </c>
      <c r="I48" s="112">
        <v>4.96</v>
      </c>
      <c r="J48" s="112">
        <v>1.33</v>
      </c>
      <c r="K48" s="112">
        <v>268.55</v>
      </c>
      <c r="L48" s="112">
        <v>34.83</v>
      </c>
      <c r="M48" s="112">
        <v>46.78</v>
      </c>
      <c r="N48" s="112">
        <v>193.9</v>
      </c>
      <c r="O48" s="112">
        <v>0</v>
      </c>
      <c r="P48" s="112">
        <v>0.43</v>
      </c>
      <c r="Q48" s="167" t="s">
        <v>14</v>
      </c>
    </row>
    <row r="49" spans="1:17" customFormat="1">
      <c r="A49" s="80">
        <v>45423.427083333336</v>
      </c>
      <c r="B49" s="112">
        <v>11.31</v>
      </c>
      <c r="C49" s="112">
        <v>13.1</v>
      </c>
      <c r="D49" s="112">
        <v>25.06</v>
      </c>
      <c r="E49" s="112">
        <v>11.8</v>
      </c>
      <c r="F49" s="112">
        <v>8.56</v>
      </c>
      <c r="G49" s="112">
        <v>31.65</v>
      </c>
      <c r="H49" s="112">
        <v>13.01</v>
      </c>
      <c r="I49" s="112">
        <v>4.88</v>
      </c>
      <c r="J49" s="112">
        <v>0.98</v>
      </c>
      <c r="K49" s="112">
        <v>271.74</v>
      </c>
      <c r="L49" s="112">
        <v>36.01</v>
      </c>
      <c r="M49" s="112">
        <v>42.96</v>
      </c>
      <c r="N49" s="112">
        <v>176.4</v>
      </c>
      <c r="O49" s="112">
        <v>0</v>
      </c>
      <c r="P49" s="112">
        <v>0.42</v>
      </c>
      <c r="Q49" s="167" t="s">
        <v>14</v>
      </c>
    </row>
    <row r="50" spans="1:17" customFormat="1">
      <c r="A50" s="80">
        <v>45423.4375</v>
      </c>
      <c r="B50" s="112">
        <v>11.35</v>
      </c>
      <c r="C50" s="112">
        <v>13.11</v>
      </c>
      <c r="D50" s="112">
        <v>25.09</v>
      </c>
      <c r="E50" s="112">
        <v>13.31</v>
      </c>
      <c r="F50" s="112">
        <v>7.37</v>
      </c>
      <c r="G50" s="112">
        <v>31.65</v>
      </c>
      <c r="H50" s="112">
        <v>13.01</v>
      </c>
      <c r="I50" s="112">
        <v>4.7699999999999996</v>
      </c>
      <c r="J50" s="112">
        <v>1.44</v>
      </c>
      <c r="K50" s="112">
        <v>266.8</v>
      </c>
      <c r="L50" s="112">
        <v>35.76</v>
      </c>
      <c r="M50" s="112">
        <v>43.45</v>
      </c>
      <c r="N50" s="112">
        <v>188</v>
      </c>
      <c r="O50" s="112">
        <v>0</v>
      </c>
      <c r="P50" s="112">
        <v>0.42</v>
      </c>
      <c r="Q50" s="167" t="s">
        <v>14</v>
      </c>
    </row>
    <row r="51" spans="1:17" customFormat="1">
      <c r="A51" s="80">
        <v>45423.447916666664</v>
      </c>
      <c r="B51" s="112">
        <v>11.35</v>
      </c>
      <c r="C51" s="112">
        <v>13.1</v>
      </c>
      <c r="D51" s="112">
        <v>25.09</v>
      </c>
      <c r="E51" s="112">
        <v>13.68</v>
      </c>
      <c r="F51" s="112">
        <v>7.53</v>
      </c>
      <c r="G51" s="112">
        <v>31.65</v>
      </c>
      <c r="H51" s="112">
        <v>13.01</v>
      </c>
      <c r="I51" s="112">
        <v>4.71</v>
      </c>
      <c r="J51" s="112">
        <v>1.29</v>
      </c>
      <c r="K51" s="112">
        <v>272.58</v>
      </c>
      <c r="L51" s="112">
        <v>36.31</v>
      </c>
      <c r="M51" s="112">
        <v>42.34</v>
      </c>
      <c r="N51" s="112">
        <v>359.2</v>
      </c>
      <c r="O51" s="112">
        <v>0</v>
      </c>
      <c r="P51" s="112">
        <v>0.4</v>
      </c>
      <c r="Q51" s="167" t="s">
        <v>14</v>
      </c>
    </row>
    <row r="52" spans="1:17" customFormat="1">
      <c r="A52" s="80">
        <v>45423.458333333336</v>
      </c>
      <c r="B52" s="112">
        <v>11.37</v>
      </c>
      <c r="C52" s="112">
        <v>13.09</v>
      </c>
      <c r="D52" s="112">
        <v>25.1</v>
      </c>
      <c r="E52" s="112">
        <v>13.58</v>
      </c>
      <c r="F52" s="112">
        <v>8.24</v>
      </c>
      <c r="G52" s="112">
        <v>30</v>
      </c>
      <c r="H52" s="112">
        <v>14.93</v>
      </c>
      <c r="I52" s="112">
        <v>4.67</v>
      </c>
      <c r="J52" s="112">
        <v>1.45</v>
      </c>
      <c r="K52" s="112">
        <v>269</v>
      </c>
      <c r="L52" s="112">
        <v>36.61</v>
      </c>
      <c r="M52" s="112">
        <v>41.24</v>
      </c>
      <c r="N52" s="112">
        <v>625.20000000000005</v>
      </c>
      <c r="O52" s="112">
        <v>0</v>
      </c>
      <c r="P52" s="112">
        <v>0.41</v>
      </c>
      <c r="Q52" s="167" t="s">
        <v>14</v>
      </c>
    </row>
    <row r="53" spans="1:17" customFormat="1">
      <c r="A53" s="80">
        <v>45423.46875</v>
      </c>
      <c r="B53" s="112">
        <v>11.39</v>
      </c>
      <c r="C53" s="112">
        <v>13.1</v>
      </c>
      <c r="D53" s="112">
        <v>25.13</v>
      </c>
      <c r="E53" s="112">
        <v>14.04</v>
      </c>
      <c r="F53" s="112">
        <v>8.5</v>
      </c>
      <c r="G53" s="112">
        <v>29.58</v>
      </c>
      <c r="H53" s="112">
        <v>14.93</v>
      </c>
      <c r="I53" s="112">
        <v>4.6399999999999997</v>
      </c>
      <c r="J53" s="112">
        <v>1.77</v>
      </c>
      <c r="K53" s="112">
        <v>293.52999999999997</v>
      </c>
      <c r="L53" s="112">
        <v>36.590000000000003</v>
      </c>
      <c r="M53" s="112">
        <v>40.19</v>
      </c>
      <c r="N53" s="112">
        <v>721</v>
      </c>
      <c r="O53" s="112">
        <v>0</v>
      </c>
      <c r="P53" s="112">
        <v>0.4</v>
      </c>
      <c r="Q53" s="167" t="s">
        <v>14</v>
      </c>
    </row>
    <row r="54" spans="1:17" customFormat="1">
      <c r="A54" s="80">
        <v>45423.479166666664</v>
      </c>
      <c r="B54" s="112">
        <v>11.38</v>
      </c>
      <c r="C54" s="112">
        <v>13.11</v>
      </c>
      <c r="D54" s="112">
        <v>25.12</v>
      </c>
      <c r="E54" s="112">
        <v>14.76</v>
      </c>
      <c r="F54" s="112">
        <v>8.25</v>
      </c>
      <c r="G54" s="112">
        <v>29.58</v>
      </c>
      <c r="H54" s="112">
        <v>14.93</v>
      </c>
      <c r="I54" s="112">
        <v>4.58</v>
      </c>
      <c r="J54" s="112">
        <v>1.33</v>
      </c>
      <c r="K54" s="112">
        <v>265.77</v>
      </c>
      <c r="L54" s="112">
        <v>36.89</v>
      </c>
      <c r="M54" s="112">
        <v>39.79</v>
      </c>
      <c r="N54" s="112">
        <v>805.1</v>
      </c>
      <c r="O54" s="112">
        <v>0</v>
      </c>
      <c r="P54" s="112">
        <v>0.41</v>
      </c>
      <c r="Q54" s="167" t="s">
        <v>14</v>
      </c>
    </row>
    <row r="55" spans="1:17" customFormat="1">
      <c r="A55" s="80">
        <v>45423.489583333336</v>
      </c>
      <c r="B55" s="112">
        <v>11.37</v>
      </c>
      <c r="C55" s="112">
        <v>13.08</v>
      </c>
      <c r="D55" s="112">
        <v>25.1</v>
      </c>
      <c r="E55" s="112">
        <v>14.81</v>
      </c>
      <c r="F55" s="112">
        <v>11.09</v>
      </c>
      <c r="G55" s="112">
        <v>29.58</v>
      </c>
      <c r="H55" s="112">
        <v>14.93</v>
      </c>
      <c r="I55" s="112">
        <v>4.5999999999999996</v>
      </c>
      <c r="J55" s="112">
        <v>1.5</v>
      </c>
      <c r="K55" s="112">
        <v>278.45999999999998</v>
      </c>
      <c r="L55" s="112">
        <v>37.47</v>
      </c>
      <c r="M55" s="112">
        <v>37.85</v>
      </c>
      <c r="N55" s="112">
        <v>821.5</v>
      </c>
      <c r="O55" s="112">
        <v>0</v>
      </c>
      <c r="P55" s="112">
        <v>0.42</v>
      </c>
      <c r="Q55" s="167" t="s">
        <v>14</v>
      </c>
    </row>
    <row r="56" spans="1:17" customFormat="1">
      <c r="A56" s="80">
        <v>45423.5</v>
      </c>
      <c r="B56" s="112">
        <v>11.35</v>
      </c>
      <c r="C56" s="112">
        <v>13.15</v>
      </c>
      <c r="D56" s="112">
        <v>25.11</v>
      </c>
      <c r="E56" s="112">
        <v>16.420000000000002</v>
      </c>
      <c r="F56" s="112">
        <v>14.78</v>
      </c>
      <c r="G56" s="112">
        <v>31.23</v>
      </c>
      <c r="H56" s="112">
        <v>14.76</v>
      </c>
      <c r="I56" s="112">
        <v>4.6500000000000004</v>
      </c>
      <c r="J56" s="112">
        <v>1.29</v>
      </c>
      <c r="K56" s="112">
        <v>276.86</v>
      </c>
      <c r="L56" s="112">
        <v>37.979999999999997</v>
      </c>
      <c r="M56" s="112">
        <v>37.11</v>
      </c>
      <c r="N56" s="112">
        <v>830.7</v>
      </c>
      <c r="O56" s="112">
        <v>0</v>
      </c>
      <c r="P56" s="112">
        <v>0.43</v>
      </c>
      <c r="Q56" s="167" t="s">
        <v>14</v>
      </c>
    </row>
    <row r="57" spans="1:17" customFormat="1">
      <c r="A57" s="80">
        <v>45423.510416666664</v>
      </c>
      <c r="B57" s="112">
        <v>11.35</v>
      </c>
      <c r="C57" s="112">
        <v>13.15</v>
      </c>
      <c r="D57" s="112">
        <v>25.12</v>
      </c>
      <c r="E57" s="112">
        <v>16.8</v>
      </c>
      <c r="F57" s="112">
        <v>13.07</v>
      </c>
      <c r="G57" s="112">
        <v>31.65</v>
      </c>
      <c r="H57" s="112">
        <v>14.76</v>
      </c>
      <c r="I57" s="112">
        <v>4.7699999999999996</v>
      </c>
      <c r="J57" s="112">
        <v>1.5</v>
      </c>
      <c r="K57" s="112">
        <v>285.82</v>
      </c>
      <c r="L57" s="112">
        <v>38.18</v>
      </c>
      <c r="M57" s="112">
        <v>36.39</v>
      </c>
      <c r="N57" s="112">
        <v>835.5</v>
      </c>
      <c r="O57" s="112">
        <v>0</v>
      </c>
      <c r="P57" s="112">
        <v>0.43</v>
      </c>
      <c r="Q57" s="167" t="s">
        <v>14</v>
      </c>
    </row>
    <row r="58" spans="1:17" customFormat="1">
      <c r="A58" s="80">
        <v>45423.520833333336</v>
      </c>
      <c r="B58" s="112">
        <v>11.37</v>
      </c>
      <c r="C58" s="112">
        <v>13.11</v>
      </c>
      <c r="D58" s="112">
        <v>25.11</v>
      </c>
      <c r="E58" s="112">
        <v>17.420000000000002</v>
      </c>
      <c r="F58" s="112">
        <v>11</v>
      </c>
      <c r="G58" s="112">
        <v>31.65</v>
      </c>
      <c r="H58" s="112">
        <v>14.76</v>
      </c>
      <c r="I58" s="112">
        <v>4.9000000000000004</v>
      </c>
      <c r="J58" s="112">
        <v>1.45</v>
      </c>
      <c r="K58" s="112">
        <v>281.27999999999997</v>
      </c>
      <c r="L58" s="112">
        <v>38.36</v>
      </c>
      <c r="M58" s="112">
        <v>34.83</v>
      </c>
      <c r="N58" s="112">
        <v>834.6</v>
      </c>
      <c r="O58" s="112">
        <v>0</v>
      </c>
      <c r="P58" s="112">
        <v>0.44</v>
      </c>
      <c r="Q58" s="167" t="s">
        <v>14</v>
      </c>
    </row>
    <row r="59" spans="1:17" customFormat="1">
      <c r="A59" s="80">
        <v>45423.53125</v>
      </c>
      <c r="B59" s="112">
        <v>11.37</v>
      </c>
      <c r="C59" s="112">
        <v>13.12</v>
      </c>
      <c r="D59" s="112">
        <v>25.11</v>
      </c>
      <c r="E59" s="112">
        <v>17.32</v>
      </c>
      <c r="F59" s="112">
        <v>10.220000000000001</v>
      </c>
      <c r="G59" s="112">
        <v>31.65</v>
      </c>
      <c r="H59" s="112">
        <v>14.76</v>
      </c>
      <c r="I59" s="112">
        <v>5.08</v>
      </c>
      <c r="J59" s="112">
        <v>1.22</v>
      </c>
      <c r="K59" s="112">
        <v>267.04000000000002</v>
      </c>
      <c r="L59" s="112">
        <v>38.36</v>
      </c>
      <c r="M59" s="112">
        <v>34.950000000000003</v>
      </c>
      <c r="N59" s="112">
        <v>818</v>
      </c>
      <c r="O59" s="112">
        <v>0</v>
      </c>
      <c r="P59" s="112">
        <v>0.45</v>
      </c>
      <c r="Q59" s="167" t="s">
        <v>14</v>
      </c>
    </row>
    <row r="60" spans="1:17" customFormat="1">
      <c r="A60" s="80">
        <v>45423.541666666664</v>
      </c>
      <c r="B60" s="112">
        <v>11.35</v>
      </c>
      <c r="C60" s="112">
        <v>13.11</v>
      </c>
      <c r="D60" s="112">
        <v>25.1</v>
      </c>
      <c r="E60" s="112">
        <v>18.91</v>
      </c>
      <c r="F60" s="112">
        <v>17.79</v>
      </c>
      <c r="G60" s="112">
        <v>34.200000000000003</v>
      </c>
      <c r="H60" s="112">
        <v>12.84</v>
      </c>
      <c r="I60" s="112">
        <v>5.33</v>
      </c>
      <c r="J60" s="112">
        <v>1.33</v>
      </c>
      <c r="K60" s="112">
        <v>276.45999999999998</v>
      </c>
      <c r="L60" s="112">
        <v>38.72</v>
      </c>
      <c r="M60" s="112">
        <v>34.68</v>
      </c>
      <c r="N60" s="112">
        <v>728.4</v>
      </c>
      <c r="O60" s="112">
        <v>0</v>
      </c>
      <c r="P60" s="112">
        <v>0.49</v>
      </c>
      <c r="Q60" s="167" t="s">
        <v>14</v>
      </c>
    </row>
    <row r="61" spans="1:17" customFormat="1">
      <c r="A61" s="80">
        <v>45423.552083333336</v>
      </c>
      <c r="B61" s="112">
        <v>11.35</v>
      </c>
      <c r="C61" s="112">
        <v>13.11</v>
      </c>
      <c r="D61" s="112">
        <v>25.1</v>
      </c>
      <c r="E61" s="112">
        <v>18.48</v>
      </c>
      <c r="F61" s="112">
        <v>13.96</v>
      </c>
      <c r="G61" s="112">
        <v>34.83</v>
      </c>
      <c r="H61" s="112">
        <v>12.84</v>
      </c>
      <c r="I61" s="112">
        <v>5.47</v>
      </c>
      <c r="J61" s="112">
        <v>1.53</v>
      </c>
      <c r="K61" s="112">
        <v>272.13</v>
      </c>
      <c r="L61" s="112">
        <v>38.9</v>
      </c>
      <c r="M61" s="112">
        <v>33.15</v>
      </c>
      <c r="N61" s="112">
        <v>782.7</v>
      </c>
      <c r="O61" s="112">
        <v>0</v>
      </c>
      <c r="P61" s="112">
        <v>0.47</v>
      </c>
      <c r="Q61" s="167" t="s">
        <v>14</v>
      </c>
    </row>
    <row r="62" spans="1:17" customFormat="1">
      <c r="A62" s="80">
        <v>45423.5625</v>
      </c>
      <c r="B62" s="112">
        <v>11.37</v>
      </c>
      <c r="C62" s="112">
        <v>13.1</v>
      </c>
      <c r="D62" s="112">
        <v>25.1</v>
      </c>
      <c r="E62" s="112">
        <v>17.28</v>
      </c>
      <c r="F62" s="112">
        <v>18.14</v>
      </c>
      <c r="G62" s="112">
        <v>34.83</v>
      </c>
      <c r="H62" s="112">
        <v>12.84</v>
      </c>
      <c r="I62" s="112">
        <v>5.72</v>
      </c>
      <c r="J62" s="112">
        <v>1.1200000000000001</v>
      </c>
      <c r="K62" s="112">
        <v>275.43</v>
      </c>
      <c r="L62" s="112">
        <v>39.22</v>
      </c>
      <c r="M62" s="112">
        <v>32.76</v>
      </c>
      <c r="N62" s="112">
        <v>753.6</v>
      </c>
      <c r="O62" s="112">
        <v>0</v>
      </c>
      <c r="P62" s="112">
        <v>0.46</v>
      </c>
      <c r="Q62" s="167" t="s">
        <v>14</v>
      </c>
    </row>
    <row r="63" spans="1:17" customFormat="1">
      <c r="A63" s="80">
        <v>45423.572916666664</v>
      </c>
      <c r="B63" s="112">
        <v>11.34</v>
      </c>
      <c r="C63" s="112">
        <v>13.1</v>
      </c>
      <c r="D63" s="112">
        <v>25.08</v>
      </c>
      <c r="E63" s="112">
        <v>19.25</v>
      </c>
      <c r="F63" s="112">
        <v>22.68</v>
      </c>
      <c r="G63" s="112">
        <v>34.83</v>
      </c>
      <c r="H63" s="112">
        <v>12.84</v>
      </c>
      <c r="I63" s="112">
        <v>5.69</v>
      </c>
      <c r="J63" s="112">
        <v>1</v>
      </c>
      <c r="K63" s="112">
        <v>277.7</v>
      </c>
      <c r="L63" s="112">
        <v>39.57</v>
      </c>
      <c r="M63" s="112">
        <v>32.06</v>
      </c>
      <c r="N63" s="112">
        <v>717.8</v>
      </c>
      <c r="O63" s="112">
        <v>0</v>
      </c>
      <c r="P63" s="112">
        <v>0.47</v>
      </c>
      <c r="Q63" s="167" t="s">
        <v>14</v>
      </c>
    </row>
    <row r="64" spans="1:17" customFormat="1">
      <c r="A64" s="80">
        <v>45423.583333333336</v>
      </c>
      <c r="B64" s="112">
        <v>11.34</v>
      </c>
      <c r="C64" s="112">
        <v>13.11</v>
      </c>
      <c r="D64" s="112">
        <v>25.08</v>
      </c>
      <c r="E64" s="112">
        <v>18.64</v>
      </c>
      <c r="F64" s="112">
        <v>18</v>
      </c>
      <c r="G64" s="112">
        <v>38.92</v>
      </c>
      <c r="H64" s="112">
        <v>15.33</v>
      </c>
      <c r="I64" s="112">
        <v>5.56</v>
      </c>
      <c r="J64" s="112">
        <v>1.66</v>
      </c>
      <c r="K64" s="112">
        <v>300.91000000000003</v>
      </c>
      <c r="L64" s="112">
        <v>39.51</v>
      </c>
      <c r="M64" s="112">
        <v>31.66</v>
      </c>
      <c r="N64" s="112">
        <v>697.7</v>
      </c>
      <c r="O64" s="112">
        <v>0</v>
      </c>
      <c r="P64" s="112">
        <v>0.46</v>
      </c>
      <c r="Q64" s="167" t="s">
        <v>14</v>
      </c>
    </row>
    <row r="65" spans="1:17" customFormat="1">
      <c r="A65" s="80">
        <v>45423.59375</v>
      </c>
      <c r="B65" s="112">
        <v>11.35</v>
      </c>
      <c r="C65" s="112">
        <v>13.12</v>
      </c>
      <c r="D65" s="112">
        <v>25.1</v>
      </c>
      <c r="E65" s="112">
        <v>17.86</v>
      </c>
      <c r="F65" s="112">
        <v>14.93</v>
      </c>
      <c r="G65" s="112">
        <v>39.94</v>
      </c>
      <c r="H65" s="112">
        <v>15.33</v>
      </c>
      <c r="I65" s="112">
        <v>5.55</v>
      </c>
      <c r="J65" s="112">
        <v>1.31</v>
      </c>
      <c r="K65" s="112">
        <v>268.44</v>
      </c>
      <c r="L65" s="112">
        <v>39.479999999999997</v>
      </c>
      <c r="M65" s="112">
        <v>30.43</v>
      </c>
      <c r="N65" s="112">
        <v>673.2</v>
      </c>
      <c r="O65" s="112">
        <v>0</v>
      </c>
      <c r="P65" s="112">
        <v>0.49</v>
      </c>
      <c r="Q65" s="167" t="s">
        <v>14</v>
      </c>
    </row>
    <row r="66" spans="1:17" customFormat="1">
      <c r="A66" s="80">
        <v>45423.604166666664</v>
      </c>
      <c r="B66" s="112">
        <v>11.33</v>
      </c>
      <c r="C66" s="112">
        <v>13.13</v>
      </c>
      <c r="D66" s="112">
        <v>25.09</v>
      </c>
      <c r="E66" s="112">
        <v>19.38</v>
      </c>
      <c r="F66" s="112">
        <v>24.62</v>
      </c>
      <c r="G66" s="112">
        <v>39.94</v>
      </c>
      <c r="H66" s="112">
        <v>15.33</v>
      </c>
      <c r="I66" s="112">
        <v>5.52</v>
      </c>
      <c r="J66" s="112">
        <v>1.06</v>
      </c>
      <c r="K66" s="112">
        <v>259.26</v>
      </c>
      <c r="L66" s="112">
        <v>39.909999999999997</v>
      </c>
      <c r="M66" s="112">
        <v>30.71</v>
      </c>
      <c r="N66" s="112">
        <v>671.7</v>
      </c>
      <c r="O66" s="112">
        <v>0</v>
      </c>
      <c r="P66" s="112">
        <v>0.51</v>
      </c>
      <c r="Q66" s="167" t="s">
        <v>14</v>
      </c>
    </row>
    <row r="67" spans="1:17" customFormat="1">
      <c r="A67" s="80">
        <v>45423.614583333336</v>
      </c>
      <c r="B67" s="112">
        <v>11.31</v>
      </c>
      <c r="C67" s="112">
        <v>13.11</v>
      </c>
      <c r="D67" s="112">
        <v>25.06</v>
      </c>
      <c r="E67" s="112">
        <v>20.93</v>
      </c>
      <c r="F67" s="112">
        <v>23.4</v>
      </c>
      <c r="G67" s="112">
        <v>39.94</v>
      </c>
      <c r="H67" s="112">
        <v>15.33</v>
      </c>
      <c r="I67" s="112">
        <v>5.6</v>
      </c>
      <c r="J67" s="112">
        <v>1.57</v>
      </c>
      <c r="K67" s="112">
        <v>287.33999999999997</v>
      </c>
      <c r="L67" s="112">
        <v>39.799999999999997</v>
      </c>
      <c r="M67" s="112">
        <v>29.89</v>
      </c>
      <c r="N67" s="112">
        <v>635.1</v>
      </c>
      <c r="O67" s="112">
        <v>0</v>
      </c>
      <c r="P67" s="112">
        <v>0.53</v>
      </c>
      <c r="Q67" s="167" t="s">
        <v>14</v>
      </c>
    </row>
    <row r="68" spans="1:17" customFormat="1">
      <c r="A68" s="80">
        <v>45423.625</v>
      </c>
      <c r="B68" s="112">
        <v>11.31</v>
      </c>
      <c r="C68" s="112">
        <v>13.09</v>
      </c>
      <c r="D68" s="112">
        <v>25.06</v>
      </c>
      <c r="E68" s="112">
        <v>20.16</v>
      </c>
      <c r="F68" s="112">
        <v>23.85</v>
      </c>
      <c r="G68" s="112">
        <v>40.67</v>
      </c>
      <c r="H68" s="112">
        <v>13.01</v>
      </c>
      <c r="I68" s="112">
        <v>5.53</v>
      </c>
      <c r="J68" s="112">
        <v>1.26</v>
      </c>
      <c r="K68" s="112">
        <v>272.41000000000003</v>
      </c>
      <c r="L68" s="112">
        <v>39.69</v>
      </c>
      <c r="M68" s="112">
        <v>29.43</v>
      </c>
      <c r="N68" s="112">
        <v>591.9</v>
      </c>
      <c r="O68" s="112">
        <v>0</v>
      </c>
      <c r="P68" s="112">
        <v>0.53</v>
      </c>
      <c r="Q68" s="167" t="s">
        <v>14</v>
      </c>
    </row>
    <row r="69" spans="1:17" customFormat="1">
      <c r="A69" s="80">
        <v>45423.635416666664</v>
      </c>
      <c r="B69" s="112">
        <v>11.34</v>
      </c>
      <c r="C69" s="112">
        <v>13.11</v>
      </c>
      <c r="D69" s="112">
        <v>25.09</v>
      </c>
      <c r="E69" s="112">
        <v>18.84</v>
      </c>
      <c r="F69" s="112">
        <v>27.59</v>
      </c>
      <c r="G69" s="112">
        <v>40.86</v>
      </c>
      <c r="H69" s="112">
        <v>13.01</v>
      </c>
      <c r="I69" s="112">
        <v>5.37</v>
      </c>
      <c r="J69" s="112">
        <v>1.35</v>
      </c>
      <c r="K69" s="112">
        <v>290.98</v>
      </c>
      <c r="L69" s="112">
        <v>39.96</v>
      </c>
      <c r="M69" s="112">
        <v>28.03</v>
      </c>
      <c r="N69" s="112">
        <v>533.4</v>
      </c>
      <c r="O69" s="112">
        <v>0</v>
      </c>
      <c r="P69" s="112">
        <v>0.52</v>
      </c>
      <c r="Q69" s="167" t="s">
        <v>14</v>
      </c>
    </row>
    <row r="70" spans="1:17" customFormat="1">
      <c r="A70" s="80">
        <v>45423.645833333336</v>
      </c>
      <c r="B70" s="112">
        <v>11.38</v>
      </c>
      <c r="C70" s="112">
        <v>13.09</v>
      </c>
      <c r="D70" s="112">
        <v>25.11</v>
      </c>
      <c r="E70" s="112">
        <v>19.95</v>
      </c>
      <c r="F70" s="112">
        <v>28.3</v>
      </c>
      <c r="G70" s="112">
        <v>40.86</v>
      </c>
      <c r="H70" s="112">
        <v>13.01</v>
      </c>
      <c r="I70" s="112">
        <v>5.27</v>
      </c>
      <c r="J70" s="112">
        <v>1.47</v>
      </c>
      <c r="K70" s="112">
        <v>304.36</v>
      </c>
      <c r="L70" s="112">
        <v>39.950000000000003</v>
      </c>
      <c r="M70" s="112">
        <v>27.87</v>
      </c>
      <c r="N70" s="112">
        <v>506.1</v>
      </c>
      <c r="O70" s="112">
        <v>0</v>
      </c>
      <c r="P70" s="112">
        <v>0.52</v>
      </c>
      <c r="Q70" s="167" t="s">
        <v>14</v>
      </c>
    </row>
    <row r="71" spans="1:17" customFormat="1">
      <c r="A71" s="80">
        <v>45423.65625</v>
      </c>
      <c r="B71" s="112">
        <v>11.38</v>
      </c>
      <c r="C71" s="112">
        <v>13.08</v>
      </c>
      <c r="D71" s="112">
        <v>25.11</v>
      </c>
      <c r="E71" s="112">
        <v>18.96</v>
      </c>
      <c r="F71" s="112">
        <v>26.09</v>
      </c>
      <c r="G71" s="112">
        <v>40.86</v>
      </c>
      <c r="H71" s="112">
        <v>13.01</v>
      </c>
      <c r="I71" s="112">
        <v>5.26</v>
      </c>
      <c r="J71" s="112">
        <v>1.3</v>
      </c>
      <c r="K71" s="112">
        <v>297.33999999999997</v>
      </c>
      <c r="L71" s="112">
        <v>39.89</v>
      </c>
      <c r="M71" s="112">
        <v>26.07</v>
      </c>
      <c r="N71" s="112">
        <v>374.3</v>
      </c>
      <c r="O71" s="112">
        <v>0</v>
      </c>
      <c r="P71" s="112">
        <v>0.53</v>
      </c>
      <c r="Q71" s="167" t="s">
        <v>14</v>
      </c>
    </row>
    <row r="72" spans="1:17" customFormat="1">
      <c r="A72" s="80">
        <v>45423.666666666664</v>
      </c>
      <c r="B72" s="112">
        <v>11.37</v>
      </c>
      <c r="C72" s="112">
        <v>13.09</v>
      </c>
      <c r="D72" s="112">
        <v>25.1</v>
      </c>
      <c r="E72" s="112">
        <v>20.61</v>
      </c>
      <c r="F72" s="112">
        <v>33.5</v>
      </c>
      <c r="G72" s="112">
        <v>37.71</v>
      </c>
      <c r="H72" s="112">
        <v>11.57</v>
      </c>
      <c r="I72" s="112">
        <v>5.15</v>
      </c>
      <c r="J72" s="112">
        <v>1</v>
      </c>
      <c r="K72" s="112">
        <v>263.60000000000002</v>
      </c>
      <c r="L72" s="112">
        <v>39.369999999999997</v>
      </c>
      <c r="M72" s="112">
        <v>28.28</v>
      </c>
      <c r="N72" s="112">
        <v>289.3</v>
      </c>
      <c r="O72" s="112">
        <v>0</v>
      </c>
      <c r="P72" s="112">
        <v>0.51</v>
      </c>
      <c r="Q72" s="167" t="s">
        <v>14</v>
      </c>
    </row>
    <row r="73" spans="1:17" customFormat="1">
      <c r="A73" s="80">
        <v>45423.677083333336</v>
      </c>
      <c r="B73" s="112">
        <v>11.39</v>
      </c>
      <c r="C73" s="112">
        <v>13.1</v>
      </c>
      <c r="D73" s="112">
        <v>25.13</v>
      </c>
      <c r="E73" s="112">
        <v>20.52</v>
      </c>
      <c r="F73" s="112">
        <v>39.89</v>
      </c>
      <c r="G73" s="112">
        <v>36.92</v>
      </c>
      <c r="H73" s="112">
        <v>11.57</v>
      </c>
      <c r="I73" s="112">
        <v>5.04</v>
      </c>
      <c r="J73" s="112">
        <v>0.91</v>
      </c>
      <c r="K73" s="112">
        <v>258.18</v>
      </c>
      <c r="L73" s="112">
        <v>39.130000000000003</v>
      </c>
      <c r="M73" s="112">
        <v>29.17</v>
      </c>
      <c r="N73" s="112">
        <v>180.9</v>
      </c>
      <c r="O73" s="112">
        <v>0</v>
      </c>
      <c r="P73" s="112">
        <v>0.51</v>
      </c>
      <c r="Q73" s="167" t="s">
        <v>14</v>
      </c>
    </row>
    <row r="74" spans="1:17" customFormat="1">
      <c r="A74" s="80">
        <v>45423.6875</v>
      </c>
      <c r="B74" s="112">
        <v>11.43</v>
      </c>
      <c r="C74" s="112">
        <v>13.16</v>
      </c>
      <c r="D74" s="112">
        <v>25.19</v>
      </c>
      <c r="E74" s="112">
        <v>22.94</v>
      </c>
      <c r="F74" s="112">
        <v>44.43</v>
      </c>
      <c r="G74" s="112">
        <v>36.92</v>
      </c>
      <c r="H74" s="112">
        <v>11.57</v>
      </c>
      <c r="I74" s="112">
        <v>4.84</v>
      </c>
      <c r="J74" s="112">
        <v>0.56000000000000005</v>
      </c>
      <c r="K74" s="112">
        <v>259.73</v>
      </c>
      <c r="L74" s="112">
        <v>39.61</v>
      </c>
      <c r="M74" s="112">
        <v>28.85</v>
      </c>
      <c r="N74" s="112">
        <v>170.7</v>
      </c>
      <c r="O74" s="112">
        <v>0</v>
      </c>
      <c r="P74" s="112">
        <v>0.5</v>
      </c>
      <c r="Q74" s="167" t="s">
        <v>14</v>
      </c>
    </row>
    <row r="75" spans="1:17" customFormat="1">
      <c r="A75" s="80">
        <v>45423.697916666664</v>
      </c>
      <c r="B75" s="112">
        <v>11.39</v>
      </c>
      <c r="C75" s="112">
        <v>13.11</v>
      </c>
      <c r="D75" s="112">
        <v>25.13</v>
      </c>
      <c r="E75" s="112">
        <v>21.83</v>
      </c>
      <c r="F75" s="112">
        <v>36.119999999999997</v>
      </c>
      <c r="G75" s="112">
        <v>36.92</v>
      </c>
      <c r="H75" s="112">
        <v>11.57</v>
      </c>
      <c r="I75" s="112">
        <v>4.7</v>
      </c>
      <c r="J75" s="112">
        <v>0.89</v>
      </c>
      <c r="K75" s="112">
        <v>264.86</v>
      </c>
      <c r="L75" s="112">
        <v>39.340000000000003</v>
      </c>
      <c r="M75" s="112">
        <v>28</v>
      </c>
      <c r="N75" s="112">
        <v>144.4</v>
      </c>
      <c r="O75" s="112">
        <v>0</v>
      </c>
      <c r="P75" s="112">
        <v>0.52</v>
      </c>
      <c r="Q75" s="167" t="s">
        <v>14</v>
      </c>
    </row>
    <row r="76" spans="1:17" customFormat="1">
      <c r="A76" s="80">
        <v>45423.708333333336</v>
      </c>
      <c r="B76" s="112">
        <v>11.35</v>
      </c>
      <c r="C76" s="112">
        <v>13.15</v>
      </c>
      <c r="D76" s="112">
        <v>25.12</v>
      </c>
      <c r="E76" s="112">
        <v>25.07</v>
      </c>
      <c r="F76" s="112">
        <v>38.79</v>
      </c>
      <c r="G76" s="112">
        <v>36.08</v>
      </c>
      <c r="H76" s="112">
        <v>15.04</v>
      </c>
      <c r="I76" s="112">
        <v>4.6100000000000003</v>
      </c>
      <c r="J76" s="112">
        <v>1.21</v>
      </c>
      <c r="K76" s="112">
        <v>298.12</v>
      </c>
      <c r="L76" s="112">
        <v>39.19</v>
      </c>
      <c r="M76" s="112">
        <v>26.28</v>
      </c>
      <c r="N76" s="112">
        <v>137.80000000000001</v>
      </c>
      <c r="O76" s="112">
        <v>0</v>
      </c>
      <c r="P76" s="112">
        <v>0.51</v>
      </c>
      <c r="Q76" s="167" t="s">
        <v>14</v>
      </c>
    </row>
    <row r="77" spans="1:17" customFormat="1">
      <c r="A77" s="80">
        <v>45423.71875</v>
      </c>
      <c r="B77" s="112">
        <v>11.32</v>
      </c>
      <c r="C77" s="112">
        <v>13.12</v>
      </c>
      <c r="D77" s="112">
        <v>25.08</v>
      </c>
      <c r="E77" s="112">
        <v>24.6</v>
      </c>
      <c r="F77" s="112">
        <v>34.380000000000003</v>
      </c>
      <c r="G77" s="112">
        <v>35.869999999999997</v>
      </c>
      <c r="H77" s="112">
        <v>15.04</v>
      </c>
      <c r="I77" s="112">
        <v>4.62</v>
      </c>
      <c r="J77" s="112">
        <v>1.08</v>
      </c>
      <c r="K77" s="112">
        <v>285.05</v>
      </c>
      <c r="L77" s="112">
        <v>39.11</v>
      </c>
      <c r="M77" s="112">
        <v>25.52</v>
      </c>
      <c r="N77" s="112">
        <v>124.1</v>
      </c>
      <c r="O77" s="112">
        <v>0</v>
      </c>
      <c r="P77" s="112">
        <v>0.52</v>
      </c>
      <c r="Q77" s="167" t="s">
        <v>14</v>
      </c>
    </row>
    <row r="78" spans="1:17" customFormat="1">
      <c r="A78" s="80">
        <v>45423.729166666664</v>
      </c>
      <c r="B78" s="112">
        <v>11.34</v>
      </c>
      <c r="C78" s="112">
        <v>13.08</v>
      </c>
      <c r="D78" s="112">
        <v>25.07</v>
      </c>
      <c r="E78" s="112">
        <v>25.12</v>
      </c>
      <c r="F78" s="112">
        <v>27.66</v>
      </c>
      <c r="G78" s="112">
        <v>35.869999999999997</v>
      </c>
      <c r="H78" s="112">
        <v>15.04</v>
      </c>
      <c r="I78" s="112">
        <v>4.6500000000000004</v>
      </c>
      <c r="J78" s="112">
        <v>1.1599999999999999</v>
      </c>
      <c r="K78" s="112">
        <v>303.08</v>
      </c>
      <c r="L78" s="112">
        <v>38.83</v>
      </c>
      <c r="M78" s="112">
        <v>25.86</v>
      </c>
      <c r="N78" s="112">
        <v>80.599999999999994</v>
      </c>
      <c r="O78" s="112">
        <v>0</v>
      </c>
      <c r="P78" s="112">
        <v>0.55000000000000004</v>
      </c>
      <c r="Q78" s="167" t="s">
        <v>14</v>
      </c>
    </row>
    <row r="79" spans="1:17" customFormat="1">
      <c r="A79" s="80">
        <v>45423.739583333336</v>
      </c>
      <c r="B79" s="112">
        <v>11.34</v>
      </c>
      <c r="C79" s="112">
        <v>13.1</v>
      </c>
      <c r="D79" s="112">
        <v>25.08</v>
      </c>
      <c r="E79" s="112">
        <v>30.06</v>
      </c>
      <c r="F79" s="112">
        <v>28.92</v>
      </c>
      <c r="G79" s="112">
        <v>35.869999999999997</v>
      </c>
      <c r="H79" s="112">
        <v>15.04</v>
      </c>
      <c r="I79" s="112">
        <v>4.8099999999999996</v>
      </c>
      <c r="J79" s="112">
        <v>0.83</v>
      </c>
      <c r="K79" s="112">
        <v>317.61</v>
      </c>
      <c r="L79" s="112">
        <v>38.4</v>
      </c>
      <c r="M79" s="112">
        <v>26.62</v>
      </c>
      <c r="N79" s="112">
        <v>47.9</v>
      </c>
      <c r="O79" s="112">
        <v>0</v>
      </c>
      <c r="P79" s="112">
        <v>0.57999999999999996</v>
      </c>
      <c r="Q79" s="167" t="s">
        <v>14</v>
      </c>
    </row>
    <row r="80" spans="1:17" customFormat="1">
      <c r="A80" s="80">
        <v>45423.75</v>
      </c>
      <c r="B80" s="112">
        <v>11.35</v>
      </c>
      <c r="C80" s="112">
        <v>13.12</v>
      </c>
      <c r="D80" s="112">
        <v>25.1</v>
      </c>
      <c r="E80" s="112">
        <v>64.17</v>
      </c>
      <c r="F80" s="112">
        <v>22.34</v>
      </c>
      <c r="G80" s="112">
        <v>39.020000000000003</v>
      </c>
      <c r="H80" s="112">
        <v>14.61</v>
      </c>
      <c r="I80" s="112">
        <v>4.83</v>
      </c>
      <c r="J80" s="112">
        <v>1.18</v>
      </c>
      <c r="K80" s="112">
        <v>26.5</v>
      </c>
      <c r="L80" s="112">
        <v>36.64</v>
      </c>
      <c r="M80" s="112">
        <v>30.51</v>
      </c>
      <c r="N80" s="112">
        <v>19.2</v>
      </c>
      <c r="O80" s="112">
        <v>0</v>
      </c>
      <c r="P80" s="112">
        <v>0.59</v>
      </c>
      <c r="Q80" s="167" t="s">
        <v>14</v>
      </c>
    </row>
    <row r="81" spans="1:17" customFormat="1">
      <c r="A81" s="80">
        <v>45423.760416666664</v>
      </c>
      <c r="B81" s="112">
        <v>11.36</v>
      </c>
      <c r="C81" s="112">
        <v>13.18</v>
      </c>
      <c r="D81" s="112">
        <v>25.14</v>
      </c>
      <c r="E81" s="112">
        <v>11.57</v>
      </c>
      <c r="F81" s="112">
        <v>21.65</v>
      </c>
      <c r="G81" s="112">
        <v>39.81</v>
      </c>
      <c r="H81" s="112">
        <v>14.61</v>
      </c>
      <c r="I81" s="112">
        <v>4.8899999999999997</v>
      </c>
      <c r="J81" s="112">
        <v>0.36</v>
      </c>
      <c r="K81" s="112">
        <v>314.14999999999998</v>
      </c>
      <c r="L81" s="112">
        <v>35.64</v>
      </c>
      <c r="M81" s="112">
        <v>32.83</v>
      </c>
      <c r="N81" s="112">
        <v>1.9</v>
      </c>
      <c r="O81" s="112">
        <v>0</v>
      </c>
      <c r="P81" s="112">
        <v>0.64</v>
      </c>
      <c r="Q81" s="167" t="s">
        <v>14</v>
      </c>
    </row>
    <row r="82" spans="1:17" customFormat="1">
      <c r="A82" s="80">
        <v>45423.770833333336</v>
      </c>
      <c r="B82" s="112">
        <v>11.41</v>
      </c>
      <c r="C82" s="112">
        <v>13.2</v>
      </c>
      <c r="D82" s="112">
        <v>25.19</v>
      </c>
      <c r="E82" s="112">
        <v>205.21</v>
      </c>
      <c r="F82" s="112">
        <v>15.95</v>
      </c>
      <c r="G82" s="112">
        <v>39.81</v>
      </c>
      <c r="H82" s="112">
        <v>14.61</v>
      </c>
      <c r="I82" s="112">
        <v>5.0999999999999996</v>
      </c>
      <c r="J82" s="112">
        <v>0.35</v>
      </c>
      <c r="K82" s="112">
        <v>16.57</v>
      </c>
      <c r="L82" s="112">
        <v>35.21</v>
      </c>
      <c r="M82" s="112">
        <v>33.590000000000003</v>
      </c>
      <c r="N82" s="112">
        <v>0</v>
      </c>
      <c r="O82" s="112">
        <v>0</v>
      </c>
      <c r="P82" s="112">
        <v>0.74</v>
      </c>
      <c r="Q82" s="167" t="s">
        <v>14</v>
      </c>
    </row>
    <row r="83" spans="1:17" customFormat="1">
      <c r="A83" s="80">
        <v>45423.78125</v>
      </c>
      <c r="B83" s="112">
        <v>11.47</v>
      </c>
      <c r="C83" s="112">
        <v>13.2</v>
      </c>
      <c r="D83" s="112">
        <v>25.24</v>
      </c>
      <c r="E83" s="112">
        <v>187.82</v>
      </c>
      <c r="F83" s="112">
        <v>19.850000000000001</v>
      </c>
      <c r="G83" s="112">
        <v>39.81</v>
      </c>
      <c r="H83" s="112">
        <v>14.61</v>
      </c>
      <c r="I83" s="112">
        <v>5.42</v>
      </c>
      <c r="J83" s="112">
        <v>0.65</v>
      </c>
      <c r="K83" s="112">
        <v>35.950000000000003</v>
      </c>
      <c r="L83" s="112">
        <v>34.799999999999997</v>
      </c>
      <c r="M83" s="112">
        <v>34.4</v>
      </c>
      <c r="N83" s="112">
        <v>0</v>
      </c>
      <c r="O83" s="112">
        <v>0</v>
      </c>
      <c r="P83" s="112">
        <v>0.77</v>
      </c>
      <c r="Q83" s="167" t="s">
        <v>14</v>
      </c>
    </row>
    <row r="84" spans="1:17" customFormat="1">
      <c r="A84" s="80">
        <v>45423.791666666664</v>
      </c>
      <c r="B84" s="112">
        <v>11.46</v>
      </c>
      <c r="C84" s="112">
        <v>13.18</v>
      </c>
      <c r="D84" s="112">
        <v>25.23</v>
      </c>
      <c r="E84" s="112">
        <v>46.17</v>
      </c>
      <c r="F84" s="112">
        <v>13.98</v>
      </c>
      <c r="G84" s="112">
        <v>144.96</v>
      </c>
      <c r="H84" s="112">
        <v>24.31</v>
      </c>
      <c r="I84" s="112">
        <v>5.91</v>
      </c>
      <c r="J84" s="112">
        <v>1.79</v>
      </c>
      <c r="K84" s="112">
        <v>34.549999999999997</v>
      </c>
      <c r="L84" s="112">
        <v>34.57</v>
      </c>
      <c r="M84" s="112">
        <v>35.31</v>
      </c>
      <c r="N84" s="112">
        <v>0</v>
      </c>
      <c r="O84" s="112">
        <v>0</v>
      </c>
      <c r="P84" s="112">
        <v>0.77</v>
      </c>
      <c r="Q84" s="167" t="s">
        <v>14</v>
      </c>
    </row>
    <row r="85" spans="1:17" customFormat="1">
      <c r="A85" s="80">
        <v>45423.802083333336</v>
      </c>
      <c r="B85" s="112">
        <v>11.4</v>
      </c>
      <c r="C85" s="112">
        <v>13.13</v>
      </c>
      <c r="D85" s="112">
        <v>25.15</v>
      </c>
      <c r="E85" s="112">
        <v>22.56</v>
      </c>
      <c r="F85" s="112">
        <v>10.08</v>
      </c>
      <c r="G85" s="112">
        <v>171.25</v>
      </c>
      <c r="H85" s="112">
        <v>24.31</v>
      </c>
      <c r="I85" s="112">
        <v>6.62</v>
      </c>
      <c r="J85" s="112">
        <v>3.57</v>
      </c>
      <c r="K85" s="112">
        <v>41.78</v>
      </c>
      <c r="L85" s="112">
        <v>32.78</v>
      </c>
      <c r="M85" s="112">
        <v>39.78</v>
      </c>
      <c r="N85" s="112">
        <v>0</v>
      </c>
      <c r="O85" s="112">
        <v>0</v>
      </c>
      <c r="P85" s="112">
        <v>0.6</v>
      </c>
      <c r="Q85" s="167" t="s">
        <v>14</v>
      </c>
    </row>
    <row r="86" spans="1:17" customFormat="1">
      <c r="A86" s="80">
        <v>45423.8125</v>
      </c>
      <c r="B86" s="112">
        <v>11.41</v>
      </c>
      <c r="C86" s="112">
        <v>13.1</v>
      </c>
      <c r="D86" s="112">
        <v>25.14</v>
      </c>
      <c r="E86" s="112">
        <v>13.19</v>
      </c>
      <c r="F86" s="112">
        <v>8.32</v>
      </c>
      <c r="G86" s="112">
        <v>171.25</v>
      </c>
      <c r="H86" s="112">
        <v>24.31</v>
      </c>
      <c r="I86" s="112">
        <v>6.49</v>
      </c>
      <c r="J86" s="112">
        <v>2.41</v>
      </c>
      <c r="K86" s="112">
        <v>56</v>
      </c>
      <c r="L86" s="112">
        <v>31.35</v>
      </c>
      <c r="M86" s="112">
        <v>45.08</v>
      </c>
      <c r="N86" s="112">
        <v>0</v>
      </c>
      <c r="O86" s="112">
        <v>0</v>
      </c>
      <c r="P86" s="112">
        <v>0.6</v>
      </c>
      <c r="Q86" s="167" t="s">
        <v>14</v>
      </c>
    </row>
    <row r="87" spans="1:17" customFormat="1">
      <c r="A87" s="80">
        <v>45423.822916666664</v>
      </c>
      <c r="B87" s="112">
        <v>11.42</v>
      </c>
      <c r="C87" s="112">
        <v>13.13</v>
      </c>
      <c r="D87" s="112">
        <v>25.16</v>
      </c>
      <c r="E87" s="112">
        <v>12.56</v>
      </c>
      <c r="F87" s="112">
        <v>11.26</v>
      </c>
      <c r="G87" s="112">
        <v>171.25</v>
      </c>
      <c r="H87" s="112">
        <v>24.31</v>
      </c>
      <c r="I87" s="112">
        <v>5.64</v>
      </c>
      <c r="J87" s="112">
        <v>1.26</v>
      </c>
      <c r="K87" s="112">
        <v>62.66</v>
      </c>
      <c r="L87" s="112">
        <v>31.43</v>
      </c>
      <c r="M87" s="112">
        <v>43.07</v>
      </c>
      <c r="N87" s="112">
        <v>0</v>
      </c>
      <c r="O87" s="112">
        <v>0</v>
      </c>
      <c r="P87" s="112">
        <v>0.59</v>
      </c>
      <c r="Q87" s="167" t="s">
        <v>14</v>
      </c>
    </row>
    <row r="88" spans="1:17" customFormat="1">
      <c r="A88" s="80">
        <v>45423.833333333336</v>
      </c>
      <c r="B88" s="112">
        <v>11.4</v>
      </c>
      <c r="C88" s="112">
        <v>13.11</v>
      </c>
      <c r="D88" s="112">
        <v>25.14</v>
      </c>
      <c r="E88" s="112">
        <v>12.09</v>
      </c>
      <c r="F88" s="112">
        <v>9.0299999999999994</v>
      </c>
      <c r="G88" s="112">
        <v>148.59</v>
      </c>
      <c r="H88" s="112">
        <v>26.11</v>
      </c>
      <c r="I88" s="112">
        <v>5.44</v>
      </c>
      <c r="J88" s="112">
        <v>0.68</v>
      </c>
      <c r="K88" s="112">
        <v>81.319999999999993</v>
      </c>
      <c r="L88" s="112">
        <v>31.65</v>
      </c>
      <c r="M88" s="112">
        <v>41.05</v>
      </c>
      <c r="N88" s="112">
        <v>0</v>
      </c>
      <c r="O88" s="112">
        <v>0</v>
      </c>
      <c r="P88" s="112">
        <v>0.6</v>
      </c>
      <c r="Q88" s="167" t="s">
        <v>14</v>
      </c>
    </row>
    <row r="89" spans="1:17" customFormat="1">
      <c r="A89" s="80">
        <v>45423.84375</v>
      </c>
      <c r="B89" s="112">
        <v>11.38</v>
      </c>
      <c r="C89" s="112">
        <v>13.22</v>
      </c>
      <c r="D89" s="112">
        <v>25.18</v>
      </c>
      <c r="E89" s="112">
        <v>10.98</v>
      </c>
      <c r="F89" s="112">
        <v>9.9499999999999993</v>
      </c>
      <c r="G89" s="112">
        <v>142.93</v>
      </c>
      <c r="H89" s="112">
        <v>26.11</v>
      </c>
      <c r="I89" s="112">
        <v>5.25</v>
      </c>
      <c r="J89" s="112">
        <v>0.19</v>
      </c>
      <c r="K89" s="112">
        <v>91.4</v>
      </c>
      <c r="L89" s="112">
        <v>31.66</v>
      </c>
      <c r="M89" s="112">
        <v>41.16</v>
      </c>
      <c r="N89" s="112">
        <v>0</v>
      </c>
      <c r="O89" s="112">
        <v>0</v>
      </c>
      <c r="P89" s="112">
        <v>0.61</v>
      </c>
      <c r="Q89" s="167" t="s">
        <v>14</v>
      </c>
    </row>
    <row r="90" spans="1:17" customFormat="1">
      <c r="A90" s="80">
        <v>45423.854166666664</v>
      </c>
      <c r="B90" s="112">
        <v>11.38</v>
      </c>
      <c r="C90" s="112">
        <v>13.14</v>
      </c>
      <c r="D90" s="112">
        <v>25.13</v>
      </c>
      <c r="E90" s="112">
        <v>10.9</v>
      </c>
      <c r="F90" s="112">
        <v>8.43</v>
      </c>
      <c r="G90" s="112">
        <v>142.93</v>
      </c>
      <c r="H90" s="112">
        <v>26.11</v>
      </c>
      <c r="I90" s="112">
        <v>5.15</v>
      </c>
      <c r="J90" s="112">
        <v>0.14000000000000001</v>
      </c>
      <c r="K90" s="112">
        <v>170.83</v>
      </c>
      <c r="L90" s="112">
        <v>31.29</v>
      </c>
      <c r="M90" s="112">
        <v>43.19</v>
      </c>
      <c r="N90" s="112">
        <v>0</v>
      </c>
      <c r="O90" s="112">
        <v>0</v>
      </c>
      <c r="P90" s="112">
        <v>0.57999999999999996</v>
      </c>
      <c r="Q90" s="167" t="s">
        <v>14</v>
      </c>
    </row>
    <row r="91" spans="1:17" customFormat="1">
      <c r="A91" s="80">
        <v>45423.864583333336</v>
      </c>
      <c r="B91" s="112">
        <v>11.37</v>
      </c>
      <c r="C91" s="112">
        <v>13.12</v>
      </c>
      <c r="D91" s="112">
        <v>25.11</v>
      </c>
      <c r="E91" s="112">
        <v>11.3</v>
      </c>
      <c r="F91" s="112">
        <v>7.56</v>
      </c>
      <c r="G91" s="112">
        <v>142.93</v>
      </c>
      <c r="H91" s="112">
        <v>26.11</v>
      </c>
      <c r="I91" s="112">
        <v>5.19</v>
      </c>
      <c r="J91" s="112">
        <v>0.26</v>
      </c>
      <c r="K91" s="112">
        <v>139.19</v>
      </c>
      <c r="L91" s="112">
        <v>31.3</v>
      </c>
      <c r="M91" s="112">
        <v>43.48</v>
      </c>
      <c r="N91" s="112">
        <v>0</v>
      </c>
      <c r="O91" s="112">
        <v>0</v>
      </c>
      <c r="P91" s="112">
        <v>0.56999999999999995</v>
      </c>
      <c r="Q91" s="167" t="s">
        <v>14</v>
      </c>
    </row>
    <row r="92" spans="1:17" customFormat="1">
      <c r="A92" s="80">
        <v>45423.875</v>
      </c>
      <c r="B92" s="112">
        <v>11.37</v>
      </c>
      <c r="C92" s="112">
        <v>13.12</v>
      </c>
      <c r="D92" s="112">
        <v>25.12</v>
      </c>
      <c r="E92" s="112">
        <v>13.96</v>
      </c>
      <c r="F92" s="112">
        <v>9.07</v>
      </c>
      <c r="G92" s="112">
        <v>88.43</v>
      </c>
      <c r="H92" s="112">
        <v>22.26</v>
      </c>
      <c r="I92" s="112">
        <v>5.1100000000000003</v>
      </c>
      <c r="J92" s="112">
        <v>0.18</v>
      </c>
      <c r="K92" s="112">
        <v>172.2</v>
      </c>
      <c r="L92" s="112">
        <v>30.76</v>
      </c>
      <c r="M92" s="112">
        <v>46.03</v>
      </c>
      <c r="N92" s="112">
        <v>0</v>
      </c>
      <c r="O92" s="112">
        <v>0</v>
      </c>
      <c r="P92" s="112">
        <v>0.56000000000000005</v>
      </c>
      <c r="Q92" s="167" t="s">
        <v>14</v>
      </c>
    </row>
    <row r="93" spans="1:17" customFormat="1">
      <c r="A93" s="80">
        <v>45423.885416666664</v>
      </c>
      <c r="B93" s="112">
        <v>11.38</v>
      </c>
      <c r="C93" s="112">
        <v>13.05</v>
      </c>
      <c r="D93" s="112">
        <v>25.09</v>
      </c>
      <c r="E93" s="112">
        <v>13.2</v>
      </c>
      <c r="F93" s="112">
        <v>10.35</v>
      </c>
      <c r="G93" s="112">
        <v>74.81</v>
      </c>
      <c r="H93" s="112">
        <v>22.26</v>
      </c>
      <c r="I93" s="112">
        <v>5.0999999999999996</v>
      </c>
      <c r="J93" s="112">
        <v>0.22</v>
      </c>
      <c r="K93" s="112">
        <v>192.38</v>
      </c>
      <c r="L93" s="112">
        <v>30.63</v>
      </c>
      <c r="M93" s="112">
        <v>47.02</v>
      </c>
      <c r="N93" s="112">
        <v>0</v>
      </c>
      <c r="O93" s="112">
        <v>0</v>
      </c>
      <c r="P93" s="112">
        <v>0.55000000000000004</v>
      </c>
      <c r="Q93" s="167" t="s">
        <v>14</v>
      </c>
    </row>
    <row r="94" spans="1:17" customFormat="1">
      <c r="A94" s="80">
        <v>45423.895833333336</v>
      </c>
      <c r="B94" s="112">
        <v>11.34</v>
      </c>
      <c r="C94" s="112">
        <v>13.11</v>
      </c>
      <c r="D94" s="112">
        <v>25.09</v>
      </c>
      <c r="E94" s="112">
        <v>12</v>
      </c>
      <c r="F94" s="112">
        <v>5.71</v>
      </c>
      <c r="G94" s="112">
        <v>74.81</v>
      </c>
      <c r="H94" s="112">
        <v>22.26</v>
      </c>
      <c r="I94" s="112">
        <v>4.97</v>
      </c>
      <c r="J94" s="112">
        <v>0.18</v>
      </c>
      <c r="K94" s="112">
        <v>176.22</v>
      </c>
      <c r="L94" s="112">
        <v>30.4</v>
      </c>
      <c r="M94" s="112">
        <v>47.73</v>
      </c>
      <c r="N94" s="112">
        <v>0</v>
      </c>
      <c r="O94" s="112">
        <v>0</v>
      </c>
      <c r="P94" s="112">
        <v>0.55000000000000004</v>
      </c>
      <c r="Q94" s="167" t="s">
        <v>14</v>
      </c>
    </row>
    <row r="95" spans="1:17" customFormat="1">
      <c r="A95" s="80">
        <v>45423.90625</v>
      </c>
      <c r="B95" s="112">
        <v>11.34</v>
      </c>
      <c r="C95" s="112">
        <v>13.11</v>
      </c>
      <c r="D95" s="112">
        <v>25.09</v>
      </c>
      <c r="E95" s="112">
        <v>11.02</v>
      </c>
      <c r="F95" s="112">
        <v>8.85</v>
      </c>
      <c r="G95" s="112">
        <v>74.81</v>
      </c>
      <c r="H95" s="112">
        <v>22.26</v>
      </c>
      <c r="I95" s="112">
        <v>4.8899999999999997</v>
      </c>
      <c r="J95" s="112">
        <v>0.21</v>
      </c>
      <c r="K95" s="112">
        <v>120.89</v>
      </c>
      <c r="L95" s="112">
        <v>30.57</v>
      </c>
      <c r="M95" s="112">
        <v>47.31</v>
      </c>
      <c r="N95" s="112">
        <v>0</v>
      </c>
      <c r="O95" s="112">
        <v>0</v>
      </c>
      <c r="P95" s="112">
        <v>0.54</v>
      </c>
      <c r="Q95" s="167" t="s">
        <v>14</v>
      </c>
    </row>
    <row r="96" spans="1:17" customFormat="1">
      <c r="A96" s="80">
        <v>45423.916666666664</v>
      </c>
      <c r="B96" s="112">
        <v>11.32</v>
      </c>
      <c r="C96" s="112">
        <v>13.1</v>
      </c>
      <c r="D96" s="112">
        <v>25.07</v>
      </c>
      <c r="E96" s="112">
        <v>11.81</v>
      </c>
      <c r="F96" s="112">
        <v>9.89</v>
      </c>
      <c r="G96" s="112">
        <v>71.72</v>
      </c>
      <c r="H96" s="112">
        <v>21.4</v>
      </c>
      <c r="I96" s="112">
        <v>4.8099999999999996</v>
      </c>
      <c r="J96" s="112">
        <v>0.28000000000000003</v>
      </c>
      <c r="K96" s="112">
        <v>102.78</v>
      </c>
      <c r="L96" s="112">
        <v>30.53</v>
      </c>
      <c r="M96" s="112">
        <v>47.97</v>
      </c>
      <c r="N96" s="112">
        <v>0</v>
      </c>
      <c r="O96" s="112">
        <v>0</v>
      </c>
      <c r="P96" s="112">
        <v>0.54</v>
      </c>
      <c r="Q96" s="167" t="s">
        <v>14</v>
      </c>
    </row>
    <row r="97" spans="1:22" customFormat="1">
      <c r="A97" s="80">
        <v>45423.927083333336</v>
      </c>
      <c r="B97" s="112">
        <v>11.31</v>
      </c>
      <c r="C97" s="112">
        <v>13.11</v>
      </c>
      <c r="D97" s="112">
        <v>25.06</v>
      </c>
      <c r="E97" s="112">
        <v>11.22</v>
      </c>
      <c r="F97" s="112">
        <v>6.76</v>
      </c>
      <c r="G97" s="112">
        <v>70.95</v>
      </c>
      <c r="H97" s="112">
        <v>21.4</v>
      </c>
      <c r="I97" s="112">
        <v>4.7699999999999996</v>
      </c>
      <c r="J97" s="112">
        <v>0.28000000000000003</v>
      </c>
      <c r="K97" s="112">
        <v>98.05</v>
      </c>
      <c r="L97" s="112">
        <v>30.27</v>
      </c>
      <c r="M97" s="112">
        <v>49.29</v>
      </c>
      <c r="N97" s="112">
        <v>0</v>
      </c>
      <c r="O97" s="112">
        <v>0</v>
      </c>
      <c r="P97" s="112">
        <v>0.54</v>
      </c>
      <c r="Q97" s="167" t="s">
        <v>14</v>
      </c>
    </row>
    <row r="98" spans="1:22" customFormat="1">
      <c r="A98" s="80">
        <v>45423.9375</v>
      </c>
      <c r="B98" s="112">
        <v>11.32</v>
      </c>
      <c r="C98" s="112">
        <v>13.09</v>
      </c>
      <c r="D98" s="112">
        <v>25.06</v>
      </c>
      <c r="E98" s="112">
        <v>11.05</v>
      </c>
      <c r="F98" s="112">
        <v>12.94</v>
      </c>
      <c r="G98" s="112">
        <v>70.95</v>
      </c>
      <c r="H98" s="112">
        <v>21.4</v>
      </c>
      <c r="I98" s="112">
        <v>4.66</v>
      </c>
      <c r="J98" s="112">
        <v>0.08</v>
      </c>
      <c r="K98" s="112">
        <v>158.78</v>
      </c>
      <c r="L98" s="112">
        <v>30.23</v>
      </c>
      <c r="M98" s="112">
        <v>49.91</v>
      </c>
      <c r="N98" s="112">
        <v>0</v>
      </c>
      <c r="O98" s="112">
        <v>0</v>
      </c>
      <c r="P98" s="112">
        <v>0.51</v>
      </c>
      <c r="Q98" s="167" t="s">
        <v>14</v>
      </c>
    </row>
    <row r="99" spans="1:22" customFormat="1">
      <c r="A99" s="80">
        <v>45423.947916666664</v>
      </c>
      <c r="B99" s="112">
        <v>11.32</v>
      </c>
      <c r="C99" s="112">
        <v>13.12</v>
      </c>
      <c r="D99" s="112">
        <v>25.07</v>
      </c>
      <c r="E99" s="112">
        <v>11.42</v>
      </c>
      <c r="F99" s="112">
        <v>8.2899999999999991</v>
      </c>
      <c r="G99" s="112">
        <v>70.95</v>
      </c>
      <c r="H99" s="112">
        <v>21.4</v>
      </c>
      <c r="I99" s="112">
        <v>4.5599999999999996</v>
      </c>
      <c r="J99" s="112">
        <v>0.22</v>
      </c>
      <c r="K99" s="112">
        <v>211.92</v>
      </c>
      <c r="L99" s="112">
        <v>29.87</v>
      </c>
      <c r="M99" s="112">
        <v>51.28</v>
      </c>
      <c r="N99" s="112">
        <v>0</v>
      </c>
      <c r="O99" s="112">
        <v>0</v>
      </c>
      <c r="P99" s="112">
        <v>0.51</v>
      </c>
      <c r="Q99" s="167" t="s">
        <v>14</v>
      </c>
    </row>
    <row r="100" spans="1:22" customFormat="1">
      <c r="A100" s="80">
        <v>45423.958333333336</v>
      </c>
      <c r="B100" s="112">
        <v>11.32</v>
      </c>
      <c r="C100" s="112">
        <v>13.14</v>
      </c>
      <c r="D100" s="112">
        <v>25.08</v>
      </c>
      <c r="E100" s="112">
        <v>10.7</v>
      </c>
      <c r="F100" s="112">
        <v>12.85</v>
      </c>
      <c r="G100" s="112">
        <v>49.52</v>
      </c>
      <c r="H100" s="112">
        <v>18.649999999999999</v>
      </c>
      <c r="I100" s="112">
        <v>4.4400000000000004</v>
      </c>
      <c r="J100" s="112">
        <v>0.16</v>
      </c>
      <c r="K100" s="112">
        <v>208.6</v>
      </c>
      <c r="L100" s="112">
        <v>29.7</v>
      </c>
      <c r="M100" s="112">
        <v>52.07</v>
      </c>
      <c r="N100" s="112">
        <v>0</v>
      </c>
      <c r="O100" s="112">
        <v>0</v>
      </c>
      <c r="P100" s="112">
        <v>0.5</v>
      </c>
      <c r="Q100" s="167" t="s">
        <v>14</v>
      </c>
    </row>
    <row r="101" spans="1:22" customFormat="1">
      <c r="A101" s="80">
        <v>45423.96875</v>
      </c>
      <c r="B101" s="112">
        <v>11.33</v>
      </c>
      <c r="C101" s="112">
        <v>13.1</v>
      </c>
      <c r="D101" s="112">
        <v>25.07</v>
      </c>
      <c r="E101" s="112">
        <v>11.12</v>
      </c>
      <c r="F101" s="112">
        <v>8.15</v>
      </c>
      <c r="G101" s="112">
        <v>44.16</v>
      </c>
      <c r="H101" s="112">
        <v>18.649999999999999</v>
      </c>
      <c r="I101" s="112">
        <v>4.3600000000000003</v>
      </c>
      <c r="J101" s="112">
        <v>0.12</v>
      </c>
      <c r="K101" s="112">
        <v>189.51</v>
      </c>
      <c r="L101" s="112">
        <v>29.54</v>
      </c>
      <c r="M101" s="112">
        <v>52.55</v>
      </c>
      <c r="N101" s="112">
        <v>0</v>
      </c>
      <c r="O101" s="112">
        <v>0</v>
      </c>
      <c r="P101" s="112">
        <v>0.5</v>
      </c>
      <c r="Q101" s="167" t="s">
        <v>14</v>
      </c>
    </row>
    <row r="102" spans="1:22" customFormat="1">
      <c r="A102" s="80">
        <v>45423.979166666664</v>
      </c>
      <c r="B102" s="112">
        <v>11.33</v>
      </c>
      <c r="C102" s="112">
        <v>13.1</v>
      </c>
      <c r="D102" s="112">
        <v>25.07</v>
      </c>
      <c r="E102" s="112">
        <v>11.5</v>
      </c>
      <c r="F102" s="112">
        <v>8.52</v>
      </c>
      <c r="G102" s="112">
        <v>44.16</v>
      </c>
      <c r="H102" s="112">
        <v>18.649999999999999</v>
      </c>
      <c r="I102" s="112">
        <v>4.32</v>
      </c>
      <c r="J102" s="112">
        <v>0.09</v>
      </c>
      <c r="K102" s="112">
        <v>127.69</v>
      </c>
      <c r="L102" s="112">
        <v>29.45</v>
      </c>
      <c r="M102" s="112">
        <v>52.8</v>
      </c>
      <c r="N102" s="112">
        <v>0</v>
      </c>
      <c r="O102" s="112">
        <v>0</v>
      </c>
      <c r="P102" s="112">
        <v>0.5</v>
      </c>
      <c r="Q102" s="167" t="s">
        <v>14</v>
      </c>
    </row>
    <row r="103" spans="1:22" customFormat="1">
      <c r="A103" s="80">
        <v>45423.989583333336</v>
      </c>
      <c r="B103" s="112">
        <v>11.34</v>
      </c>
      <c r="C103" s="112">
        <v>13.1</v>
      </c>
      <c r="D103" s="112">
        <v>25.08</v>
      </c>
      <c r="E103" s="112">
        <v>11.03</v>
      </c>
      <c r="F103" s="112">
        <v>5.97</v>
      </c>
      <c r="G103" s="112">
        <v>44.16</v>
      </c>
      <c r="H103" s="112">
        <v>18.649999999999999</v>
      </c>
      <c r="I103" s="112">
        <v>4.3</v>
      </c>
      <c r="J103" s="112">
        <v>0.81</v>
      </c>
      <c r="K103" s="112">
        <v>50.94</v>
      </c>
      <c r="L103" s="112">
        <v>29.62</v>
      </c>
      <c r="M103" s="112">
        <v>51.78</v>
      </c>
      <c r="N103" s="112">
        <v>0</v>
      </c>
      <c r="O103" s="112">
        <v>0</v>
      </c>
      <c r="P103" s="112">
        <v>0.51</v>
      </c>
      <c r="Q103" s="167" t="s">
        <v>14</v>
      </c>
    </row>
    <row r="104" spans="1:22" customFormat="1">
      <c r="A104" s="80">
        <v>45424</v>
      </c>
      <c r="B104" s="112">
        <v>11.33</v>
      </c>
      <c r="C104" s="112">
        <v>13.18</v>
      </c>
      <c r="D104" s="112">
        <v>25.12</v>
      </c>
      <c r="E104" s="112">
        <v>12.19</v>
      </c>
      <c r="F104" s="112">
        <v>10.79</v>
      </c>
      <c r="G104" s="112">
        <v>33.9</v>
      </c>
      <c r="H104" s="112">
        <v>17.149999999999999</v>
      </c>
      <c r="I104" s="112">
        <v>4.28</v>
      </c>
      <c r="J104" s="112">
        <v>0.69</v>
      </c>
      <c r="K104" s="112">
        <v>60.6</v>
      </c>
      <c r="L104" s="112">
        <v>29.56</v>
      </c>
      <c r="M104" s="112">
        <v>52.47</v>
      </c>
      <c r="N104" s="112">
        <v>0</v>
      </c>
      <c r="O104" s="112">
        <v>0</v>
      </c>
      <c r="P104" s="112">
        <v>0.5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11.27</v>
      </c>
      <c r="C106" s="183">
        <f>MIN(C9:C104)</f>
        <v>13.05</v>
      </c>
      <c r="D106" s="183">
        <f t="shared" ref="D106:Q106" si="0">MIN(D9:D104)</f>
        <v>25.04</v>
      </c>
      <c r="E106" s="183">
        <f t="shared" si="0"/>
        <v>9.23</v>
      </c>
      <c r="F106" s="183">
        <f t="shared" si="0"/>
        <v>1</v>
      </c>
      <c r="G106" s="183">
        <f t="shared" si="0"/>
        <v>29.58</v>
      </c>
      <c r="H106" s="183">
        <f t="shared" si="0"/>
        <v>11.57</v>
      </c>
      <c r="I106" s="183">
        <f t="shared" si="0"/>
        <v>4.28</v>
      </c>
      <c r="J106" s="183">
        <f t="shared" si="0"/>
        <v>0.04</v>
      </c>
      <c r="K106" s="183">
        <f t="shared" si="0"/>
        <v>16.57</v>
      </c>
      <c r="L106" s="183">
        <f t="shared" si="0"/>
        <v>26.36</v>
      </c>
      <c r="M106" s="183">
        <f t="shared" si="0"/>
        <v>25.52</v>
      </c>
      <c r="N106" s="183">
        <f t="shared" si="0"/>
        <v>0</v>
      </c>
      <c r="O106" s="183">
        <f t="shared" si="0"/>
        <v>0</v>
      </c>
      <c r="P106" s="183">
        <f t="shared" si="0"/>
        <v>0.4</v>
      </c>
      <c r="Q106" s="183">
        <f t="shared" si="0"/>
        <v>4.59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11.47</v>
      </c>
      <c r="C107" s="184">
        <f t="shared" ref="C107:Q107" si="1">MAX(C9:C104)</f>
        <v>13.22</v>
      </c>
      <c r="D107" s="184">
        <f t="shared" si="1"/>
        <v>25.24</v>
      </c>
      <c r="E107" s="184">
        <f t="shared" si="1"/>
        <v>205.21</v>
      </c>
      <c r="F107" s="184">
        <f t="shared" si="1"/>
        <v>44.43</v>
      </c>
      <c r="G107" s="184">
        <f t="shared" si="1"/>
        <v>171.25</v>
      </c>
      <c r="H107" s="184">
        <f t="shared" si="1"/>
        <v>26.11</v>
      </c>
      <c r="I107" s="184">
        <f t="shared" si="1"/>
        <v>6.62</v>
      </c>
      <c r="J107" s="184">
        <f t="shared" si="1"/>
        <v>3.57</v>
      </c>
      <c r="K107" s="184">
        <f t="shared" si="1"/>
        <v>317.61</v>
      </c>
      <c r="L107" s="184">
        <f t="shared" si="1"/>
        <v>39.96</v>
      </c>
      <c r="M107" s="184">
        <f t="shared" si="1"/>
        <v>72.5</v>
      </c>
      <c r="N107" s="184">
        <f t="shared" si="1"/>
        <v>835.5</v>
      </c>
      <c r="O107" s="184">
        <f t="shared" si="1"/>
        <v>0</v>
      </c>
      <c r="P107" s="184">
        <f t="shared" si="1"/>
        <v>0.77</v>
      </c>
      <c r="Q107" s="184">
        <f t="shared" si="1"/>
        <v>4.6500000000000004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11.337708333333333</v>
      </c>
      <c r="C108" s="183">
        <f t="shared" ref="C108:Q108" si="2">AVERAGE(C9:C104)</f>
        <v>13.127395833333329</v>
      </c>
      <c r="D108" s="183">
        <f t="shared" si="2"/>
        <v>25.094895833333325</v>
      </c>
      <c r="E108" s="183">
        <f t="shared" si="2"/>
        <v>18.975729166666664</v>
      </c>
      <c r="F108" s="183">
        <f t="shared" si="2"/>
        <v>10.941979166666668</v>
      </c>
      <c r="G108" s="183">
        <f t="shared" si="2"/>
        <v>58.161041666666684</v>
      </c>
      <c r="H108" s="183">
        <f t="shared" si="2"/>
        <v>16.817187499999992</v>
      </c>
      <c r="I108" s="183">
        <f t="shared" si="2"/>
        <v>5.2069791666666658</v>
      </c>
      <c r="J108" s="183">
        <f t="shared" si="2"/>
        <v>0.81187500000000012</v>
      </c>
      <c r="K108" s="183">
        <f t="shared" si="2"/>
        <v>185.06822916666655</v>
      </c>
      <c r="L108" s="183">
        <f t="shared" si="2"/>
        <v>32.881666666666675</v>
      </c>
      <c r="M108" s="183">
        <f t="shared" si="2"/>
        <v>47.950104166666677</v>
      </c>
      <c r="N108" s="183">
        <f t="shared" si="2"/>
        <v>187.48125000000005</v>
      </c>
      <c r="O108" s="183">
        <f t="shared" si="2"/>
        <v>0</v>
      </c>
      <c r="P108" s="183">
        <f t="shared" si="2"/>
        <v>0.5117708333333334</v>
      </c>
      <c r="Q108" s="183">
        <f t="shared" si="2"/>
        <v>4.6228571428571428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4.0405293208913257E-2</v>
      </c>
      <c r="C109" s="183">
        <f t="shared" ref="C109:Q109" si="3">STDEV(C9:C104)</f>
        <v>3.4860467480836599E-2</v>
      </c>
      <c r="D109" s="183">
        <f t="shared" si="3"/>
        <v>3.8743278987027931E-2</v>
      </c>
      <c r="E109" s="183">
        <f t="shared" si="3"/>
        <v>27.088216655364789</v>
      </c>
      <c r="F109" s="183">
        <f t="shared" si="3"/>
        <v>10.243011647978049</v>
      </c>
      <c r="G109" s="183">
        <f t="shared" si="3"/>
        <v>32.606489973273604</v>
      </c>
      <c r="H109" s="183">
        <f t="shared" si="3"/>
        <v>3.6822586612953052</v>
      </c>
      <c r="I109" s="183">
        <f t="shared" si="3"/>
        <v>0.44296636391650424</v>
      </c>
      <c r="J109" s="183">
        <f t="shared" si="3"/>
        <v>0.60581621757236204</v>
      </c>
      <c r="K109" s="183">
        <f t="shared" si="3"/>
        <v>96.287958737756043</v>
      </c>
      <c r="L109" s="183">
        <f t="shared" si="3"/>
        <v>4.5390060740596265</v>
      </c>
      <c r="M109" s="183">
        <f t="shared" si="3"/>
        <v>14.04704115649238</v>
      </c>
      <c r="N109" s="183">
        <f t="shared" si="3"/>
        <v>278.65315332015024</v>
      </c>
      <c r="O109" s="183">
        <f t="shared" si="3"/>
        <v>0</v>
      </c>
      <c r="P109" s="183">
        <f t="shared" si="3"/>
        <v>6.7418485543524614E-2</v>
      </c>
      <c r="Q109" s="183">
        <f t="shared" si="3"/>
        <v>1.5898026693500364E-2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14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Q30" sqref="Q30:Q103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45424.010416666664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45424.010416666664</v>
      </c>
      <c r="B9" s="112">
        <v>11.3</v>
      </c>
      <c r="C9" s="112">
        <v>13.14</v>
      </c>
      <c r="D9" s="112">
        <v>25.07</v>
      </c>
      <c r="E9" s="112">
        <v>12.94</v>
      </c>
      <c r="F9" s="112">
        <v>10.11</v>
      </c>
      <c r="G9" s="112">
        <v>31.34</v>
      </c>
      <c r="H9" s="112">
        <v>17.149999999999999</v>
      </c>
      <c r="I9" s="112">
        <v>4.26</v>
      </c>
      <c r="J9" s="112">
        <v>0.56999999999999995</v>
      </c>
      <c r="K9" s="112">
        <v>49.49</v>
      </c>
      <c r="L9" s="112">
        <v>29.51</v>
      </c>
      <c r="M9" s="112">
        <v>52.99</v>
      </c>
      <c r="N9" s="112">
        <v>0</v>
      </c>
      <c r="O9" s="112">
        <v>0</v>
      </c>
      <c r="P9" s="112">
        <v>0.5</v>
      </c>
      <c r="Q9" s="167" t="s">
        <v>14</v>
      </c>
    </row>
    <row r="10" spans="1:21" customFormat="1">
      <c r="A10" s="80">
        <v>45424.020833333336</v>
      </c>
      <c r="B10" s="112">
        <v>11.31</v>
      </c>
      <c r="C10" s="112">
        <v>13.13</v>
      </c>
      <c r="D10" s="112">
        <v>25.07</v>
      </c>
      <c r="E10" s="112">
        <v>14.14</v>
      </c>
      <c r="F10" s="112">
        <v>7.97</v>
      </c>
      <c r="G10" s="112">
        <v>31.34</v>
      </c>
      <c r="H10" s="112">
        <v>17.149999999999999</v>
      </c>
      <c r="I10" s="112">
        <v>4.12</v>
      </c>
      <c r="J10" s="112">
        <v>0.39</v>
      </c>
      <c r="K10" s="112">
        <v>52.18</v>
      </c>
      <c r="L10" s="112">
        <v>29.47</v>
      </c>
      <c r="M10" s="112">
        <v>53.43</v>
      </c>
      <c r="N10" s="112">
        <v>0</v>
      </c>
      <c r="O10" s="112">
        <v>0</v>
      </c>
      <c r="P10" s="112">
        <v>0.52</v>
      </c>
      <c r="Q10" s="167" t="s">
        <v>14</v>
      </c>
    </row>
    <row r="11" spans="1:21" customFormat="1">
      <c r="A11" s="80">
        <v>45424.03125</v>
      </c>
      <c r="B11" s="112">
        <v>11.31</v>
      </c>
      <c r="C11" s="112">
        <v>13.13</v>
      </c>
      <c r="D11" s="112">
        <v>25.08</v>
      </c>
      <c r="E11" s="112">
        <v>13.93</v>
      </c>
      <c r="F11" s="112">
        <v>11.11</v>
      </c>
      <c r="G11" s="112">
        <v>31.34</v>
      </c>
      <c r="H11" s="112">
        <v>17.149999999999999</v>
      </c>
      <c r="I11" s="112">
        <v>4.07</v>
      </c>
      <c r="J11" s="112">
        <v>0.49</v>
      </c>
      <c r="K11" s="112">
        <v>59.3</v>
      </c>
      <c r="L11" s="112">
        <v>29.45</v>
      </c>
      <c r="M11" s="112">
        <v>53.4</v>
      </c>
      <c r="N11" s="112">
        <v>0</v>
      </c>
      <c r="O11" s="112">
        <v>0</v>
      </c>
      <c r="P11" s="112">
        <v>0.5</v>
      </c>
      <c r="Q11" s="167" t="s">
        <v>14</v>
      </c>
    </row>
    <row r="12" spans="1:21" customFormat="1">
      <c r="A12" s="80">
        <v>45424.041666666664</v>
      </c>
      <c r="B12" s="112">
        <v>11.3</v>
      </c>
      <c r="C12" s="112">
        <v>13.08</v>
      </c>
      <c r="D12" s="112">
        <v>25.04</v>
      </c>
      <c r="E12" s="112">
        <v>13.12</v>
      </c>
      <c r="F12" s="112">
        <v>10.51</v>
      </c>
      <c r="G12" s="112">
        <v>56.41</v>
      </c>
      <c r="H12" s="112">
        <v>18.079999999999998</v>
      </c>
      <c r="I12" s="112">
        <v>4.2</v>
      </c>
      <c r="J12" s="112">
        <v>0.17</v>
      </c>
      <c r="K12" s="112">
        <v>150.94</v>
      </c>
      <c r="L12" s="112">
        <v>29.2</v>
      </c>
      <c r="M12" s="112">
        <v>56.2</v>
      </c>
      <c r="N12" s="112">
        <v>0</v>
      </c>
      <c r="O12" s="112">
        <v>0</v>
      </c>
      <c r="P12" s="112">
        <v>0.49</v>
      </c>
      <c r="Q12" s="167" t="s">
        <v>14</v>
      </c>
    </row>
    <row r="13" spans="1:21" customFormat="1">
      <c r="A13" s="80">
        <v>45424.052083333336</v>
      </c>
      <c r="B13" s="112">
        <v>11.3</v>
      </c>
      <c r="C13" s="112">
        <v>13.08</v>
      </c>
      <c r="D13" s="112">
        <v>25.04</v>
      </c>
      <c r="E13" s="112">
        <v>12.2</v>
      </c>
      <c r="F13" s="112">
        <v>9.24</v>
      </c>
      <c r="G13" s="112">
        <v>62.68</v>
      </c>
      <c r="H13" s="112">
        <v>18.079999999999998</v>
      </c>
      <c r="I13" s="112">
        <v>4.3</v>
      </c>
      <c r="J13" s="112">
        <v>0.18</v>
      </c>
      <c r="K13" s="112">
        <v>182.33</v>
      </c>
      <c r="L13" s="112">
        <v>28.5</v>
      </c>
      <c r="M13" s="112">
        <v>59.44</v>
      </c>
      <c r="N13" s="112">
        <v>0</v>
      </c>
      <c r="O13" s="112">
        <v>0</v>
      </c>
      <c r="P13" s="112">
        <v>0.48</v>
      </c>
      <c r="Q13" s="167" t="s">
        <v>14</v>
      </c>
    </row>
    <row r="14" spans="1:21" customFormat="1">
      <c r="A14" s="80">
        <v>45424.0625</v>
      </c>
      <c r="B14" s="112">
        <v>11.27</v>
      </c>
      <c r="C14" s="112">
        <v>13.09</v>
      </c>
      <c r="D14" s="112">
        <v>25.02</v>
      </c>
      <c r="E14" s="112">
        <v>11.19</v>
      </c>
      <c r="F14" s="112">
        <v>9.6999999999999993</v>
      </c>
      <c r="G14" s="112">
        <v>62.68</v>
      </c>
      <c r="H14" s="112">
        <v>18.079999999999998</v>
      </c>
      <c r="I14" s="112">
        <v>4.29</v>
      </c>
      <c r="J14" s="112">
        <v>0.14000000000000001</v>
      </c>
      <c r="K14" s="112">
        <v>189.21</v>
      </c>
      <c r="L14" s="112">
        <v>28.03</v>
      </c>
      <c r="M14" s="112">
        <v>61.62</v>
      </c>
      <c r="N14" s="112">
        <v>0</v>
      </c>
      <c r="O14" s="112">
        <v>0</v>
      </c>
      <c r="P14" s="112">
        <v>0.49</v>
      </c>
      <c r="Q14" s="167" t="s">
        <v>14</v>
      </c>
    </row>
    <row r="15" spans="1:21" customFormat="1">
      <c r="A15" s="80">
        <v>45424.072916666664</v>
      </c>
      <c r="B15" s="112">
        <v>11.27</v>
      </c>
      <c r="C15" s="112">
        <v>13.12</v>
      </c>
      <c r="D15" s="112">
        <v>25.03</v>
      </c>
      <c r="E15" s="112">
        <v>10.93</v>
      </c>
      <c r="F15" s="112">
        <v>9.33</v>
      </c>
      <c r="G15" s="112">
        <v>62.68</v>
      </c>
      <c r="H15" s="112">
        <v>18.079999999999998</v>
      </c>
      <c r="I15" s="112">
        <v>4.28</v>
      </c>
      <c r="J15" s="112">
        <v>0.21</v>
      </c>
      <c r="K15" s="112">
        <v>210.84</v>
      </c>
      <c r="L15" s="112">
        <v>27.86</v>
      </c>
      <c r="M15" s="112">
        <v>61.94</v>
      </c>
      <c r="N15" s="112">
        <v>0</v>
      </c>
      <c r="O15" s="112">
        <v>0</v>
      </c>
      <c r="P15" s="112">
        <v>0.49</v>
      </c>
      <c r="Q15" s="167" t="s">
        <v>14</v>
      </c>
    </row>
    <row r="16" spans="1:21" customFormat="1">
      <c r="A16" s="80">
        <v>45424.083333333336</v>
      </c>
      <c r="B16" s="112">
        <v>11.28</v>
      </c>
      <c r="C16" s="112">
        <v>13.18</v>
      </c>
      <c r="D16" s="112">
        <v>25.08</v>
      </c>
      <c r="E16" s="112">
        <v>11.37</v>
      </c>
      <c r="F16" s="112">
        <v>12.91</v>
      </c>
      <c r="G16" s="112">
        <v>55.14</v>
      </c>
      <c r="H16" s="112">
        <v>17.87</v>
      </c>
      <c r="I16" s="112">
        <v>4.2699999999999996</v>
      </c>
      <c r="J16" s="112">
        <v>0.17</v>
      </c>
      <c r="K16" s="112">
        <v>213.53</v>
      </c>
      <c r="L16" s="112">
        <v>27.58</v>
      </c>
      <c r="M16" s="112">
        <v>62.22</v>
      </c>
      <c r="N16" s="112">
        <v>0</v>
      </c>
      <c r="O16" s="112">
        <v>0</v>
      </c>
      <c r="P16" s="112">
        <v>0.49</v>
      </c>
      <c r="Q16" s="167" t="s">
        <v>14</v>
      </c>
    </row>
    <row r="17" spans="1:17" customFormat="1">
      <c r="A17" s="80">
        <v>45424.09375</v>
      </c>
      <c r="B17" s="112">
        <v>11.3</v>
      </c>
      <c r="C17" s="112">
        <v>13.13</v>
      </c>
      <c r="D17" s="112">
        <v>25.06</v>
      </c>
      <c r="E17" s="112">
        <v>10.11</v>
      </c>
      <c r="F17" s="112">
        <v>12.08</v>
      </c>
      <c r="G17" s="112">
        <v>53.26</v>
      </c>
      <c r="H17" s="112">
        <v>17.87</v>
      </c>
      <c r="I17" s="112">
        <v>4.17</v>
      </c>
      <c r="J17" s="112">
        <v>0.15</v>
      </c>
      <c r="K17" s="112">
        <v>192.53</v>
      </c>
      <c r="L17" s="112">
        <v>27.58</v>
      </c>
      <c r="M17" s="112">
        <v>62.6</v>
      </c>
      <c r="N17" s="112">
        <v>0</v>
      </c>
      <c r="O17" s="112">
        <v>0</v>
      </c>
      <c r="P17" s="112">
        <v>0.47</v>
      </c>
      <c r="Q17" s="167" t="s">
        <v>14</v>
      </c>
    </row>
    <row r="18" spans="1:17" customFormat="1">
      <c r="A18" s="80">
        <v>45424.104166666664</v>
      </c>
      <c r="B18" s="112">
        <v>11.29</v>
      </c>
      <c r="C18" s="112">
        <v>13.11</v>
      </c>
      <c r="D18" s="112">
        <v>25.05</v>
      </c>
      <c r="E18" s="112">
        <v>11.82</v>
      </c>
      <c r="F18" s="112">
        <v>9.69</v>
      </c>
      <c r="G18" s="112">
        <v>53.26</v>
      </c>
      <c r="H18" s="112">
        <v>17.87</v>
      </c>
      <c r="I18" s="112">
        <v>4.0999999999999996</v>
      </c>
      <c r="J18" s="112">
        <v>0.06</v>
      </c>
      <c r="K18" s="112">
        <v>190.32</v>
      </c>
      <c r="L18" s="112">
        <v>27.59</v>
      </c>
      <c r="M18" s="112">
        <v>62.86</v>
      </c>
      <c r="N18" s="112">
        <v>0</v>
      </c>
      <c r="O18" s="112">
        <v>0</v>
      </c>
      <c r="P18" s="112">
        <v>0.47</v>
      </c>
      <c r="Q18" s="167" t="s">
        <v>14</v>
      </c>
    </row>
    <row r="19" spans="1:17" customFormat="1">
      <c r="A19" s="80">
        <v>45424.114583333336</v>
      </c>
      <c r="B19" s="112">
        <v>11.3</v>
      </c>
      <c r="C19" s="112">
        <v>13.07</v>
      </c>
      <c r="D19" s="112">
        <v>25.03</v>
      </c>
      <c r="E19" s="112">
        <v>11.21</v>
      </c>
      <c r="F19" s="112">
        <v>4.0599999999999996</v>
      </c>
      <c r="G19" s="112">
        <v>53.26</v>
      </c>
      <c r="H19" s="112">
        <v>17.87</v>
      </c>
      <c r="I19" s="112">
        <v>4.13</v>
      </c>
      <c r="J19" s="112">
        <v>0.09</v>
      </c>
      <c r="K19" s="112">
        <v>247.48</v>
      </c>
      <c r="L19" s="112">
        <v>27.58</v>
      </c>
      <c r="M19" s="112">
        <v>63.08</v>
      </c>
      <c r="N19" s="112">
        <v>0</v>
      </c>
      <c r="O19" s="112">
        <v>0</v>
      </c>
      <c r="P19" s="112">
        <v>0.48</v>
      </c>
      <c r="Q19" s="167" t="s">
        <v>14</v>
      </c>
    </row>
    <row r="20" spans="1:17" customFormat="1">
      <c r="A20" s="80">
        <v>45424.125</v>
      </c>
      <c r="B20" s="112">
        <v>11.27</v>
      </c>
      <c r="C20" s="112">
        <v>13.08</v>
      </c>
      <c r="D20" s="112">
        <v>25.02</v>
      </c>
      <c r="E20" s="112">
        <v>11.2</v>
      </c>
      <c r="F20" s="112">
        <v>2.6</v>
      </c>
      <c r="G20" s="112">
        <v>59.46</v>
      </c>
      <c r="H20" s="112">
        <v>16.68</v>
      </c>
      <c r="I20" s="112">
        <v>4.24</v>
      </c>
      <c r="J20" s="112">
        <v>0.17</v>
      </c>
      <c r="K20" s="112">
        <v>120.77</v>
      </c>
      <c r="L20" s="112">
        <v>27.6</v>
      </c>
      <c r="M20" s="112">
        <v>64.36</v>
      </c>
      <c r="N20" s="112">
        <v>0</v>
      </c>
      <c r="O20" s="112">
        <v>0</v>
      </c>
      <c r="P20" s="112">
        <v>0.5</v>
      </c>
      <c r="Q20" s="167" t="s">
        <v>14</v>
      </c>
    </row>
    <row r="21" spans="1:17" customFormat="1">
      <c r="A21" s="80">
        <v>45424.135416666664</v>
      </c>
      <c r="B21" s="112">
        <v>11.29</v>
      </c>
      <c r="C21" s="112">
        <v>13.09</v>
      </c>
      <c r="D21" s="112">
        <v>25.04</v>
      </c>
      <c r="E21" s="112">
        <v>11.34</v>
      </c>
      <c r="F21" s="112">
        <v>2.4500000000000002</v>
      </c>
      <c r="G21" s="112">
        <v>61.01</v>
      </c>
      <c r="H21" s="112">
        <v>16.68</v>
      </c>
      <c r="I21" s="112">
        <v>4.38</v>
      </c>
      <c r="J21" s="112">
        <v>0.17</v>
      </c>
      <c r="K21" s="112">
        <v>127.68</v>
      </c>
      <c r="L21" s="112">
        <v>27.58</v>
      </c>
      <c r="M21" s="112">
        <v>65.12</v>
      </c>
      <c r="N21" s="112">
        <v>0</v>
      </c>
      <c r="O21" s="112">
        <v>0</v>
      </c>
      <c r="P21" s="112">
        <v>0.5</v>
      </c>
      <c r="Q21" s="167" t="s">
        <v>14</v>
      </c>
    </row>
    <row r="22" spans="1:17" customFormat="1">
      <c r="A22" s="80">
        <v>45424.145833333336</v>
      </c>
      <c r="B22" s="112">
        <v>11.28</v>
      </c>
      <c r="C22" s="112">
        <v>13.11</v>
      </c>
      <c r="D22" s="112">
        <v>25.04</v>
      </c>
      <c r="E22" s="112">
        <v>11.15</v>
      </c>
      <c r="F22" s="112">
        <v>2.75</v>
      </c>
      <c r="G22" s="112">
        <v>61.01</v>
      </c>
      <c r="H22" s="112">
        <v>16.68</v>
      </c>
      <c r="I22" s="112">
        <v>4.4400000000000004</v>
      </c>
      <c r="J22" s="112">
        <v>0.28000000000000003</v>
      </c>
      <c r="K22" s="112">
        <v>180.37</v>
      </c>
      <c r="L22" s="112">
        <v>26.72</v>
      </c>
      <c r="M22" s="112">
        <v>69.08</v>
      </c>
      <c r="N22" s="112">
        <v>0</v>
      </c>
      <c r="O22" s="112">
        <v>0</v>
      </c>
      <c r="P22" s="112">
        <v>0.5</v>
      </c>
      <c r="Q22" s="167" t="s">
        <v>14</v>
      </c>
    </row>
    <row r="23" spans="1:17" customFormat="1">
      <c r="A23" s="80">
        <v>45424.15625</v>
      </c>
      <c r="B23" s="112">
        <v>11.28</v>
      </c>
      <c r="C23" s="112">
        <v>13.16</v>
      </c>
      <c r="D23" s="112">
        <v>25.06</v>
      </c>
      <c r="E23" s="112">
        <v>10.67</v>
      </c>
      <c r="F23" s="112">
        <v>2.96</v>
      </c>
      <c r="G23" s="112">
        <v>61.01</v>
      </c>
      <c r="H23" s="112">
        <v>16.68</v>
      </c>
      <c r="I23" s="112">
        <v>4.55</v>
      </c>
      <c r="J23" s="112">
        <v>0.22</v>
      </c>
      <c r="K23" s="112">
        <v>186.51</v>
      </c>
      <c r="L23" s="112">
        <v>26.52</v>
      </c>
      <c r="M23" s="112">
        <v>69.430000000000007</v>
      </c>
      <c r="N23" s="112">
        <v>0</v>
      </c>
      <c r="O23" s="112">
        <v>0</v>
      </c>
      <c r="P23" s="112">
        <v>0.49</v>
      </c>
      <c r="Q23" s="167" t="s">
        <v>14</v>
      </c>
    </row>
    <row r="24" spans="1:17" customFormat="1">
      <c r="A24" s="80">
        <v>45424.166666666664</v>
      </c>
      <c r="B24" s="112">
        <v>11.32</v>
      </c>
      <c r="C24" s="112">
        <v>13.09</v>
      </c>
      <c r="D24" s="112">
        <v>25.06</v>
      </c>
      <c r="E24" s="112">
        <v>10.38</v>
      </c>
      <c r="F24" s="112">
        <v>4.37</v>
      </c>
      <c r="G24" s="112">
        <v>59.84</v>
      </c>
      <c r="H24" s="112">
        <v>16.54</v>
      </c>
      <c r="I24" s="112">
        <v>4.5999999999999996</v>
      </c>
      <c r="J24" s="112">
        <v>0.08</v>
      </c>
      <c r="K24" s="112">
        <v>177.45</v>
      </c>
      <c r="L24" s="112">
        <v>26.51</v>
      </c>
      <c r="M24" s="112">
        <v>69.78</v>
      </c>
      <c r="N24" s="112">
        <v>0</v>
      </c>
      <c r="O24" s="112">
        <v>0</v>
      </c>
      <c r="P24" s="112">
        <v>0.48</v>
      </c>
      <c r="Q24" s="167" t="s">
        <v>14</v>
      </c>
    </row>
    <row r="25" spans="1:17" customFormat="1">
      <c r="A25" s="80">
        <v>45424.177083333336</v>
      </c>
      <c r="B25" s="112">
        <v>11.3</v>
      </c>
      <c r="C25" s="112">
        <v>13.09</v>
      </c>
      <c r="D25" s="112">
        <v>25.05</v>
      </c>
      <c r="E25" s="112">
        <v>10.74</v>
      </c>
      <c r="F25" s="112">
        <v>4.46</v>
      </c>
      <c r="G25" s="112">
        <v>59.55</v>
      </c>
      <c r="H25" s="112">
        <v>16.54</v>
      </c>
      <c r="I25" s="112">
        <v>4.57</v>
      </c>
      <c r="J25" s="112">
        <v>0.19</v>
      </c>
      <c r="K25" s="112">
        <v>69.989999999999995</v>
      </c>
      <c r="L25" s="112">
        <v>26.72</v>
      </c>
      <c r="M25" s="112">
        <v>67.7</v>
      </c>
      <c r="N25" s="112">
        <v>0</v>
      </c>
      <c r="O25" s="112">
        <v>0</v>
      </c>
      <c r="P25" s="112">
        <v>0.49</v>
      </c>
      <c r="Q25" s="167" t="s">
        <v>14</v>
      </c>
    </row>
    <row r="26" spans="1:17" customFormat="1">
      <c r="A26" s="80">
        <v>45424.1875</v>
      </c>
      <c r="B26" s="112">
        <v>11.35</v>
      </c>
      <c r="C26" s="112">
        <v>13.15</v>
      </c>
      <c r="D26" s="112">
        <v>25.11</v>
      </c>
      <c r="E26" s="112">
        <v>10.53</v>
      </c>
      <c r="F26" s="112">
        <v>1.42</v>
      </c>
      <c r="G26" s="112">
        <v>59.55</v>
      </c>
      <c r="H26" s="112">
        <v>16.54</v>
      </c>
      <c r="I26" s="112">
        <v>4.47</v>
      </c>
      <c r="J26" s="112">
        <v>0.03</v>
      </c>
      <c r="K26" s="112">
        <v>68.510000000000005</v>
      </c>
      <c r="L26" s="112">
        <v>27.09</v>
      </c>
      <c r="M26" s="112">
        <v>66.39</v>
      </c>
      <c r="N26" s="112">
        <v>0</v>
      </c>
      <c r="O26" s="112">
        <v>0</v>
      </c>
      <c r="P26" s="112">
        <v>0.49</v>
      </c>
      <c r="Q26" s="112">
        <v>4.63</v>
      </c>
    </row>
    <row r="27" spans="1:17" customFormat="1">
      <c r="A27" s="80">
        <v>45424.197916666664</v>
      </c>
      <c r="B27" s="112">
        <v>11.33</v>
      </c>
      <c r="C27" s="112">
        <v>13.12</v>
      </c>
      <c r="D27" s="112">
        <v>25.09</v>
      </c>
      <c r="E27" s="112">
        <v>10.95</v>
      </c>
      <c r="F27" s="112">
        <v>1</v>
      </c>
      <c r="G27" s="112">
        <v>59.55</v>
      </c>
      <c r="H27" s="112">
        <v>16.54</v>
      </c>
      <c r="I27" s="112">
        <v>4.51</v>
      </c>
      <c r="J27" s="112">
        <v>0.31</v>
      </c>
      <c r="K27" s="112">
        <v>308.99</v>
      </c>
      <c r="L27" s="112">
        <v>27.12</v>
      </c>
      <c r="M27" s="112">
        <v>66.52</v>
      </c>
      <c r="N27" s="112">
        <v>0</v>
      </c>
      <c r="O27" s="112">
        <v>0</v>
      </c>
      <c r="P27" s="112">
        <v>0.52</v>
      </c>
      <c r="Q27" s="167" t="s">
        <v>14</v>
      </c>
    </row>
    <row r="28" spans="1:17" customFormat="1">
      <c r="A28" s="80">
        <v>45424.208333333336</v>
      </c>
      <c r="B28" s="112">
        <v>11.32</v>
      </c>
      <c r="C28" s="112">
        <v>13.15</v>
      </c>
      <c r="D28" s="112">
        <v>25.09</v>
      </c>
      <c r="E28" s="112">
        <v>10.19</v>
      </c>
      <c r="F28" s="112">
        <v>1</v>
      </c>
      <c r="G28" s="112">
        <v>63.96</v>
      </c>
      <c r="H28" s="112">
        <v>18.600000000000001</v>
      </c>
      <c r="I28" s="112">
        <v>4.6900000000000004</v>
      </c>
      <c r="J28" s="112">
        <v>0.12</v>
      </c>
      <c r="K28" s="112">
        <v>115.06</v>
      </c>
      <c r="L28" s="112">
        <v>27.13</v>
      </c>
      <c r="M28" s="112">
        <v>66.98</v>
      </c>
      <c r="N28" s="112">
        <v>0</v>
      </c>
      <c r="O28" s="112">
        <v>0</v>
      </c>
      <c r="P28" s="112">
        <v>0.52</v>
      </c>
      <c r="Q28" s="167" t="s">
        <v>14</v>
      </c>
    </row>
    <row r="29" spans="1:17" customFormat="1">
      <c r="A29" s="80">
        <v>45424.21875</v>
      </c>
      <c r="B29" s="112">
        <v>11.29</v>
      </c>
      <c r="C29" s="112">
        <v>13.12</v>
      </c>
      <c r="D29" s="112">
        <v>25.05</v>
      </c>
      <c r="E29" s="112">
        <v>10.74</v>
      </c>
      <c r="F29" s="112">
        <v>1</v>
      </c>
      <c r="G29" s="112">
        <v>65.069999999999993</v>
      </c>
      <c r="H29" s="112">
        <v>18.600000000000001</v>
      </c>
      <c r="I29" s="112">
        <v>4.8899999999999997</v>
      </c>
      <c r="J29" s="112">
        <v>0.19</v>
      </c>
      <c r="K29" s="112">
        <v>108.44</v>
      </c>
      <c r="L29" s="112">
        <v>27.05</v>
      </c>
      <c r="M29" s="112">
        <v>68.45</v>
      </c>
      <c r="N29" s="112">
        <v>0</v>
      </c>
      <c r="O29" s="112">
        <v>0</v>
      </c>
      <c r="P29" s="112">
        <v>0.52</v>
      </c>
      <c r="Q29" s="112">
        <v>4.63</v>
      </c>
    </row>
    <row r="30" spans="1:17" customFormat="1">
      <c r="A30" s="80">
        <v>45424.229166666664</v>
      </c>
      <c r="B30" s="112">
        <v>11.29</v>
      </c>
      <c r="C30" s="112">
        <v>13.1</v>
      </c>
      <c r="D30" s="112">
        <v>25.04</v>
      </c>
      <c r="E30" s="112">
        <v>11.15</v>
      </c>
      <c r="F30" s="112">
        <v>1</v>
      </c>
      <c r="G30" s="112">
        <v>65.069999999999993</v>
      </c>
      <c r="H30" s="112">
        <v>18.600000000000001</v>
      </c>
      <c r="I30" s="112">
        <v>4.92</v>
      </c>
      <c r="J30" s="112">
        <v>0.64</v>
      </c>
      <c r="K30" s="112">
        <v>75.87</v>
      </c>
      <c r="L30" s="112">
        <v>27.22</v>
      </c>
      <c r="M30" s="112">
        <v>65.36</v>
      </c>
      <c r="N30" s="112">
        <v>1.1000000000000001</v>
      </c>
      <c r="O30" s="112">
        <v>0</v>
      </c>
      <c r="P30" s="112">
        <v>0.53</v>
      </c>
      <c r="Q30" s="167" t="s">
        <v>14</v>
      </c>
    </row>
    <row r="31" spans="1:17" customFormat="1">
      <c r="A31" s="80">
        <v>45424.239583333336</v>
      </c>
      <c r="B31" s="112">
        <v>11.31</v>
      </c>
      <c r="C31" s="112">
        <v>13.12</v>
      </c>
      <c r="D31" s="112">
        <v>25.07</v>
      </c>
      <c r="E31" s="112">
        <v>11</v>
      </c>
      <c r="F31" s="112">
        <v>1</v>
      </c>
      <c r="G31" s="112">
        <v>65.069999999999993</v>
      </c>
      <c r="H31" s="112">
        <v>18.600000000000001</v>
      </c>
      <c r="I31" s="112">
        <v>4.99</v>
      </c>
      <c r="J31" s="112">
        <v>0.68</v>
      </c>
      <c r="K31" s="112">
        <v>76.849999999999994</v>
      </c>
      <c r="L31" s="112">
        <v>27.2</v>
      </c>
      <c r="M31" s="112">
        <v>65.97</v>
      </c>
      <c r="N31" s="112">
        <v>10.199999999999999</v>
      </c>
      <c r="O31" s="112">
        <v>0</v>
      </c>
      <c r="P31" s="112">
        <v>0.54</v>
      </c>
      <c r="Q31" s="167" t="s">
        <v>14</v>
      </c>
    </row>
    <row r="32" spans="1:17" customFormat="1">
      <c r="A32" s="80">
        <v>45424.25</v>
      </c>
      <c r="B32" s="112">
        <v>11.31</v>
      </c>
      <c r="C32" s="112">
        <v>13.15</v>
      </c>
      <c r="D32" s="112">
        <v>25.08</v>
      </c>
      <c r="E32" s="112">
        <v>11.83</v>
      </c>
      <c r="F32" s="112">
        <v>1</v>
      </c>
      <c r="G32" s="112">
        <v>62.49</v>
      </c>
      <c r="H32" s="112">
        <v>17.29</v>
      </c>
      <c r="I32" s="112">
        <v>5.08</v>
      </c>
      <c r="J32" s="112">
        <v>0.72</v>
      </c>
      <c r="K32" s="112">
        <v>72.12</v>
      </c>
      <c r="L32" s="112">
        <v>27.19</v>
      </c>
      <c r="M32" s="112">
        <v>66.739999999999995</v>
      </c>
      <c r="N32" s="112">
        <v>24.7</v>
      </c>
      <c r="O32" s="112">
        <v>0</v>
      </c>
      <c r="P32" s="112">
        <v>0.54</v>
      </c>
      <c r="Q32" s="167" t="s">
        <v>14</v>
      </c>
    </row>
    <row r="33" spans="1:17" customFormat="1">
      <c r="A33" s="80">
        <v>45424.260416666664</v>
      </c>
      <c r="B33" s="112">
        <v>11.3</v>
      </c>
      <c r="C33" s="112">
        <v>13.16</v>
      </c>
      <c r="D33" s="112">
        <v>25.08</v>
      </c>
      <c r="E33" s="112">
        <v>11.09</v>
      </c>
      <c r="F33" s="112">
        <v>1</v>
      </c>
      <c r="G33" s="112">
        <v>61.85</v>
      </c>
      <c r="H33" s="112">
        <v>17.29</v>
      </c>
      <c r="I33" s="112">
        <v>5.15</v>
      </c>
      <c r="J33" s="112">
        <v>0.5</v>
      </c>
      <c r="K33" s="112">
        <v>88.42</v>
      </c>
      <c r="L33" s="112">
        <v>27.47</v>
      </c>
      <c r="M33" s="112">
        <v>66.59</v>
      </c>
      <c r="N33" s="112">
        <v>33.200000000000003</v>
      </c>
      <c r="O33" s="112">
        <v>0</v>
      </c>
      <c r="P33" s="112">
        <v>0.54</v>
      </c>
      <c r="Q33" s="167" t="s">
        <v>14</v>
      </c>
    </row>
    <row r="34" spans="1:17" customFormat="1">
      <c r="A34" s="80">
        <v>45424.270833333336</v>
      </c>
      <c r="B34" s="112">
        <v>11.3</v>
      </c>
      <c r="C34" s="112">
        <v>13.17</v>
      </c>
      <c r="D34" s="112">
        <v>25.08</v>
      </c>
      <c r="E34" s="112">
        <v>11.06</v>
      </c>
      <c r="F34" s="112">
        <v>1</v>
      </c>
      <c r="G34" s="112">
        <v>61.85</v>
      </c>
      <c r="H34" s="112">
        <v>17.29</v>
      </c>
      <c r="I34" s="112">
        <v>5.19</v>
      </c>
      <c r="J34" s="112">
        <v>0.17</v>
      </c>
      <c r="K34" s="112">
        <v>117.71</v>
      </c>
      <c r="L34" s="112">
        <v>27.98</v>
      </c>
      <c r="M34" s="112">
        <v>65.97</v>
      </c>
      <c r="N34" s="112">
        <v>55.6</v>
      </c>
      <c r="O34" s="112">
        <v>0</v>
      </c>
      <c r="P34" s="112">
        <v>0.54</v>
      </c>
      <c r="Q34" s="167" t="s">
        <v>14</v>
      </c>
    </row>
    <row r="35" spans="1:17" customFormat="1">
      <c r="A35" s="80">
        <v>45424.28125</v>
      </c>
      <c r="B35" s="112">
        <v>11.31</v>
      </c>
      <c r="C35" s="112">
        <v>13.16</v>
      </c>
      <c r="D35" s="112">
        <v>25.09</v>
      </c>
      <c r="E35" s="112">
        <v>10.74</v>
      </c>
      <c r="F35" s="112">
        <v>1.02</v>
      </c>
      <c r="G35" s="112">
        <v>61.85</v>
      </c>
      <c r="H35" s="112">
        <v>17.29</v>
      </c>
      <c r="I35" s="112">
        <v>5.21</v>
      </c>
      <c r="J35" s="112">
        <v>0.27</v>
      </c>
      <c r="K35" s="112">
        <v>108.75</v>
      </c>
      <c r="L35" s="112">
        <v>28.41</v>
      </c>
      <c r="M35" s="112">
        <v>64.430000000000007</v>
      </c>
      <c r="N35" s="112">
        <v>59.5</v>
      </c>
      <c r="O35" s="112">
        <v>0</v>
      </c>
      <c r="P35" s="112">
        <v>0.55000000000000004</v>
      </c>
      <c r="Q35" s="167" t="s">
        <v>14</v>
      </c>
    </row>
    <row r="36" spans="1:17" customFormat="1">
      <c r="A36" s="80">
        <v>45424.291666666664</v>
      </c>
      <c r="B36" s="112">
        <v>11.31</v>
      </c>
      <c r="C36" s="112">
        <v>13.13</v>
      </c>
      <c r="D36" s="112">
        <v>25.08</v>
      </c>
      <c r="E36" s="112">
        <v>12.54</v>
      </c>
      <c r="F36" s="112">
        <v>1.71</v>
      </c>
      <c r="G36" s="112">
        <v>67.489999999999995</v>
      </c>
      <c r="H36" s="112">
        <v>19.059999999999999</v>
      </c>
      <c r="I36" s="112">
        <v>5.25</v>
      </c>
      <c r="J36" s="112">
        <v>0.13</v>
      </c>
      <c r="K36" s="112">
        <v>178.8</v>
      </c>
      <c r="L36" s="112">
        <v>28.84</v>
      </c>
      <c r="M36" s="112">
        <v>62.33</v>
      </c>
      <c r="N36" s="112">
        <v>75.400000000000006</v>
      </c>
      <c r="O36" s="112">
        <v>0</v>
      </c>
      <c r="P36" s="112">
        <v>0.56000000000000005</v>
      </c>
      <c r="Q36" s="167" t="s">
        <v>14</v>
      </c>
    </row>
    <row r="37" spans="1:17" customFormat="1">
      <c r="A37" s="80">
        <v>45424.302083333336</v>
      </c>
      <c r="B37" s="112">
        <v>11.31</v>
      </c>
      <c r="C37" s="112">
        <v>13.14</v>
      </c>
      <c r="D37" s="112">
        <v>25.08</v>
      </c>
      <c r="E37" s="112">
        <v>11.31</v>
      </c>
      <c r="F37" s="112">
        <v>1.75</v>
      </c>
      <c r="G37" s="112">
        <v>68.900000000000006</v>
      </c>
      <c r="H37" s="112">
        <v>19.059999999999999</v>
      </c>
      <c r="I37" s="112">
        <v>5.34</v>
      </c>
      <c r="J37" s="112">
        <v>0.27</v>
      </c>
      <c r="K37" s="112">
        <v>165.52</v>
      </c>
      <c r="L37" s="112">
        <v>29.47</v>
      </c>
      <c r="M37" s="112">
        <v>60.44</v>
      </c>
      <c r="N37" s="112">
        <v>93.2</v>
      </c>
      <c r="O37" s="112">
        <v>0</v>
      </c>
      <c r="P37" s="112">
        <v>0.55000000000000004</v>
      </c>
      <c r="Q37" s="167" t="s">
        <v>14</v>
      </c>
    </row>
    <row r="38" spans="1:17" customFormat="1">
      <c r="A38" s="80">
        <v>45424.3125</v>
      </c>
      <c r="B38" s="112">
        <v>11.31</v>
      </c>
      <c r="C38" s="112">
        <v>13.13</v>
      </c>
      <c r="D38" s="112">
        <v>25.07</v>
      </c>
      <c r="E38" s="112">
        <v>11.68</v>
      </c>
      <c r="F38" s="112">
        <v>1.55</v>
      </c>
      <c r="G38" s="112">
        <v>68.900000000000006</v>
      </c>
      <c r="H38" s="112">
        <v>19.059999999999999</v>
      </c>
      <c r="I38" s="112">
        <v>5.36</v>
      </c>
      <c r="J38" s="112">
        <v>0.23</v>
      </c>
      <c r="K38" s="112">
        <v>108.13</v>
      </c>
      <c r="L38" s="112">
        <v>30.32</v>
      </c>
      <c r="M38" s="112">
        <v>57.64</v>
      </c>
      <c r="N38" s="112">
        <v>103.8</v>
      </c>
      <c r="O38" s="112">
        <v>0</v>
      </c>
      <c r="P38" s="112">
        <v>0.55000000000000004</v>
      </c>
      <c r="Q38" s="167" t="s">
        <v>14</v>
      </c>
    </row>
    <row r="39" spans="1:17" customFormat="1">
      <c r="A39" s="80">
        <v>45424.322916666664</v>
      </c>
      <c r="B39" s="112">
        <v>11.3</v>
      </c>
      <c r="C39" s="112">
        <v>13.15</v>
      </c>
      <c r="D39" s="112">
        <v>25.08</v>
      </c>
      <c r="E39" s="112">
        <v>11.92</v>
      </c>
      <c r="F39" s="112">
        <v>3.47</v>
      </c>
      <c r="G39" s="112">
        <v>68.900000000000006</v>
      </c>
      <c r="H39" s="112">
        <v>19.059999999999999</v>
      </c>
      <c r="I39" s="112">
        <v>5.32</v>
      </c>
      <c r="J39" s="112">
        <v>0.22</v>
      </c>
      <c r="K39" s="112">
        <v>85.17</v>
      </c>
      <c r="L39" s="112">
        <v>31.21</v>
      </c>
      <c r="M39" s="112">
        <v>54.61</v>
      </c>
      <c r="N39" s="112">
        <v>106.5</v>
      </c>
      <c r="O39" s="112">
        <v>0</v>
      </c>
      <c r="P39" s="112">
        <v>0.54</v>
      </c>
      <c r="Q39" s="167" t="s">
        <v>14</v>
      </c>
    </row>
    <row r="40" spans="1:17" customFormat="1">
      <c r="A40" s="80">
        <v>45424.333333333336</v>
      </c>
      <c r="B40" s="112">
        <v>11.3</v>
      </c>
      <c r="C40" s="112">
        <v>13.12</v>
      </c>
      <c r="D40" s="112">
        <v>25.06</v>
      </c>
      <c r="E40" s="112">
        <v>11.16</v>
      </c>
      <c r="F40" s="112">
        <v>4.76</v>
      </c>
      <c r="G40" s="112">
        <v>58.63</v>
      </c>
      <c r="H40" s="112">
        <v>18.63</v>
      </c>
      <c r="I40" s="112">
        <v>5.25</v>
      </c>
      <c r="J40" s="112">
        <v>0.03</v>
      </c>
      <c r="K40" s="112">
        <v>345.35</v>
      </c>
      <c r="L40" s="112">
        <v>31.94</v>
      </c>
      <c r="M40" s="112">
        <v>52.79</v>
      </c>
      <c r="N40" s="112">
        <v>115.3</v>
      </c>
      <c r="O40" s="112">
        <v>0</v>
      </c>
      <c r="P40" s="112">
        <v>0.54</v>
      </c>
      <c r="Q40" s="167" t="s">
        <v>14</v>
      </c>
    </row>
    <row r="41" spans="1:17" customFormat="1">
      <c r="A41" s="80">
        <v>45424.34375</v>
      </c>
      <c r="B41" s="112">
        <v>11.28</v>
      </c>
      <c r="C41" s="112">
        <v>13.14</v>
      </c>
      <c r="D41" s="112">
        <v>25.06</v>
      </c>
      <c r="E41" s="112">
        <v>11.69</v>
      </c>
      <c r="F41" s="112">
        <v>3.63</v>
      </c>
      <c r="G41" s="112">
        <v>56.06</v>
      </c>
      <c r="H41" s="112">
        <v>18.63</v>
      </c>
      <c r="I41" s="112">
        <v>5.15</v>
      </c>
      <c r="J41" s="112">
        <v>0.21</v>
      </c>
      <c r="K41" s="112">
        <v>205.76</v>
      </c>
      <c r="L41" s="112">
        <v>32.47</v>
      </c>
      <c r="M41" s="112">
        <v>51.35</v>
      </c>
      <c r="N41" s="112">
        <v>123.9</v>
      </c>
      <c r="O41" s="112">
        <v>0</v>
      </c>
      <c r="P41" s="112">
        <v>0.53</v>
      </c>
      <c r="Q41" s="167" t="s">
        <v>14</v>
      </c>
    </row>
    <row r="42" spans="1:17" customFormat="1">
      <c r="A42" s="80">
        <v>45424.354166666664</v>
      </c>
      <c r="B42" s="112">
        <v>11.28</v>
      </c>
      <c r="C42" s="112">
        <v>13.11</v>
      </c>
      <c r="D42" s="112">
        <v>25.04</v>
      </c>
      <c r="E42" s="112">
        <v>12.35</v>
      </c>
      <c r="F42" s="112">
        <v>5.38</v>
      </c>
      <c r="G42" s="112">
        <v>56.06</v>
      </c>
      <c r="H42" s="112">
        <v>18.63</v>
      </c>
      <c r="I42" s="112">
        <v>5.12</v>
      </c>
      <c r="J42" s="112">
        <v>0.14000000000000001</v>
      </c>
      <c r="K42" s="112">
        <v>234.86</v>
      </c>
      <c r="L42" s="112">
        <v>33.28</v>
      </c>
      <c r="M42" s="112">
        <v>48.91</v>
      </c>
      <c r="N42" s="112">
        <v>132.1</v>
      </c>
      <c r="O42" s="112">
        <v>0</v>
      </c>
      <c r="P42" s="112">
        <v>0.54</v>
      </c>
      <c r="Q42" s="167" t="s">
        <v>14</v>
      </c>
    </row>
    <row r="43" spans="1:17" customFormat="1">
      <c r="A43" s="80">
        <v>45424.364583333336</v>
      </c>
      <c r="B43" s="112">
        <v>11.28</v>
      </c>
      <c r="C43" s="112">
        <v>13.15</v>
      </c>
      <c r="D43" s="112">
        <v>25.06</v>
      </c>
      <c r="E43" s="112">
        <v>13.96</v>
      </c>
      <c r="F43" s="112">
        <v>5</v>
      </c>
      <c r="G43" s="112">
        <v>56.06</v>
      </c>
      <c r="H43" s="112">
        <v>18.63</v>
      </c>
      <c r="I43" s="112">
        <v>5.2</v>
      </c>
      <c r="J43" s="112">
        <v>0.43</v>
      </c>
      <c r="K43" s="112">
        <v>272.26</v>
      </c>
      <c r="L43" s="112">
        <v>33.39</v>
      </c>
      <c r="M43" s="112">
        <v>48.28</v>
      </c>
      <c r="N43" s="112">
        <v>144</v>
      </c>
      <c r="O43" s="112">
        <v>0</v>
      </c>
      <c r="P43" s="112">
        <v>0.56000000000000005</v>
      </c>
      <c r="Q43" s="167" t="s">
        <v>14</v>
      </c>
    </row>
    <row r="44" spans="1:17" customFormat="1">
      <c r="A44" s="80">
        <v>45424.375</v>
      </c>
      <c r="B44" s="112">
        <v>11.28</v>
      </c>
      <c r="C44" s="112">
        <v>13.15</v>
      </c>
      <c r="D44" s="112">
        <v>25.06</v>
      </c>
      <c r="E44" s="112">
        <v>17.07</v>
      </c>
      <c r="F44" s="112">
        <v>5.26</v>
      </c>
      <c r="G44" s="112">
        <v>41.27</v>
      </c>
      <c r="H44" s="112">
        <v>15.74</v>
      </c>
      <c r="I44" s="112">
        <v>5.27</v>
      </c>
      <c r="J44" s="112">
        <v>0.54</v>
      </c>
      <c r="K44" s="112">
        <v>273.29000000000002</v>
      </c>
      <c r="L44" s="112">
        <v>33.81</v>
      </c>
      <c r="M44" s="112">
        <v>46.91</v>
      </c>
      <c r="N44" s="112">
        <v>151</v>
      </c>
      <c r="O44" s="112">
        <v>0</v>
      </c>
      <c r="P44" s="112">
        <v>0.6</v>
      </c>
      <c r="Q44" s="167" t="s">
        <v>14</v>
      </c>
    </row>
    <row r="45" spans="1:17" customFormat="1">
      <c r="A45" s="80">
        <v>45424.385416666664</v>
      </c>
      <c r="B45" s="112">
        <v>11.26</v>
      </c>
      <c r="C45" s="112">
        <v>13.16</v>
      </c>
      <c r="D45" s="112">
        <v>25.05</v>
      </c>
      <c r="E45" s="112">
        <v>17.79</v>
      </c>
      <c r="F45" s="112">
        <v>4.2300000000000004</v>
      </c>
      <c r="G45" s="112">
        <v>37.57</v>
      </c>
      <c r="H45" s="112">
        <v>15.74</v>
      </c>
      <c r="I45" s="112">
        <v>5.64</v>
      </c>
      <c r="J45" s="112">
        <v>0.95</v>
      </c>
      <c r="K45" s="112">
        <v>273.33</v>
      </c>
      <c r="L45" s="112">
        <v>33.64</v>
      </c>
      <c r="M45" s="112">
        <v>46.97</v>
      </c>
      <c r="N45" s="112">
        <v>166.5</v>
      </c>
      <c r="O45" s="112">
        <v>0</v>
      </c>
      <c r="P45" s="112">
        <v>0.63</v>
      </c>
      <c r="Q45" s="167" t="s">
        <v>14</v>
      </c>
    </row>
    <row r="46" spans="1:17" customFormat="1">
      <c r="A46" s="80">
        <v>45424.395833333336</v>
      </c>
      <c r="B46" s="112">
        <v>11.22</v>
      </c>
      <c r="C46" s="112">
        <v>13.14</v>
      </c>
      <c r="D46" s="112">
        <v>25.01</v>
      </c>
      <c r="E46" s="112">
        <v>28.13</v>
      </c>
      <c r="F46" s="112">
        <v>8.2899999999999991</v>
      </c>
      <c r="G46" s="112">
        <v>37.57</v>
      </c>
      <c r="H46" s="112">
        <v>15.74</v>
      </c>
      <c r="I46" s="112">
        <v>6.32</v>
      </c>
      <c r="J46" s="112">
        <v>1.07</v>
      </c>
      <c r="K46" s="112">
        <v>267.49</v>
      </c>
      <c r="L46" s="112">
        <v>33.99</v>
      </c>
      <c r="M46" s="112">
        <v>46.63</v>
      </c>
      <c r="N46" s="112">
        <v>181.1</v>
      </c>
      <c r="O46" s="112">
        <v>0</v>
      </c>
      <c r="P46" s="112">
        <v>0.74</v>
      </c>
      <c r="Q46" s="167" t="s">
        <v>14</v>
      </c>
    </row>
    <row r="47" spans="1:17" customFormat="1">
      <c r="A47" s="80">
        <v>45424.40625</v>
      </c>
      <c r="B47" s="112">
        <v>11.28</v>
      </c>
      <c r="C47" s="112">
        <v>13.15</v>
      </c>
      <c r="D47" s="112">
        <v>25.06</v>
      </c>
      <c r="E47" s="112">
        <v>28.48</v>
      </c>
      <c r="F47" s="112">
        <v>15.57</v>
      </c>
      <c r="G47" s="112">
        <v>37.57</v>
      </c>
      <c r="H47" s="112">
        <v>15.74</v>
      </c>
      <c r="I47" s="112">
        <v>7.35</v>
      </c>
      <c r="J47" s="112">
        <v>0.94</v>
      </c>
      <c r="K47" s="112">
        <v>269.94</v>
      </c>
      <c r="L47" s="112">
        <v>34.65</v>
      </c>
      <c r="M47" s="112">
        <v>45.59</v>
      </c>
      <c r="N47" s="112">
        <v>204.2</v>
      </c>
      <c r="O47" s="112">
        <v>0</v>
      </c>
      <c r="P47" s="112">
        <v>0.77</v>
      </c>
      <c r="Q47" s="167" t="s">
        <v>14</v>
      </c>
    </row>
    <row r="48" spans="1:17" customFormat="1">
      <c r="A48" s="80">
        <v>45424.416666666664</v>
      </c>
      <c r="B48" s="112">
        <v>11.31</v>
      </c>
      <c r="C48" s="112">
        <v>13.19</v>
      </c>
      <c r="D48" s="112">
        <v>25.1</v>
      </c>
      <c r="E48" s="112">
        <v>39.64</v>
      </c>
      <c r="F48" s="112">
        <v>15.88</v>
      </c>
      <c r="G48" s="112">
        <v>69.81</v>
      </c>
      <c r="H48" s="112">
        <v>20.5</v>
      </c>
      <c r="I48" s="112">
        <v>8.5299999999999994</v>
      </c>
      <c r="J48" s="112">
        <v>1.37</v>
      </c>
      <c r="K48" s="112">
        <v>303.68</v>
      </c>
      <c r="L48" s="112">
        <v>35.24</v>
      </c>
      <c r="M48" s="112">
        <v>42.75</v>
      </c>
      <c r="N48" s="112">
        <v>199.2</v>
      </c>
      <c r="O48" s="112">
        <v>0</v>
      </c>
      <c r="P48" s="112">
        <v>0.84</v>
      </c>
      <c r="Q48" s="167" t="s">
        <v>14</v>
      </c>
    </row>
    <row r="49" spans="1:17" customFormat="1">
      <c r="A49" s="80">
        <v>45424.427083333336</v>
      </c>
      <c r="B49" s="112">
        <v>11.31</v>
      </c>
      <c r="C49" s="112">
        <v>13.12</v>
      </c>
      <c r="D49" s="112">
        <v>25.07</v>
      </c>
      <c r="E49" s="112">
        <v>23.34</v>
      </c>
      <c r="F49" s="112">
        <v>18.079999999999998</v>
      </c>
      <c r="G49" s="112">
        <v>77.87</v>
      </c>
      <c r="H49" s="112">
        <v>20.5</v>
      </c>
      <c r="I49" s="112">
        <v>9.41</v>
      </c>
      <c r="J49" s="112">
        <v>1.04</v>
      </c>
      <c r="K49" s="112">
        <v>263.36</v>
      </c>
      <c r="L49" s="112">
        <v>35.450000000000003</v>
      </c>
      <c r="M49" s="112">
        <v>42.07</v>
      </c>
      <c r="N49" s="112">
        <v>193</v>
      </c>
      <c r="O49" s="112">
        <v>0</v>
      </c>
      <c r="P49" s="112">
        <v>0.85</v>
      </c>
      <c r="Q49" s="167" t="s">
        <v>14</v>
      </c>
    </row>
    <row r="50" spans="1:17" customFormat="1">
      <c r="A50" s="80">
        <v>45424.4375</v>
      </c>
      <c r="B50" s="112">
        <v>11.28</v>
      </c>
      <c r="C50" s="112">
        <v>13.08</v>
      </c>
      <c r="D50" s="112">
        <v>25.03</v>
      </c>
      <c r="E50" s="112">
        <v>32.869999999999997</v>
      </c>
      <c r="F50" s="112">
        <v>21.57</v>
      </c>
      <c r="G50" s="112">
        <v>77.87</v>
      </c>
      <c r="H50" s="112">
        <v>20.5</v>
      </c>
      <c r="I50" s="112">
        <v>10.039999999999999</v>
      </c>
      <c r="J50" s="112">
        <v>0.94</v>
      </c>
      <c r="K50" s="112">
        <v>270.29000000000002</v>
      </c>
      <c r="L50" s="112">
        <v>36.11</v>
      </c>
      <c r="M50" s="112">
        <v>40.770000000000003</v>
      </c>
      <c r="N50" s="112">
        <v>200.6</v>
      </c>
      <c r="O50" s="112">
        <v>0</v>
      </c>
      <c r="P50" s="112">
        <v>0.87</v>
      </c>
      <c r="Q50" s="167" t="s">
        <v>14</v>
      </c>
    </row>
    <row r="51" spans="1:17" customFormat="1">
      <c r="A51" s="80">
        <v>45424.447916666664</v>
      </c>
      <c r="B51" s="112">
        <v>11.28</v>
      </c>
      <c r="C51" s="112">
        <v>13.11</v>
      </c>
      <c r="D51" s="112">
        <v>25.04</v>
      </c>
      <c r="E51" s="112">
        <v>41</v>
      </c>
      <c r="F51" s="112">
        <v>33.81</v>
      </c>
      <c r="G51" s="112">
        <v>77.87</v>
      </c>
      <c r="H51" s="112">
        <v>20.5</v>
      </c>
      <c r="I51" s="112">
        <v>10.11</v>
      </c>
      <c r="J51" s="112">
        <v>0.59</v>
      </c>
      <c r="K51" s="112">
        <v>251.22</v>
      </c>
      <c r="L51" s="112">
        <v>36.89</v>
      </c>
      <c r="M51" s="112">
        <v>39.69</v>
      </c>
      <c r="N51" s="112">
        <v>336.4</v>
      </c>
      <c r="O51" s="112">
        <v>0</v>
      </c>
      <c r="P51" s="112">
        <v>0.94</v>
      </c>
      <c r="Q51" s="167" t="s">
        <v>14</v>
      </c>
    </row>
    <row r="52" spans="1:17" customFormat="1">
      <c r="A52" s="80">
        <v>45424.458333333336</v>
      </c>
      <c r="B52" s="112">
        <v>11.28</v>
      </c>
      <c r="C52" s="112">
        <v>13.1</v>
      </c>
      <c r="D52" s="112">
        <v>25.03</v>
      </c>
      <c r="E52" s="112">
        <v>36.03</v>
      </c>
      <c r="F52" s="112">
        <v>40.35</v>
      </c>
      <c r="G52" s="112">
        <v>83.34</v>
      </c>
      <c r="H52" s="112">
        <v>29.45</v>
      </c>
      <c r="I52" s="112">
        <v>10.66</v>
      </c>
      <c r="J52" s="112">
        <v>0.68</v>
      </c>
      <c r="K52" s="112">
        <v>307.10000000000002</v>
      </c>
      <c r="L52" s="112">
        <v>37.700000000000003</v>
      </c>
      <c r="M52" s="112">
        <v>37.49</v>
      </c>
      <c r="N52" s="112">
        <v>549.6</v>
      </c>
      <c r="O52" s="112">
        <v>0</v>
      </c>
      <c r="P52" s="112">
        <v>0.95</v>
      </c>
      <c r="Q52" s="167" t="s">
        <v>14</v>
      </c>
    </row>
    <row r="53" spans="1:17" customFormat="1">
      <c r="A53" s="80">
        <v>45424.46875</v>
      </c>
      <c r="B53" s="112">
        <v>11.27</v>
      </c>
      <c r="C53" s="112">
        <v>13.08</v>
      </c>
      <c r="D53" s="112">
        <v>25.01</v>
      </c>
      <c r="E53" s="112">
        <v>28.83</v>
      </c>
      <c r="F53" s="112">
        <v>41.17</v>
      </c>
      <c r="G53" s="112">
        <v>84.71</v>
      </c>
      <c r="H53" s="112">
        <v>30.35</v>
      </c>
      <c r="I53" s="112">
        <v>11.32</v>
      </c>
      <c r="J53" s="112">
        <v>1.08</v>
      </c>
      <c r="K53" s="112">
        <v>300.39999999999998</v>
      </c>
      <c r="L53" s="112">
        <v>37.76</v>
      </c>
      <c r="M53" s="112">
        <v>35.99</v>
      </c>
      <c r="N53" s="112">
        <v>670.7</v>
      </c>
      <c r="O53" s="112">
        <v>0</v>
      </c>
      <c r="P53" s="112">
        <v>0.87</v>
      </c>
      <c r="Q53" s="167" t="s">
        <v>14</v>
      </c>
    </row>
    <row r="54" spans="1:17" customFormat="1">
      <c r="A54" s="80">
        <v>45424.479166666664</v>
      </c>
      <c r="B54" s="112">
        <v>11.27</v>
      </c>
      <c r="C54" s="112">
        <v>13.08</v>
      </c>
      <c r="D54" s="112">
        <v>25.02</v>
      </c>
      <c r="E54" s="112">
        <v>23.81</v>
      </c>
      <c r="F54" s="112">
        <v>32.590000000000003</v>
      </c>
      <c r="G54" s="112">
        <v>84.71</v>
      </c>
      <c r="H54" s="112">
        <v>30.35</v>
      </c>
      <c r="I54" s="112">
        <v>12.12</v>
      </c>
      <c r="J54" s="112">
        <v>0.49</v>
      </c>
      <c r="K54" s="112">
        <v>251.77</v>
      </c>
      <c r="L54" s="112">
        <v>38.770000000000003</v>
      </c>
      <c r="M54" s="112">
        <v>34.76</v>
      </c>
      <c r="N54" s="112">
        <v>761</v>
      </c>
      <c r="O54" s="112">
        <v>0</v>
      </c>
      <c r="P54" s="112">
        <v>0.84</v>
      </c>
      <c r="Q54" s="167" t="s">
        <v>14</v>
      </c>
    </row>
    <row r="55" spans="1:17" customFormat="1">
      <c r="A55" s="80">
        <v>45424.489583333336</v>
      </c>
      <c r="B55" s="112">
        <v>11.28</v>
      </c>
      <c r="C55" s="112">
        <v>13.08</v>
      </c>
      <c r="D55" s="112">
        <v>25.02</v>
      </c>
      <c r="E55" s="112">
        <v>25.77</v>
      </c>
      <c r="F55" s="112">
        <v>43.45</v>
      </c>
      <c r="G55" s="112">
        <v>84.71</v>
      </c>
      <c r="H55" s="112">
        <v>30.35</v>
      </c>
      <c r="I55" s="112">
        <v>12.35</v>
      </c>
      <c r="J55" s="112">
        <v>1.1499999999999999</v>
      </c>
      <c r="K55" s="112">
        <v>315.79000000000002</v>
      </c>
      <c r="L55" s="112">
        <v>38.549999999999997</v>
      </c>
      <c r="M55" s="112">
        <v>33.71</v>
      </c>
      <c r="N55" s="112">
        <v>764.5</v>
      </c>
      <c r="O55" s="112">
        <v>0</v>
      </c>
      <c r="P55" s="112">
        <v>0.82</v>
      </c>
      <c r="Q55" s="167" t="s">
        <v>14</v>
      </c>
    </row>
    <row r="56" spans="1:17" customFormat="1">
      <c r="A56" s="80">
        <v>45424.5</v>
      </c>
      <c r="B56" s="112">
        <v>11.28</v>
      </c>
      <c r="C56" s="112">
        <v>13.12</v>
      </c>
      <c r="D56" s="112">
        <v>25.04</v>
      </c>
      <c r="E56" s="112">
        <v>26.25</v>
      </c>
      <c r="F56" s="112">
        <v>37.39</v>
      </c>
      <c r="G56" s="112">
        <v>69.2</v>
      </c>
      <c r="H56" s="112">
        <v>22.38</v>
      </c>
      <c r="I56" s="112">
        <v>10.99</v>
      </c>
      <c r="J56" s="112">
        <v>1.2</v>
      </c>
      <c r="K56" s="112">
        <v>295.70999999999998</v>
      </c>
      <c r="L56" s="112">
        <v>38.369999999999997</v>
      </c>
      <c r="M56" s="112">
        <v>32.92</v>
      </c>
      <c r="N56" s="112">
        <v>794.7</v>
      </c>
      <c r="O56" s="112">
        <v>0</v>
      </c>
      <c r="P56" s="112">
        <v>0.82</v>
      </c>
      <c r="Q56" s="167" t="s">
        <v>14</v>
      </c>
    </row>
    <row r="57" spans="1:17" customFormat="1">
      <c r="A57" s="80">
        <v>45424.510416666664</v>
      </c>
      <c r="B57" s="112">
        <v>11.28</v>
      </c>
      <c r="C57" s="112">
        <v>13.13</v>
      </c>
      <c r="D57" s="112">
        <v>25.05</v>
      </c>
      <c r="E57" s="112">
        <v>25.55</v>
      </c>
      <c r="F57" s="112">
        <v>43.42</v>
      </c>
      <c r="G57" s="112">
        <v>65.09</v>
      </c>
      <c r="H57" s="112">
        <v>22.38</v>
      </c>
      <c r="I57" s="112">
        <v>10.79</v>
      </c>
      <c r="J57" s="112">
        <v>0.95</v>
      </c>
      <c r="K57" s="112">
        <v>306.61</v>
      </c>
      <c r="L57" s="112">
        <v>38.93</v>
      </c>
      <c r="M57" s="112">
        <v>31.77</v>
      </c>
      <c r="N57" s="112">
        <v>808.5</v>
      </c>
      <c r="O57" s="112">
        <v>0</v>
      </c>
      <c r="P57" s="112">
        <v>0.81</v>
      </c>
      <c r="Q57" s="167" t="s">
        <v>14</v>
      </c>
    </row>
    <row r="58" spans="1:17" customFormat="1">
      <c r="A58" s="80">
        <v>45424.520833333336</v>
      </c>
      <c r="B58" s="112">
        <v>11.3</v>
      </c>
      <c r="C58" s="112">
        <v>13.15</v>
      </c>
      <c r="D58" s="112">
        <v>25.07</v>
      </c>
      <c r="E58" s="112">
        <v>23.95</v>
      </c>
      <c r="F58" s="112">
        <v>35</v>
      </c>
      <c r="G58" s="112">
        <v>65.09</v>
      </c>
      <c r="H58" s="112">
        <v>22.38</v>
      </c>
      <c r="I58" s="112">
        <v>14.1</v>
      </c>
      <c r="J58" s="112">
        <v>1.1200000000000001</v>
      </c>
      <c r="K58" s="112">
        <v>301.13</v>
      </c>
      <c r="L58" s="112">
        <v>39.229999999999997</v>
      </c>
      <c r="M58" s="112">
        <v>31.17</v>
      </c>
      <c r="N58" s="112">
        <v>794.5</v>
      </c>
      <c r="O58" s="112">
        <v>0</v>
      </c>
      <c r="P58" s="112">
        <v>0.8</v>
      </c>
      <c r="Q58" s="167" t="s">
        <v>14</v>
      </c>
    </row>
    <row r="59" spans="1:17" customFormat="1">
      <c r="A59" s="80">
        <v>45424.53125</v>
      </c>
      <c r="B59" s="112">
        <v>11.32</v>
      </c>
      <c r="C59" s="112">
        <v>13.11</v>
      </c>
      <c r="D59" s="112">
        <v>25.07</v>
      </c>
      <c r="E59" s="112">
        <v>22.72</v>
      </c>
      <c r="F59" s="112">
        <v>40.770000000000003</v>
      </c>
      <c r="G59" s="112">
        <v>65.09</v>
      </c>
      <c r="H59" s="112">
        <v>22.38</v>
      </c>
      <c r="I59" s="112">
        <v>18.29</v>
      </c>
      <c r="J59" s="112">
        <v>0.65</v>
      </c>
      <c r="K59" s="112">
        <v>318.14999999999998</v>
      </c>
      <c r="L59" s="112">
        <v>39.869999999999997</v>
      </c>
      <c r="M59" s="112">
        <v>29.88</v>
      </c>
      <c r="N59" s="112">
        <v>739.2</v>
      </c>
      <c r="O59" s="112">
        <v>0</v>
      </c>
      <c r="P59" s="112">
        <v>0.78</v>
      </c>
      <c r="Q59" s="167" t="s">
        <v>14</v>
      </c>
    </row>
    <row r="60" spans="1:17" customFormat="1">
      <c r="A60" s="80">
        <v>45424.541666666664</v>
      </c>
      <c r="B60" s="112">
        <v>11.32</v>
      </c>
      <c r="C60" s="112">
        <v>13.07</v>
      </c>
      <c r="D60" s="112">
        <v>25.05</v>
      </c>
      <c r="E60" s="112">
        <v>20.79</v>
      </c>
      <c r="F60" s="112">
        <v>32.950000000000003</v>
      </c>
      <c r="G60" s="112">
        <v>60.23</v>
      </c>
      <c r="H60" s="112">
        <v>23.4</v>
      </c>
      <c r="I60" s="112">
        <v>15.5</v>
      </c>
      <c r="J60" s="112">
        <v>1.03</v>
      </c>
      <c r="K60" s="112">
        <v>293.79000000000002</v>
      </c>
      <c r="L60" s="112">
        <v>39.79</v>
      </c>
      <c r="M60" s="112">
        <v>28.64</v>
      </c>
      <c r="N60" s="112">
        <v>775.1</v>
      </c>
      <c r="O60" s="112">
        <v>0</v>
      </c>
      <c r="P60" s="112">
        <v>0.79</v>
      </c>
      <c r="Q60" s="167" t="s">
        <v>14</v>
      </c>
    </row>
    <row r="61" spans="1:17" customFormat="1">
      <c r="A61" s="80">
        <v>45424.552083333336</v>
      </c>
      <c r="B61" s="112">
        <v>11.32</v>
      </c>
      <c r="C61" s="112">
        <v>13.11</v>
      </c>
      <c r="D61" s="112">
        <v>25.07</v>
      </c>
      <c r="E61" s="112">
        <v>21.75</v>
      </c>
      <c r="F61" s="112">
        <v>44.05</v>
      </c>
      <c r="G61" s="112">
        <v>59.02</v>
      </c>
      <c r="H61" s="112">
        <v>23.4</v>
      </c>
      <c r="I61" s="112">
        <v>12.21</v>
      </c>
      <c r="J61" s="112">
        <v>0.43</v>
      </c>
      <c r="K61" s="112">
        <v>329.45</v>
      </c>
      <c r="L61" s="112">
        <v>40</v>
      </c>
      <c r="M61" s="112">
        <v>28.49</v>
      </c>
      <c r="N61" s="112">
        <v>739.8</v>
      </c>
      <c r="O61" s="112">
        <v>0</v>
      </c>
      <c r="P61" s="112">
        <v>0.74</v>
      </c>
      <c r="Q61" s="167" t="s">
        <v>14</v>
      </c>
    </row>
    <row r="62" spans="1:17" customFormat="1">
      <c r="A62" s="80">
        <v>45424.5625</v>
      </c>
      <c r="B62" s="112">
        <v>11.32</v>
      </c>
      <c r="C62" s="112">
        <v>13.13</v>
      </c>
      <c r="D62" s="112">
        <v>25.08</v>
      </c>
      <c r="E62" s="112">
        <v>24.01</v>
      </c>
      <c r="F62" s="112">
        <v>41.47</v>
      </c>
      <c r="G62" s="112">
        <v>59.02</v>
      </c>
      <c r="H62" s="112">
        <v>23.4</v>
      </c>
      <c r="I62" s="112">
        <v>12.12</v>
      </c>
      <c r="J62" s="112">
        <v>0.71</v>
      </c>
      <c r="K62" s="112">
        <v>325.62</v>
      </c>
      <c r="L62" s="112">
        <v>40.340000000000003</v>
      </c>
      <c r="M62" s="112">
        <v>28</v>
      </c>
      <c r="N62" s="112">
        <v>728</v>
      </c>
      <c r="O62" s="112">
        <v>0</v>
      </c>
      <c r="P62" s="112">
        <v>0.74</v>
      </c>
      <c r="Q62" s="167" t="s">
        <v>14</v>
      </c>
    </row>
    <row r="63" spans="1:17" customFormat="1">
      <c r="A63" s="80">
        <v>45424.572916666664</v>
      </c>
      <c r="B63" s="112">
        <v>11.32</v>
      </c>
      <c r="C63" s="112">
        <v>13.1</v>
      </c>
      <c r="D63" s="112">
        <v>25.07</v>
      </c>
      <c r="E63" s="112">
        <v>24.68</v>
      </c>
      <c r="F63" s="112">
        <v>44.79</v>
      </c>
      <c r="G63" s="112">
        <v>59.02</v>
      </c>
      <c r="H63" s="112">
        <v>23.4</v>
      </c>
      <c r="I63" s="112">
        <v>11.55</v>
      </c>
      <c r="J63" s="112">
        <v>0.84</v>
      </c>
      <c r="K63" s="112">
        <v>326.33</v>
      </c>
      <c r="L63" s="112">
        <v>39.76</v>
      </c>
      <c r="M63" s="112">
        <v>28.04</v>
      </c>
      <c r="N63" s="112">
        <v>522.4</v>
      </c>
      <c r="O63" s="112">
        <v>0</v>
      </c>
      <c r="P63" s="112">
        <v>0.74</v>
      </c>
      <c r="Q63" s="167" t="s">
        <v>14</v>
      </c>
    </row>
    <row r="64" spans="1:17" customFormat="1">
      <c r="A64" s="80">
        <v>45424.583333333336</v>
      </c>
      <c r="B64" s="112">
        <v>11.28</v>
      </c>
      <c r="C64" s="112">
        <v>13.09</v>
      </c>
      <c r="D64" s="112">
        <v>25.03</v>
      </c>
      <c r="E64" s="112">
        <v>22.34</v>
      </c>
      <c r="F64" s="112">
        <v>34.159999999999997</v>
      </c>
      <c r="G64" s="112">
        <v>53.66</v>
      </c>
      <c r="H64" s="112">
        <v>21.92</v>
      </c>
      <c r="I64" s="112">
        <v>11.42</v>
      </c>
      <c r="J64" s="112">
        <v>0.96</v>
      </c>
      <c r="K64" s="112">
        <v>5.79</v>
      </c>
      <c r="L64" s="112">
        <v>40.53</v>
      </c>
      <c r="M64" s="112">
        <v>24.88</v>
      </c>
      <c r="N64" s="112">
        <v>678.6</v>
      </c>
      <c r="O64" s="112">
        <v>0</v>
      </c>
      <c r="P64" s="112">
        <v>0.75</v>
      </c>
      <c r="Q64" s="167" t="s">
        <v>14</v>
      </c>
    </row>
    <row r="65" spans="1:17" customFormat="1">
      <c r="A65" s="80">
        <v>45424.59375</v>
      </c>
      <c r="B65" s="112">
        <v>11.31</v>
      </c>
      <c r="C65" s="112">
        <v>13.08</v>
      </c>
      <c r="D65" s="112">
        <v>25.05</v>
      </c>
      <c r="E65" s="112">
        <v>18.12</v>
      </c>
      <c r="F65" s="112">
        <v>32.57</v>
      </c>
      <c r="G65" s="112">
        <v>52.32</v>
      </c>
      <c r="H65" s="112">
        <v>21.92</v>
      </c>
      <c r="I65" s="112">
        <v>11.32</v>
      </c>
      <c r="J65" s="112">
        <v>1.18</v>
      </c>
      <c r="K65" s="112">
        <v>32.76</v>
      </c>
      <c r="L65" s="112">
        <v>40.32</v>
      </c>
      <c r="M65" s="112">
        <v>25.07</v>
      </c>
      <c r="N65" s="112">
        <v>521.20000000000005</v>
      </c>
      <c r="O65" s="112">
        <v>0</v>
      </c>
      <c r="P65" s="112">
        <v>0.56999999999999995</v>
      </c>
      <c r="Q65" s="167" t="s">
        <v>14</v>
      </c>
    </row>
    <row r="66" spans="1:17" customFormat="1">
      <c r="A66" s="80">
        <v>45424.604166666664</v>
      </c>
      <c r="B66" s="112">
        <v>11.36</v>
      </c>
      <c r="C66" s="112">
        <v>13.14</v>
      </c>
      <c r="D66" s="112">
        <v>25.12</v>
      </c>
      <c r="E66" s="112">
        <v>18.38</v>
      </c>
      <c r="F66" s="112">
        <v>28.05</v>
      </c>
      <c r="G66" s="112">
        <v>52.32</v>
      </c>
      <c r="H66" s="112">
        <v>21.92</v>
      </c>
      <c r="I66" s="112">
        <v>11.07</v>
      </c>
      <c r="J66" s="112">
        <v>1.22</v>
      </c>
      <c r="K66" s="112">
        <v>30.2</v>
      </c>
      <c r="L66" s="112">
        <v>40.08</v>
      </c>
      <c r="M66" s="112">
        <v>24.09</v>
      </c>
      <c r="N66" s="112">
        <v>690.6</v>
      </c>
      <c r="O66" s="112">
        <v>0</v>
      </c>
      <c r="P66" s="112">
        <v>0.59</v>
      </c>
      <c r="Q66" s="167" t="s">
        <v>14</v>
      </c>
    </row>
    <row r="67" spans="1:17" customFormat="1">
      <c r="A67" s="80">
        <v>45424.614583333336</v>
      </c>
      <c r="B67" s="112">
        <v>11.37</v>
      </c>
      <c r="C67" s="112">
        <v>13.15</v>
      </c>
      <c r="D67" s="112">
        <v>25.13</v>
      </c>
      <c r="E67" s="112">
        <v>21.75</v>
      </c>
      <c r="F67" s="112">
        <v>37.18</v>
      </c>
      <c r="G67" s="112">
        <v>52.32</v>
      </c>
      <c r="H67" s="112">
        <v>21.92</v>
      </c>
      <c r="I67" s="112">
        <v>11.13</v>
      </c>
      <c r="J67" s="112">
        <v>0.65</v>
      </c>
      <c r="K67" s="112">
        <v>322.04000000000002</v>
      </c>
      <c r="L67" s="112">
        <v>40.24</v>
      </c>
      <c r="M67" s="112">
        <v>23.92</v>
      </c>
      <c r="N67" s="112">
        <v>523.9</v>
      </c>
      <c r="O67" s="112">
        <v>0</v>
      </c>
      <c r="P67" s="112">
        <v>0.55000000000000004</v>
      </c>
      <c r="Q67" s="167" t="s">
        <v>14</v>
      </c>
    </row>
    <row r="68" spans="1:17" customFormat="1">
      <c r="A68" s="80">
        <v>45424.625</v>
      </c>
      <c r="B68" s="112">
        <v>11.38</v>
      </c>
      <c r="C68" s="112">
        <v>13.08</v>
      </c>
      <c r="D68" s="112">
        <v>25.1</v>
      </c>
      <c r="E68" s="112">
        <v>25.28</v>
      </c>
      <c r="F68" s="112">
        <v>41.93</v>
      </c>
      <c r="G68" s="112">
        <v>47.25</v>
      </c>
      <c r="H68" s="112">
        <v>15.56</v>
      </c>
      <c r="I68" s="112">
        <v>10.73</v>
      </c>
      <c r="J68" s="112">
        <v>0.65</v>
      </c>
      <c r="K68" s="112">
        <v>27.37</v>
      </c>
      <c r="L68" s="112">
        <v>39.96</v>
      </c>
      <c r="M68" s="112">
        <v>26.03</v>
      </c>
      <c r="N68" s="112">
        <v>90.5</v>
      </c>
      <c r="O68" s="112">
        <v>0</v>
      </c>
      <c r="P68" s="112">
        <v>0.54</v>
      </c>
      <c r="Q68" s="167" t="s">
        <v>14</v>
      </c>
    </row>
    <row r="69" spans="1:17" customFormat="1">
      <c r="A69" s="80">
        <v>45424.635416666664</v>
      </c>
      <c r="B69" s="112">
        <v>11.36</v>
      </c>
      <c r="C69" s="112">
        <v>13.11</v>
      </c>
      <c r="D69" s="112">
        <v>25.11</v>
      </c>
      <c r="E69" s="112">
        <v>31.1</v>
      </c>
      <c r="F69" s="112">
        <v>38.049999999999997</v>
      </c>
      <c r="G69" s="112">
        <v>45.99</v>
      </c>
      <c r="H69" s="112">
        <v>15.56</v>
      </c>
      <c r="I69" s="112">
        <v>9.99</v>
      </c>
      <c r="J69" s="112">
        <v>0.43</v>
      </c>
      <c r="K69" s="112">
        <v>344.99</v>
      </c>
      <c r="L69" s="112">
        <v>38.92</v>
      </c>
      <c r="M69" s="112">
        <v>26.11</v>
      </c>
      <c r="N69" s="112">
        <v>47.4</v>
      </c>
      <c r="O69" s="112">
        <v>0</v>
      </c>
      <c r="P69" s="112">
        <v>0.54</v>
      </c>
      <c r="Q69" s="167" t="s">
        <v>14</v>
      </c>
    </row>
    <row r="70" spans="1:17" customFormat="1">
      <c r="A70" s="80">
        <v>45424.645833333336</v>
      </c>
      <c r="B70" s="112">
        <v>11.37</v>
      </c>
      <c r="C70" s="112">
        <v>13.14</v>
      </c>
      <c r="D70" s="112">
        <v>25.12</v>
      </c>
      <c r="E70" s="112">
        <v>32.93</v>
      </c>
      <c r="F70" s="112">
        <v>35.78</v>
      </c>
      <c r="G70" s="112">
        <v>45.99</v>
      </c>
      <c r="H70" s="112">
        <v>15.56</v>
      </c>
      <c r="I70" s="112">
        <v>9.39</v>
      </c>
      <c r="J70" s="112">
        <v>0.71</v>
      </c>
      <c r="K70" s="112">
        <v>39.4</v>
      </c>
      <c r="L70" s="112">
        <v>38.799999999999997</v>
      </c>
      <c r="M70" s="112">
        <v>25.39</v>
      </c>
      <c r="N70" s="112">
        <v>113</v>
      </c>
      <c r="O70" s="112">
        <v>0</v>
      </c>
      <c r="P70" s="112">
        <v>0.55000000000000004</v>
      </c>
      <c r="Q70" s="167" t="s">
        <v>14</v>
      </c>
    </row>
    <row r="71" spans="1:17" customFormat="1">
      <c r="A71" s="80">
        <v>45424.65625</v>
      </c>
      <c r="B71" s="112">
        <v>11.35</v>
      </c>
      <c r="C71" s="112">
        <v>13.12</v>
      </c>
      <c r="D71" s="112">
        <v>25.1</v>
      </c>
      <c r="E71" s="112">
        <v>23.48</v>
      </c>
      <c r="F71" s="112">
        <v>30.93</v>
      </c>
      <c r="G71" s="112">
        <v>45.99</v>
      </c>
      <c r="H71" s="112">
        <v>15.56</v>
      </c>
      <c r="I71" s="112">
        <v>33.68</v>
      </c>
      <c r="J71" s="112">
        <v>1.05</v>
      </c>
      <c r="K71" s="112">
        <v>38.950000000000003</v>
      </c>
      <c r="L71" s="112">
        <v>39.14</v>
      </c>
      <c r="M71" s="112">
        <v>24.42</v>
      </c>
      <c r="N71" s="112">
        <v>293.89999999999998</v>
      </c>
      <c r="O71" s="112">
        <v>0</v>
      </c>
      <c r="P71" s="112">
        <v>0.54</v>
      </c>
      <c r="Q71" s="167" t="s">
        <v>14</v>
      </c>
    </row>
    <row r="72" spans="1:17" customFormat="1">
      <c r="A72" s="80">
        <v>45424.666666666664</v>
      </c>
      <c r="B72" s="112">
        <v>11.33</v>
      </c>
      <c r="C72" s="112">
        <v>13.14</v>
      </c>
      <c r="D72" s="112">
        <v>25.1</v>
      </c>
      <c r="E72" s="112">
        <v>28.44</v>
      </c>
      <c r="F72" s="112">
        <v>33.94</v>
      </c>
      <c r="G72" s="112">
        <v>44.34</v>
      </c>
      <c r="H72" s="112">
        <v>18.399999999999999</v>
      </c>
      <c r="I72" s="112">
        <v>46.03</v>
      </c>
      <c r="J72" s="112">
        <v>1.1299999999999999</v>
      </c>
      <c r="K72" s="112">
        <v>20.11</v>
      </c>
      <c r="L72" s="112">
        <v>39.5</v>
      </c>
      <c r="M72" s="112">
        <v>23.36</v>
      </c>
      <c r="N72" s="112">
        <v>312.3</v>
      </c>
      <c r="O72" s="112">
        <v>0</v>
      </c>
      <c r="P72" s="112">
        <v>0.54</v>
      </c>
      <c r="Q72" s="167" t="s">
        <v>14</v>
      </c>
    </row>
    <row r="73" spans="1:17" customFormat="1">
      <c r="A73" s="80">
        <v>45424.677083333336</v>
      </c>
      <c r="B73" s="112">
        <v>11.33</v>
      </c>
      <c r="C73" s="112">
        <v>13.1</v>
      </c>
      <c r="D73" s="112">
        <v>25.08</v>
      </c>
      <c r="E73" s="112">
        <v>35.22</v>
      </c>
      <c r="F73" s="112">
        <v>30.78</v>
      </c>
      <c r="G73" s="112">
        <v>43.93</v>
      </c>
      <c r="H73" s="112">
        <v>18.399999999999999</v>
      </c>
      <c r="I73" s="112">
        <v>16.149999999999999</v>
      </c>
      <c r="J73" s="112">
        <v>1.45</v>
      </c>
      <c r="K73" s="112">
        <v>34.24</v>
      </c>
      <c r="L73" s="112">
        <v>38.97</v>
      </c>
      <c r="M73" s="112">
        <v>23.7</v>
      </c>
      <c r="N73" s="112">
        <v>86.9</v>
      </c>
      <c r="O73" s="112">
        <v>0</v>
      </c>
      <c r="P73" s="112">
        <v>0.54</v>
      </c>
      <c r="Q73" s="167" t="s">
        <v>14</v>
      </c>
    </row>
    <row r="74" spans="1:17" customFormat="1">
      <c r="A74" s="80">
        <v>45424.6875</v>
      </c>
      <c r="B74" s="112">
        <v>11.32</v>
      </c>
      <c r="C74" s="112">
        <v>13.13</v>
      </c>
      <c r="D74" s="112">
        <v>25.08</v>
      </c>
      <c r="E74" s="112">
        <v>27.96</v>
      </c>
      <c r="F74" s="112">
        <v>30.64</v>
      </c>
      <c r="G74" s="112">
        <v>43.93</v>
      </c>
      <c r="H74" s="112">
        <v>18.399999999999999</v>
      </c>
      <c r="I74" s="112">
        <v>16.559999999999999</v>
      </c>
      <c r="J74" s="112">
        <v>0.87</v>
      </c>
      <c r="K74" s="112">
        <v>32.799999999999997</v>
      </c>
      <c r="L74" s="112">
        <v>38.07</v>
      </c>
      <c r="M74" s="112">
        <v>24.35</v>
      </c>
      <c r="N74" s="112">
        <v>29.5</v>
      </c>
      <c r="O74" s="112">
        <v>0</v>
      </c>
      <c r="P74" s="112">
        <v>0.54</v>
      </c>
      <c r="Q74" s="167" t="s">
        <v>14</v>
      </c>
    </row>
    <row r="75" spans="1:17" customFormat="1">
      <c r="A75" s="80">
        <v>45424.697916666664</v>
      </c>
      <c r="B75" s="112">
        <v>11.34</v>
      </c>
      <c r="C75" s="112">
        <v>13.11</v>
      </c>
      <c r="D75" s="112">
        <v>25.08</v>
      </c>
      <c r="E75" s="112">
        <v>20.99</v>
      </c>
      <c r="F75" s="112">
        <v>41.1</v>
      </c>
      <c r="G75" s="112">
        <v>43.93</v>
      </c>
      <c r="H75" s="112">
        <v>18.399999999999999</v>
      </c>
      <c r="I75" s="112">
        <v>15.47</v>
      </c>
      <c r="J75" s="112">
        <v>0.91</v>
      </c>
      <c r="K75" s="112">
        <v>47.86</v>
      </c>
      <c r="L75" s="112">
        <v>37.880000000000003</v>
      </c>
      <c r="M75" s="112">
        <v>24.72</v>
      </c>
      <c r="N75" s="112">
        <v>71.099999999999994</v>
      </c>
      <c r="O75" s="112">
        <v>0</v>
      </c>
      <c r="P75" s="112">
        <v>0.55000000000000004</v>
      </c>
      <c r="Q75" s="167" t="s">
        <v>14</v>
      </c>
    </row>
    <row r="76" spans="1:17" customFormat="1">
      <c r="A76" s="80">
        <v>45424.708333333336</v>
      </c>
      <c r="B76" s="112">
        <v>11.34</v>
      </c>
      <c r="C76" s="112">
        <v>13.14</v>
      </c>
      <c r="D76" s="112">
        <v>25.1</v>
      </c>
      <c r="E76" s="112">
        <v>22.04</v>
      </c>
      <c r="F76" s="112">
        <v>35.89</v>
      </c>
      <c r="G76" s="112">
        <v>51.24</v>
      </c>
      <c r="H76" s="112">
        <v>20</v>
      </c>
      <c r="I76" s="112">
        <v>13.32</v>
      </c>
      <c r="J76" s="112">
        <v>0.9</v>
      </c>
      <c r="K76" s="112">
        <v>50.97</v>
      </c>
      <c r="L76" s="112">
        <v>37.89</v>
      </c>
      <c r="M76" s="112">
        <v>25.34</v>
      </c>
      <c r="N76" s="112">
        <v>49.9</v>
      </c>
      <c r="O76" s="112">
        <v>0</v>
      </c>
      <c r="P76" s="112">
        <v>0.56999999999999995</v>
      </c>
      <c r="Q76" s="167" t="s">
        <v>14</v>
      </c>
    </row>
    <row r="77" spans="1:17" customFormat="1">
      <c r="A77" s="80">
        <v>45424.71875</v>
      </c>
      <c r="B77" s="112">
        <v>11.34</v>
      </c>
      <c r="C77" s="112">
        <v>13.15</v>
      </c>
      <c r="D77" s="112">
        <v>25.11</v>
      </c>
      <c r="E77" s="112">
        <v>21.55</v>
      </c>
      <c r="F77" s="112">
        <v>42.68</v>
      </c>
      <c r="G77" s="112">
        <v>53.07</v>
      </c>
      <c r="H77" s="112">
        <v>20</v>
      </c>
      <c r="I77" s="112">
        <v>11.82</v>
      </c>
      <c r="J77" s="112">
        <v>0.65</v>
      </c>
      <c r="K77" s="112">
        <v>28.26</v>
      </c>
      <c r="L77" s="112">
        <v>37.619999999999997</v>
      </c>
      <c r="M77" s="112">
        <v>26.62</v>
      </c>
      <c r="N77" s="112">
        <v>37.1</v>
      </c>
      <c r="O77" s="112">
        <v>0</v>
      </c>
      <c r="P77" s="112">
        <v>0.61</v>
      </c>
      <c r="Q77" s="167" t="s">
        <v>14</v>
      </c>
    </row>
    <row r="78" spans="1:17" customFormat="1">
      <c r="A78" s="80">
        <v>45424.729166666664</v>
      </c>
      <c r="B78" s="112">
        <v>11.36</v>
      </c>
      <c r="C78" s="112">
        <v>13.15</v>
      </c>
      <c r="D78" s="112">
        <v>25.13</v>
      </c>
      <c r="E78" s="112">
        <v>22.34</v>
      </c>
      <c r="F78" s="112">
        <v>28.69</v>
      </c>
      <c r="G78" s="112">
        <v>53.07</v>
      </c>
      <c r="H78" s="112">
        <v>20</v>
      </c>
      <c r="I78" s="112">
        <v>11.35</v>
      </c>
      <c r="J78" s="112">
        <v>0.36</v>
      </c>
      <c r="K78" s="112">
        <v>34.31</v>
      </c>
      <c r="L78" s="112">
        <v>37.49</v>
      </c>
      <c r="M78" s="112">
        <v>26.51</v>
      </c>
      <c r="N78" s="112">
        <v>18.2</v>
      </c>
      <c r="O78" s="112">
        <v>0</v>
      </c>
      <c r="P78" s="112">
        <v>0.64</v>
      </c>
      <c r="Q78" s="167" t="s">
        <v>14</v>
      </c>
    </row>
    <row r="79" spans="1:17" customFormat="1">
      <c r="A79" s="80">
        <v>45424.739583333336</v>
      </c>
      <c r="B79" s="112">
        <v>11.36</v>
      </c>
      <c r="C79" s="112">
        <v>13.11</v>
      </c>
      <c r="D79" s="112">
        <v>25.1</v>
      </c>
      <c r="E79" s="112">
        <v>21.43</v>
      </c>
      <c r="F79" s="112">
        <v>28.54</v>
      </c>
      <c r="G79" s="112">
        <v>53.07</v>
      </c>
      <c r="H79" s="112">
        <v>20</v>
      </c>
      <c r="I79" s="112">
        <v>11.12</v>
      </c>
      <c r="J79" s="112">
        <v>0.15</v>
      </c>
      <c r="K79" s="112">
        <v>189.74</v>
      </c>
      <c r="L79" s="112">
        <v>37.270000000000003</v>
      </c>
      <c r="M79" s="112">
        <v>29.56</v>
      </c>
      <c r="N79" s="112">
        <v>11.3</v>
      </c>
      <c r="O79" s="112">
        <v>0</v>
      </c>
      <c r="P79" s="112">
        <v>0.64</v>
      </c>
      <c r="Q79" s="167" t="s">
        <v>14</v>
      </c>
    </row>
    <row r="80" spans="1:17" customFormat="1">
      <c r="A80" s="80">
        <v>45424.75</v>
      </c>
      <c r="B80" s="112">
        <v>11.36</v>
      </c>
      <c r="C80" s="112">
        <v>13.15</v>
      </c>
      <c r="D80" s="112">
        <v>25.13</v>
      </c>
      <c r="E80" s="112">
        <v>18.13</v>
      </c>
      <c r="F80" s="112">
        <v>16.989999999999998</v>
      </c>
      <c r="G80" s="112">
        <v>63.25</v>
      </c>
      <c r="H80" s="112">
        <v>21.61</v>
      </c>
      <c r="I80" s="112">
        <v>11.1</v>
      </c>
      <c r="J80" s="112">
        <v>0.63</v>
      </c>
      <c r="K80" s="112">
        <v>249.34</v>
      </c>
      <c r="L80" s="112">
        <v>34.86</v>
      </c>
      <c r="M80" s="112">
        <v>41.09</v>
      </c>
      <c r="N80" s="112">
        <v>7.2</v>
      </c>
      <c r="O80" s="112">
        <v>0</v>
      </c>
      <c r="P80" s="112">
        <v>0.56999999999999995</v>
      </c>
      <c r="Q80" s="167" t="s">
        <v>14</v>
      </c>
    </row>
    <row r="81" spans="1:17" customFormat="1">
      <c r="A81" s="80">
        <v>45424.760416666664</v>
      </c>
      <c r="B81" s="112">
        <v>11.4</v>
      </c>
      <c r="C81" s="112">
        <v>13.13</v>
      </c>
      <c r="D81" s="112">
        <v>25.15</v>
      </c>
      <c r="E81" s="112">
        <v>11.68</v>
      </c>
      <c r="F81" s="112">
        <v>15.86</v>
      </c>
      <c r="G81" s="112">
        <v>65.8</v>
      </c>
      <c r="H81" s="112">
        <v>21.61</v>
      </c>
      <c r="I81" s="112">
        <v>11.4</v>
      </c>
      <c r="J81" s="112">
        <v>0.4</v>
      </c>
      <c r="K81" s="112">
        <v>250.95</v>
      </c>
      <c r="L81" s="112">
        <v>33.29</v>
      </c>
      <c r="M81" s="112">
        <v>44.61</v>
      </c>
      <c r="N81" s="112">
        <v>0.9</v>
      </c>
      <c r="O81" s="112">
        <v>0</v>
      </c>
      <c r="P81" s="112">
        <v>0.55000000000000004</v>
      </c>
      <c r="Q81" s="167" t="s">
        <v>14</v>
      </c>
    </row>
    <row r="82" spans="1:17" customFormat="1">
      <c r="A82" s="80">
        <v>45424.770833333336</v>
      </c>
      <c r="B82" s="112">
        <v>11.38</v>
      </c>
      <c r="C82" s="112">
        <v>13.1</v>
      </c>
      <c r="D82" s="112">
        <v>25.11</v>
      </c>
      <c r="E82" s="112">
        <v>13.59</v>
      </c>
      <c r="F82" s="112">
        <v>14.41</v>
      </c>
      <c r="G82" s="112">
        <v>65.8</v>
      </c>
      <c r="H82" s="112">
        <v>21.61</v>
      </c>
      <c r="I82" s="112">
        <v>11.42</v>
      </c>
      <c r="J82" s="112">
        <v>0.7</v>
      </c>
      <c r="K82" s="112">
        <v>263.58</v>
      </c>
      <c r="L82" s="112">
        <v>32.869999999999997</v>
      </c>
      <c r="M82" s="112">
        <v>46.82</v>
      </c>
      <c r="N82" s="112">
        <v>0</v>
      </c>
      <c r="O82" s="112">
        <v>0</v>
      </c>
      <c r="P82" s="112">
        <v>0.54</v>
      </c>
      <c r="Q82" s="167" t="s">
        <v>14</v>
      </c>
    </row>
    <row r="83" spans="1:17" customFormat="1">
      <c r="A83" s="80">
        <v>45424.78125</v>
      </c>
      <c r="B83" s="112">
        <v>11.36</v>
      </c>
      <c r="C83" s="112">
        <v>13.14</v>
      </c>
      <c r="D83" s="112">
        <v>25.12</v>
      </c>
      <c r="E83" s="112">
        <v>12.71</v>
      </c>
      <c r="F83" s="112">
        <v>6.1</v>
      </c>
      <c r="G83" s="112">
        <v>65.8</v>
      </c>
      <c r="H83" s="112">
        <v>21.61</v>
      </c>
      <c r="I83" s="112">
        <v>11.17</v>
      </c>
      <c r="J83" s="112">
        <v>1.71</v>
      </c>
      <c r="K83" s="112">
        <v>275.61</v>
      </c>
      <c r="L83" s="112">
        <v>31.86</v>
      </c>
      <c r="M83" s="112">
        <v>50.76</v>
      </c>
      <c r="N83" s="112">
        <v>0</v>
      </c>
      <c r="O83" s="112">
        <v>0</v>
      </c>
      <c r="P83" s="112">
        <v>0.56000000000000005</v>
      </c>
      <c r="Q83" s="167" t="s">
        <v>14</v>
      </c>
    </row>
    <row r="84" spans="1:17" customFormat="1">
      <c r="A84" s="80">
        <v>45424.791666666664</v>
      </c>
      <c r="B84" s="112">
        <v>11.34</v>
      </c>
      <c r="C84" s="112">
        <v>13.18</v>
      </c>
      <c r="D84" s="112">
        <v>25.12</v>
      </c>
      <c r="E84" s="112">
        <v>13.03</v>
      </c>
      <c r="F84" s="112">
        <v>7.14</v>
      </c>
      <c r="G84" s="112">
        <v>59.45</v>
      </c>
      <c r="H84" s="112">
        <v>19.940000000000001</v>
      </c>
      <c r="I84" s="112">
        <v>11.07</v>
      </c>
      <c r="J84" s="112">
        <v>2.96</v>
      </c>
      <c r="K84" s="112">
        <v>302.48</v>
      </c>
      <c r="L84" s="112">
        <v>30.06</v>
      </c>
      <c r="M84" s="112">
        <v>51.25</v>
      </c>
      <c r="N84" s="112">
        <v>0</v>
      </c>
      <c r="O84" s="112">
        <v>0</v>
      </c>
      <c r="P84" s="112">
        <v>0.55000000000000004</v>
      </c>
      <c r="Q84" s="167" t="s">
        <v>14</v>
      </c>
    </row>
    <row r="85" spans="1:17" customFormat="1">
      <c r="A85" s="80">
        <v>45424.802083333336</v>
      </c>
      <c r="B85" s="112">
        <v>11.28</v>
      </c>
      <c r="C85" s="112">
        <v>13.1</v>
      </c>
      <c r="D85" s="112">
        <v>25.03</v>
      </c>
      <c r="E85" s="112">
        <v>12.66</v>
      </c>
      <c r="F85" s="112">
        <v>7.7</v>
      </c>
      <c r="G85" s="112">
        <v>57.86</v>
      </c>
      <c r="H85" s="112">
        <v>19.940000000000001</v>
      </c>
      <c r="I85" s="112">
        <v>11.05</v>
      </c>
      <c r="J85" s="112">
        <v>1.67</v>
      </c>
      <c r="K85" s="112">
        <v>312.45</v>
      </c>
      <c r="L85" s="112">
        <v>28.79</v>
      </c>
      <c r="M85" s="112">
        <v>56.33</v>
      </c>
      <c r="N85" s="112">
        <v>0</v>
      </c>
      <c r="O85" s="112">
        <v>0</v>
      </c>
      <c r="P85" s="112">
        <v>0.55000000000000004</v>
      </c>
      <c r="Q85" s="167" t="s">
        <v>14</v>
      </c>
    </row>
    <row r="86" spans="1:17" customFormat="1">
      <c r="A86" s="80">
        <v>45424.8125</v>
      </c>
      <c r="B86" s="112">
        <v>11.24</v>
      </c>
      <c r="C86" s="112">
        <v>13.09</v>
      </c>
      <c r="D86" s="112">
        <v>25</v>
      </c>
      <c r="E86" s="112">
        <v>11.57</v>
      </c>
      <c r="F86" s="112">
        <v>6.34</v>
      </c>
      <c r="G86" s="112">
        <v>57.86</v>
      </c>
      <c r="H86" s="112">
        <v>19.940000000000001</v>
      </c>
      <c r="I86" s="112">
        <v>10.6</v>
      </c>
      <c r="J86" s="112">
        <v>2.1800000000000002</v>
      </c>
      <c r="K86" s="112">
        <v>308.95</v>
      </c>
      <c r="L86" s="112">
        <v>28.72</v>
      </c>
      <c r="M86" s="112">
        <v>57.06</v>
      </c>
      <c r="N86" s="112">
        <v>0</v>
      </c>
      <c r="O86" s="112">
        <v>0</v>
      </c>
      <c r="P86" s="112">
        <v>0.54</v>
      </c>
      <c r="Q86" s="167" t="s">
        <v>14</v>
      </c>
    </row>
    <row r="87" spans="1:17" customFormat="1">
      <c r="A87" s="80">
        <v>45424.822916666664</v>
      </c>
      <c r="B87" s="112">
        <v>11.24</v>
      </c>
      <c r="C87" s="112">
        <v>13.1</v>
      </c>
      <c r="D87" s="112">
        <v>25</v>
      </c>
      <c r="E87" s="112">
        <v>10.8</v>
      </c>
      <c r="F87" s="112">
        <v>6.07</v>
      </c>
      <c r="G87" s="112">
        <v>57.86</v>
      </c>
      <c r="H87" s="112">
        <v>19.940000000000001</v>
      </c>
      <c r="I87" s="112">
        <v>10.07</v>
      </c>
      <c r="J87" s="112">
        <v>3.01</v>
      </c>
      <c r="K87" s="112">
        <v>301.25</v>
      </c>
      <c r="L87" s="112">
        <v>26.97</v>
      </c>
      <c r="M87" s="112">
        <v>63.95</v>
      </c>
      <c r="N87" s="112">
        <v>0</v>
      </c>
      <c r="O87" s="112">
        <v>0</v>
      </c>
      <c r="P87" s="112">
        <v>0.53</v>
      </c>
      <c r="Q87" s="167" t="s">
        <v>14</v>
      </c>
    </row>
    <row r="88" spans="1:17" customFormat="1">
      <c r="A88" s="80">
        <v>45424.833333333336</v>
      </c>
      <c r="B88" s="112">
        <v>11.24</v>
      </c>
      <c r="C88" s="112">
        <v>13.13</v>
      </c>
      <c r="D88" s="112">
        <v>25.02</v>
      </c>
      <c r="E88" s="112">
        <v>10.53</v>
      </c>
      <c r="F88" s="112">
        <v>7.09</v>
      </c>
      <c r="G88" s="112">
        <v>66.53</v>
      </c>
      <c r="H88" s="112">
        <v>18.09</v>
      </c>
      <c r="I88" s="112">
        <v>9.68</v>
      </c>
      <c r="J88" s="112">
        <v>1.78</v>
      </c>
      <c r="K88" s="112">
        <v>303.07</v>
      </c>
      <c r="L88" s="112">
        <v>26.18</v>
      </c>
      <c r="M88" s="112">
        <v>64.819999999999993</v>
      </c>
      <c r="N88" s="112">
        <v>0</v>
      </c>
      <c r="O88" s="112">
        <v>0</v>
      </c>
      <c r="P88" s="112">
        <v>0.51</v>
      </c>
      <c r="Q88" s="167" t="s">
        <v>14</v>
      </c>
    </row>
    <row r="89" spans="1:17" customFormat="1">
      <c r="A89" s="80">
        <v>45424.84375</v>
      </c>
      <c r="B89" s="112">
        <v>11.25</v>
      </c>
      <c r="C89" s="112">
        <v>13.11</v>
      </c>
      <c r="D89" s="112">
        <v>25.02</v>
      </c>
      <c r="E89" s="112">
        <v>11.04</v>
      </c>
      <c r="F89" s="112">
        <v>4.79</v>
      </c>
      <c r="G89" s="112">
        <v>68.7</v>
      </c>
      <c r="H89" s="112">
        <v>18.09</v>
      </c>
      <c r="I89" s="112">
        <v>9.2100000000000009</v>
      </c>
      <c r="J89" s="112">
        <v>0.62</v>
      </c>
      <c r="K89" s="112">
        <v>337.41</v>
      </c>
      <c r="L89" s="112">
        <v>24.21</v>
      </c>
      <c r="M89" s="112">
        <v>83.43</v>
      </c>
      <c r="N89" s="112">
        <v>2.2999999999999998</v>
      </c>
      <c r="O89" s="112">
        <v>4.4000000000000004</v>
      </c>
      <c r="P89" s="112">
        <v>0.49</v>
      </c>
      <c r="Q89" s="167" t="s">
        <v>14</v>
      </c>
    </row>
    <row r="90" spans="1:17" customFormat="1">
      <c r="A90" s="80">
        <v>45424.854166666664</v>
      </c>
      <c r="B90" s="112">
        <v>11.25</v>
      </c>
      <c r="C90" s="112">
        <v>13.12</v>
      </c>
      <c r="D90" s="112">
        <v>25.02</v>
      </c>
      <c r="E90" s="112">
        <v>9.56</v>
      </c>
      <c r="F90" s="112">
        <v>2.39</v>
      </c>
      <c r="G90" s="112">
        <v>68.7</v>
      </c>
      <c r="H90" s="112">
        <v>18.09</v>
      </c>
      <c r="I90" s="112">
        <v>8.68</v>
      </c>
      <c r="J90" s="112">
        <v>0.72</v>
      </c>
      <c r="K90" s="112">
        <v>237.66</v>
      </c>
      <c r="L90" s="112">
        <v>22.81</v>
      </c>
      <c r="M90" s="112">
        <v>97.64</v>
      </c>
      <c r="N90" s="112">
        <v>0</v>
      </c>
      <c r="O90" s="112">
        <v>0.4</v>
      </c>
      <c r="P90" s="112">
        <v>0.49</v>
      </c>
      <c r="Q90" s="167" t="s">
        <v>14</v>
      </c>
    </row>
    <row r="91" spans="1:17" customFormat="1">
      <c r="A91" s="80">
        <v>45424.864583333336</v>
      </c>
      <c r="B91" s="112">
        <v>11.27</v>
      </c>
      <c r="C91" s="112">
        <v>13.1</v>
      </c>
      <c r="D91" s="112">
        <v>25.02</v>
      </c>
      <c r="E91" s="112">
        <v>9.3000000000000007</v>
      </c>
      <c r="F91" s="112">
        <v>1.5</v>
      </c>
      <c r="G91" s="112">
        <v>68.7</v>
      </c>
      <c r="H91" s="112">
        <v>18.09</v>
      </c>
      <c r="I91" s="112">
        <v>8.4700000000000006</v>
      </c>
      <c r="J91" s="112">
        <v>0.24</v>
      </c>
      <c r="K91" s="112">
        <v>165.5</v>
      </c>
      <c r="L91" s="112">
        <v>23.31</v>
      </c>
      <c r="M91" s="112">
        <v>97.36</v>
      </c>
      <c r="N91" s="112">
        <v>0</v>
      </c>
      <c r="O91" s="112">
        <v>0</v>
      </c>
      <c r="P91" s="112">
        <v>0.48</v>
      </c>
      <c r="Q91" s="167" t="s">
        <v>14</v>
      </c>
    </row>
    <row r="92" spans="1:17" customFormat="1">
      <c r="A92" s="80">
        <v>45424.875</v>
      </c>
      <c r="B92" s="112">
        <v>11.27</v>
      </c>
      <c r="C92" s="112">
        <v>13.11</v>
      </c>
      <c r="D92" s="112">
        <v>25.04</v>
      </c>
      <c r="E92" s="112">
        <v>9.1300000000000008</v>
      </c>
      <c r="F92" s="112">
        <v>2.76</v>
      </c>
      <c r="G92" s="112">
        <v>55.92</v>
      </c>
      <c r="H92" s="112">
        <v>17.11</v>
      </c>
      <c r="I92" s="112">
        <v>8.44</v>
      </c>
      <c r="J92" s="112">
        <v>0.08</v>
      </c>
      <c r="K92" s="112">
        <v>132.94</v>
      </c>
      <c r="L92" s="112">
        <v>23.47</v>
      </c>
      <c r="M92" s="112">
        <v>94.3</v>
      </c>
      <c r="N92" s="112">
        <v>0</v>
      </c>
      <c r="O92" s="112">
        <v>0</v>
      </c>
      <c r="P92" s="112">
        <v>0.48</v>
      </c>
      <c r="Q92" s="167" t="s">
        <v>14</v>
      </c>
    </row>
    <row r="93" spans="1:17" customFormat="1">
      <c r="A93" s="80">
        <v>45424.885416666664</v>
      </c>
      <c r="B93" s="112">
        <v>11.3</v>
      </c>
      <c r="C93" s="112">
        <v>13.12</v>
      </c>
      <c r="D93" s="112">
        <v>25.05</v>
      </c>
      <c r="E93" s="112">
        <v>8.84</v>
      </c>
      <c r="F93" s="112">
        <v>2.06</v>
      </c>
      <c r="G93" s="112">
        <v>52.72</v>
      </c>
      <c r="H93" s="112">
        <v>17.11</v>
      </c>
      <c r="I93" s="112">
        <v>8.3000000000000007</v>
      </c>
      <c r="J93" s="112">
        <v>0.54</v>
      </c>
      <c r="K93" s="112">
        <v>97.87</v>
      </c>
      <c r="L93" s="112">
        <v>24.15</v>
      </c>
      <c r="M93" s="112">
        <v>89.18</v>
      </c>
      <c r="N93" s="112">
        <v>0</v>
      </c>
      <c r="O93" s="112">
        <v>0.2</v>
      </c>
      <c r="P93" s="112">
        <v>0.47</v>
      </c>
      <c r="Q93" s="167" t="s">
        <v>14</v>
      </c>
    </row>
    <row r="94" spans="1:17" customFormat="1">
      <c r="A94" s="80">
        <v>45424.895833333336</v>
      </c>
      <c r="B94" s="112">
        <v>11.3</v>
      </c>
      <c r="C94" s="112">
        <v>13.13</v>
      </c>
      <c r="D94" s="112">
        <v>25.06</v>
      </c>
      <c r="E94" s="112">
        <v>8.4700000000000006</v>
      </c>
      <c r="F94" s="112">
        <v>1.51</v>
      </c>
      <c r="G94" s="112">
        <v>52.72</v>
      </c>
      <c r="H94" s="112">
        <v>17.11</v>
      </c>
      <c r="I94" s="112">
        <v>8.14</v>
      </c>
      <c r="J94" s="112">
        <v>0.15</v>
      </c>
      <c r="K94" s="112">
        <v>129.93</v>
      </c>
      <c r="L94" s="112">
        <v>24.29</v>
      </c>
      <c r="M94" s="112">
        <v>86.19</v>
      </c>
      <c r="N94" s="112">
        <v>0</v>
      </c>
      <c r="O94" s="112">
        <v>0</v>
      </c>
      <c r="P94" s="112">
        <v>0.46</v>
      </c>
      <c r="Q94" s="167" t="s">
        <v>14</v>
      </c>
    </row>
    <row r="95" spans="1:17" customFormat="1">
      <c r="A95" s="80">
        <v>45424.90625</v>
      </c>
      <c r="B95" s="112">
        <v>11.28</v>
      </c>
      <c r="C95" s="112">
        <v>13.14</v>
      </c>
      <c r="D95" s="112">
        <v>25.06</v>
      </c>
      <c r="E95" s="112">
        <v>9.06</v>
      </c>
      <c r="F95" s="112">
        <v>1.41</v>
      </c>
      <c r="G95" s="112">
        <v>52.72</v>
      </c>
      <c r="H95" s="112">
        <v>17.11</v>
      </c>
      <c r="I95" s="112">
        <v>7.98</v>
      </c>
      <c r="J95" s="112">
        <v>0.35</v>
      </c>
      <c r="K95" s="112">
        <v>36.82</v>
      </c>
      <c r="L95" s="112">
        <v>24.33</v>
      </c>
      <c r="M95" s="112">
        <v>86.55</v>
      </c>
      <c r="N95" s="112">
        <v>0</v>
      </c>
      <c r="O95" s="112">
        <v>0.2</v>
      </c>
      <c r="P95" s="112">
        <v>0.47</v>
      </c>
      <c r="Q95" s="167" t="s">
        <v>14</v>
      </c>
    </row>
    <row r="96" spans="1:17" customFormat="1">
      <c r="A96" s="80">
        <v>45424.916666666664</v>
      </c>
      <c r="B96" s="112">
        <v>11.28</v>
      </c>
      <c r="C96" s="112">
        <v>13.12</v>
      </c>
      <c r="D96" s="112">
        <v>25.05</v>
      </c>
      <c r="E96" s="112">
        <v>9.31</v>
      </c>
      <c r="F96" s="112">
        <v>1.65</v>
      </c>
      <c r="G96" s="112">
        <v>38.659999999999997</v>
      </c>
      <c r="H96" s="112">
        <v>13.15</v>
      </c>
      <c r="I96" s="112">
        <v>7.87</v>
      </c>
      <c r="J96" s="112">
        <v>0.35</v>
      </c>
      <c r="K96" s="112">
        <v>85.38</v>
      </c>
      <c r="L96" s="112">
        <v>24.76</v>
      </c>
      <c r="M96" s="112">
        <v>86.79</v>
      </c>
      <c r="N96" s="112">
        <v>0</v>
      </c>
      <c r="O96" s="112">
        <v>0</v>
      </c>
      <c r="P96" s="112">
        <v>0.48</v>
      </c>
      <c r="Q96" s="167" t="s">
        <v>14</v>
      </c>
    </row>
    <row r="97" spans="1:22" customFormat="1">
      <c r="A97" s="80">
        <v>45424.927083333336</v>
      </c>
      <c r="B97" s="112">
        <v>11.28</v>
      </c>
      <c r="C97" s="112">
        <v>13.13</v>
      </c>
      <c r="D97" s="112">
        <v>25.05</v>
      </c>
      <c r="E97" s="112">
        <v>9.44</v>
      </c>
      <c r="F97" s="112">
        <v>1.06</v>
      </c>
      <c r="G97" s="112">
        <v>35.14</v>
      </c>
      <c r="H97" s="112">
        <v>13.15</v>
      </c>
      <c r="I97" s="112">
        <v>7.73</v>
      </c>
      <c r="J97" s="112">
        <v>0.5</v>
      </c>
      <c r="K97" s="112">
        <v>356.94</v>
      </c>
      <c r="L97" s="112">
        <v>24.86</v>
      </c>
      <c r="M97" s="112">
        <v>86.1</v>
      </c>
      <c r="N97" s="112">
        <v>0</v>
      </c>
      <c r="O97" s="112">
        <v>0.2</v>
      </c>
      <c r="P97" s="112">
        <v>0.5</v>
      </c>
      <c r="Q97" s="167" t="s">
        <v>14</v>
      </c>
    </row>
    <row r="98" spans="1:22" customFormat="1">
      <c r="A98" s="80">
        <v>45424.9375</v>
      </c>
      <c r="B98" s="112">
        <v>11.27</v>
      </c>
      <c r="C98" s="112">
        <v>13.15</v>
      </c>
      <c r="D98" s="112">
        <v>25.05</v>
      </c>
      <c r="E98" s="112">
        <v>9.58</v>
      </c>
      <c r="F98" s="112">
        <v>1</v>
      </c>
      <c r="G98" s="112">
        <v>35.14</v>
      </c>
      <c r="H98" s="112">
        <v>13.15</v>
      </c>
      <c r="I98" s="112">
        <v>7.66</v>
      </c>
      <c r="J98" s="112">
        <v>0.27</v>
      </c>
      <c r="K98" s="112">
        <v>308.14999999999998</v>
      </c>
      <c r="L98" s="112">
        <v>25.21</v>
      </c>
      <c r="M98" s="112">
        <v>84.45</v>
      </c>
      <c r="N98" s="112">
        <v>0</v>
      </c>
      <c r="O98" s="112">
        <v>0</v>
      </c>
      <c r="P98" s="112">
        <v>0.5</v>
      </c>
      <c r="Q98" s="167" t="s">
        <v>14</v>
      </c>
    </row>
    <row r="99" spans="1:22" customFormat="1">
      <c r="A99" s="80">
        <v>45424.947916666664</v>
      </c>
      <c r="B99" s="112">
        <v>11.22</v>
      </c>
      <c r="C99" s="112">
        <v>13.13</v>
      </c>
      <c r="D99" s="112">
        <v>25</v>
      </c>
      <c r="E99" s="112">
        <v>9.9</v>
      </c>
      <c r="F99" s="112">
        <v>1.56</v>
      </c>
      <c r="G99" s="112">
        <v>35.14</v>
      </c>
      <c r="H99" s="112">
        <v>13.15</v>
      </c>
      <c r="I99" s="112">
        <v>7.65</v>
      </c>
      <c r="J99" s="112">
        <v>0.47</v>
      </c>
      <c r="K99" s="112">
        <v>219.34</v>
      </c>
      <c r="L99" s="112">
        <v>25.13</v>
      </c>
      <c r="M99" s="112">
        <v>87.86</v>
      </c>
      <c r="N99" s="112">
        <v>0</v>
      </c>
      <c r="O99" s="112">
        <v>0</v>
      </c>
      <c r="P99" s="112">
        <v>0.5</v>
      </c>
      <c r="Q99" s="167" t="s">
        <v>14</v>
      </c>
    </row>
    <row r="100" spans="1:22" customFormat="1">
      <c r="A100" s="80">
        <v>45424.958333333336</v>
      </c>
      <c r="B100" s="112">
        <v>11.23</v>
      </c>
      <c r="C100" s="112">
        <v>13.12</v>
      </c>
      <c r="D100" s="112">
        <v>25</v>
      </c>
      <c r="E100" s="112">
        <v>9.2899999999999991</v>
      </c>
      <c r="F100" s="112">
        <v>5.69</v>
      </c>
      <c r="G100" s="112">
        <v>47.88</v>
      </c>
      <c r="H100" s="112">
        <v>14</v>
      </c>
      <c r="I100" s="112">
        <v>7.59</v>
      </c>
      <c r="J100" s="112">
        <v>0.49</v>
      </c>
      <c r="K100" s="112">
        <v>239.71</v>
      </c>
      <c r="L100" s="112">
        <v>25.36</v>
      </c>
      <c r="M100" s="112">
        <v>79.19</v>
      </c>
      <c r="N100" s="112">
        <v>0</v>
      </c>
      <c r="O100" s="112">
        <v>0</v>
      </c>
      <c r="P100" s="112">
        <v>0.47</v>
      </c>
      <c r="Q100" s="167" t="s">
        <v>14</v>
      </c>
    </row>
    <row r="101" spans="1:22" customFormat="1">
      <c r="A101" s="80">
        <v>45424.96875</v>
      </c>
      <c r="B101" s="112">
        <v>11.26</v>
      </c>
      <c r="C101" s="112">
        <v>13.11</v>
      </c>
      <c r="D101" s="112">
        <v>25.03</v>
      </c>
      <c r="E101" s="112">
        <v>9.48</v>
      </c>
      <c r="F101" s="112">
        <v>5.56</v>
      </c>
      <c r="G101" s="112">
        <v>51.06</v>
      </c>
      <c r="H101" s="112">
        <v>14</v>
      </c>
      <c r="I101" s="112">
        <v>7.4</v>
      </c>
      <c r="J101" s="112">
        <v>0.39</v>
      </c>
      <c r="K101" s="112">
        <v>235.88</v>
      </c>
      <c r="L101" s="112">
        <v>25.6</v>
      </c>
      <c r="M101" s="112">
        <v>73.510000000000005</v>
      </c>
      <c r="N101" s="112">
        <v>0</v>
      </c>
      <c r="O101" s="112">
        <v>0</v>
      </c>
      <c r="P101" s="112">
        <v>0.45</v>
      </c>
      <c r="Q101" s="167" t="s">
        <v>14</v>
      </c>
    </row>
    <row r="102" spans="1:22" customFormat="1">
      <c r="A102" s="80">
        <v>45424.979166666664</v>
      </c>
      <c r="B102" s="112">
        <v>11.28</v>
      </c>
      <c r="C102" s="112">
        <v>13.16</v>
      </c>
      <c r="D102" s="112">
        <v>25.07</v>
      </c>
      <c r="E102" s="112">
        <v>8.9600000000000009</v>
      </c>
      <c r="F102" s="112">
        <v>3.73</v>
      </c>
      <c r="G102" s="112">
        <v>51.06</v>
      </c>
      <c r="H102" s="112">
        <v>14</v>
      </c>
      <c r="I102" s="112">
        <v>7.19</v>
      </c>
      <c r="J102" s="112">
        <v>0.49</v>
      </c>
      <c r="K102" s="112">
        <v>256.41000000000003</v>
      </c>
      <c r="L102" s="112">
        <v>25.73</v>
      </c>
      <c r="M102" s="112">
        <v>73.14</v>
      </c>
      <c r="N102" s="112">
        <v>0</v>
      </c>
      <c r="O102" s="112">
        <v>0</v>
      </c>
      <c r="P102" s="112">
        <v>0.45</v>
      </c>
      <c r="Q102" s="167" t="s">
        <v>14</v>
      </c>
    </row>
    <row r="103" spans="1:22" customFormat="1">
      <c r="A103" s="80">
        <v>45424.989583333336</v>
      </c>
      <c r="B103" s="112">
        <v>11.31</v>
      </c>
      <c r="C103" s="112">
        <v>13.18</v>
      </c>
      <c r="D103" s="112">
        <v>25.1</v>
      </c>
      <c r="E103" s="112">
        <v>9.08</v>
      </c>
      <c r="F103" s="112">
        <v>4.03</v>
      </c>
      <c r="G103" s="112">
        <v>51.06</v>
      </c>
      <c r="H103" s="112">
        <v>14</v>
      </c>
      <c r="I103" s="112">
        <v>7.11</v>
      </c>
      <c r="J103" s="112">
        <v>0.77</v>
      </c>
      <c r="K103" s="112">
        <v>254.37</v>
      </c>
      <c r="L103" s="112">
        <v>25.91</v>
      </c>
      <c r="M103" s="112">
        <v>71.83</v>
      </c>
      <c r="N103" s="112">
        <v>0</v>
      </c>
      <c r="O103" s="112">
        <v>0</v>
      </c>
      <c r="P103" s="112">
        <v>0.45</v>
      </c>
      <c r="Q103" s="167" t="s">
        <v>14</v>
      </c>
    </row>
    <row r="104" spans="1:22" customFormat="1">
      <c r="A104" s="80">
        <v>45425</v>
      </c>
      <c r="B104" s="112">
        <v>11.31</v>
      </c>
      <c r="C104" s="112">
        <v>13.13</v>
      </c>
      <c r="D104" s="112">
        <v>25.08</v>
      </c>
      <c r="E104" s="112">
        <v>8.76</v>
      </c>
      <c r="F104" s="112">
        <v>2.86</v>
      </c>
      <c r="G104" s="112">
        <v>34.06</v>
      </c>
      <c r="H104" s="112">
        <v>11.09</v>
      </c>
      <c r="I104" s="112">
        <v>7.02</v>
      </c>
      <c r="J104" s="112">
        <v>0.75</v>
      </c>
      <c r="K104" s="112">
        <v>253.85</v>
      </c>
      <c r="L104" s="112">
        <v>25.94</v>
      </c>
      <c r="M104" s="112">
        <v>72.89</v>
      </c>
      <c r="N104" s="112">
        <v>0</v>
      </c>
      <c r="O104" s="112">
        <v>0</v>
      </c>
      <c r="P104" s="112">
        <v>0.45</v>
      </c>
      <c r="Q104" s="112">
        <v>4.63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11.22</v>
      </c>
      <c r="C106" s="183">
        <f>MIN(C9:C104)</f>
        <v>13.07</v>
      </c>
      <c r="D106" s="183">
        <f t="shared" ref="D106:Q106" si="0">MIN(D9:D104)</f>
        <v>25</v>
      </c>
      <c r="E106" s="183">
        <f t="shared" si="0"/>
        <v>8.4700000000000006</v>
      </c>
      <c r="F106" s="183">
        <f t="shared" si="0"/>
        <v>1</v>
      </c>
      <c r="G106" s="183">
        <f t="shared" si="0"/>
        <v>31.34</v>
      </c>
      <c r="H106" s="183">
        <f t="shared" si="0"/>
        <v>11.09</v>
      </c>
      <c r="I106" s="183">
        <f t="shared" si="0"/>
        <v>4.07</v>
      </c>
      <c r="J106" s="183">
        <f t="shared" si="0"/>
        <v>0.03</v>
      </c>
      <c r="K106" s="183">
        <f t="shared" si="0"/>
        <v>5.79</v>
      </c>
      <c r="L106" s="183">
        <f t="shared" si="0"/>
        <v>22.81</v>
      </c>
      <c r="M106" s="183">
        <f t="shared" si="0"/>
        <v>23.36</v>
      </c>
      <c r="N106" s="183">
        <f t="shared" si="0"/>
        <v>0</v>
      </c>
      <c r="O106" s="183">
        <f t="shared" si="0"/>
        <v>0</v>
      </c>
      <c r="P106" s="183">
        <f t="shared" si="0"/>
        <v>0.45</v>
      </c>
      <c r="Q106" s="183">
        <f t="shared" si="0"/>
        <v>4.63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11.4</v>
      </c>
      <c r="C107" s="184">
        <f t="shared" ref="C107:Q107" si="1">MAX(C9:C104)</f>
        <v>13.19</v>
      </c>
      <c r="D107" s="184">
        <f t="shared" si="1"/>
        <v>25.15</v>
      </c>
      <c r="E107" s="184">
        <f t="shared" si="1"/>
        <v>41</v>
      </c>
      <c r="F107" s="184">
        <f t="shared" si="1"/>
        <v>44.79</v>
      </c>
      <c r="G107" s="184">
        <f t="shared" si="1"/>
        <v>84.71</v>
      </c>
      <c r="H107" s="184">
        <f t="shared" si="1"/>
        <v>30.35</v>
      </c>
      <c r="I107" s="184">
        <f t="shared" si="1"/>
        <v>46.03</v>
      </c>
      <c r="J107" s="184">
        <f t="shared" si="1"/>
        <v>3.01</v>
      </c>
      <c r="K107" s="184">
        <f t="shared" si="1"/>
        <v>356.94</v>
      </c>
      <c r="L107" s="184">
        <f t="shared" si="1"/>
        <v>40.53</v>
      </c>
      <c r="M107" s="184">
        <f t="shared" si="1"/>
        <v>97.64</v>
      </c>
      <c r="N107" s="184">
        <f t="shared" si="1"/>
        <v>808.5</v>
      </c>
      <c r="O107" s="184">
        <f t="shared" si="1"/>
        <v>4.4000000000000004</v>
      </c>
      <c r="P107" s="184">
        <f t="shared" si="1"/>
        <v>0.95</v>
      </c>
      <c r="Q107" s="184">
        <f t="shared" si="1"/>
        <v>4.63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11.301354166666664</v>
      </c>
      <c r="C108" s="183">
        <f t="shared" ref="C108:Q108" si="2">AVERAGE(C9:C104)</f>
        <v>13.12322916666667</v>
      </c>
      <c r="D108" s="183">
        <f t="shared" si="2"/>
        <v>25.063229166666659</v>
      </c>
      <c r="E108" s="183">
        <f t="shared" si="2"/>
        <v>16.604583333333334</v>
      </c>
      <c r="F108" s="183">
        <f t="shared" si="2"/>
        <v>15.065104166666664</v>
      </c>
      <c r="G108" s="183">
        <f t="shared" si="2"/>
        <v>57.096041666666686</v>
      </c>
      <c r="H108" s="183">
        <f t="shared" si="2"/>
        <v>18.762916666666669</v>
      </c>
      <c r="I108" s="183">
        <f t="shared" si="2"/>
        <v>8.8883333333333336</v>
      </c>
      <c r="J108" s="183">
        <f t="shared" si="2"/>
        <v>0.64874999999999994</v>
      </c>
      <c r="K108" s="183">
        <f t="shared" si="2"/>
        <v>191.43302083333342</v>
      </c>
      <c r="L108" s="183">
        <f t="shared" si="2"/>
        <v>31.656041666666656</v>
      </c>
      <c r="M108" s="183">
        <f t="shared" si="2"/>
        <v>53.316770833333351</v>
      </c>
      <c r="N108" s="183">
        <f t="shared" si="2"/>
        <v>155.66979166666667</v>
      </c>
      <c r="O108" s="183">
        <f t="shared" si="2"/>
        <v>5.6250000000000015E-2</v>
      </c>
      <c r="P108" s="183">
        <f t="shared" si="2"/>
        <v>0.58010416666666653</v>
      </c>
      <c r="Q108" s="183">
        <f t="shared" si="2"/>
        <v>4.63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3.6262777542374253E-2</v>
      </c>
      <c r="C109" s="183">
        <f t="shared" ref="C109:Q109" si="3">STDEV(C9:C104)</f>
        <v>2.7433931800511121E-2</v>
      </c>
      <c r="D109" s="183">
        <f t="shared" si="3"/>
        <v>3.3950266774137129E-2</v>
      </c>
      <c r="E109" s="183">
        <f t="shared" si="3"/>
        <v>8.0584845012037132</v>
      </c>
      <c r="F109" s="183">
        <f t="shared" si="3"/>
        <v>15.121691912773011</v>
      </c>
      <c r="G109" s="183">
        <f t="shared" si="3"/>
        <v>12.100358453078142</v>
      </c>
      <c r="H109" s="183">
        <f t="shared" si="3"/>
        <v>3.5199264097171974</v>
      </c>
      <c r="I109" s="183">
        <f t="shared" si="3"/>
        <v>5.7685590039849712</v>
      </c>
      <c r="J109" s="183">
        <f t="shared" si="3"/>
        <v>0.5552168850761694</v>
      </c>
      <c r="K109" s="183">
        <f t="shared" si="3"/>
        <v>104.98604780606024</v>
      </c>
      <c r="L109" s="183">
        <f t="shared" si="3"/>
        <v>5.5919915441482502</v>
      </c>
      <c r="M109" s="183">
        <f t="shared" si="3"/>
        <v>20.484754356390631</v>
      </c>
      <c r="N109" s="183">
        <f t="shared" si="3"/>
        <v>255.02496807373342</v>
      </c>
      <c r="O109" s="183">
        <f t="shared" si="3"/>
        <v>0.45115349237727342</v>
      </c>
      <c r="P109" s="183">
        <f t="shared" si="3"/>
        <v>0.12602835764154224</v>
      </c>
      <c r="Q109" s="183">
        <f t="shared" si="3"/>
        <v>0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3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7" activePane="bottomRight" state="frozen"/>
      <selection activeCell="A9" sqref="A9"/>
      <selection pane="topRight" activeCell="A9" sqref="A9"/>
      <selection pane="bottomLeft" activeCell="A9" sqref="A9"/>
      <selection pane="bottomRight" activeCell="Q49" sqref="Q9:Q4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45425.010416666664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45425.010416666664</v>
      </c>
      <c r="B9" s="112">
        <v>11.22</v>
      </c>
      <c r="C9" s="112">
        <v>13.14</v>
      </c>
      <c r="D9" s="112">
        <v>25.01</v>
      </c>
      <c r="E9" s="112">
        <v>9.61</v>
      </c>
      <c r="F9" s="112">
        <v>2.89</v>
      </c>
      <c r="G9" s="112">
        <v>29.81</v>
      </c>
      <c r="H9" s="112">
        <v>11.09</v>
      </c>
      <c r="I9" s="112">
        <v>6.92</v>
      </c>
      <c r="J9" s="112">
        <v>0.41</v>
      </c>
      <c r="K9" s="112">
        <v>230.96</v>
      </c>
      <c r="L9" s="112">
        <v>25.7</v>
      </c>
      <c r="M9" s="112">
        <v>76.34</v>
      </c>
      <c r="N9" s="112">
        <v>0</v>
      </c>
      <c r="O9" s="112">
        <v>0</v>
      </c>
      <c r="P9" s="112">
        <v>0.45</v>
      </c>
      <c r="Q9" s="167" t="s">
        <v>14</v>
      </c>
    </row>
    <row r="10" spans="1:21" customFormat="1">
      <c r="A10" s="80">
        <v>45425.020833333336</v>
      </c>
      <c r="B10" s="112">
        <v>11.26</v>
      </c>
      <c r="C10" s="112">
        <v>13.11</v>
      </c>
      <c r="D10" s="112">
        <v>25.03</v>
      </c>
      <c r="E10" s="112">
        <v>9.58</v>
      </c>
      <c r="F10" s="112">
        <v>1.99</v>
      </c>
      <c r="G10" s="112">
        <v>29.81</v>
      </c>
      <c r="H10" s="112">
        <v>11.09</v>
      </c>
      <c r="I10" s="112">
        <v>6.73</v>
      </c>
      <c r="J10" s="112">
        <v>0.61</v>
      </c>
      <c r="K10" s="112">
        <v>255.69</v>
      </c>
      <c r="L10" s="112">
        <v>25.65</v>
      </c>
      <c r="M10" s="112">
        <v>77.39</v>
      </c>
      <c r="N10" s="112">
        <v>0</v>
      </c>
      <c r="O10" s="112">
        <v>0</v>
      </c>
      <c r="P10" s="112">
        <v>0.44</v>
      </c>
      <c r="Q10" s="167" t="s">
        <v>14</v>
      </c>
    </row>
    <row r="11" spans="1:21" customFormat="1">
      <c r="A11" s="80">
        <v>45425.03125</v>
      </c>
      <c r="B11" s="112">
        <v>11.27</v>
      </c>
      <c r="C11" s="112">
        <v>13.14</v>
      </c>
      <c r="D11" s="112">
        <v>25.05</v>
      </c>
      <c r="E11" s="112">
        <v>9.11</v>
      </c>
      <c r="F11" s="112">
        <v>1.5</v>
      </c>
      <c r="G11" s="112">
        <v>29.81</v>
      </c>
      <c r="H11" s="112">
        <v>11.09</v>
      </c>
      <c r="I11" s="112">
        <v>6.59</v>
      </c>
      <c r="J11" s="112">
        <v>0.85</v>
      </c>
      <c r="K11" s="112">
        <v>255.44</v>
      </c>
      <c r="L11" s="112">
        <v>25.45</v>
      </c>
      <c r="M11" s="112">
        <v>78.599999999999994</v>
      </c>
      <c r="N11" s="112">
        <v>0</v>
      </c>
      <c r="O11" s="112">
        <v>0</v>
      </c>
      <c r="P11" s="112">
        <v>0.43</v>
      </c>
      <c r="Q11" s="167" t="s">
        <v>14</v>
      </c>
    </row>
    <row r="12" spans="1:21" customFormat="1">
      <c r="A12" s="80">
        <v>45425.041666666664</v>
      </c>
      <c r="B12" s="112">
        <v>11.27</v>
      </c>
      <c r="C12" s="112">
        <v>13.1</v>
      </c>
      <c r="D12" s="112">
        <v>25.03</v>
      </c>
      <c r="E12" s="112">
        <v>9.64</v>
      </c>
      <c r="F12" s="112">
        <v>1.31</v>
      </c>
      <c r="G12" s="112">
        <v>22.78</v>
      </c>
      <c r="H12" s="112">
        <v>9.66</v>
      </c>
      <c r="I12" s="112">
        <v>6.43</v>
      </c>
      <c r="J12" s="112">
        <v>0.86</v>
      </c>
      <c r="K12" s="112">
        <v>258.27</v>
      </c>
      <c r="L12" s="112">
        <v>25.27</v>
      </c>
      <c r="M12" s="112">
        <v>80.52</v>
      </c>
      <c r="N12" s="112">
        <v>0</v>
      </c>
      <c r="O12" s="112">
        <v>0</v>
      </c>
      <c r="P12" s="112">
        <v>0.43</v>
      </c>
      <c r="Q12" s="167" t="s">
        <v>14</v>
      </c>
    </row>
    <row r="13" spans="1:21" customFormat="1">
      <c r="A13" s="80">
        <v>45425.052083333336</v>
      </c>
      <c r="B13" s="112">
        <v>11.27</v>
      </c>
      <c r="C13" s="112">
        <v>13.09</v>
      </c>
      <c r="D13" s="112">
        <v>25.02</v>
      </c>
      <c r="E13" s="112">
        <v>9.6999999999999993</v>
      </c>
      <c r="F13" s="112">
        <v>1.35</v>
      </c>
      <c r="G13" s="112">
        <v>21.02</v>
      </c>
      <c r="H13" s="112">
        <v>9.66</v>
      </c>
      <c r="I13" s="112">
        <v>6.27</v>
      </c>
      <c r="J13" s="112">
        <v>0.79</v>
      </c>
      <c r="K13" s="112">
        <v>256.95</v>
      </c>
      <c r="L13" s="112">
        <v>25.28</v>
      </c>
      <c r="M13" s="112">
        <v>80.52</v>
      </c>
      <c r="N13" s="112">
        <v>0</v>
      </c>
      <c r="O13" s="112">
        <v>0</v>
      </c>
      <c r="P13" s="112">
        <v>0.42</v>
      </c>
      <c r="Q13" s="167" t="s">
        <v>14</v>
      </c>
    </row>
    <row r="14" spans="1:21" customFormat="1">
      <c r="A14" s="80">
        <v>45425.0625</v>
      </c>
      <c r="B14" s="112">
        <v>11.26</v>
      </c>
      <c r="C14" s="112">
        <v>13.11</v>
      </c>
      <c r="D14" s="112">
        <v>25.02</v>
      </c>
      <c r="E14" s="112">
        <v>10.4</v>
      </c>
      <c r="F14" s="112">
        <v>1.35</v>
      </c>
      <c r="G14" s="112">
        <v>21.02</v>
      </c>
      <c r="H14" s="112">
        <v>9.66</v>
      </c>
      <c r="I14" s="112">
        <v>6.13</v>
      </c>
      <c r="J14" s="112">
        <v>0.81</v>
      </c>
      <c r="K14" s="112">
        <v>258.81</v>
      </c>
      <c r="L14" s="112">
        <v>25.3</v>
      </c>
      <c r="M14" s="112">
        <v>80.150000000000006</v>
      </c>
      <c r="N14" s="112">
        <v>0</v>
      </c>
      <c r="O14" s="112">
        <v>0</v>
      </c>
      <c r="P14" s="112">
        <v>0.42</v>
      </c>
      <c r="Q14" s="167" t="s">
        <v>14</v>
      </c>
    </row>
    <row r="15" spans="1:21" customFormat="1">
      <c r="A15" s="80">
        <v>45425.072916666664</v>
      </c>
      <c r="B15" s="112">
        <v>11.27</v>
      </c>
      <c r="C15" s="112">
        <v>13.1</v>
      </c>
      <c r="D15" s="112">
        <v>25.02</v>
      </c>
      <c r="E15" s="112">
        <v>9.6</v>
      </c>
      <c r="F15" s="112">
        <v>1.6</v>
      </c>
      <c r="G15" s="112">
        <v>21.02</v>
      </c>
      <c r="H15" s="112">
        <v>9.66</v>
      </c>
      <c r="I15" s="112">
        <v>6</v>
      </c>
      <c r="J15" s="112">
        <v>0.72</v>
      </c>
      <c r="K15" s="112">
        <v>274.31</v>
      </c>
      <c r="L15" s="112">
        <v>25.45</v>
      </c>
      <c r="M15" s="112">
        <v>78.459999999999994</v>
      </c>
      <c r="N15" s="112">
        <v>0</v>
      </c>
      <c r="O15" s="112">
        <v>0</v>
      </c>
      <c r="P15" s="112">
        <v>0.4</v>
      </c>
      <c r="Q15" s="167" t="s">
        <v>14</v>
      </c>
    </row>
    <row r="16" spans="1:21" customFormat="1">
      <c r="A16" s="80">
        <v>45425.083333333336</v>
      </c>
      <c r="B16" s="112">
        <v>11.25</v>
      </c>
      <c r="C16" s="112">
        <v>13.12</v>
      </c>
      <c r="D16" s="112">
        <v>25.02</v>
      </c>
      <c r="E16" s="112">
        <v>9.93</v>
      </c>
      <c r="F16" s="112">
        <v>1.42</v>
      </c>
      <c r="G16" s="112">
        <v>23.4</v>
      </c>
      <c r="H16" s="112">
        <v>8.98</v>
      </c>
      <c r="I16" s="112">
        <v>5.84</v>
      </c>
      <c r="J16" s="112">
        <v>1.07</v>
      </c>
      <c r="K16" s="112">
        <v>299.45999999999998</v>
      </c>
      <c r="L16" s="112">
        <v>25.47</v>
      </c>
      <c r="M16" s="112">
        <v>77.27</v>
      </c>
      <c r="N16" s="112">
        <v>0</v>
      </c>
      <c r="O16" s="112">
        <v>0</v>
      </c>
      <c r="P16" s="112">
        <v>0.41</v>
      </c>
      <c r="Q16" s="167" t="s">
        <v>14</v>
      </c>
    </row>
    <row r="17" spans="1:17" customFormat="1">
      <c r="A17" s="80">
        <v>45425.09375</v>
      </c>
      <c r="B17" s="112">
        <v>11.26</v>
      </c>
      <c r="C17" s="112">
        <v>13.14</v>
      </c>
      <c r="D17" s="112">
        <v>25.04</v>
      </c>
      <c r="E17" s="112">
        <v>9.4600000000000009</v>
      </c>
      <c r="F17" s="112">
        <v>1.34</v>
      </c>
      <c r="G17" s="112">
        <v>24</v>
      </c>
      <c r="H17" s="112">
        <v>8.98</v>
      </c>
      <c r="I17" s="112">
        <v>5.68</v>
      </c>
      <c r="J17" s="112">
        <v>0.94</v>
      </c>
      <c r="K17" s="112">
        <v>280.44</v>
      </c>
      <c r="L17" s="112">
        <v>25.47</v>
      </c>
      <c r="M17" s="112">
        <v>75.55</v>
      </c>
      <c r="N17" s="112">
        <v>0</v>
      </c>
      <c r="O17" s="112">
        <v>0</v>
      </c>
      <c r="P17" s="112">
        <v>0.39</v>
      </c>
      <c r="Q17" s="167" t="s">
        <v>14</v>
      </c>
    </row>
    <row r="18" spans="1:17" customFormat="1">
      <c r="A18" s="80">
        <v>45425.104166666664</v>
      </c>
      <c r="B18" s="112">
        <v>11.26</v>
      </c>
      <c r="C18" s="112">
        <v>13.12</v>
      </c>
      <c r="D18" s="112">
        <v>25.03</v>
      </c>
      <c r="E18" s="112">
        <v>11.87</v>
      </c>
      <c r="F18" s="112">
        <v>1.54</v>
      </c>
      <c r="G18" s="112">
        <v>24</v>
      </c>
      <c r="H18" s="112">
        <v>8.98</v>
      </c>
      <c r="I18" s="112">
        <v>5.57</v>
      </c>
      <c r="J18" s="112">
        <v>0.59</v>
      </c>
      <c r="K18" s="112">
        <v>285.45999999999998</v>
      </c>
      <c r="L18" s="112">
        <v>25.42</v>
      </c>
      <c r="M18" s="112">
        <v>75.19</v>
      </c>
      <c r="N18" s="112">
        <v>0</v>
      </c>
      <c r="O18" s="112">
        <v>0</v>
      </c>
      <c r="P18" s="112">
        <v>0.39</v>
      </c>
      <c r="Q18" s="167" t="s">
        <v>14</v>
      </c>
    </row>
    <row r="19" spans="1:17" customFormat="1">
      <c r="A19" s="80">
        <v>45425.114583333336</v>
      </c>
      <c r="B19" s="112">
        <v>11.26</v>
      </c>
      <c r="C19" s="112">
        <v>13.1</v>
      </c>
      <c r="D19" s="112">
        <v>25.02</v>
      </c>
      <c r="E19" s="112">
        <v>12.26</v>
      </c>
      <c r="F19" s="112">
        <v>1.71</v>
      </c>
      <c r="G19" s="112">
        <v>24</v>
      </c>
      <c r="H19" s="112">
        <v>8.98</v>
      </c>
      <c r="I19" s="112">
        <v>5.47</v>
      </c>
      <c r="J19" s="112">
        <v>1.03</v>
      </c>
      <c r="K19" s="112">
        <v>326.31</v>
      </c>
      <c r="L19" s="112">
        <v>25.46</v>
      </c>
      <c r="M19" s="112">
        <v>75.97</v>
      </c>
      <c r="N19" s="112">
        <v>0</v>
      </c>
      <c r="O19" s="112">
        <v>0</v>
      </c>
      <c r="P19" s="112">
        <v>0.39</v>
      </c>
      <c r="Q19" s="167" t="s">
        <v>14</v>
      </c>
    </row>
    <row r="20" spans="1:17" customFormat="1">
      <c r="A20" s="80">
        <v>45425.125</v>
      </c>
      <c r="B20" s="112">
        <v>11.27</v>
      </c>
      <c r="C20" s="112">
        <v>13.1</v>
      </c>
      <c r="D20" s="112">
        <v>25.02</v>
      </c>
      <c r="E20" s="112">
        <v>13.4</v>
      </c>
      <c r="F20" s="112">
        <v>2.21</v>
      </c>
      <c r="G20" s="112">
        <v>25.03</v>
      </c>
      <c r="H20" s="112">
        <v>7.57</v>
      </c>
      <c r="I20" s="112">
        <v>5.35</v>
      </c>
      <c r="J20" s="112">
        <v>1.68</v>
      </c>
      <c r="K20" s="112">
        <v>302.88</v>
      </c>
      <c r="L20" s="112">
        <v>25.35</v>
      </c>
      <c r="M20" s="112">
        <v>74.260000000000005</v>
      </c>
      <c r="N20" s="112">
        <v>0</v>
      </c>
      <c r="O20" s="112">
        <v>0</v>
      </c>
      <c r="P20" s="112">
        <v>0.41</v>
      </c>
      <c r="Q20" s="167" t="s">
        <v>14</v>
      </c>
    </row>
    <row r="21" spans="1:17" customFormat="1">
      <c r="A21" s="80">
        <v>45425.135416666664</v>
      </c>
      <c r="B21" s="112">
        <v>11.26</v>
      </c>
      <c r="C21" s="112">
        <v>13.12</v>
      </c>
      <c r="D21" s="112">
        <v>25.03</v>
      </c>
      <c r="E21" s="112">
        <v>12.92</v>
      </c>
      <c r="F21" s="112">
        <v>1.47</v>
      </c>
      <c r="G21" s="112">
        <v>25.31</v>
      </c>
      <c r="H21" s="112">
        <v>7.57</v>
      </c>
      <c r="I21" s="112">
        <v>5.38</v>
      </c>
      <c r="J21" s="112">
        <v>1.4</v>
      </c>
      <c r="K21" s="112">
        <v>310.08999999999997</v>
      </c>
      <c r="L21" s="112">
        <v>25.22</v>
      </c>
      <c r="M21" s="112">
        <v>73.42</v>
      </c>
      <c r="N21" s="112">
        <v>0</v>
      </c>
      <c r="O21" s="112">
        <v>0</v>
      </c>
      <c r="P21" s="112">
        <v>0.4</v>
      </c>
      <c r="Q21" s="167" t="s">
        <v>14</v>
      </c>
    </row>
    <row r="22" spans="1:17" customFormat="1">
      <c r="A22" s="80">
        <v>45425.145833333336</v>
      </c>
      <c r="B22" s="112">
        <v>11.27</v>
      </c>
      <c r="C22" s="112">
        <v>13.12</v>
      </c>
      <c r="D22" s="112">
        <v>25.04</v>
      </c>
      <c r="E22" s="112">
        <v>12.73</v>
      </c>
      <c r="F22" s="112">
        <v>1.37</v>
      </c>
      <c r="G22" s="112">
        <v>25.31</v>
      </c>
      <c r="H22" s="112">
        <v>7.57</v>
      </c>
      <c r="I22" s="112">
        <v>5.47</v>
      </c>
      <c r="J22" s="112">
        <v>1.35</v>
      </c>
      <c r="K22" s="112">
        <v>310.35000000000002</v>
      </c>
      <c r="L22" s="112">
        <v>25.2</v>
      </c>
      <c r="M22" s="112">
        <v>72.62</v>
      </c>
      <c r="N22" s="112">
        <v>0</v>
      </c>
      <c r="O22" s="112">
        <v>0</v>
      </c>
      <c r="P22" s="112">
        <v>0.4</v>
      </c>
      <c r="Q22" s="167" t="s">
        <v>14</v>
      </c>
    </row>
    <row r="23" spans="1:17" customFormat="1">
      <c r="A23" s="80">
        <v>45425.15625</v>
      </c>
      <c r="B23" s="112">
        <v>11.29</v>
      </c>
      <c r="C23" s="112">
        <v>13.16</v>
      </c>
      <c r="D23" s="112">
        <v>25.07</v>
      </c>
      <c r="E23" s="112">
        <v>12.89</v>
      </c>
      <c r="F23" s="112">
        <v>1.38</v>
      </c>
      <c r="G23" s="112">
        <v>25.31</v>
      </c>
      <c r="H23" s="112">
        <v>7.57</v>
      </c>
      <c r="I23" s="112">
        <v>5.41</v>
      </c>
      <c r="J23" s="112">
        <v>1.02</v>
      </c>
      <c r="K23" s="112">
        <v>314.61</v>
      </c>
      <c r="L23" s="112">
        <v>25.34</v>
      </c>
      <c r="M23" s="112">
        <v>70.97</v>
      </c>
      <c r="N23" s="112">
        <v>0</v>
      </c>
      <c r="O23" s="112">
        <v>0</v>
      </c>
      <c r="P23" s="112">
        <v>0.41</v>
      </c>
      <c r="Q23" s="167" t="s">
        <v>14</v>
      </c>
    </row>
    <row r="24" spans="1:17" customFormat="1">
      <c r="A24" s="80">
        <v>45425.166666666664</v>
      </c>
      <c r="B24" s="112">
        <v>11.28</v>
      </c>
      <c r="C24" s="112">
        <v>13.16</v>
      </c>
      <c r="D24" s="112">
        <v>25.06</v>
      </c>
      <c r="E24" s="112">
        <v>12.76</v>
      </c>
      <c r="F24" s="112">
        <v>1.59</v>
      </c>
      <c r="G24" s="112">
        <v>28.54</v>
      </c>
      <c r="H24" s="112">
        <v>8.68</v>
      </c>
      <c r="I24" s="112">
        <v>5.34</v>
      </c>
      <c r="J24" s="112">
        <v>0.83</v>
      </c>
      <c r="K24" s="112">
        <v>309.52</v>
      </c>
      <c r="L24" s="112">
        <v>25.46</v>
      </c>
      <c r="M24" s="112">
        <v>70.63</v>
      </c>
      <c r="N24" s="112">
        <v>0</v>
      </c>
      <c r="O24" s="112">
        <v>0</v>
      </c>
      <c r="P24" s="112">
        <v>0.41</v>
      </c>
      <c r="Q24" s="167" t="s">
        <v>14</v>
      </c>
    </row>
    <row r="25" spans="1:17" customFormat="1">
      <c r="A25" s="80">
        <v>45425.177083333336</v>
      </c>
      <c r="B25" s="112">
        <v>11.28</v>
      </c>
      <c r="C25" s="112">
        <v>13.16</v>
      </c>
      <c r="D25" s="112">
        <v>25.07</v>
      </c>
      <c r="E25" s="112">
        <v>13.06</v>
      </c>
      <c r="F25" s="112">
        <v>1</v>
      </c>
      <c r="G25" s="112">
        <v>29.35</v>
      </c>
      <c r="H25" s="112">
        <v>8.68</v>
      </c>
      <c r="I25" s="112">
        <v>5.28</v>
      </c>
      <c r="J25" s="112">
        <v>0.73</v>
      </c>
      <c r="K25" s="112">
        <v>307.39</v>
      </c>
      <c r="L25" s="112">
        <v>25.53</v>
      </c>
      <c r="M25" s="112">
        <v>71.03</v>
      </c>
      <c r="N25" s="112">
        <v>0</v>
      </c>
      <c r="O25" s="112">
        <v>0</v>
      </c>
      <c r="P25" s="112">
        <v>0.41</v>
      </c>
      <c r="Q25" s="167" t="s">
        <v>14</v>
      </c>
    </row>
    <row r="26" spans="1:17" customFormat="1">
      <c r="A26" s="80">
        <v>45425.1875</v>
      </c>
      <c r="B26" s="112">
        <v>11.25</v>
      </c>
      <c r="C26" s="112">
        <v>13.18</v>
      </c>
      <c r="D26" s="112">
        <v>25.05</v>
      </c>
      <c r="E26" s="112">
        <v>14.17</v>
      </c>
      <c r="F26" s="112">
        <v>1.04</v>
      </c>
      <c r="G26" s="112">
        <v>29.35</v>
      </c>
      <c r="H26" s="112">
        <v>8.68</v>
      </c>
      <c r="I26" s="112">
        <v>5.24</v>
      </c>
      <c r="J26" s="112">
        <v>0.28999999999999998</v>
      </c>
      <c r="K26" s="112">
        <v>12.21</v>
      </c>
      <c r="L26" s="112">
        <v>25.65</v>
      </c>
      <c r="M26" s="112">
        <v>71.44</v>
      </c>
      <c r="N26" s="112">
        <v>0</v>
      </c>
      <c r="O26" s="112">
        <v>0</v>
      </c>
      <c r="P26" s="112">
        <v>0.42</v>
      </c>
      <c r="Q26" s="167" t="s">
        <v>14</v>
      </c>
    </row>
    <row r="27" spans="1:17" customFormat="1">
      <c r="A27" s="80">
        <v>45425.197916666664</v>
      </c>
      <c r="B27" s="112">
        <v>11.24</v>
      </c>
      <c r="C27" s="112">
        <v>13.18</v>
      </c>
      <c r="D27" s="112">
        <v>25.04</v>
      </c>
      <c r="E27" s="112">
        <v>15.17</v>
      </c>
      <c r="F27" s="112">
        <v>1.55</v>
      </c>
      <c r="G27" s="112">
        <v>29.35</v>
      </c>
      <c r="H27" s="112">
        <v>8.68</v>
      </c>
      <c r="I27" s="112">
        <v>5.27</v>
      </c>
      <c r="J27" s="112">
        <v>0.16</v>
      </c>
      <c r="K27" s="112">
        <v>282</v>
      </c>
      <c r="L27" s="112">
        <v>25.59</v>
      </c>
      <c r="M27" s="112">
        <v>71.86</v>
      </c>
      <c r="N27" s="112">
        <v>0</v>
      </c>
      <c r="O27" s="112">
        <v>0</v>
      </c>
      <c r="P27" s="112">
        <v>0.43</v>
      </c>
      <c r="Q27" s="167" t="s">
        <v>14</v>
      </c>
    </row>
    <row r="28" spans="1:17" customFormat="1">
      <c r="A28" s="80">
        <v>45425.208333333336</v>
      </c>
      <c r="B28" s="112">
        <v>11.21</v>
      </c>
      <c r="C28" s="112">
        <v>13.14</v>
      </c>
      <c r="D28" s="112">
        <v>25</v>
      </c>
      <c r="E28" s="112">
        <v>17.34</v>
      </c>
      <c r="F28" s="112">
        <v>3.01</v>
      </c>
      <c r="G28" s="112">
        <v>42.18</v>
      </c>
      <c r="H28" s="112">
        <v>20.52</v>
      </c>
      <c r="I28" s="112">
        <v>5.29</v>
      </c>
      <c r="J28" s="112">
        <v>0.32</v>
      </c>
      <c r="K28" s="112">
        <v>187.2</v>
      </c>
      <c r="L28" s="112">
        <v>25.33</v>
      </c>
      <c r="M28" s="112">
        <v>75.69</v>
      </c>
      <c r="N28" s="112">
        <v>0</v>
      </c>
      <c r="O28" s="112">
        <v>0</v>
      </c>
      <c r="P28" s="112">
        <v>0.43</v>
      </c>
      <c r="Q28" s="167" t="s">
        <v>14</v>
      </c>
    </row>
    <row r="29" spans="1:17" customFormat="1">
      <c r="A29" s="80">
        <v>45425.21875</v>
      </c>
      <c r="B29" s="112">
        <v>11.21</v>
      </c>
      <c r="C29" s="112">
        <v>13.15</v>
      </c>
      <c r="D29" s="112">
        <v>25</v>
      </c>
      <c r="E29" s="112">
        <v>13.28</v>
      </c>
      <c r="F29" s="112">
        <v>1.66</v>
      </c>
      <c r="G29" s="112">
        <v>45.39</v>
      </c>
      <c r="H29" s="112">
        <v>20.52</v>
      </c>
      <c r="I29" s="112">
        <v>5.26</v>
      </c>
      <c r="J29" s="112">
        <v>0.25</v>
      </c>
      <c r="K29" s="112">
        <v>153.46</v>
      </c>
      <c r="L29" s="112">
        <v>25.02</v>
      </c>
      <c r="M29" s="112">
        <v>78.540000000000006</v>
      </c>
      <c r="N29" s="112">
        <v>0</v>
      </c>
      <c r="O29" s="112">
        <v>0</v>
      </c>
      <c r="P29" s="112">
        <v>0.41</v>
      </c>
      <c r="Q29" s="167" t="s">
        <v>14</v>
      </c>
    </row>
    <row r="30" spans="1:17" customFormat="1">
      <c r="A30" s="80">
        <v>45425.229166666664</v>
      </c>
      <c r="B30" s="112">
        <v>11.22</v>
      </c>
      <c r="C30" s="112">
        <v>13.13</v>
      </c>
      <c r="D30" s="112">
        <v>25</v>
      </c>
      <c r="E30" s="112">
        <v>12.4</v>
      </c>
      <c r="F30" s="112">
        <v>1.96</v>
      </c>
      <c r="G30" s="112">
        <v>45.39</v>
      </c>
      <c r="H30" s="112">
        <v>20.52</v>
      </c>
      <c r="I30" s="112">
        <v>5.3</v>
      </c>
      <c r="J30" s="112">
        <v>0.16</v>
      </c>
      <c r="K30" s="112">
        <v>144.32</v>
      </c>
      <c r="L30" s="112">
        <v>25.05</v>
      </c>
      <c r="M30" s="112">
        <v>77.5</v>
      </c>
      <c r="N30" s="112">
        <v>0.6</v>
      </c>
      <c r="O30" s="112">
        <v>0</v>
      </c>
      <c r="P30" s="112">
        <v>0.41</v>
      </c>
      <c r="Q30" s="167" t="s">
        <v>14</v>
      </c>
    </row>
    <row r="31" spans="1:17" customFormat="1">
      <c r="A31" s="80">
        <v>45425.239583333336</v>
      </c>
      <c r="B31" s="112">
        <v>11.21</v>
      </c>
      <c r="C31" s="112">
        <v>13.14</v>
      </c>
      <c r="D31" s="112">
        <v>25</v>
      </c>
      <c r="E31" s="112">
        <v>12.08</v>
      </c>
      <c r="F31" s="112">
        <v>3.08</v>
      </c>
      <c r="G31" s="112">
        <v>45.39</v>
      </c>
      <c r="H31" s="112">
        <v>20.52</v>
      </c>
      <c r="I31" s="112">
        <v>5.34</v>
      </c>
      <c r="J31" s="112">
        <v>0.14000000000000001</v>
      </c>
      <c r="K31" s="112">
        <v>176.13</v>
      </c>
      <c r="L31" s="112">
        <v>25.11</v>
      </c>
      <c r="M31" s="112">
        <v>77.489999999999995</v>
      </c>
      <c r="N31" s="112">
        <v>10.199999999999999</v>
      </c>
      <c r="O31" s="112">
        <v>0</v>
      </c>
      <c r="P31" s="112">
        <v>0.4</v>
      </c>
      <c r="Q31" s="167" t="s">
        <v>14</v>
      </c>
    </row>
    <row r="32" spans="1:17" customFormat="1">
      <c r="A32" s="80">
        <v>45425.25</v>
      </c>
      <c r="B32" s="112">
        <v>11.23</v>
      </c>
      <c r="C32" s="112">
        <v>13.13</v>
      </c>
      <c r="D32" s="112">
        <v>25.01</v>
      </c>
      <c r="E32" s="112">
        <v>11.44</v>
      </c>
      <c r="F32" s="112">
        <v>3.57</v>
      </c>
      <c r="G32" s="112">
        <v>42.01</v>
      </c>
      <c r="H32" s="112">
        <v>20.39</v>
      </c>
      <c r="I32" s="112">
        <v>5.27</v>
      </c>
      <c r="J32" s="112">
        <v>0.27</v>
      </c>
      <c r="K32" s="112">
        <v>160.66</v>
      </c>
      <c r="L32" s="112">
        <v>25.13</v>
      </c>
      <c r="M32" s="112">
        <v>77.63</v>
      </c>
      <c r="N32" s="112">
        <v>27.5</v>
      </c>
      <c r="O32" s="112">
        <v>0</v>
      </c>
      <c r="P32" s="112">
        <v>0.4</v>
      </c>
      <c r="Q32" s="167" t="s">
        <v>14</v>
      </c>
    </row>
    <row r="33" spans="1:17" customFormat="1">
      <c r="A33" s="80">
        <v>45425.260416666664</v>
      </c>
      <c r="B33" s="112">
        <v>11.23</v>
      </c>
      <c r="C33" s="112">
        <v>13.12</v>
      </c>
      <c r="D33" s="112">
        <v>25</v>
      </c>
      <c r="E33" s="112">
        <v>11.29</v>
      </c>
      <c r="F33" s="112">
        <v>2.0299999999999998</v>
      </c>
      <c r="G33" s="112">
        <v>41.16</v>
      </c>
      <c r="H33" s="112">
        <v>20.39</v>
      </c>
      <c r="I33" s="112">
        <v>5.2</v>
      </c>
      <c r="J33" s="112">
        <v>0.41</v>
      </c>
      <c r="K33" s="112">
        <v>155.25</v>
      </c>
      <c r="L33" s="112">
        <v>25.36</v>
      </c>
      <c r="M33" s="112">
        <v>78.2</v>
      </c>
      <c r="N33" s="112">
        <v>50.1</v>
      </c>
      <c r="O33" s="112">
        <v>0</v>
      </c>
      <c r="P33" s="112">
        <v>0.41</v>
      </c>
      <c r="Q33" s="167" t="s">
        <v>14</v>
      </c>
    </row>
    <row r="34" spans="1:17" customFormat="1">
      <c r="A34" s="80">
        <v>45425.270833333336</v>
      </c>
      <c r="B34" s="112">
        <v>11.23</v>
      </c>
      <c r="C34" s="112">
        <v>13.1</v>
      </c>
      <c r="D34" s="112">
        <v>25</v>
      </c>
      <c r="E34" s="112">
        <v>11.62</v>
      </c>
      <c r="F34" s="112">
        <v>2.77</v>
      </c>
      <c r="G34" s="112">
        <v>41.16</v>
      </c>
      <c r="H34" s="112">
        <v>20.39</v>
      </c>
      <c r="I34" s="112">
        <v>5.2</v>
      </c>
      <c r="J34" s="112">
        <v>0.35</v>
      </c>
      <c r="K34" s="112">
        <v>152.09</v>
      </c>
      <c r="L34" s="112">
        <v>25.76</v>
      </c>
      <c r="M34" s="112">
        <v>76.239999999999995</v>
      </c>
      <c r="N34" s="112">
        <v>60.8</v>
      </c>
      <c r="O34" s="112">
        <v>0</v>
      </c>
      <c r="P34" s="112">
        <v>0.41</v>
      </c>
      <c r="Q34" s="167" t="s">
        <v>14</v>
      </c>
    </row>
    <row r="35" spans="1:17" customFormat="1">
      <c r="A35" s="80">
        <v>45425.28125</v>
      </c>
      <c r="B35" s="112">
        <v>11.24</v>
      </c>
      <c r="C35" s="112">
        <v>13.1</v>
      </c>
      <c r="D35" s="112">
        <v>25</v>
      </c>
      <c r="E35" s="112">
        <v>11.06</v>
      </c>
      <c r="F35" s="112">
        <v>3.58</v>
      </c>
      <c r="G35" s="112">
        <v>41.16</v>
      </c>
      <c r="H35" s="112">
        <v>20.39</v>
      </c>
      <c r="I35" s="112">
        <v>5.3</v>
      </c>
      <c r="J35" s="112">
        <v>0.23</v>
      </c>
      <c r="K35" s="112">
        <v>165.16</v>
      </c>
      <c r="L35" s="112">
        <v>26.02</v>
      </c>
      <c r="M35" s="112">
        <v>75.58</v>
      </c>
      <c r="N35" s="112">
        <v>89.3</v>
      </c>
      <c r="O35" s="112">
        <v>0</v>
      </c>
      <c r="P35" s="112">
        <v>0.4</v>
      </c>
      <c r="Q35" s="167" t="s">
        <v>14</v>
      </c>
    </row>
    <row r="36" spans="1:17" customFormat="1">
      <c r="A36" s="80">
        <v>45425.291666666664</v>
      </c>
      <c r="B36" s="112">
        <v>11.25</v>
      </c>
      <c r="C36" s="112">
        <v>13.08</v>
      </c>
      <c r="D36" s="112">
        <v>25</v>
      </c>
      <c r="E36" s="112">
        <v>10.9</v>
      </c>
      <c r="F36" s="112">
        <v>5.32</v>
      </c>
      <c r="G36" s="112">
        <v>34.89</v>
      </c>
      <c r="H36" s="112">
        <v>15.17</v>
      </c>
      <c r="I36" s="112">
        <v>5.29</v>
      </c>
      <c r="J36" s="112">
        <v>0.22</v>
      </c>
      <c r="K36" s="112">
        <v>174.86</v>
      </c>
      <c r="L36" s="112">
        <v>26.58</v>
      </c>
      <c r="M36" s="112">
        <v>72.739999999999995</v>
      </c>
      <c r="N36" s="112">
        <v>88.9</v>
      </c>
      <c r="O36" s="112">
        <v>0</v>
      </c>
      <c r="P36" s="112">
        <v>0.39</v>
      </c>
      <c r="Q36" s="167" t="s">
        <v>14</v>
      </c>
    </row>
    <row r="37" spans="1:17" customFormat="1">
      <c r="A37" s="80">
        <v>45425.302083333336</v>
      </c>
      <c r="B37" s="112">
        <v>11.26</v>
      </c>
      <c r="C37" s="112">
        <v>13.09</v>
      </c>
      <c r="D37" s="112">
        <v>25.01</v>
      </c>
      <c r="E37" s="112">
        <v>11.38</v>
      </c>
      <c r="F37" s="112">
        <v>3.98</v>
      </c>
      <c r="G37" s="112">
        <v>33.32</v>
      </c>
      <c r="H37" s="112">
        <v>15.17</v>
      </c>
      <c r="I37" s="112">
        <v>5.25</v>
      </c>
      <c r="J37" s="112">
        <v>0.18</v>
      </c>
      <c r="K37" s="112">
        <v>186.97</v>
      </c>
      <c r="L37" s="112">
        <v>26.97</v>
      </c>
      <c r="M37" s="112">
        <v>70.84</v>
      </c>
      <c r="N37" s="112">
        <v>84.5</v>
      </c>
      <c r="O37" s="112">
        <v>0</v>
      </c>
      <c r="P37" s="112">
        <v>0.39</v>
      </c>
      <c r="Q37" s="167" t="s">
        <v>14</v>
      </c>
    </row>
    <row r="38" spans="1:17" customFormat="1">
      <c r="A38" s="80">
        <v>45425.3125</v>
      </c>
      <c r="B38" s="112">
        <v>11.26</v>
      </c>
      <c r="C38" s="112">
        <v>13.14</v>
      </c>
      <c r="D38" s="112">
        <v>25.04</v>
      </c>
      <c r="E38" s="112">
        <v>11.12</v>
      </c>
      <c r="F38" s="112">
        <v>4.42</v>
      </c>
      <c r="G38" s="112">
        <v>33.32</v>
      </c>
      <c r="H38" s="112">
        <v>15.17</v>
      </c>
      <c r="I38" s="112">
        <v>5.22</v>
      </c>
      <c r="J38" s="112">
        <v>0.05</v>
      </c>
      <c r="K38" s="112">
        <v>297.86</v>
      </c>
      <c r="L38" s="112">
        <v>27.08</v>
      </c>
      <c r="M38" s="112">
        <v>70.540000000000006</v>
      </c>
      <c r="N38" s="112">
        <v>85.6</v>
      </c>
      <c r="O38" s="112">
        <v>0</v>
      </c>
      <c r="P38" s="112">
        <v>0.41</v>
      </c>
      <c r="Q38" s="167" t="s">
        <v>14</v>
      </c>
    </row>
    <row r="39" spans="1:17" customFormat="1">
      <c r="A39" s="80">
        <v>45425.322916666664</v>
      </c>
      <c r="B39" s="112">
        <v>11.25</v>
      </c>
      <c r="C39" s="112">
        <v>13.1</v>
      </c>
      <c r="D39" s="112">
        <v>25.01</v>
      </c>
      <c r="E39" s="112">
        <v>11.43</v>
      </c>
      <c r="F39" s="112">
        <v>5.01</v>
      </c>
      <c r="G39" s="112">
        <v>33.32</v>
      </c>
      <c r="H39" s="112">
        <v>15.17</v>
      </c>
      <c r="I39" s="112">
        <v>5.2</v>
      </c>
      <c r="J39" s="112">
        <v>0.52</v>
      </c>
      <c r="K39" s="112">
        <v>259.57</v>
      </c>
      <c r="L39" s="112">
        <v>27.92</v>
      </c>
      <c r="M39" s="112">
        <v>66.48</v>
      </c>
      <c r="N39" s="112">
        <v>134.30000000000001</v>
      </c>
      <c r="O39" s="112">
        <v>0</v>
      </c>
      <c r="P39" s="112">
        <v>0.41</v>
      </c>
      <c r="Q39" s="167" t="s">
        <v>14</v>
      </c>
    </row>
    <row r="40" spans="1:17" customFormat="1">
      <c r="A40" s="80">
        <v>45425.333333333336</v>
      </c>
      <c r="B40" s="112">
        <v>11.29</v>
      </c>
      <c r="C40" s="112">
        <v>13.09</v>
      </c>
      <c r="D40" s="112">
        <v>25.03</v>
      </c>
      <c r="E40" s="112">
        <v>11.17</v>
      </c>
      <c r="F40" s="112">
        <v>5.31</v>
      </c>
      <c r="G40" s="112">
        <v>32.4</v>
      </c>
      <c r="H40" s="112">
        <v>15.72</v>
      </c>
      <c r="I40" s="112">
        <v>5.2</v>
      </c>
      <c r="J40" s="112">
        <v>0.6</v>
      </c>
      <c r="K40" s="112">
        <v>254.62</v>
      </c>
      <c r="L40" s="112">
        <v>28.5</v>
      </c>
      <c r="M40" s="112">
        <v>65.31</v>
      </c>
      <c r="N40" s="112">
        <v>140.69999999999999</v>
      </c>
      <c r="O40" s="112">
        <v>0</v>
      </c>
      <c r="P40" s="112">
        <v>0.41</v>
      </c>
      <c r="Q40" s="167" t="s">
        <v>14</v>
      </c>
    </row>
    <row r="41" spans="1:17" customFormat="1">
      <c r="A41" s="80">
        <v>45425.34375</v>
      </c>
      <c r="B41" s="112">
        <v>11.3</v>
      </c>
      <c r="C41" s="112">
        <v>13.09</v>
      </c>
      <c r="D41" s="112">
        <v>25.04</v>
      </c>
      <c r="E41" s="112">
        <v>10.63</v>
      </c>
      <c r="F41" s="112">
        <v>4.42</v>
      </c>
      <c r="G41" s="112">
        <v>32.17</v>
      </c>
      <c r="H41" s="112">
        <v>15.72</v>
      </c>
      <c r="I41" s="112">
        <v>5.23</v>
      </c>
      <c r="J41" s="112">
        <v>0.74</v>
      </c>
      <c r="K41" s="112">
        <v>252.14</v>
      </c>
      <c r="L41" s="112">
        <v>28.61</v>
      </c>
      <c r="M41" s="112">
        <v>64.53</v>
      </c>
      <c r="N41" s="112">
        <v>154.5</v>
      </c>
      <c r="O41" s="112">
        <v>0</v>
      </c>
      <c r="P41" s="112">
        <v>0.39</v>
      </c>
      <c r="Q41" s="167" t="s">
        <v>14</v>
      </c>
    </row>
    <row r="42" spans="1:17" customFormat="1">
      <c r="A42" s="80">
        <v>45425.354166666664</v>
      </c>
      <c r="B42" s="112">
        <v>11.29</v>
      </c>
      <c r="C42" s="112">
        <v>13.12</v>
      </c>
      <c r="D42" s="112">
        <v>25.05</v>
      </c>
      <c r="E42" s="112">
        <v>11.14</v>
      </c>
      <c r="F42" s="112">
        <v>4.43</v>
      </c>
      <c r="G42" s="112">
        <v>32.17</v>
      </c>
      <c r="H42" s="112">
        <v>15.72</v>
      </c>
      <c r="I42" s="112">
        <v>5.28</v>
      </c>
      <c r="J42" s="112">
        <v>0.56999999999999995</v>
      </c>
      <c r="K42" s="112">
        <v>261.08</v>
      </c>
      <c r="L42" s="112">
        <v>29.16</v>
      </c>
      <c r="M42" s="112">
        <v>63.02</v>
      </c>
      <c r="N42" s="112">
        <v>153.19999999999999</v>
      </c>
      <c r="O42" s="112">
        <v>0</v>
      </c>
      <c r="P42" s="112">
        <v>0.39</v>
      </c>
      <c r="Q42" s="167" t="s">
        <v>14</v>
      </c>
    </row>
    <row r="43" spans="1:17" customFormat="1">
      <c r="A43" s="80">
        <v>45425.364583333336</v>
      </c>
      <c r="B43" s="112">
        <v>11.28</v>
      </c>
      <c r="C43" s="112">
        <v>13.09</v>
      </c>
      <c r="D43" s="112">
        <v>25.03</v>
      </c>
      <c r="E43" s="112">
        <v>10.9</v>
      </c>
      <c r="F43" s="112">
        <v>5.52</v>
      </c>
      <c r="G43" s="112">
        <v>32.17</v>
      </c>
      <c r="H43" s="112">
        <v>15.72</v>
      </c>
      <c r="I43" s="112">
        <v>5.32</v>
      </c>
      <c r="J43" s="112">
        <v>0.66</v>
      </c>
      <c r="K43" s="112">
        <v>270.66000000000003</v>
      </c>
      <c r="L43" s="112">
        <v>29.54</v>
      </c>
      <c r="M43" s="112">
        <v>62.14</v>
      </c>
      <c r="N43" s="112">
        <v>153.9</v>
      </c>
      <c r="O43" s="112">
        <v>0</v>
      </c>
      <c r="P43" s="112">
        <v>0.4</v>
      </c>
      <c r="Q43" s="167" t="s">
        <v>14</v>
      </c>
    </row>
    <row r="44" spans="1:17" customFormat="1">
      <c r="A44" s="80">
        <v>45425.375</v>
      </c>
      <c r="B44" s="112">
        <v>11.27</v>
      </c>
      <c r="C44" s="112">
        <v>13.14</v>
      </c>
      <c r="D44" s="112">
        <v>25.05</v>
      </c>
      <c r="E44" s="112">
        <v>10.68</v>
      </c>
      <c r="F44" s="112">
        <v>4.05</v>
      </c>
      <c r="G44" s="112">
        <v>30.68</v>
      </c>
      <c r="H44" s="112">
        <v>19.079999999999998</v>
      </c>
      <c r="I44" s="112">
        <v>5.31</v>
      </c>
      <c r="J44" s="112">
        <v>0.74</v>
      </c>
      <c r="K44" s="112">
        <v>307.11</v>
      </c>
      <c r="L44" s="112">
        <v>29.91</v>
      </c>
      <c r="M44" s="112">
        <v>60.53</v>
      </c>
      <c r="N44" s="112">
        <v>173.4</v>
      </c>
      <c r="O44" s="112">
        <v>0</v>
      </c>
      <c r="P44" s="112">
        <v>0.42</v>
      </c>
      <c r="Q44" s="167" t="s">
        <v>14</v>
      </c>
    </row>
    <row r="45" spans="1:17" customFormat="1">
      <c r="A45" s="80">
        <v>45425.385416666664</v>
      </c>
      <c r="B45" s="112">
        <v>11.28</v>
      </c>
      <c r="C45" s="112">
        <v>13.12</v>
      </c>
      <c r="D45" s="112">
        <v>25.04</v>
      </c>
      <c r="E45" s="112">
        <v>10.92</v>
      </c>
      <c r="F45" s="112">
        <v>4.13</v>
      </c>
      <c r="G45" s="112">
        <v>30.31</v>
      </c>
      <c r="H45" s="112">
        <v>19.079999999999998</v>
      </c>
      <c r="I45" s="112">
        <v>5.37</v>
      </c>
      <c r="J45" s="112">
        <v>0.36</v>
      </c>
      <c r="K45" s="112">
        <v>263.2</v>
      </c>
      <c r="L45" s="112">
        <v>30.69</v>
      </c>
      <c r="M45" s="112">
        <v>58.81</v>
      </c>
      <c r="N45" s="112">
        <v>176.8</v>
      </c>
      <c r="O45" s="112">
        <v>0</v>
      </c>
      <c r="P45" s="112">
        <v>0.44</v>
      </c>
      <c r="Q45" s="167" t="s">
        <v>14</v>
      </c>
    </row>
    <row r="46" spans="1:17" customFormat="1">
      <c r="A46" s="80">
        <v>45425.395833333336</v>
      </c>
      <c r="B46" s="112">
        <v>11.25</v>
      </c>
      <c r="C46" s="112">
        <v>13.16</v>
      </c>
      <c r="D46" s="112">
        <v>25.04</v>
      </c>
      <c r="E46" s="112">
        <v>10.93</v>
      </c>
      <c r="F46" s="112">
        <v>4.01</v>
      </c>
      <c r="G46" s="112">
        <v>30.31</v>
      </c>
      <c r="H46" s="112">
        <v>19.079999999999998</v>
      </c>
      <c r="I46" s="112">
        <v>5.42</v>
      </c>
      <c r="J46" s="112">
        <v>0.4</v>
      </c>
      <c r="K46" s="112">
        <v>271.18</v>
      </c>
      <c r="L46" s="112">
        <v>31.03</v>
      </c>
      <c r="M46" s="112">
        <v>56.04</v>
      </c>
      <c r="N46" s="112">
        <v>181</v>
      </c>
      <c r="O46" s="112">
        <v>0</v>
      </c>
      <c r="P46" s="112">
        <v>0.45</v>
      </c>
      <c r="Q46" s="167" t="s">
        <v>14</v>
      </c>
    </row>
    <row r="47" spans="1:17" customFormat="1">
      <c r="A47" s="80">
        <v>45425.40625</v>
      </c>
      <c r="B47" s="112">
        <v>11.29</v>
      </c>
      <c r="C47" s="112">
        <v>13.14</v>
      </c>
      <c r="D47" s="112">
        <v>25.06</v>
      </c>
      <c r="E47" s="112">
        <v>11.11</v>
      </c>
      <c r="F47" s="112">
        <v>5.0999999999999996</v>
      </c>
      <c r="G47" s="112">
        <v>30.31</v>
      </c>
      <c r="H47" s="112">
        <v>19.079999999999998</v>
      </c>
      <c r="I47" s="112">
        <v>5.43</v>
      </c>
      <c r="J47" s="112">
        <v>0.63</v>
      </c>
      <c r="K47" s="112">
        <v>281.88</v>
      </c>
      <c r="L47" s="112">
        <v>31.56</v>
      </c>
      <c r="M47" s="112">
        <v>54.61</v>
      </c>
      <c r="N47" s="112">
        <v>198.9</v>
      </c>
      <c r="O47" s="112">
        <v>0</v>
      </c>
      <c r="P47" s="112">
        <v>0.45</v>
      </c>
      <c r="Q47" s="167" t="s">
        <v>14</v>
      </c>
    </row>
    <row r="48" spans="1:17" customFormat="1">
      <c r="A48" s="80">
        <v>45425.416666666664</v>
      </c>
      <c r="B48" s="112">
        <v>11.29</v>
      </c>
      <c r="C48" s="112">
        <v>13.1</v>
      </c>
      <c r="D48" s="112">
        <v>25.04</v>
      </c>
      <c r="E48" s="112">
        <v>12.14</v>
      </c>
      <c r="F48" s="112">
        <v>6.31</v>
      </c>
      <c r="G48" s="112">
        <v>30.11</v>
      </c>
      <c r="H48" s="112">
        <v>16.23</v>
      </c>
      <c r="I48" s="112">
        <v>5.49</v>
      </c>
      <c r="J48" s="112">
        <v>0.49</v>
      </c>
      <c r="K48" s="112">
        <v>289.67</v>
      </c>
      <c r="L48" s="112">
        <v>31.82</v>
      </c>
      <c r="M48" s="112">
        <v>53.1</v>
      </c>
      <c r="N48" s="112">
        <v>200.3</v>
      </c>
      <c r="O48" s="112">
        <v>0</v>
      </c>
      <c r="P48" s="112">
        <v>0.47</v>
      </c>
      <c r="Q48" s="167" t="s">
        <v>14</v>
      </c>
    </row>
    <row r="49" spans="1:17" customFormat="1">
      <c r="A49" s="80">
        <v>45425.427083333336</v>
      </c>
      <c r="B49" s="112">
        <v>11.28</v>
      </c>
      <c r="C49" s="112">
        <v>13.13</v>
      </c>
      <c r="D49" s="112">
        <v>25.05</v>
      </c>
      <c r="E49" s="112">
        <v>10.16</v>
      </c>
      <c r="F49" s="112">
        <v>6.88</v>
      </c>
      <c r="G49" s="112">
        <v>30.06</v>
      </c>
      <c r="H49" s="112">
        <v>16.23</v>
      </c>
      <c r="I49" s="112">
        <v>5.58</v>
      </c>
      <c r="J49" s="112">
        <v>0.53</v>
      </c>
      <c r="K49" s="112">
        <v>293.06</v>
      </c>
      <c r="L49" s="112">
        <v>32.11</v>
      </c>
      <c r="M49" s="112">
        <v>51.15</v>
      </c>
      <c r="N49" s="112">
        <v>195.3</v>
      </c>
      <c r="O49" s="112">
        <v>0</v>
      </c>
      <c r="P49" s="112">
        <v>0.47</v>
      </c>
      <c r="Q49" s="167" t="s">
        <v>14</v>
      </c>
    </row>
    <row r="50" spans="1:17" customFormat="1">
      <c r="A50" s="80">
        <v>45425.4375</v>
      </c>
      <c r="B50" s="112">
        <v>11.3</v>
      </c>
      <c r="C50" s="112">
        <v>13.11</v>
      </c>
      <c r="D50" s="112">
        <v>25.05</v>
      </c>
      <c r="E50" s="112">
        <v>14.17</v>
      </c>
      <c r="F50" s="112">
        <v>8.8000000000000007</v>
      </c>
      <c r="G50" s="112">
        <v>30.06</v>
      </c>
      <c r="H50" s="112">
        <v>16.23</v>
      </c>
      <c r="I50" s="112">
        <v>5.71</v>
      </c>
      <c r="J50" s="112">
        <v>1.1200000000000001</v>
      </c>
      <c r="K50" s="112">
        <v>313.74</v>
      </c>
      <c r="L50" s="112">
        <v>32.299999999999997</v>
      </c>
      <c r="M50" s="112">
        <v>49.74</v>
      </c>
      <c r="N50" s="112">
        <v>206.4</v>
      </c>
      <c r="O50" s="112">
        <v>0</v>
      </c>
      <c r="P50" s="112">
        <v>0.49</v>
      </c>
      <c r="Q50" s="112">
        <v>4.6500000000000004</v>
      </c>
    </row>
    <row r="51" spans="1:17" customFormat="1">
      <c r="A51" s="80">
        <v>45425.447916666664</v>
      </c>
      <c r="B51" s="112">
        <v>11.33</v>
      </c>
      <c r="C51" s="112">
        <v>13.16</v>
      </c>
      <c r="D51" s="112">
        <v>25.1</v>
      </c>
      <c r="E51" s="112">
        <v>14.99</v>
      </c>
      <c r="F51" s="112">
        <v>8.14</v>
      </c>
      <c r="G51" s="112">
        <v>30.06</v>
      </c>
      <c r="H51" s="112">
        <v>16.23</v>
      </c>
      <c r="I51" s="112">
        <v>5.94</v>
      </c>
      <c r="J51" s="112">
        <v>0.69</v>
      </c>
      <c r="K51" s="112">
        <v>281.29000000000002</v>
      </c>
      <c r="L51" s="112">
        <v>32.61</v>
      </c>
      <c r="M51" s="112">
        <v>49.37</v>
      </c>
      <c r="N51" s="112">
        <v>314.10000000000002</v>
      </c>
      <c r="O51" s="112">
        <v>0</v>
      </c>
      <c r="P51" s="112">
        <v>0.5</v>
      </c>
      <c r="Q51" s="167" t="s">
        <v>14</v>
      </c>
    </row>
    <row r="52" spans="1:17" customFormat="1">
      <c r="A52" s="80">
        <v>45425.458333333336</v>
      </c>
      <c r="B52" s="112">
        <v>11.34</v>
      </c>
      <c r="C52" s="112">
        <v>13.14</v>
      </c>
      <c r="D52" s="112">
        <v>25.1</v>
      </c>
      <c r="E52" s="112">
        <v>14.18</v>
      </c>
      <c r="F52" s="112">
        <v>6.07</v>
      </c>
      <c r="G52" s="112">
        <v>32.97</v>
      </c>
      <c r="H52" s="112">
        <v>16.8</v>
      </c>
      <c r="I52" s="112">
        <v>6.26</v>
      </c>
      <c r="J52" s="112">
        <v>0.87</v>
      </c>
      <c r="K52" s="112">
        <v>286.23</v>
      </c>
      <c r="L52" s="112">
        <v>33.07</v>
      </c>
      <c r="M52" s="112">
        <v>47.76</v>
      </c>
      <c r="N52" s="112">
        <v>559.1</v>
      </c>
      <c r="O52" s="112">
        <v>0</v>
      </c>
      <c r="P52" s="112">
        <v>0.54</v>
      </c>
      <c r="Q52" s="167" t="s">
        <v>14</v>
      </c>
    </row>
    <row r="53" spans="1:17" customFormat="1">
      <c r="A53" s="80">
        <v>45425.46875</v>
      </c>
      <c r="B53" s="112">
        <v>11.35</v>
      </c>
      <c r="C53" s="112">
        <v>13.13</v>
      </c>
      <c r="D53" s="112">
        <v>25.1</v>
      </c>
      <c r="E53" s="112">
        <v>14.78</v>
      </c>
      <c r="F53" s="112">
        <v>6.98</v>
      </c>
      <c r="G53" s="112">
        <v>33.700000000000003</v>
      </c>
      <c r="H53" s="112">
        <v>16.8</v>
      </c>
      <c r="I53" s="112">
        <v>6.6</v>
      </c>
      <c r="J53" s="112">
        <v>0.24</v>
      </c>
      <c r="K53" s="112">
        <v>14.09</v>
      </c>
      <c r="L53" s="112">
        <v>33.44</v>
      </c>
      <c r="M53" s="112">
        <v>46.58</v>
      </c>
      <c r="N53" s="112">
        <v>670.3</v>
      </c>
      <c r="O53" s="112">
        <v>0</v>
      </c>
      <c r="P53" s="112">
        <v>0.56000000000000005</v>
      </c>
      <c r="Q53" s="167" t="s">
        <v>14</v>
      </c>
    </row>
    <row r="54" spans="1:17" customFormat="1">
      <c r="A54" s="80">
        <v>45425.479166666664</v>
      </c>
      <c r="B54" s="112">
        <v>11.34</v>
      </c>
      <c r="C54" s="112">
        <v>13.16</v>
      </c>
      <c r="D54" s="112">
        <v>25.12</v>
      </c>
      <c r="E54" s="112">
        <v>15.43</v>
      </c>
      <c r="F54" s="112">
        <v>9.44</v>
      </c>
      <c r="G54" s="112">
        <v>33.700000000000003</v>
      </c>
      <c r="H54" s="112">
        <v>16.8</v>
      </c>
      <c r="I54" s="112">
        <v>6.92</v>
      </c>
      <c r="J54" s="112">
        <v>0.68</v>
      </c>
      <c r="K54" s="112">
        <v>304.3</v>
      </c>
      <c r="L54" s="112">
        <v>33.56</v>
      </c>
      <c r="M54" s="112">
        <v>45.74</v>
      </c>
      <c r="N54" s="112">
        <v>774.8</v>
      </c>
      <c r="O54" s="112">
        <v>0</v>
      </c>
      <c r="P54" s="112">
        <v>0.6</v>
      </c>
      <c r="Q54" s="167" t="s">
        <v>14</v>
      </c>
    </row>
    <row r="55" spans="1:17" customFormat="1">
      <c r="A55" s="80">
        <v>45425.489583333336</v>
      </c>
      <c r="B55" s="112">
        <v>11.35</v>
      </c>
      <c r="C55" s="112">
        <v>13.12</v>
      </c>
      <c r="D55" s="112">
        <v>25.1</v>
      </c>
      <c r="E55" s="112">
        <v>17.059999999999999</v>
      </c>
      <c r="F55" s="112">
        <v>12.1</v>
      </c>
      <c r="G55" s="112">
        <v>33.700000000000003</v>
      </c>
      <c r="H55" s="112">
        <v>16.8</v>
      </c>
      <c r="I55" s="112">
        <v>7.34</v>
      </c>
      <c r="J55" s="112">
        <v>0.61</v>
      </c>
      <c r="K55" s="112">
        <v>358.86</v>
      </c>
      <c r="L55" s="112">
        <v>34.36</v>
      </c>
      <c r="M55" s="112">
        <v>43.3</v>
      </c>
      <c r="N55" s="112">
        <v>802.9</v>
      </c>
      <c r="O55" s="112">
        <v>0</v>
      </c>
      <c r="P55" s="112">
        <v>0.61</v>
      </c>
      <c r="Q55" s="167" t="s">
        <v>14</v>
      </c>
    </row>
    <row r="56" spans="1:17" customFormat="1">
      <c r="A56" s="80">
        <v>45425.5</v>
      </c>
      <c r="B56" s="112">
        <v>11.33</v>
      </c>
      <c r="C56" s="112">
        <v>13.13</v>
      </c>
      <c r="D56" s="112">
        <v>25.09</v>
      </c>
      <c r="E56" s="112">
        <v>18.29</v>
      </c>
      <c r="F56" s="112">
        <v>13.5</v>
      </c>
      <c r="G56" s="112">
        <v>42.04</v>
      </c>
      <c r="H56" s="112">
        <v>19.66</v>
      </c>
      <c r="I56" s="112">
        <v>7.68</v>
      </c>
      <c r="J56" s="112">
        <v>0.91</v>
      </c>
      <c r="K56" s="112">
        <v>42.65</v>
      </c>
      <c r="L56" s="112">
        <v>34.46</v>
      </c>
      <c r="M56" s="112">
        <v>40.72</v>
      </c>
      <c r="N56" s="112">
        <v>827.8</v>
      </c>
      <c r="O56" s="112">
        <v>0</v>
      </c>
      <c r="P56" s="112">
        <v>0.59</v>
      </c>
      <c r="Q56" s="167" t="s">
        <v>14</v>
      </c>
    </row>
    <row r="57" spans="1:17" customFormat="1">
      <c r="A57" s="80">
        <v>45425.510416666664</v>
      </c>
      <c r="B57" s="112">
        <v>11.34</v>
      </c>
      <c r="C57" s="112">
        <v>13.1</v>
      </c>
      <c r="D57" s="112">
        <v>25.08</v>
      </c>
      <c r="E57" s="112">
        <v>22.02</v>
      </c>
      <c r="F57" s="112">
        <v>14.83</v>
      </c>
      <c r="G57" s="112">
        <v>44.38</v>
      </c>
      <c r="H57" s="112">
        <v>19.66</v>
      </c>
      <c r="I57" s="112">
        <v>7.62</v>
      </c>
      <c r="J57" s="112">
        <v>0.62</v>
      </c>
      <c r="K57" s="112">
        <v>12.82</v>
      </c>
      <c r="L57" s="112">
        <v>34.619999999999997</v>
      </c>
      <c r="M57" s="112">
        <v>37.81</v>
      </c>
      <c r="N57" s="112">
        <v>732.5</v>
      </c>
      <c r="O57" s="112">
        <v>0</v>
      </c>
      <c r="P57" s="112">
        <v>0.57999999999999996</v>
      </c>
      <c r="Q57" s="167" t="s">
        <v>14</v>
      </c>
    </row>
    <row r="58" spans="1:17" customFormat="1">
      <c r="A58" s="80">
        <v>45425.520833333336</v>
      </c>
      <c r="B58" s="112">
        <v>11.34</v>
      </c>
      <c r="C58" s="112">
        <v>13.09</v>
      </c>
      <c r="D58" s="112">
        <v>25.08</v>
      </c>
      <c r="E58" s="112">
        <v>19.12</v>
      </c>
      <c r="F58" s="112">
        <v>15.61</v>
      </c>
      <c r="G58" s="112">
        <v>44.38</v>
      </c>
      <c r="H58" s="112">
        <v>19.66</v>
      </c>
      <c r="I58" s="112">
        <v>7.34</v>
      </c>
      <c r="J58" s="112">
        <v>0.52</v>
      </c>
      <c r="K58" s="112">
        <v>338.74</v>
      </c>
      <c r="L58" s="112">
        <v>35.28</v>
      </c>
      <c r="M58" s="112">
        <v>36.1</v>
      </c>
      <c r="N58" s="112">
        <v>834.5</v>
      </c>
      <c r="O58" s="112">
        <v>0</v>
      </c>
      <c r="P58" s="112">
        <v>0.56000000000000005</v>
      </c>
      <c r="Q58" s="167" t="s">
        <v>14</v>
      </c>
    </row>
    <row r="59" spans="1:17" customFormat="1">
      <c r="A59" s="80">
        <v>45425.53125</v>
      </c>
      <c r="B59" s="112">
        <v>11.34</v>
      </c>
      <c r="C59" s="112">
        <v>13.14</v>
      </c>
      <c r="D59" s="112">
        <v>25.1</v>
      </c>
      <c r="E59" s="112">
        <v>17.79</v>
      </c>
      <c r="F59" s="112">
        <v>16.48</v>
      </c>
      <c r="G59" s="112">
        <v>44.38</v>
      </c>
      <c r="H59" s="112">
        <v>19.66</v>
      </c>
      <c r="I59" s="112">
        <v>7.11</v>
      </c>
      <c r="J59" s="112">
        <v>0.35</v>
      </c>
      <c r="K59" s="112">
        <v>342.28</v>
      </c>
      <c r="L59" s="112">
        <v>35.93</v>
      </c>
      <c r="M59" s="112">
        <v>35.04</v>
      </c>
      <c r="N59" s="112">
        <v>725</v>
      </c>
      <c r="O59" s="112">
        <v>0</v>
      </c>
      <c r="P59" s="112">
        <v>0.54</v>
      </c>
      <c r="Q59" s="167" t="s">
        <v>14</v>
      </c>
    </row>
    <row r="60" spans="1:17" customFormat="1">
      <c r="A60" s="80">
        <v>45425.541666666664</v>
      </c>
      <c r="B60" s="112">
        <v>11.35</v>
      </c>
      <c r="C60" s="112">
        <v>13.11</v>
      </c>
      <c r="D60" s="112">
        <v>25.1</v>
      </c>
      <c r="E60" s="112">
        <v>16.37</v>
      </c>
      <c r="F60" s="112">
        <v>8.92</v>
      </c>
      <c r="G60" s="112">
        <v>41.7</v>
      </c>
      <c r="H60" s="112">
        <v>16.739999999999998</v>
      </c>
      <c r="I60" s="112">
        <v>6.94</v>
      </c>
      <c r="J60" s="112">
        <v>0.67</v>
      </c>
      <c r="K60" s="112">
        <v>266.81</v>
      </c>
      <c r="L60" s="112">
        <v>36.19</v>
      </c>
      <c r="M60" s="112">
        <v>35.880000000000003</v>
      </c>
      <c r="N60" s="112">
        <v>848.1</v>
      </c>
      <c r="O60" s="112">
        <v>0</v>
      </c>
      <c r="P60" s="112">
        <v>0.55000000000000004</v>
      </c>
      <c r="Q60" s="167" t="s">
        <v>14</v>
      </c>
    </row>
    <row r="61" spans="1:17" customFormat="1">
      <c r="A61" s="80">
        <v>45425.552083333336</v>
      </c>
      <c r="B61" s="112">
        <v>11.38</v>
      </c>
      <c r="C61" s="112">
        <v>13.16</v>
      </c>
      <c r="D61" s="112">
        <v>25.14</v>
      </c>
      <c r="E61" s="112">
        <v>16.78</v>
      </c>
      <c r="F61" s="112">
        <v>10.39</v>
      </c>
      <c r="G61" s="112">
        <v>41.03</v>
      </c>
      <c r="H61" s="112">
        <v>16.739999999999998</v>
      </c>
      <c r="I61" s="112">
        <v>6.82</v>
      </c>
      <c r="J61" s="112">
        <v>0.91</v>
      </c>
      <c r="K61" s="112">
        <v>282.24</v>
      </c>
      <c r="L61" s="112">
        <v>36.25</v>
      </c>
      <c r="M61" s="112">
        <v>35.53</v>
      </c>
      <c r="N61" s="112">
        <v>771.6</v>
      </c>
      <c r="O61" s="112">
        <v>0</v>
      </c>
      <c r="P61" s="112">
        <v>0.53</v>
      </c>
      <c r="Q61" s="167" t="s">
        <v>14</v>
      </c>
    </row>
    <row r="62" spans="1:17" customFormat="1">
      <c r="A62" s="80">
        <v>45425.5625</v>
      </c>
      <c r="B62" s="112">
        <v>11.42</v>
      </c>
      <c r="C62" s="112">
        <v>13.2</v>
      </c>
      <c r="D62" s="112">
        <v>25.2</v>
      </c>
      <c r="E62" s="112">
        <v>15.13</v>
      </c>
      <c r="F62" s="112">
        <v>9.76</v>
      </c>
      <c r="G62" s="112">
        <v>41.03</v>
      </c>
      <c r="H62" s="112">
        <v>16.739999999999998</v>
      </c>
      <c r="I62" s="112">
        <v>6.8</v>
      </c>
      <c r="J62" s="112">
        <v>0.33</v>
      </c>
      <c r="K62" s="112">
        <v>43.61</v>
      </c>
      <c r="L62" s="112">
        <v>36.840000000000003</v>
      </c>
      <c r="M62" s="112">
        <v>32.590000000000003</v>
      </c>
      <c r="N62" s="112">
        <v>678.8</v>
      </c>
      <c r="O62" s="112">
        <v>0</v>
      </c>
      <c r="P62" s="112">
        <v>0.53</v>
      </c>
      <c r="Q62" s="167" t="s">
        <v>14</v>
      </c>
    </row>
    <row r="63" spans="1:17" customFormat="1">
      <c r="A63" s="80">
        <v>45425.572916666664</v>
      </c>
      <c r="B63" s="112">
        <v>11.44</v>
      </c>
      <c r="C63" s="112">
        <v>13.18</v>
      </c>
      <c r="D63" s="112">
        <v>25.2</v>
      </c>
      <c r="E63" s="112">
        <v>17.010000000000002</v>
      </c>
      <c r="F63" s="112">
        <v>26.46</v>
      </c>
      <c r="G63" s="112">
        <v>41.03</v>
      </c>
      <c r="H63" s="112">
        <v>16.739999999999998</v>
      </c>
      <c r="I63" s="112">
        <v>6.66</v>
      </c>
      <c r="J63" s="112">
        <v>0.75</v>
      </c>
      <c r="K63" s="112">
        <v>32.11</v>
      </c>
      <c r="L63" s="112">
        <v>36.96</v>
      </c>
      <c r="M63" s="112">
        <v>31.8</v>
      </c>
      <c r="N63" s="112">
        <v>733.1</v>
      </c>
      <c r="O63" s="112">
        <v>0</v>
      </c>
      <c r="P63" s="112">
        <v>0.51</v>
      </c>
      <c r="Q63" s="167" t="s">
        <v>14</v>
      </c>
    </row>
    <row r="64" spans="1:17" customFormat="1">
      <c r="A64" s="80">
        <v>45425.583333333336</v>
      </c>
      <c r="B64" s="112">
        <v>11.4</v>
      </c>
      <c r="C64" s="112">
        <v>13.1</v>
      </c>
      <c r="D64" s="112">
        <v>25.13</v>
      </c>
      <c r="E64" s="112">
        <v>21.22</v>
      </c>
      <c r="F64" s="112">
        <v>35.6</v>
      </c>
      <c r="G64" s="112">
        <v>37.22</v>
      </c>
      <c r="H64" s="112">
        <v>18.600000000000001</v>
      </c>
      <c r="I64" s="112">
        <v>6.54</v>
      </c>
      <c r="J64" s="112">
        <v>0.94</v>
      </c>
      <c r="K64" s="112">
        <v>23.91</v>
      </c>
      <c r="L64" s="112">
        <v>36.81</v>
      </c>
      <c r="M64" s="112">
        <v>32.29</v>
      </c>
      <c r="N64" s="112">
        <v>702.3</v>
      </c>
      <c r="O64" s="112">
        <v>0</v>
      </c>
      <c r="P64" s="112">
        <v>0.51</v>
      </c>
      <c r="Q64" s="112">
        <v>4.62</v>
      </c>
    </row>
    <row r="65" spans="1:17" customFormat="1">
      <c r="A65" s="80">
        <v>45425.59375</v>
      </c>
      <c r="B65" s="112">
        <v>11.32</v>
      </c>
      <c r="C65" s="112">
        <v>13.09</v>
      </c>
      <c r="D65" s="112">
        <v>25.06</v>
      </c>
      <c r="E65" s="112">
        <v>20.6</v>
      </c>
      <c r="F65" s="112">
        <v>40.71</v>
      </c>
      <c r="G65" s="112">
        <v>36.26</v>
      </c>
      <c r="H65" s="112">
        <v>18.600000000000001</v>
      </c>
      <c r="I65" s="112">
        <v>5.96</v>
      </c>
      <c r="J65" s="112">
        <v>0.75</v>
      </c>
      <c r="K65" s="112">
        <v>38.630000000000003</v>
      </c>
      <c r="L65" s="112">
        <v>36.659999999999997</v>
      </c>
      <c r="M65" s="112">
        <v>32.39</v>
      </c>
      <c r="N65" s="112">
        <v>701.5</v>
      </c>
      <c r="O65" s="112">
        <v>0</v>
      </c>
      <c r="P65" s="112">
        <v>0.46</v>
      </c>
      <c r="Q65" s="167" t="s">
        <v>14</v>
      </c>
    </row>
    <row r="66" spans="1:17" customFormat="1">
      <c r="A66" s="80">
        <v>45425.604166666664</v>
      </c>
      <c r="B66" s="112">
        <v>11.28</v>
      </c>
      <c r="C66" s="112">
        <v>13.14</v>
      </c>
      <c r="D66" s="112">
        <v>25.06</v>
      </c>
      <c r="E66" s="112">
        <v>18.96</v>
      </c>
      <c r="F66" s="112">
        <v>33.74</v>
      </c>
      <c r="G66" s="112">
        <v>36.26</v>
      </c>
      <c r="H66" s="112">
        <v>18.600000000000001</v>
      </c>
      <c r="I66" s="112">
        <v>5.53</v>
      </c>
      <c r="J66" s="112">
        <v>0.9</v>
      </c>
      <c r="K66" s="112">
        <v>33.67</v>
      </c>
      <c r="L66" s="112">
        <v>37.18</v>
      </c>
      <c r="M66" s="112">
        <v>31.49</v>
      </c>
      <c r="N66" s="112">
        <v>693.9</v>
      </c>
      <c r="O66" s="112">
        <v>0</v>
      </c>
      <c r="P66" s="112">
        <v>0.49</v>
      </c>
      <c r="Q66" s="167" t="s">
        <v>14</v>
      </c>
    </row>
    <row r="67" spans="1:17" customFormat="1">
      <c r="A67" s="80">
        <v>45425.614583333336</v>
      </c>
      <c r="B67" s="112">
        <v>11.29</v>
      </c>
      <c r="C67" s="112">
        <v>13.13</v>
      </c>
      <c r="D67" s="112">
        <v>25.05</v>
      </c>
      <c r="E67" s="112">
        <v>19.61</v>
      </c>
      <c r="F67" s="112">
        <v>40.29</v>
      </c>
      <c r="G67" s="112">
        <v>36.26</v>
      </c>
      <c r="H67" s="112">
        <v>18.600000000000001</v>
      </c>
      <c r="I67" s="112">
        <v>5.65</v>
      </c>
      <c r="J67" s="112">
        <v>0.51</v>
      </c>
      <c r="K67" s="112">
        <v>7.09</v>
      </c>
      <c r="L67" s="112">
        <v>37.75</v>
      </c>
      <c r="M67" s="112">
        <v>30.05</v>
      </c>
      <c r="N67" s="112">
        <v>655.7</v>
      </c>
      <c r="O67" s="112">
        <v>0</v>
      </c>
      <c r="P67" s="112">
        <v>0.48</v>
      </c>
      <c r="Q67" s="167" t="s">
        <v>14</v>
      </c>
    </row>
    <row r="68" spans="1:17" customFormat="1">
      <c r="A68" s="80">
        <v>45425.625</v>
      </c>
      <c r="B68" s="112">
        <v>11.29</v>
      </c>
      <c r="C68" s="112">
        <v>13.11</v>
      </c>
      <c r="D68" s="112">
        <v>25.05</v>
      </c>
      <c r="E68" s="112">
        <v>19.23</v>
      </c>
      <c r="F68" s="112">
        <v>40.83</v>
      </c>
      <c r="G68" s="112">
        <v>29.42</v>
      </c>
      <c r="H68" s="112">
        <v>14.53</v>
      </c>
      <c r="I68" s="112">
        <v>5.63</v>
      </c>
      <c r="J68" s="112">
        <v>0.78</v>
      </c>
      <c r="K68" s="112">
        <v>52.08</v>
      </c>
      <c r="L68" s="112">
        <v>37.479999999999997</v>
      </c>
      <c r="M68" s="112">
        <v>29.63</v>
      </c>
      <c r="N68" s="112">
        <v>599.6</v>
      </c>
      <c r="O68" s="112">
        <v>0</v>
      </c>
      <c r="P68" s="112">
        <v>0.47</v>
      </c>
      <c r="Q68" s="167" t="s">
        <v>14</v>
      </c>
    </row>
    <row r="69" spans="1:17" customFormat="1">
      <c r="A69" s="80">
        <v>45425.635416666664</v>
      </c>
      <c r="B69" s="112">
        <v>11.33</v>
      </c>
      <c r="C69" s="112">
        <v>13.15</v>
      </c>
      <c r="D69" s="112">
        <v>25.1</v>
      </c>
      <c r="E69" s="112">
        <v>18.11</v>
      </c>
      <c r="F69" s="112">
        <v>35.64</v>
      </c>
      <c r="G69" s="112">
        <v>27.71</v>
      </c>
      <c r="H69" s="112">
        <v>14.53</v>
      </c>
      <c r="I69" s="112">
        <v>5.62</v>
      </c>
      <c r="J69" s="112">
        <v>0.99</v>
      </c>
      <c r="K69" s="112">
        <v>35.21</v>
      </c>
      <c r="L69" s="112">
        <v>37.74</v>
      </c>
      <c r="M69" s="112">
        <v>29.12</v>
      </c>
      <c r="N69" s="112">
        <v>557.4</v>
      </c>
      <c r="O69" s="112">
        <v>0</v>
      </c>
      <c r="P69" s="112">
        <v>0.47</v>
      </c>
      <c r="Q69" s="167" t="s">
        <v>14</v>
      </c>
    </row>
    <row r="70" spans="1:17" customFormat="1">
      <c r="A70" s="80">
        <v>45425.645833333336</v>
      </c>
      <c r="B70" s="112">
        <v>11.33</v>
      </c>
      <c r="C70" s="112">
        <v>13.11</v>
      </c>
      <c r="D70" s="112">
        <v>25.08</v>
      </c>
      <c r="E70" s="112">
        <v>18.96</v>
      </c>
      <c r="F70" s="112">
        <v>28.11</v>
      </c>
      <c r="G70" s="112">
        <v>27.71</v>
      </c>
      <c r="H70" s="112">
        <v>14.53</v>
      </c>
      <c r="I70" s="112">
        <v>5.65</v>
      </c>
      <c r="J70" s="112">
        <v>0.74</v>
      </c>
      <c r="K70" s="112">
        <v>319.68</v>
      </c>
      <c r="L70" s="112">
        <v>37.619999999999997</v>
      </c>
      <c r="M70" s="112">
        <v>28.83</v>
      </c>
      <c r="N70" s="112">
        <v>510.6</v>
      </c>
      <c r="O70" s="112">
        <v>0</v>
      </c>
      <c r="P70" s="112">
        <v>0.47</v>
      </c>
      <c r="Q70" s="167" t="s">
        <v>14</v>
      </c>
    </row>
    <row r="71" spans="1:17" customFormat="1">
      <c r="A71" s="80">
        <v>45425.65625</v>
      </c>
      <c r="B71" s="112">
        <v>11.35</v>
      </c>
      <c r="C71" s="112">
        <v>13.1</v>
      </c>
      <c r="D71" s="112">
        <v>25.09</v>
      </c>
      <c r="E71" s="112">
        <v>24.52</v>
      </c>
      <c r="F71" s="112">
        <v>42.06</v>
      </c>
      <c r="G71" s="112">
        <v>27.71</v>
      </c>
      <c r="H71" s="112">
        <v>14.53</v>
      </c>
      <c r="I71" s="112">
        <v>5.82</v>
      </c>
      <c r="J71" s="112">
        <v>0.85</v>
      </c>
      <c r="K71" s="112">
        <v>335.38</v>
      </c>
      <c r="L71" s="112">
        <v>37.58</v>
      </c>
      <c r="M71" s="112">
        <v>28.83</v>
      </c>
      <c r="N71" s="112">
        <v>455.4</v>
      </c>
      <c r="O71" s="112">
        <v>0</v>
      </c>
      <c r="P71" s="112">
        <v>0.47</v>
      </c>
      <c r="Q71" s="167" t="s">
        <v>14</v>
      </c>
    </row>
    <row r="72" spans="1:17" customFormat="1">
      <c r="A72" s="80">
        <v>45425.666666666664</v>
      </c>
      <c r="B72" s="112">
        <v>11.36</v>
      </c>
      <c r="C72" s="112">
        <v>13.11</v>
      </c>
      <c r="D72" s="112">
        <v>25.1</v>
      </c>
      <c r="E72" s="112">
        <v>28.02</v>
      </c>
      <c r="F72" s="112">
        <v>50.5</v>
      </c>
      <c r="G72" s="112">
        <v>31.38</v>
      </c>
      <c r="H72" s="112">
        <v>14.72</v>
      </c>
      <c r="I72" s="112">
        <v>5.51</v>
      </c>
      <c r="J72" s="112">
        <v>0.5</v>
      </c>
      <c r="K72" s="112">
        <v>33.659999999999997</v>
      </c>
      <c r="L72" s="112">
        <v>37.590000000000003</v>
      </c>
      <c r="M72" s="112">
        <v>28.3</v>
      </c>
      <c r="N72" s="112">
        <v>322</v>
      </c>
      <c r="O72" s="112">
        <v>0</v>
      </c>
      <c r="P72" s="112">
        <v>0.44</v>
      </c>
      <c r="Q72" s="167" t="s">
        <v>14</v>
      </c>
    </row>
    <row r="73" spans="1:17" customFormat="1">
      <c r="A73" s="80">
        <v>45425.677083333336</v>
      </c>
      <c r="B73" s="112">
        <v>11.39</v>
      </c>
      <c r="C73" s="112">
        <v>13.14</v>
      </c>
      <c r="D73" s="112">
        <v>25.14</v>
      </c>
      <c r="E73" s="112">
        <v>24.8</v>
      </c>
      <c r="F73" s="112">
        <v>45.23</v>
      </c>
      <c r="G73" s="112">
        <v>32.29</v>
      </c>
      <c r="H73" s="112">
        <v>14.72</v>
      </c>
      <c r="I73" s="112">
        <v>5.17</v>
      </c>
      <c r="J73" s="112">
        <v>0.47</v>
      </c>
      <c r="K73" s="112">
        <v>359.42</v>
      </c>
      <c r="L73" s="112">
        <v>37.450000000000003</v>
      </c>
      <c r="M73" s="112">
        <v>28.45</v>
      </c>
      <c r="N73" s="112">
        <v>223.2</v>
      </c>
      <c r="O73" s="112">
        <v>0</v>
      </c>
      <c r="P73" s="112">
        <v>0.45</v>
      </c>
      <c r="Q73" s="167" t="s">
        <v>14</v>
      </c>
    </row>
    <row r="74" spans="1:17" customFormat="1">
      <c r="A74" s="80">
        <v>45425.6875</v>
      </c>
      <c r="B74" s="112">
        <v>11.43</v>
      </c>
      <c r="C74" s="112">
        <v>13.11</v>
      </c>
      <c r="D74" s="112">
        <v>25.15</v>
      </c>
      <c r="E74" s="112">
        <v>24.16</v>
      </c>
      <c r="F74" s="112">
        <v>37.18</v>
      </c>
      <c r="G74" s="112">
        <v>32.29</v>
      </c>
      <c r="H74" s="112">
        <v>14.72</v>
      </c>
      <c r="I74" s="112">
        <v>4.84</v>
      </c>
      <c r="J74" s="112">
        <v>0.81</v>
      </c>
      <c r="K74" s="112">
        <v>39.19</v>
      </c>
      <c r="L74" s="112">
        <v>37.36</v>
      </c>
      <c r="M74" s="112">
        <v>28.11</v>
      </c>
      <c r="N74" s="112">
        <v>203.9</v>
      </c>
      <c r="O74" s="112">
        <v>0</v>
      </c>
      <c r="P74" s="112">
        <v>0.47</v>
      </c>
      <c r="Q74" s="167" t="s">
        <v>14</v>
      </c>
    </row>
    <row r="75" spans="1:17" customFormat="1">
      <c r="A75" s="80">
        <v>45425.697916666664</v>
      </c>
      <c r="B75" s="112">
        <v>11.39</v>
      </c>
      <c r="C75" s="112">
        <v>13.08</v>
      </c>
      <c r="D75" s="112">
        <v>25.11</v>
      </c>
      <c r="E75" s="112">
        <v>22.47</v>
      </c>
      <c r="F75" s="112">
        <v>57.97</v>
      </c>
      <c r="G75" s="112">
        <v>32.29</v>
      </c>
      <c r="H75" s="112">
        <v>14.72</v>
      </c>
      <c r="I75" s="112">
        <v>5.32</v>
      </c>
      <c r="J75" s="112">
        <v>0.47</v>
      </c>
      <c r="K75" s="112">
        <v>8.02</v>
      </c>
      <c r="L75" s="112">
        <v>36.99</v>
      </c>
      <c r="M75" s="112">
        <v>28.37</v>
      </c>
      <c r="N75" s="112">
        <v>106.3</v>
      </c>
      <c r="O75" s="112">
        <v>0</v>
      </c>
      <c r="P75" s="112">
        <v>0.43</v>
      </c>
      <c r="Q75" s="167" t="s">
        <v>14</v>
      </c>
    </row>
    <row r="76" spans="1:17" customFormat="1">
      <c r="A76" s="80">
        <v>45425.708333333336</v>
      </c>
      <c r="B76" s="112">
        <v>11.41</v>
      </c>
      <c r="C76" s="112">
        <v>13.08</v>
      </c>
      <c r="D76" s="112">
        <v>25.12</v>
      </c>
      <c r="E76" s="112">
        <v>21.96</v>
      </c>
      <c r="F76" s="112">
        <v>56.23</v>
      </c>
      <c r="G76" s="112">
        <v>31.78</v>
      </c>
      <c r="H76" s="112">
        <v>14.16</v>
      </c>
      <c r="I76" s="112">
        <v>5.82</v>
      </c>
      <c r="J76" s="112">
        <v>0.83</v>
      </c>
      <c r="K76" s="112">
        <v>48.85</v>
      </c>
      <c r="L76" s="112">
        <v>36.92</v>
      </c>
      <c r="M76" s="112">
        <v>28.06</v>
      </c>
      <c r="N76" s="112">
        <v>132.1</v>
      </c>
      <c r="O76" s="112">
        <v>0</v>
      </c>
      <c r="P76" s="112">
        <v>0.45</v>
      </c>
      <c r="Q76" s="167" t="s">
        <v>14</v>
      </c>
    </row>
    <row r="77" spans="1:17" customFormat="1">
      <c r="A77" s="80">
        <v>45425.71875</v>
      </c>
      <c r="B77" s="112">
        <v>11.42</v>
      </c>
      <c r="C77" s="112">
        <v>13.1</v>
      </c>
      <c r="D77" s="112">
        <v>25.15</v>
      </c>
      <c r="E77" s="112">
        <v>24.46</v>
      </c>
      <c r="F77" s="112">
        <v>48.3</v>
      </c>
      <c r="G77" s="112">
        <v>31.65</v>
      </c>
      <c r="H77" s="112">
        <v>14.16</v>
      </c>
      <c r="I77" s="112">
        <v>5.39</v>
      </c>
      <c r="J77" s="112">
        <v>0.91</v>
      </c>
      <c r="K77" s="112">
        <v>55.78</v>
      </c>
      <c r="L77" s="112">
        <v>36.79</v>
      </c>
      <c r="M77" s="112">
        <v>28.04</v>
      </c>
      <c r="N77" s="112">
        <v>102</v>
      </c>
      <c r="O77" s="112">
        <v>0</v>
      </c>
      <c r="P77" s="112">
        <v>0.47</v>
      </c>
      <c r="Q77" s="167" t="s">
        <v>14</v>
      </c>
    </row>
    <row r="78" spans="1:17" customFormat="1">
      <c r="A78" s="80">
        <v>45425.729166666664</v>
      </c>
      <c r="B78" s="112">
        <v>11.42</v>
      </c>
      <c r="C78" s="112">
        <v>13.07</v>
      </c>
      <c r="D78" s="112">
        <v>25.13</v>
      </c>
      <c r="E78" s="112">
        <v>29.21</v>
      </c>
      <c r="F78" s="112">
        <v>55.27</v>
      </c>
      <c r="G78" s="112">
        <v>31.65</v>
      </c>
      <c r="H78" s="112">
        <v>14.16</v>
      </c>
      <c r="I78" s="112">
        <v>4.6500000000000004</v>
      </c>
      <c r="J78" s="112">
        <v>0.28999999999999998</v>
      </c>
      <c r="K78" s="112">
        <v>86.1</v>
      </c>
      <c r="L78" s="112">
        <v>36.68</v>
      </c>
      <c r="M78" s="112">
        <v>29.69</v>
      </c>
      <c r="N78" s="112">
        <v>86</v>
      </c>
      <c r="O78" s="112">
        <v>0</v>
      </c>
      <c r="P78" s="112">
        <v>0.46</v>
      </c>
      <c r="Q78" s="167" t="s">
        <v>14</v>
      </c>
    </row>
    <row r="79" spans="1:17" customFormat="1">
      <c r="A79" s="80">
        <v>45425.739583333336</v>
      </c>
      <c r="B79" s="112">
        <v>11.41</v>
      </c>
      <c r="C79" s="112">
        <v>13.05</v>
      </c>
      <c r="D79" s="112">
        <v>25.12</v>
      </c>
      <c r="E79" s="112">
        <v>29</v>
      </c>
      <c r="F79" s="112">
        <v>49.45</v>
      </c>
      <c r="G79" s="112">
        <v>31.65</v>
      </c>
      <c r="H79" s="112">
        <v>14.16</v>
      </c>
      <c r="I79" s="112">
        <v>5.46</v>
      </c>
      <c r="J79" s="112">
        <v>0.31</v>
      </c>
      <c r="K79" s="112">
        <v>67.19</v>
      </c>
      <c r="L79" s="112">
        <v>36.33</v>
      </c>
      <c r="M79" s="112">
        <v>31.48</v>
      </c>
      <c r="N79" s="112">
        <v>49.6</v>
      </c>
      <c r="O79" s="112">
        <v>0</v>
      </c>
      <c r="P79" s="112">
        <v>0.47</v>
      </c>
      <c r="Q79" s="167" t="s">
        <v>14</v>
      </c>
    </row>
    <row r="80" spans="1:17" customFormat="1">
      <c r="A80" s="80">
        <v>45425.75</v>
      </c>
      <c r="B80" s="112">
        <v>11.39</v>
      </c>
      <c r="C80" s="112">
        <v>13.11</v>
      </c>
      <c r="D80" s="112">
        <v>25.12</v>
      </c>
      <c r="E80" s="112">
        <v>29.99</v>
      </c>
      <c r="F80" s="112">
        <v>47.83</v>
      </c>
      <c r="G80" s="112">
        <v>35.409999999999997</v>
      </c>
      <c r="H80" s="112">
        <v>15.72</v>
      </c>
      <c r="I80" s="112">
        <v>5.34</v>
      </c>
      <c r="J80" s="112">
        <v>0.22</v>
      </c>
      <c r="K80" s="112">
        <v>83.16</v>
      </c>
      <c r="L80" s="112">
        <v>35.869999999999997</v>
      </c>
      <c r="M80" s="112">
        <v>32.67</v>
      </c>
      <c r="N80" s="112">
        <v>20</v>
      </c>
      <c r="O80" s="112">
        <v>0</v>
      </c>
      <c r="P80" s="112">
        <v>0.5</v>
      </c>
      <c r="Q80" s="167" t="s">
        <v>14</v>
      </c>
    </row>
    <row r="81" spans="1:17" customFormat="1">
      <c r="A81" s="80">
        <v>45425.760416666664</v>
      </c>
      <c r="B81" s="112">
        <v>11.4</v>
      </c>
      <c r="C81" s="112">
        <v>13.11</v>
      </c>
      <c r="D81" s="112">
        <v>25.14</v>
      </c>
      <c r="E81" s="112">
        <v>19.29</v>
      </c>
      <c r="F81" s="112">
        <v>45.9</v>
      </c>
      <c r="G81" s="112">
        <v>36.35</v>
      </c>
      <c r="H81" s="112">
        <v>15.72</v>
      </c>
      <c r="I81" s="112">
        <v>4.5</v>
      </c>
      <c r="J81" s="112">
        <v>0.31</v>
      </c>
      <c r="K81" s="112">
        <v>175.96</v>
      </c>
      <c r="L81" s="112">
        <v>34.39</v>
      </c>
      <c r="M81" s="112">
        <v>38.119999999999997</v>
      </c>
      <c r="N81" s="112">
        <v>3.1</v>
      </c>
      <c r="O81" s="112">
        <v>0</v>
      </c>
      <c r="P81" s="112">
        <v>0.48</v>
      </c>
      <c r="Q81" s="167" t="s">
        <v>14</v>
      </c>
    </row>
    <row r="82" spans="1:17" customFormat="1">
      <c r="A82" s="80">
        <v>45425.770833333336</v>
      </c>
      <c r="B82" s="112">
        <v>11.4</v>
      </c>
      <c r="C82" s="112">
        <v>13.11</v>
      </c>
      <c r="D82" s="112">
        <v>25.13</v>
      </c>
      <c r="E82" s="112">
        <v>18.579999999999998</v>
      </c>
      <c r="F82" s="112">
        <v>28.03</v>
      </c>
      <c r="G82" s="112">
        <v>36.35</v>
      </c>
      <c r="H82" s="112">
        <v>15.72</v>
      </c>
      <c r="I82" s="112">
        <v>4.71</v>
      </c>
      <c r="J82" s="112">
        <v>0.17</v>
      </c>
      <c r="K82" s="112">
        <v>175.7</v>
      </c>
      <c r="L82" s="112">
        <v>33.49</v>
      </c>
      <c r="M82" s="112">
        <v>42.86</v>
      </c>
      <c r="N82" s="112">
        <v>0</v>
      </c>
      <c r="O82" s="112">
        <v>0</v>
      </c>
      <c r="P82" s="112">
        <v>0.5</v>
      </c>
      <c r="Q82" s="167" t="s">
        <v>14</v>
      </c>
    </row>
    <row r="83" spans="1:17" customFormat="1">
      <c r="A83" s="80">
        <v>45425.78125</v>
      </c>
      <c r="B83" s="112">
        <v>11.4</v>
      </c>
      <c r="C83" s="112">
        <v>13.17</v>
      </c>
      <c r="D83" s="112">
        <v>25.16</v>
      </c>
      <c r="E83" s="112">
        <v>20.03</v>
      </c>
      <c r="F83" s="112">
        <v>30.42</v>
      </c>
      <c r="G83" s="112">
        <v>36.35</v>
      </c>
      <c r="H83" s="112">
        <v>15.72</v>
      </c>
      <c r="I83" s="112">
        <v>4.83</v>
      </c>
      <c r="J83" s="112">
        <v>0.17</v>
      </c>
      <c r="K83" s="112">
        <v>157.21</v>
      </c>
      <c r="L83" s="112">
        <v>33.24</v>
      </c>
      <c r="M83" s="112">
        <v>40.049999999999997</v>
      </c>
      <c r="N83" s="112">
        <v>0</v>
      </c>
      <c r="O83" s="112">
        <v>0</v>
      </c>
      <c r="P83" s="112">
        <v>0.54</v>
      </c>
      <c r="Q83" s="167" t="s">
        <v>14</v>
      </c>
    </row>
    <row r="84" spans="1:17" customFormat="1">
      <c r="A84" s="80">
        <v>45425.791666666664</v>
      </c>
      <c r="B84" s="112">
        <v>11.4</v>
      </c>
      <c r="C84" s="112">
        <v>13.18</v>
      </c>
      <c r="D84" s="112">
        <v>25.17</v>
      </c>
      <c r="E84" s="112">
        <v>17.809999999999999</v>
      </c>
      <c r="F84" s="112">
        <v>8.65</v>
      </c>
      <c r="G84" s="112">
        <v>39.31</v>
      </c>
      <c r="H84" s="112">
        <v>13.78</v>
      </c>
      <c r="I84" s="112">
        <v>5.07</v>
      </c>
      <c r="J84" s="112">
        <v>0.19</v>
      </c>
      <c r="K84" s="112">
        <v>173.47</v>
      </c>
      <c r="L84" s="112">
        <v>33.130000000000003</v>
      </c>
      <c r="M84" s="112">
        <v>42.24</v>
      </c>
      <c r="N84" s="112">
        <v>0</v>
      </c>
      <c r="O84" s="112">
        <v>0</v>
      </c>
      <c r="P84" s="112">
        <v>0.71</v>
      </c>
      <c r="Q84" s="167" t="s">
        <v>14</v>
      </c>
    </row>
    <row r="85" spans="1:17" customFormat="1">
      <c r="A85" s="80">
        <v>45425.802083333336</v>
      </c>
      <c r="B85" s="112">
        <v>11.36</v>
      </c>
      <c r="C85" s="112">
        <v>13.13</v>
      </c>
      <c r="D85" s="112">
        <v>25.11</v>
      </c>
      <c r="E85" s="112">
        <v>15.89</v>
      </c>
      <c r="F85" s="112">
        <v>7.73</v>
      </c>
      <c r="G85" s="112">
        <v>40.049999999999997</v>
      </c>
      <c r="H85" s="112">
        <v>13.78</v>
      </c>
      <c r="I85" s="112">
        <v>5.41</v>
      </c>
      <c r="J85" s="112">
        <v>0.12</v>
      </c>
      <c r="K85" s="112">
        <v>191.66</v>
      </c>
      <c r="L85" s="112">
        <v>32.479999999999997</v>
      </c>
      <c r="M85" s="112">
        <v>45.29</v>
      </c>
      <c r="N85" s="112">
        <v>0</v>
      </c>
      <c r="O85" s="112">
        <v>0</v>
      </c>
      <c r="P85" s="112">
        <v>0.64</v>
      </c>
      <c r="Q85" s="167" t="s">
        <v>14</v>
      </c>
    </row>
    <row r="86" spans="1:17" customFormat="1">
      <c r="A86" s="80">
        <v>45425.8125</v>
      </c>
      <c r="B86" s="112">
        <v>11.34</v>
      </c>
      <c r="C86" s="112">
        <v>13.13</v>
      </c>
      <c r="D86" s="112">
        <v>25.1</v>
      </c>
      <c r="E86" s="112">
        <v>15.51</v>
      </c>
      <c r="F86" s="112">
        <v>1.67</v>
      </c>
      <c r="G86" s="112">
        <v>40.049999999999997</v>
      </c>
      <c r="H86" s="112">
        <v>13.78</v>
      </c>
      <c r="I86" s="112">
        <v>5.95</v>
      </c>
      <c r="J86" s="112">
        <v>0.06</v>
      </c>
      <c r="K86" s="112">
        <v>127.68</v>
      </c>
      <c r="L86" s="112">
        <v>32.6</v>
      </c>
      <c r="M86" s="112">
        <v>44.82</v>
      </c>
      <c r="N86" s="112">
        <v>0</v>
      </c>
      <c r="O86" s="112">
        <v>0</v>
      </c>
      <c r="P86" s="112">
        <v>0.82</v>
      </c>
      <c r="Q86" s="167" t="s">
        <v>14</v>
      </c>
    </row>
    <row r="87" spans="1:17" customFormat="1">
      <c r="A87" s="80">
        <v>45425.822916666664</v>
      </c>
      <c r="B87" s="112">
        <v>11.33</v>
      </c>
      <c r="C87" s="112">
        <v>13.13</v>
      </c>
      <c r="D87" s="112">
        <v>25.09</v>
      </c>
      <c r="E87" s="112">
        <v>16.399999999999999</v>
      </c>
      <c r="F87" s="112">
        <v>7.43</v>
      </c>
      <c r="G87" s="112">
        <v>40.049999999999997</v>
      </c>
      <c r="H87" s="112">
        <v>13.78</v>
      </c>
      <c r="I87" s="112">
        <v>6.18</v>
      </c>
      <c r="J87" s="112">
        <v>1.04</v>
      </c>
      <c r="K87" s="112">
        <v>9.99</v>
      </c>
      <c r="L87" s="112">
        <v>32.700000000000003</v>
      </c>
      <c r="M87" s="112">
        <v>41.44</v>
      </c>
      <c r="N87" s="112">
        <v>0</v>
      </c>
      <c r="O87" s="112">
        <v>0</v>
      </c>
      <c r="P87" s="112">
        <v>0.77</v>
      </c>
      <c r="Q87" s="167" t="s">
        <v>14</v>
      </c>
    </row>
    <row r="88" spans="1:17" customFormat="1">
      <c r="A88" s="80">
        <v>45425.833333333336</v>
      </c>
      <c r="B88" s="112">
        <v>11.32</v>
      </c>
      <c r="C88" s="112">
        <v>13.1</v>
      </c>
      <c r="D88" s="112">
        <v>25.06</v>
      </c>
      <c r="E88" s="112">
        <v>32.6</v>
      </c>
      <c r="F88" s="112">
        <v>12.74</v>
      </c>
      <c r="G88" s="112">
        <v>57.6</v>
      </c>
      <c r="H88" s="112">
        <v>18.940000000000001</v>
      </c>
      <c r="I88" s="112">
        <v>6.92</v>
      </c>
      <c r="J88" s="112">
        <v>0.67</v>
      </c>
      <c r="K88" s="112">
        <v>19.510000000000002</v>
      </c>
      <c r="L88" s="112">
        <v>32.04</v>
      </c>
      <c r="M88" s="112">
        <v>42.74</v>
      </c>
      <c r="N88" s="112">
        <v>0</v>
      </c>
      <c r="O88" s="112">
        <v>0</v>
      </c>
      <c r="P88" s="112">
        <v>0.65</v>
      </c>
      <c r="Q88" s="167" t="s">
        <v>14</v>
      </c>
    </row>
    <row r="89" spans="1:17" customFormat="1">
      <c r="A89" s="80">
        <v>45425.84375</v>
      </c>
      <c r="B89" s="112">
        <v>11.34</v>
      </c>
      <c r="C89" s="112">
        <v>13.14</v>
      </c>
      <c r="D89" s="112">
        <v>25.1</v>
      </c>
      <c r="E89" s="112">
        <v>31.93</v>
      </c>
      <c r="F89" s="112">
        <v>8.06</v>
      </c>
      <c r="G89" s="112">
        <v>61.98</v>
      </c>
      <c r="H89" s="112">
        <v>18.940000000000001</v>
      </c>
      <c r="I89" s="112">
        <v>6.93</v>
      </c>
      <c r="J89" s="112">
        <v>0.65</v>
      </c>
      <c r="K89" s="112">
        <v>320.43</v>
      </c>
      <c r="L89" s="112">
        <v>31.59</v>
      </c>
      <c r="M89" s="112">
        <v>44.05</v>
      </c>
      <c r="N89" s="112">
        <v>0</v>
      </c>
      <c r="O89" s="112">
        <v>0</v>
      </c>
      <c r="P89" s="112">
        <v>0.65</v>
      </c>
      <c r="Q89" s="167" t="s">
        <v>14</v>
      </c>
    </row>
    <row r="90" spans="1:17" customFormat="1">
      <c r="A90" s="80">
        <v>45425.854166666664</v>
      </c>
      <c r="B90" s="112">
        <v>11.38</v>
      </c>
      <c r="C90" s="112">
        <v>13.12</v>
      </c>
      <c r="D90" s="112">
        <v>25.12</v>
      </c>
      <c r="E90" s="112">
        <v>38.01</v>
      </c>
      <c r="F90" s="112">
        <v>8.91</v>
      </c>
      <c r="G90" s="112">
        <v>61.98</v>
      </c>
      <c r="H90" s="112">
        <v>18.940000000000001</v>
      </c>
      <c r="I90" s="112">
        <v>6.34</v>
      </c>
      <c r="J90" s="112">
        <v>0.7</v>
      </c>
      <c r="K90" s="112">
        <v>47.59</v>
      </c>
      <c r="L90" s="112">
        <v>31.3</v>
      </c>
      <c r="M90" s="112">
        <v>44.65</v>
      </c>
      <c r="N90" s="112">
        <v>0</v>
      </c>
      <c r="O90" s="112">
        <v>0</v>
      </c>
      <c r="P90" s="112">
        <v>0.66</v>
      </c>
      <c r="Q90" s="167" t="s">
        <v>14</v>
      </c>
    </row>
    <row r="91" spans="1:17" customFormat="1">
      <c r="A91" s="80">
        <v>45425.864583333336</v>
      </c>
      <c r="B91" s="112">
        <v>11.37</v>
      </c>
      <c r="C91" s="112">
        <v>13.09</v>
      </c>
      <c r="D91" s="112">
        <v>25.1</v>
      </c>
      <c r="E91" s="112">
        <v>27.93</v>
      </c>
      <c r="F91" s="112">
        <v>5.79</v>
      </c>
      <c r="G91" s="112">
        <v>61.98</v>
      </c>
      <c r="H91" s="112">
        <v>18.940000000000001</v>
      </c>
      <c r="I91" s="112">
        <v>6.39</v>
      </c>
      <c r="J91" s="112">
        <v>0.13</v>
      </c>
      <c r="K91" s="112">
        <v>348.99</v>
      </c>
      <c r="L91" s="112">
        <v>31.21</v>
      </c>
      <c r="M91" s="112">
        <v>45.95</v>
      </c>
      <c r="N91" s="112">
        <v>0</v>
      </c>
      <c r="O91" s="112">
        <v>0</v>
      </c>
      <c r="P91" s="112">
        <v>0.65</v>
      </c>
      <c r="Q91" s="112">
        <v>4.5999999999999996</v>
      </c>
    </row>
    <row r="92" spans="1:17" customFormat="1">
      <c r="A92" s="80">
        <v>45425.875</v>
      </c>
      <c r="B92" s="112">
        <v>11.37</v>
      </c>
      <c r="C92" s="112">
        <v>13.11</v>
      </c>
      <c r="D92" s="112">
        <v>25.11</v>
      </c>
      <c r="E92" s="112">
        <v>28.57</v>
      </c>
      <c r="F92" s="112">
        <v>6.26</v>
      </c>
      <c r="G92" s="112">
        <v>72.25</v>
      </c>
      <c r="H92" s="112">
        <v>20.420000000000002</v>
      </c>
      <c r="I92" s="112">
        <v>6.43</v>
      </c>
      <c r="J92" s="112">
        <v>0.45</v>
      </c>
      <c r="K92" s="112">
        <v>47.11</v>
      </c>
      <c r="L92" s="112">
        <v>31.01</v>
      </c>
      <c r="M92" s="112">
        <v>46.04</v>
      </c>
      <c r="N92" s="112">
        <v>0</v>
      </c>
      <c r="O92" s="112">
        <v>0</v>
      </c>
      <c r="P92" s="112">
        <v>0.68</v>
      </c>
      <c r="Q92" s="167" t="s">
        <v>14</v>
      </c>
    </row>
    <row r="93" spans="1:17" customFormat="1">
      <c r="A93" s="80">
        <v>45425.885416666664</v>
      </c>
      <c r="B93" s="112">
        <v>11.35</v>
      </c>
      <c r="C93" s="112">
        <v>13.11</v>
      </c>
      <c r="D93" s="112">
        <v>25.09</v>
      </c>
      <c r="E93" s="112">
        <v>17.87</v>
      </c>
      <c r="F93" s="112">
        <v>6.17</v>
      </c>
      <c r="G93" s="112">
        <v>74.81</v>
      </c>
      <c r="H93" s="112">
        <v>20.420000000000002</v>
      </c>
      <c r="I93" s="112">
        <v>6.4</v>
      </c>
      <c r="J93" s="112">
        <v>0.24</v>
      </c>
      <c r="K93" s="112">
        <v>192.38</v>
      </c>
      <c r="L93" s="112">
        <v>30.46</v>
      </c>
      <c r="M93" s="112">
        <v>51.13</v>
      </c>
      <c r="N93" s="112">
        <v>0</v>
      </c>
      <c r="O93" s="112">
        <v>0</v>
      </c>
      <c r="P93" s="112">
        <v>0.65</v>
      </c>
      <c r="Q93" s="167" t="s">
        <v>14</v>
      </c>
    </row>
    <row r="94" spans="1:17" customFormat="1">
      <c r="A94" s="80">
        <v>45425.895833333336</v>
      </c>
      <c r="B94" s="112">
        <v>11.34</v>
      </c>
      <c r="C94" s="112">
        <v>13.14</v>
      </c>
      <c r="D94" s="112">
        <v>25.11</v>
      </c>
      <c r="E94" s="112">
        <v>16.43</v>
      </c>
      <c r="F94" s="112">
        <v>10.039999999999999</v>
      </c>
      <c r="G94" s="112">
        <v>74.81</v>
      </c>
      <c r="H94" s="112">
        <v>20.420000000000002</v>
      </c>
      <c r="I94" s="112">
        <v>6.44</v>
      </c>
      <c r="J94" s="112">
        <v>0.17</v>
      </c>
      <c r="K94" s="112">
        <v>175.83</v>
      </c>
      <c r="L94" s="112">
        <v>29.88</v>
      </c>
      <c r="M94" s="112">
        <v>52.14</v>
      </c>
      <c r="N94" s="112">
        <v>0</v>
      </c>
      <c r="O94" s="112">
        <v>0</v>
      </c>
      <c r="P94" s="112">
        <v>0.63</v>
      </c>
      <c r="Q94" s="167" t="s">
        <v>14</v>
      </c>
    </row>
    <row r="95" spans="1:17" customFormat="1">
      <c r="A95" s="80">
        <v>45425.90625</v>
      </c>
      <c r="B95" s="112">
        <v>11.35</v>
      </c>
      <c r="C95" s="112">
        <v>13.13</v>
      </c>
      <c r="D95" s="112">
        <v>25.11</v>
      </c>
      <c r="E95" s="112">
        <v>15.6</v>
      </c>
      <c r="F95" s="112">
        <v>5.75</v>
      </c>
      <c r="G95" s="112">
        <v>74.81</v>
      </c>
      <c r="H95" s="112">
        <v>20.420000000000002</v>
      </c>
      <c r="I95" s="112">
        <v>6.39</v>
      </c>
      <c r="J95" s="112">
        <v>0.25</v>
      </c>
      <c r="K95" s="112">
        <v>188.93</v>
      </c>
      <c r="L95" s="112">
        <v>29.71</v>
      </c>
      <c r="M95" s="112">
        <v>55.02</v>
      </c>
      <c r="N95" s="112">
        <v>0</v>
      </c>
      <c r="O95" s="112">
        <v>0</v>
      </c>
      <c r="P95" s="112">
        <v>0.63</v>
      </c>
      <c r="Q95" s="167" t="s">
        <v>14</v>
      </c>
    </row>
    <row r="96" spans="1:17" customFormat="1">
      <c r="A96" s="80">
        <v>45425.916666666664</v>
      </c>
      <c r="B96" s="112">
        <v>11.35</v>
      </c>
      <c r="C96" s="112">
        <v>13.17</v>
      </c>
      <c r="D96" s="112">
        <v>25.12</v>
      </c>
      <c r="E96" s="112">
        <v>16.46</v>
      </c>
      <c r="F96" s="112">
        <v>6.68</v>
      </c>
      <c r="G96" s="112">
        <v>70.53</v>
      </c>
      <c r="H96" s="112">
        <v>19.57</v>
      </c>
      <c r="I96" s="112">
        <v>6.2</v>
      </c>
      <c r="J96" s="112">
        <v>0.23</v>
      </c>
      <c r="K96" s="112">
        <v>242.17</v>
      </c>
      <c r="L96" s="112">
        <v>29.01</v>
      </c>
      <c r="M96" s="112">
        <v>56.09</v>
      </c>
      <c r="N96" s="112">
        <v>0</v>
      </c>
      <c r="O96" s="112">
        <v>0</v>
      </c>
      <c r="P96" s="112">
        <v>0.62</v>
      </c>
      <c r="Q96" s="167" t="s">
        <v>14</v>
      </c>
    </row>
    <row r="97" spans="1:22" customFormat="1">
      <c r="A97" s="80">
        <v>45425.927083333336</v>
      </c>
      <c r="B97" s="112">
        <v>11.34</v>
      </c>
      <c r="C97" s="112">
        <v>13.1</v>
      </c>
      <c r="D97" s="112">
        <v>25.08</v>
      </c>
      <c r="E97" s="112">
        <v>14.93</v>
      </c>
      <c r="F97" s="112">
        <v>5.74</v>
      </c>
      <c r="G97" s="112">
        <v>69.459999999999994</v>
      </c>
      <c r="H97" s="112">
        <v>19.57</v>
      </c>
      <c r="I97" s="112">
        <v>6.13</v>
      </c>
      <c r="J97" s="112">
        <v>0.14000000000000001</v>
      </c>
      <c r="K97" s="112">
        <v>202.25</v>
      </c>
      <c r="L97" s="112">
        <v>28.94</v>
      </c>
      <c r="M97" s="112">
        <v>59.12</v>
      </c>
      <c r="N97" s="112">
        <v>0</v>
      </c>
      <c r="O97" s="112">
        <v>0</v>
      </c>
      <c r="P97" s="112">
        <v>0.62</v>
      </c>
      <c r="Q97" s="167" t="s">
        <v>14</v>
      </c>
    </row>
    <row r="98" spans="1:22" customFormat="1">
      <c r="A98" s="80">
        <v>45425.9375</v>
      </c>
      <c r="B98" s="112">
        <v>11.34</v>
      </c>
      <c r="C98" s="112">
        <v>13.09</v>
      </c>
      <c r="D98" s="112">
        <v>25.08</v>
      </c>
      <c r="E98" s="112">
        <v>14.27</v>
      </c>
      <c r="F98" s="112">
        <v>3.9</v>
      </c>
      <c r="G98" s="112">
        <v>69.459999999999994</v>
      </c>
      <c r="H98" s="112">
        <v>19.57</v>
      </c>
      <c r="I98" s="112">
        <v>6.15</v>
      </c>
      <c r="J98" s="112">
        <v>0.16</v>
      </c>
      <c r="K98" s="112">
        <v>227.61</v>
      </c>
      <c r="L98" s="112">
        <v>28.77</v>
      </c>
      <c r="M98" s="112">
        <v>58.54</v>
      </c>
      <c r="N98" s="112">
        <v>0</v>
      </c>
      <c r="O98" s="112">
        <v>0</v>
      </c>
      <c r="P98" s="112">
        <v>0.62</v>
      </c>
      <c r="Q98" s="167" t="s">
        <v>14</v>
      </c>
    </row>
    <row r="99" spans="1:22" customFormat="1">
      <c r="A99" s="80">
        <v>45425.947916666664</v>
      </c>
      <c r="B99" s="112">
        <v>11.36</v>
      </c>
      <c r="C99" s="112">
        <v>13.18</v>
      </c>
      <c r="D99" s="112">
        <v>25.14</v>
      </c>
      <c r="E99" s="112">
        <v>15.7</v>
      </c>
      <c r="F99" s="112">
        <v>3.68</v>
      </c>
      <c r="G99" s="112">
        <v>69.459999999999994</v>
      </c>
      <c r="H99" s="112">
        <v>19.57</v>
      </c>
      <c r="I99" s="112">
        <v>6.19</v>
      </c>
      <c r="J99" s="112">
        <v>1</v>
      </c>
      <c r="K99" s="112">
        <v>34.6</v>
      </c>
      <c r="L99" s="112">
        <v>29.24</v>
      </c>
      <c r="M99" s="112">
        <v>53.14</v>
      </c>
      <c r="N99" s="112">
        <v>0</v>
      </c>
      <c r="O99" s="112">
        <v>0</v>
      </c>
      <c r="P99" s="112">
        <v>0.63</v>
      </c>
      <c r="Q99" s="167" t="s">
        <v>14</v>
      </c>
    </row>
    <row r="100" spans="1:22" customFormat="1">
      <c r="A100" s="80">
        <v>45425.958333333336</v>
      </c>
      <c r="B100" s="112">
        <v>11.4</v>
      </c>
      <c r="C100" s="112">
        <v>13.26</v>
      </c>
      <c r="D100" s="112">
        <v>25.21</v>
      </c>
      <c r="E100" s="112">
        <v>15.11</v>
      </c>
      <c r="F100" s="112">
        <v>2.61</v>
      </c>
      <c r="G100" s="112">
        <v>67.430000000000007</v>
      </c>
      <c r="H100" s="112">
        <v>19.39</v>
      </c>
      <c r="I100" s="112">
        <v>6.27</v>
      </c>
      <c r="J100" s="112">
        <v>0.93</v>
      </c>
      <c r="K100" s="112">
        <v>53.88</v>
      </c>
      <c r="L100" s="112">
        <v>29.36</v>
      </c>
      <c r="M100" s="112">
        <v>51.58</v>
      </c>
      <c r="N100" s="112">
        <v>0</v>
      </c>
      <c r="O100" s="112">
        <v>0</v>
      </c>
      <c r="P100" s="112">
        <v>0.63</v>
      </c>
      <c r="Q100" s="167" t="s">
        <v>14</v>
      </c>
    </row>
    <row r="101" spans="1:22" customFormat="1">
      <c r="A101" s="80">
        <v>45425.96875</v>
      </c>
      <c r="B101" s="112">
        <v>11.38</v>
      </c>
      <c r="C101" s="112">
        <v>13.14</v>
      </c>
      <c r="D101" s="112">
        <v>25.14</v>
      </c>
      <c r="E101" s="112">
        <v>23.18</v>
      </c>
      <c r="F101" s="112">
        <v>2.52</v>
      </c>
      <c r="G101" s="112">
        <v>66.92</v>
      </c>
      <c r="H101" s="112">
        <v>19.39</v>
      </c>
      <c r="I101" s="112">
        <v>6.39</v>
      </c>
      <c r="J101" s="112">
        <v>0.4</v>
      </c>
      <c r="K101" s="112">
        <v>27.67</v>
      </c>
      <c r="L101" s="112">
        <v>29.18</v>
      </c>
      <c r="M101" s="112">
        <v>52.01</v>
      </c>
      <c r="N101" s="112">
        <v>0</v>
      </c>
      <c r="O101" s="112">
        <v>0</v>
      </c>
      <c r="P101" s="112">
        <v>0.65</v>
      </c>
      <c r="Q101" s="167" t="s">
        <v>14</v>
      </c>
    </row>
    <row r="102" spans="1:22" customFormat="1">
      <c r="A102" s="80">
        <v>45425.979166666664</v>
      </c>
      <c r="B102" s="112">
        <v>11.38</v>
      </c>
      <c r="C102" s="112">
        <v>13.17</v>
      </c>
      <c r="D102" s="112">
        <v>25.16</v>
      </c>
      <c r="E102" s="112">
        <v>44.23</v>
      </c>
      <c r="F102" s="112">
        <v>2.2200000000000002</v>
      </c>
      <c r="G102" s="112">
        <v>66.92</v>
      </c>
      <c r="H102" s="112">
        <v>19.39</v>
      </c>
      <c r="I102" s="112">
        <v>6.47</v>
      </c>
      <c r="J102" s="112">
        <v>0.8</v>
      </c>
      <c r="K102" s="112">
        <v>51.27</v>
      </c>
      <c r="L102" s="112">
        <v>29.08</v>
      </c>
      <c r="M102" s="112">
        <v>52.19</v>
      </c>
      <c r="N102" s="112">
        <v>0</v>
      </c>
      <c r="O102" s="112">
        <v>0</v>
      </c>
      <c r="P102" s="112">
        <v>0.67</v>
      </c>
      <c r="Q102" s="167" t="s">
        <v>14</v>
      </c>
    </row>
    <row r="103" spans="1:22" customFormat="1">
      <c r="A103" s="80">
        <v>45425.989583333336</v>
      </c>
      <c r="B103" s="112">
        <v>11.42</v>
      </c>
      <c r="C103" s="112">
        <v>13.14</v>
      </c>
      <c r="D103" s="112">
        <v>25.16</v>
      </c>
      <c r="E103" s="112">
        <v>35.56</v>
      </c>
      <c r="F103" s="112">
        <v>3.18</v>
      </c>
      <c r="G103" s="112">
        <v>66.92</v>
      </c>
      <c r="H103" s="112">
        <v>19.39</v>
      </c>
      <c r="I103" s="112">
        <v>6.65</v>
      </c>
      <c r="J103" s="112">
        <v>0.92</v>
      </c>
      <c r="K103" s="112">
        <v>59.64</v>
      </c>
      <c r="L103" s="112">
        <v>28.98</v>
      </c>
      <c r="M103" s="112">
        <v>52.73</v>
      </c>
      <c r="N103" s="112">
        <v>0</v>
      </c>
      <c r="O103" s="112">
        <v>0</v>
      </c>
      <c r="P103" s="112">
        <v>0.66</v>
      </c>
      <c r="Q103" s="167" t="s">
        <v>14</v>
      </c>
    </row>
    <row r="104" spans="1:22" customFormat="1">
      <c r="A104" s="80">
        <v>45426</v>
      </c>
      <c r="B104" s="112">
        <v>11.48</v>
      </c>
      <c r="C104" s="112">
        <v>13.28</v>
      </c>
      <c r="D104" s="112">
        <v>25.29</v>
      </c>
      <c r="E104" s="112">
        <v>33.64</v>
      </c>
      <c r="F104" s="112">
        <v>5.4</v>
      </c>
      <c r="G104" s="112">
        <v>80.819999999999993</v>
      </c>
      <c r="H104" s="112">
        <v>27</v>
      </c>
      <c r="I104" s="112">
        <v>6.91</v>
      </c>
      <c r="J104" s="112">
        <v>0.73</v>
      </c>
      <c r="K104" s="112">
        <v>63.85</v>
      </c>
      <c r="L104" s="112">
        <v>28.85</v>
      </c>
      <c r="M104" s="112">
        <v>53.33</v>
      </c>
      <c r="N104" s="112">
        <v>0</v>
      </c>
      <c r="O104" s="112">
        <v>0</v>
      </c>
      <c r="P104" s="112">
        <v>0.64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11.21</v>
      </c>
      <c r="C106" s="183">
        <f>MIN(C9:C104)</f>
        <v>13.05</v>
      </c>
      <c r="D106" s="183">
        <f t="shared" ref="D106:Q106" si="0">MIN(D9:D104)</f>
        <v>25</v>
      </c>
      <c r="E106" s="183">
        <f t="shared" si="0"/>
        <v>9.11</v>
      </c>
      <c r="F106" s="183">
        <f t="shared" si="0"/>
        <v>1</v>
      </c>
      <c r="G106" s="183">
        <f t="shared" si="0"/>
        <v>21.02</v>
      </c>
      <c r="H106" s="183">
        <f t="shared" si="0"/>
        <v>7.57</v>
      </c>
      <c r="I106" s="183">
        <f t="shared" si="0"/>
        <v>4.5</v>
      </c>
      <c r="J106" s="183">
        <f t="shared" si="0"/>
        <v>0.05</v>
      </c>
      <c r="K106" s="183">
        <f t="shared" si="0"/>
        <v>7.09</v>
      </c>
      <c r="L106" s="183">
        <f t="shared" si="0"/>
        <v>25.02</v>
      </c>
      <c r="M106" s="183">
        <f t="shared" si="0"/>
        <v>28.04</v>
      </c>
      <c r="N106" s="183">
        <f t="shared" si="0"/>
        <v>0</v>
      </c>
      <c r="O106" s="183">
        <f t="shared" si="0"/>
        <v>0</v>
      </c>
      <c r="P106" s="183">
        <f t="shared" si="0"/>
        <v>0.39</v>
      </c>
      <c r="Q106" s="183">
        <f t="shared" si="0"/>
        <v>4.5999999999999996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11.48</v>
      </c>
      <c r="C107" s="184">
        <f t="shared" ref="C107:Q107" si="1">MAX(C9:C104)</f>
        <v>13.28</v>
      </c>
      <c r="D107" s="184">
        <f t="shared" si="1"/>
        <v>25.29</v>
      </c>
      <c r="E107" s="184">
        <f t="shared" si="1"/>
        <v>44.23</v>
      </c>
      <c r="F107" s="184">
        <f t="shared" si="1"/>
        <v>57.97</v>
      </c>
      <c r="G107" s="184">
        <f t="shared" si="1"/>
        <v>80.819999999999993</v>
      </c>
      <c r="H107" s="184">
        <f t="shared" si="1"/>
        <v>27</v>
      </c>
      <c r="I107" s="184">
        <f t="shared" si="1"/>
        <v>7.68</v>
      </c>
      <c r="J107" s="184">
        <f t="shared" si="1"/>
        <v>1.68</v>
      </c>
      <c r="K107" s="184">
        <f t="shared" si="1"/>
        <v>359.42</v>
      </c>
      <c r="L107" s="184">
        <f t="shared" si="1"/>
        <v>37.75</v>
      </c>
      <c r="M107" s="184">
        <f t="shared" si="1"/>
        <v>80.52</v>
      </c>
      <c r="N107" s="184">
        <f t="shared" si="1"/>
        <v>848.1</v>
      </c>
      <c r="O107" s="184">
        <f t="shared" si="1"/>
        <v>0</v>
      </c>
      <c r="P107" s="184">
        <f t="shared" si="1"/>
        <v>0.82</v>
      </c>
      <c r="Q107" s="184">
        <f t="shared" si="1"/>
        <v>4.6500000000000004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11.319479166666675</v>
      </c>
      <c r="C108" s="183">
        <f t="shared" ref="C108:Q108" si="2">AVERAGE(C9:C104)</f>
        <v>13.126979166666667</v>
      </c>
      <c r="D108" s="183">
        <f t="shared" si="2"/>
        <v>25.078854166666645</v>
      </c>
      <c r="E108" s="183">
        <f t="shared" si="2"/>
        <v>17.159479166666667</v>
      </c>
      <c r="F108" s="183">
        <f t="shared" si="2"/>
        <v>13.14645833333334</v>
      </c>
      <c r="G108" s="183">
        <f t="shared" si="2"/>
        <v>39.55572916666668</v>
      </c>
      <c r="H108" s="183">
        <f t="shared" si="2"/>
        <v>15.837395833333344</v>
      </c>
      <c r="I108" s="183">
        <f t="shared" si="2"/>
        <v>5.8646874999999961</v>
      </c>
      <c r="J108" s="183">
        <f t="shared" si="2"/>
        <v>0.58468749999999992</v>
      </c>
      <c r="K108" s="183">
        <f t="shared" si="2"/>
        <v>186.9942708333333</v>
      </c>
      <c r="L108" s="183">
        <f t="shared" si="2"/>
        <v>30.779479166666651</v>
      </c>
      <c r="M108" s="183">
        <f t="shared" si="2"/>
        <v>53.728437499999984</v>
      </c>
      <c r="N108" s="183">
        <f t="shared" si="2"/>
        <v>187.11874999999998</v>
      </c>
      <c r="O108" s="183">
        <f t="shared" si="2"/>
        <v>0</v>
      </c>
      <c r="P108" s="183">
        <f t="shared" si="2"/>
        <v>0.50072916666666656</v>
      </c>
      <c r="Q108" s="183">
        <f t="shared" si="2"/>
        <v>4.6233333333333331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6.301828960358577E-2</v>
      </c>
      <c r="C109" s="183">
        <f t="shared" ref="C109:Q109" si="3">STDEV(C9:C104)</f>
        <v>3.5544480411440857E-2</v>
      </c>
      <c r="D109" s="183">
        <f t="shared" si="3"/>
        <v>5.626758984234765E-2</v>
      </c>
      <c r="E109" s="183">
        <f t="shared" si="3"/>
        <v>7.1873789043955938</v>
      </c>
      <c r="F109" s="183">
        <f t="shared" si="3"/>
        <v>16.14552028332621</v>
      </c>
      <c r="G109" s="183">
        <f t="shared" si="3"/>
        <v>14.982690907548585</v>
      </c>
      <c r="H109" s="183">
        <f t="shared" si="3"/>
        <v>4.0925133815918553</v>
      </c>
      <c r="I109" s="183">
        <f t="shared" si="3"/>
        <v>0.70455802215218821</v>
      </c>
      <c r="J109" s="183">
        <f t="shared" si="3"/>
        <v>0.33028521366906671</v>
      </c>
      <c r="K109" s="183">
        <f t="shared" si="3"/>
        <v>113.14748451509787</v>
      </c>
      <c r="L109" s="183">
        <f t="shared" si="3"/>
        <v>4.4239190460357953</v>
      </c>
      <c r="M109" s="183">
        <f t="shared" si="3"/>
        <v>17.572694507950082</v>
      </c>
      <c r="N109" s="183">
        <f t="shared" si="3"/>
        <v>274.94039940264184</v>
      </c>
      <c r="O109" s="183">
        <f t="shared" si="3"/>
        <v>0</v>
      </c>
      <c r="P109" s="183">
        <f t="shared" si="3"/>
        <v>0.101827974562538</v>
      </c>
      <c r="Q109" s="183">
        <f t="shared" si="3"/>
        <v>2.5166114784236179E-2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3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Q96" sqref="Q96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45426.010416666664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45426.010416666664</v>
      </c>
      <c r="B9" s="112">
        <v>11.38</v>
      </c>
      <c r="C9" s="112">
        <v>13.15</v>
      </c>
      <c r="D9" s="112">
        <v>25.14</v>
      </c>
      <c r="E9" s="112">
        <v>21.48</v>
      </c>
      <c r="F9" s="112">
        <v>7.22</v>
      </c>
      <c r="G9" s="112">
        <v>84.3</v>
      </c>
      <c r="H9" s="112">
        <v>27</v>
      </c>
      <c r="I9" s="112">
        <v>7.08</v>
      </c>
      <c r="J9" s="112">
        <v>0.41</v>
      </c>
      <c r="K9" s="112">
        <v>66.03</v>
      </c>
      <c r="L9" s="112">
        <v>28.75</v>
      </c>
      <c r="M9" s="112">
        <v>53.63</v>
      </c>
      <c r="N9" s="112">
        <v>0</v>
      </c>
      <c r="O9" s="112">
        <v>0</v>
      </c>
      <c r="P9" s="112">
        <v>0.62</v>
      </c>
      <c r="Q9" s="167" t="s">
        <v>14</v>
      </c>
    </row>
    <row r="10" spans="1:21" customFormat="1">
      <c r="A10" s="80">
        <v>45426.020833333336</v>
      </c>
      <c r="B10" s="112">
        <v>11.41</v>
      </c>
      <c r="C10" s="112">
        <v>13.14</v>
      </c>
      <c r="D10" s="112">
        <v>25.16</v>
      </c>
      <c r="E10" s="112">
        <v>17.25</v>
      </c>
      <c r="F10" s="112">
        <v>6.47</v>
      </c>
      <c r="G10" s="112">
        <v>84.3</v>
      </c>
      <c r="H10" s="112">
        <v>27</v>
      </c>
      <c r="I10" s="112">
        <v>6.86</v>
      </c>
      <c r="J10" s="112">
        <v>0.25</v>
      </c>
      <c r="K10" s="112">
        <v>191.95</v>
      </c>
      <c r="L10" s="112">
        <v>28.1</v>
      </c>
      <c r="M10" s="112">
        <v>58.14</v>
      </c>
      <c r="N10" s="112">
        <v>0</v>
      </c>
      <c r="O10" s="112">
        <v>0</v>
      </c>
      <c r="P10" s="112">
        <v>0.6</v>
      </c>
      <c r="Q10" s="167" t="s">
        <v>14</v>
      </c>
    </row>
    <row r="11" spans="1:21" customFormat="1">
      <c r="A11" s="80">
        <v>45426.03125</v>
      </c>
      <c r="B11" s="112">
        <v>11.42</v>
      </c>
      <c r="C11" s="112">
        <v>13.12</v>
      </c>
      <c r="D11" s="112">
        <v>25.16</v>
      </c>
      <c r="E11" s="112">
        <v>15.49</v>
      </c>
      <c r="F11" s="112">
        <v>6.36</v>
      </c>
      <c r="G11" s="112">
        <v>84.3</v>
      </c>
      <c r="H11" s="112">
        <v>27</v>
      </c>
      <c r="I11" s="112">
        <v>6.49</v>
      </c>
      <c r="J11" s="112">
        <v>0.22</v>
      </c>
      <c r="K11" s="112">
        <v>181.6</v>
      </c>
      <c r="L11" s="112">
        <v>27.41</v>
      </c>
      <c r="M11" s="112">
        <v>62.56</v>
      </c>
      <c r="N11" s="112">
        <v>0</v>
      </c>
      <c r="O11" s="112">
        <v>0</v>
      </c>
      <c r="P11" s="112">
        <v>0.6</v>
      </c>
      <c r="Q11" s="167" t="s">
        <v>14</v>
      </c>
    </row>
    <row r="12" spans="1:21" customFormat="1">
      <c r="A12" s="80">
        <v>45426.041666666664</v>
      </c>
      <c r="B12" s="112">
        <v>11.45</v>
      </c>
      <c r="C12" s="112">
        <v>13.11</v>
      </c>
      <c r="D12" s="112">
        <v>25.17</v>
      </c>
      <c r="E12" s="112">
        <v>16.420000000000002</v>
      </c>
      <c r="F12" s="112">
        <v>8.26</v>
      </c>
      <c r="G12" s="112">
        <v>77.12</v>
      </c>
      <c r="H12" s="112">
        <v>25.74</v>
      </c>
      <c r="I12" s="112">
        <v>6.47</v>
      </c>
      <c r="J12" s="112">
        <v>0.16</v>
      </c>
      <c r="K12" s="112">
        <v>185.76</v>
      </c>
      <c r="L12" s="112">
        <v>27.15</v>
      </c>
      <c r="M12" s="112">
        <v>63.52</v>
      </c>
      <c r="N12" s="112">
        <v>0</v>
      </c>
      <c r="O12" s="112">
        <v>0</v>
      </c>
      <c r="P12" s="112">
        <v>0.59</v>
      </c>
      <c r="Q12" s="167" t="s">
        <v>14</v>
      </c>
    </row>
    <row r="13" spans="1:21" customFormat="1">
      <c r="A13" s="80">
        <v>45426.052083333336</v>
      </c>
      <c r="B13" s="112">
        <v>11.43</v>
      </c>
      <c r="C13" s="112">
        <v>13.15</v>
      </c>
      <c r="D13" s="112">
        <v>25.18</v>
      </c>
      <c r="E13" s="112">
        <v>14.37</v>
      </c>
      <c r="F13" s="112">
        <v>5.38</v>
      </c>
      <c r="G13" s="112">
        <v>75.319999999999993</v>
      </c>
      <c r="H13" s="112">
        <v>25.74</v>
      </c>
      <c r="I13" s="112">
        <v>6.44</v>
      </c>
      <c r="J13" s="112">
        <v>0.15</v>
      </c>
      <c r="K13" s="112">
        <v>185.95</v>
      </c>
      <c r="L13" s="112">
        <v>27</v>
      </c>
      <c r="M13" s="112">
        <v>65.41</v>
      </c>
      <c r="N13" s="112">
        <v>0</v>
      </c>
      <c r="O13" s="112">
        <v>0</v>
      </c>
      <c r="P13" s="112">
        <v>0.59</v>
      </c>
      <c r="Q13" s="167" t="s">
        <v>14</v>
      </c>
    </row>
    <row r="14" spans="1:21" customFormat="1">
      <c r="A14" s="80">
        <v>45426.0625</v>
      </c>
      <c r="B14" s="112">
        <v>11.42</v>
      </c>
      <c r="C14" s="112">
        <v>13.15</v>
      </c>
      <c r="D14" s="112">
        <v>25.17</v>
      </c>
      <c r="E14" s="112">
        <v>16.53</v>
      </c>
      <c r="F14" s="112">
        <v>4.04</v>
      </c>
      <c r="G14" s="112">
        <v>75.319999999999993</v>
      </c>
      <c r="H14" s="112">
        <v>25.74</v>
      </c>
      <c r="I14" s="112">
        <v>6.46</v>
      </c>
      <c r="J14" s="112">
        <v>0.05</v>
      </c>
      <c r="K14" s="112">
        <v>96.15</v>
      </c>
      <c r="L14" s="112">
        <v>26.97</v>
      </c>
      <c r="M14" s="112">
        <v>64.06</v>
      </c>
      <c r="N14" s="112">
        <v>0</v>
      </c>
      <c r="O14" s="112">
        <v>0</v>
      </c>
      <c r="P14" s="112">
        <v>0.6</v>
      </c>
      <c r="Q14" s="167" t="s">
        <v>14</v>
      </c>
    </row>
    <row r="15" spans="1:21" customFormat="1">
      <c r="A15" s="80">
        <v>45426.072916666664</v>
      </c>
      <c r="B15" s="112">
        <v>11.41</v>
      </c>
      <c r="C15" s="112">
        <v>13.2</v>
      </c>
      <c r="D15" s="112">
        <v>25.19</v>
      </c>
      <c r="E15" s="112">
        <v>15.77</v>
      </c>
      <c r="F15" s="112">
        <v>1.79</v>
      </c>
      <c r="G15" s="112">
        <v>75.319999999999993</v>
      </c>
      <c r="H15" s="112">
        <v>25.74</v>
      </c>
      <c r="I15" s="112">
        <v>6.58</v>
      </c>
      <c r="J15" s="112">
        <v>0.14000000000000001</v>
      </c>
      <c r="K15" s="112">
        <v>64.989999999999995</v>
      </c>
      <c r="L15" s="112">
        <v>26.98</v>
      </c>
      <c r="M15" s="112">
        <v>63.64</v>
      </c>
      <c r="N15" s="112">
        <v>0</v>
      </c>
      <c r="O15" s="112">
        <v>0</v>
      </c>
      <c r="P15" s="112">
        <v>0.61</v>
      </c>
      <c r="Q15" s="167" t="s">
        <v>14</v>
      </c>
    </row>
    <row r="16" spans="1:21" customFormat="1">
      <c r="A16" s="80">
        <v>45426.083333333336</v>
      </c>
      <c r="B16" s="112">
        <v>11.41</v>
      </c>
      <c r="C16" s="112">
        <v>13.13</v>
      </c>
      <c r="D16" s="112">
        <v>25.15</v>
      </c>
      <c r="E16" s="112">
        <v>15.57</v>
      </c>
      <c r="F16" s="112">
        <v>1.37</v>
      </c>
      <c r="G16" s="112">
        <v>75.56</v>
      </c>
      <c r="H16" s="112">
        <v>23.4</v>
      </c>
      <c r="I16" s="112">
        <v>6.89</v>
      </c>
      <c r="J16" s="112">
        <v>0.42</v>
      </c>
      <c r="K16" s="112">
        <v>80.56</v>
      </c>
      <c r="L16" s="112">
        <v>27.62</v>
      </c>
      <c r="M16" s="112">
        <v>59.99</v>
      </c>
      <c r="N16" s="112">
        <v>0</v>
      </c>
      <c r="O16" s="112">
        <v>0</v>
      </c>
      <c r="P16" s="112">
        <v>0.6</v>
      </c>
      <c r="Q16" s="167" t="s">
        <v>14</v>
      </c>
    </row>
    <row r="17" spans="1:17" customFormat="1">
      <c r="A17" s="80">
        <v>45426.09375</v>
      </c>
      <c r="B17" s="112">
        <v>11.37</v>
      </c>
      <c r="C17" s="112">
        <v>13.09</v>
      </c>
      <c r="D17" s="112">
        <v>25.1</v>
      </c>
      <c r="E17" s="112">
        <v>13.6</v>
      </c>
      <c r="F17" s="112">
        <v>1.0900000000000001</v>
      </c>
      <c r="G17" s="112">
        <v>75.62</v>
      </c>
      <c r="H17" s="112">
        <v>23.4</v>
      </c>
      <c r="I17" s="112">
        <v>7.56</v>
      </c>
      <c r="J17" s="112">
        <v>0.24</v>
      </c>
      <c r="K17" s="112">
        <v>194.68</v>
      </c>
      <c r="L17" s="112">
        <v>26.69</v>
      </c>
      <c r="M17" s="112">
        <v>69.239999999999995</v>
      </c>
      <c r="N17" s="112">
        <v>0</v>
      </c>
      <c r="O17" s="112">
        <v>0</v>
      </c>
      <c r="P17" s="112">
        <v>0.61</v>
      </c>
      <c r="Q17" s="167" t="s">
        <v>14</v>
      </c>
    </row>
    <row r="18" spans="1:17" customFormat="1">
      <c r="A18" s="80">
        <v>45426.104166666664</v>
      </c>
      <c r="B18" s="112">
        <v>11.38</v>
      </c>
      <c r="C18" s="112">
        <v>13.08</v>
      </c>
      <c r="D18" s="112">
        <v>25.1</v>
      </c>
      <c r="E18" s="112">
        <v>15.7</v>
      </c>
      <c r="F18" s="112">
        <v>1.02</v>
      </c>
      <c r="G18" s="112">
        <v>75.62</v>
      </c>
      <c r="H18" s="112">
        <v>23.4</v>
      </c>
      <c r="I18" s="112">
        <v>7.64</v>
      </c>
      <c r="J18" s="112">
        <v>0.17</v>
      </c>
      <c r="K18" s="112">
        <v>168.3</v>
      </c>
      <c r="L18" s="112">
        <v>26.32</v>
      </c>
      <c r="M18" s="112">
        <v>69.290000000000006</v>
      </c>
      <c r="N18" s="112">
        <v>0</v>
      </c>
      <c r="O18" s="112">
        <v>0</v>
      </c>
      <c r="P18" s="112">
        <v>0.6</v>
      </c>
      <c r="Q18" s="167" t="s">
        <v>14</v>
      </c>
    </row>
    <row r="19" spans="1:17" customFormat="1">
      <c r="A19" s="80">
        <v>45426.114583333336</v>
      </c>
      <c r="B19" s="112">
        <v>11.38</v>
      </c>
      <c r="C19" s="112">
        <v>13.06</v>
      </c>
      <c r="D19" s="112">
        <v>25.09</v>
      </c>
      <c r="E19" s="112">
        <v>14.84</v>
      </c>
      <c r="F19" s="112">
        <v>1.75</v>
      </c>
      <c r="G19" s="112">
        <v>75.62</v>
      </c>
      <c r="H19" s="112">
        <v>23.4</v>
      </c>
      <c r="I19" s="112">
        <v>7.15</v>
      </c>
      <c r="J19" s="112">
        <v>0.13</v>
      </c>
      <c r="K19" s="112">
        <v>189.95</v>
      </c>
      <c r="L19" s="112">
        <v>26.15</v>
      </c>
      <c r="M19" s="112">
        <v>70.08</v>
      </c>
      <c r="N19" s="112">
        <v>0</v>
      </c>
      <c r="O19" s="112">
        <v>0</v>
      </c>
      <c r="P19" s="112">
        <v>0.59</v>
      </c>
      <c r="Q19" s="167" t="s">
        <v>14</v>
      </c>
    </row>
    <row r="20" spans="1:17" customFormat="1">
      <c r="A20" s="80">
        <v>45426.125</v>
      </c>
      <c r="B20" s="112">
        <v>11.39</v>
      </c>
      <c r="C20" s="112">
        <v>13.07</v>
      </c>
      <c r="D20" s="112">
        <v>25.11</v>
      </c>
      <c r="E20" s="112">
        <v>15.36</v>
      </c>
      <c r="F20" s="112">
        <v>1.33</v>
      </c>
      <c r="G20" s="112">
        <v>70.66</v>
      </c>
      <c r="H20" s="112">
        <v>22.23</v>
      </c>
      <c r="I20" s="112">
        <v>7.05</v>
      </c>
      <c r="J20" s="112">
        <v>0.28000000000000003</v>
      </c>
      <c r="K20" s="112">
        <v>312.72000000000003</v>
      </c>
      <c r="L20" s="112">
        <v>26.18</v>
      </c>
      <c r="M20" s="112">
        <v>68.680000000000007</v>
      </c>
      <c r="N20" s="112">
        <v>0</v>
      </c>
      <c r="O20" s="112">
        <v>0</v>
      </c>
      <c r="P20" s="112">
        <v>0.57999999999999996</v>
      </c>
      <c r="Q20" s="167" t="s">
        <v>14</v>
      </c>
    </row>
    <row r="21" spans="1:17" customFormat="1">
      <c r="A21" s="80">
        <v>45426.135416666664</v>
      </c>
      <c r="B21" s="112">
        <v>11.41</v>
      </c>
      <c r="C21" s="112">
        <v>13.1</v>
      </c>
      <c r="D21" s="112">
        <v>25.14</v>
      </c>
      <c r="E21" s="112">
        <v>15.36</v>
      </c>
      <c r="F21" s="112">
        <v>1</v>
      </c>
      <c r="G21" s="112">
        <v>69.33</v>
      </c>
      <c r="H21" s="112">
        <v>22.23</v>
      </c>
      <c r="I21" s="112">
        <v>6.9</v>
      </c>
      <c r="J21" s="112">
        <v>0.09</v>
      </c>
      <c r="K21" s="112">
        <v>192.55</v>
      </c>
      <c r="L21" s="112">
        <v>26.54</v>
      </c>
      <c r="M21" s="112">
        <v>67.599999999999994</v>
      </c>
      <c r="N21" s="112">
        <v>0</v>
      </c>
      <c r="O21" s="112">
        <v>0</v>
      </c>
      <c r="P21" s="112">
        <v>0.6</v>
      </c>
      <c r="Q21" s="167" t="s">
        <v>14</v>
      </c>
    </row>
    <row r="22" spans="1:17" customFormat="1">
      <c r="A22" s="80">
        <v>45426.145833333336</v>
      </c>
      <c r="B22" s="112">
        <v>11.39</v>
      </c>
      <c r="C22" s="112">
        <v>13.07</v>
      </c>
      <c r="D22" s="112">
        <v>25.1</v>
      </c>
      <c r="E22" s="112">
        <v>13.71</v>
      </c>
      <c r="F22" s="112">
        <v>1</v>
      </c>
      <c r="G22" s="112">
        <v>69.33</v>
      </c>
      <c r="H22" s="112">
        <v>22.23</v>
      </c>
      <c r="I22" s="112">
        <v>7.06</v>
      </c>
      <c r="J22" s="112">
        <v>0.13</v>
      </c>
      <c r="K22" s="112">
        <v>151.5</v>
      </c>
      <c r="L22" s="112">
        <v>25.95</v>
      </c>
      <c r="M22" s="112">
        <v>72.42</v>
      </c>
      <c r="N22" s="112">
        <v>0</v>
      </c>
      <c r="O22" s="112">
        <v>0</v>
      </c>
      <c r="P22" s="112">
        <v>0.6</v>
      </c>
      <c r="Q22" s="167" t="s">
        <v>14</v>
      </c>
    </row>
    <row r="23" spans="1:17" customFormat="1">
      <c r="A23" s="80">
        <v>45426.15625</v>
      </c>
      <c r="B23" s="112">
        <v>11.39</v>
      </c>
      <c r="C23" s="112">
        <v>13.08</v>
      </c>
      <c r="D23" s="112">
        <v>25.11</v>
      </c>
      <c r="E23" s="112">
        <v>13.54</v>
      </c>
      <c r="F23" s="112">
        <v>1</v>
      </c>
      <c r="G23" s="112">
        <v>69.33</v>
      </c>
      <c r="H23" s="112">
        <v>22.23</v>
      </c>
      <c r="I23" s="112">
        <v>7.39</v>
      </c>
      <c r="J23" s="112">
        <v>0.2</v>
      </c>
      <c r="K23" s="112">
        <v>166.54</v>
      </c>
      <c r="L23" s="112">
        <v>25.87</v>
      </c>
      <c r="M23" s="112">
        <v>73.290000000000006</v>
      </c>
      <c r="N23" s="112">
        <v>0</v>
      </c>
      <c r="O23" s="112">
        <v>0</v>
      </c>
      <c r="P23" s="112">
        <v>0.6</v>
      </c>
      <c r="Q23" s="167" t="s">
        <v>14</v>
      </c>
    </row>
    <row r="24" spans="1:17" customFormat="1">
      <c r="A24" s="80">
        <v>45426.166666666664</v>
      </c>
      <c r="B24" s="112">
        <v>11.4</v>
      </c>
      <c r="C24" s="112">
        <v>13.09</v>
      </c>
      <c r="D24" s="112">
        <v>25.12</v>
      </c>
      <c r="E24" s="112">
        <v>14.46</v>
      </c>
      <c r="F24" s="112">
        <v>1</v>
      </c>
      <c r="G24" s="112">
        <v>70.209999999999994</v>
      </c>
      <c r="H24" s="112">
        <v>25.3</v>
      </c>
      <c r="I24" s="112">
        <v>7.35</v>
      </c>
      <c r="J24" s="112">
        <v>0.12</v>
      </c>
      <c r="K24" s="112">
        <v>143.41999999999999</v>
      </c>
      <c r="L24" s="112">
        <v>25.95</v>
      </c>
      <c r="M24" s="112">
        <v>71.22</v>
      </c>
      <c r="N24" s="112">
        <v>0</v>
      </c>
      <c r="O24" s="112">
        <v>0</v>
      </c>
      <c r="P24" s="112">
        <v>0.6</v>
      </c>
      <c r="Q24" s="167" t="s">
        <v>14</v>
      </c>
    </row>
    <row r="25" spans="1:17" customFormat="1">
      <c r="A25" s="80">
        <v>45426.177083333336</v>
      </c>
      <c r="B25" s="112">
        <v>11.39</v>
      </c>
      <c r="C25" s="112">
        <v>13.11</v>
      </c>
      <c r="D25" s="112">
        <v>25.13</v>
      </c>
      <c r="E25" s="112">
        <v>13.95</v>
      </c>
      <c r="F25" s="112">
        <v>1</v>
      </c>
      <c r="G25" s="112">
        <v>70.430000000000007</v>
      </c>
      <c r="H25" s="112">
        <v>25.3</v>
      </c>
      <c r="I25" s="112">
        <v>7.43</v>
      </c>
      <c r="J25" s="112">
        <v>0.21</v>
      </c>
      <c r="K25" s="112">
        <v>160.12</v>
      </c>
      <c r="L25" s="112">
        <v>26.44</v>
      </c>
      <c r="M25" s="112">
        <v>69.62</v>
      </c>
      <c r="N25" s="112">
        <v>0</v>
      </c>
      <c r="O25" s="112">
        <v>0</v>
      </c>
      <c r="P25" s="112">
        <v>0.61</v>
      </c>
      <c r="Q25" s="167" t="s">
        <v>14</v>
      </c>
    </row>
    <row r="26" spans="1:17" customFormat="1">
      <c r="A26" s="80">
        <v>45426.1875</v>
      </c>
      <c r="B26" s="112">
        <v>11.36</v>
      </c>
      <c r="C26" s="112">
        <v>13.13</v>
      </c>
      <c r="D26" s="112">
        <v>25.11</v>
      </c>
      <c r="E26" s="112">
        <v>14.01</v>
      </c>
      <c r="F26" s="112">
        <v>1</v>
      </c>
      <c r="G26" s="112">
        <v>70.430000000000007</v>
      </c>
      <c r="H26" s="112">
        <v>25.3</v>
      </c>
      <c r="I26" s="112">
        <v>7.48</v>
      </c>
      <c r="J26" s="112">
        <v>0.4</v>
      </c>
      <c r="K26" s="112">
        <v>66.2</v>
      </c>
      <c r="L26" s="112">
        <v>26.52</v>
      </c>
      <c r="M26" s="112">
        <v>64.819999999999993</v>
      </c>
      <c r="N26" s="112">
        <v>0</v>
      </c>
      <c r="O26" s="112">
        <v>0</v>
      </c>
      <c r="P26" s="112">
        <v>0.61</v>
      </c>
      <c r="Q26" s="167" t="s">
        <v>14</v>
      </c>
    </row>
    <row r="27" spans="1:17" customFormat="1">
      <c r="A27" s="80">
        <v>45426.197916666664</v>
      </c>
      <c r="B27" s="112">
        <v>11.41</v>
      </c>
      <c r="C27" s="112">
        <v>13.14</v>
      </c>
      <c r="D27" s="112">
        <v>25.16</v>
      </c>
      <c r="E27" s="112">
        <v>13.74</v>
      </c>
      <c r="F27" s="112">
        <v>1</v>
      </c>
      <c r="G27" s="112">
        <v>70.430000000000007</v>
      </c>
      <c r="H27" s="112">
        <v>25.3</v>
      </c>
      <c r="I27" s="112">
        <v>7.47</v>
      </c>
      <c r="J27" s="112">
        <v>0.12</v>
      </c>
      <c r="K27" s="112">
        <v>119.14</v>
      </c>
      <c r="L27" s="112">
        <v>26.62</v>
      </c>
      <c r="M27" s="112">
        <v>67.430000000000007</v>
      </c>
      <c r="N27" s="112">
        <v>0</v>
      </c>
      <c r="O27" s="112">
        <v>0</v>
      </c>
      <c r="P27" s="112">
        <v>0.61</v>
      </c>
      <c r="Q27" s="167" t="s">
        <v>14</v>
      </c>
    </row>
    <row r="28" spans="1:17" customFormat="1">
      <c r="A28" s="80">
        <v>45426.208333333336</v>
      </c>
      <c r="B28" s="112">
        <v>11.43</v>
      </c>
      <c r="C28" s="112">
        <v>13.22</v>
      </c>
      <c r="D28" s="112">
        <v>25.22</v>
      </c>
      <c r="E28" s="112">
        <v>14.02</v>
      </c>
      <c r="F28" s="112">
        <v>1</v>
      </c>
      <c r="G28" s="112">
        <v>72.86</v>
      </c>
      <c r="H28" s="112">
        <v>23.96</v>
      </c>
      <c r="I28" s="112">
        <v>7.46</v>
      </c>
      <c r="J28" s="112">
        <v>0.38</v>
      </c>
      <c r="K28" s="112">
        <v>46.04</v>
      </c>
      <c r="L28" s="112">
        <v>26.39</v>
      </c>
      <c r="M28" s="112">
        <v>66.92</v>
      </c>
      <c r="N28" s="112">
        <v>0</v>
      </c>
      <c r="O28" s="112">
        <v>0</v>
      </c>
      <c r="P28" s="112">
        <v>0.61</v>
      </c>
      <c r="Q28" s="167" t="s">
        <v>14</v>
      </c>
    </row>
    <row r="29" spans="1:17" customFormat="1">
      <c r="A29" s="80">
        <v>45426.21875</v>
      </c>
      <c r="B29" s="112">
        <v>11.41</v>
      </c>
      <c r="C29" s="112">
        <v>13.14</v>
      </c>
      <c r="D29" s="112">
        <v>25.16</v>
      </c>
      <c r="E29" s="112">
        <v>13.88</v>
      </c>
      <c r="F29" s="112">
        <v>1</v>
      </c>
      <c r="G29" s="112">
        <v>73.47</v>
      </c>
      <c r="H29" s="112">
        <v>23.96</v>
      </c>
      <c r="I29" s="112">
        <v>7.45</v>
      </c>
      <c r="J29" s="112">
        <v>0.2</v>
      </c>
      <c r="K29" s="112">
        <v>1.43</v>
      </c>
      <c r="L29" s="112">
        <v>26.37</v>
      </c>
      <c r="M29" s="112">
        <v>67.16</v>
      </c>
      <c r="N29" s="112">
        <v>0</v>
      </c>
      <c r="O29" s="112">
        <v>0</v>
      </c>
      <c r="P29" s="112">
        <v>0.61</v>
      </c>
      <c r="Q29" s="167" t="s">
        <v>14</v>
      </c>
    </row>
    <row r="30" spans="1:17" customFormat="1">
      <c r="A30" s="80">
        <v>45426.229166666664</v>
      </c>
      <c r="B30" s="112">
        <v>11.41</v>
      </c>
      <c r="C30" s="112">
        <v>13.11</v>
      </c>
      <c r="D30" s="112">
        <v>25.14</v>
      </c>
      <c r="E30" s="112">
        <v>13.73</v>
      </c>
      <c r="F30" s="112">
        <v>1</v>
      </c>
      <c r="G30" s="112">
        <v>73.47</v>
      </c>
      <c r="H30" s="112">
        <v>23.96</v>
      </c>
      <c r="I30" s="112">
        <v>7.48</v>
      </c>
      <c r="J30" s="112">
        <v>0.17</v>
      </c>
      <c r="K30" s="112">
        <v>3.14</v>
      </c>
      <c r="L30" s="112">
        <v>26.29</v>
      </c>
      <c r="M30" s="112">
        <v>66.41</v>
      </c>
      <c r="N30" s="112">
        <v>0</v>
      </c>
      <c r="O30" s="112">
        <v>0</v>
      </c>
      <c r="P30" s="112">
        <v>0.62</v>
      </c>
      <c r="Q30" s="167" t="s">
        <v>14</v>
      </c>
    </row>
    <row r="31" spans="1:17" customFormat="1">
      <c r="A31" s="80">
        <v>45426.239583333336</v>
      </c>
      <c r="B31" s="112">
        <v>11.4</v>
      </c>
      <c r="C31" s="112">
        <v>13.08</v>
      </c>
      <c r="D31" s="112">
        <v>25.12</v>
      </c>
      <c r="E31" s="112">
        <v>15.3</v>
      </c>
      <c r="F31" s="112">
        <v>1</v>
      </c>
      <c r="G31" s="112">
        <v>73.47</v>
      </c>
      <c r="H31" s="112">
        <v>23.96</v>
      </c>
      <c r="I31" s="112">
        <v>7.59</v>
      </c>
      <c r="J31" s="112">
        <v>0.41</v>
      </c>
      <c r="K31" s="112">
        <v>30.18</v>
      </c>
      <c r="L31" s="112">
        <v>26.22</v>
      </c>
      <c r="M31" s="112">
        <v>64.459999999999994</v>
      </c>
      <c r="N31" s="112">
        <v>2.6</v>
      </c>
      <c r="O31" s="112">
        <v>0</v>
      </c>
      <c r="P31" s="112">
        <v>0.63</v>
      </c>
      <c r="Q31" s="167" t="s">
        <v>14</v>
      </c>
    </row>
    <row r="32" spans="1:17" customFormat="1">
      <c r="A32" s="80">
        <v>45426.25</v>
      </c>
      <c r="B32" s="112">
        <v>11.4</v>
      </c>
      <c r="C32" s="112">
        <v>13.07</v>
      </c>
      <c r="D32" s="112">
        <v>25.11</v>
      </c>
      <c r="E32" s="112">
        <v>15.18</v>
      </c>
      <c r="F32" s="112">
        <v>1</v>
      </c>
      <c r="G32" s="112">
        <v>77.260000000000005</v>
      </c>
      <c r="H32" s="112">
        <v>25.21</v>
      </c>
      <c r="I32" s="112">
        <v>7.7</v>
      </c>
      <c r="J32" s="112">
        <v>0.24</v>
      </c>
      <c r="K32" s="112">
        <v>23.74</v>
      </c>
      <c r="L32" s="112">
        <v>26.33</v>
      </c>
      <c r="M32" s="112">
        <v>64.44</v>
      </c>
      <c r="N32" s="112">
        <v>14.8</v>
      </c>
      <c r="O32" s="112">
        <v>0</v>
      </c>
      <c r="P32" s="112">
        <v>0.65</v>
      </c>
      <c r="Q32" s="167" t="s">
        <v>14</v>
      </c>
    </row>
    <row r="33" spans="1:17" customFormat="1">
      <c r="A33" s="80">
        <v>45426.260416666664</v>
      </c>
      <c r="B33" s="112">
        <v>11.45</v>
      </c>
      <c r="C33" s="112">
        <v>13.15</v>
      </c>
      <c r="D33" s="112">
        <v>25.2</v>
      </c>
      <c r="E33" s="112">
        <v>13.97</v>
      </c>
      <c r="F33" s="112">
        <v>1</v>
      </c>
      <c r="G33" s="112">
        <v>78.209999999999994</v>
      </c>
      <c r="H33" s="112">
        <v>25.21</v>
      </c>
      <c r="I33" s="112">
        <v>7.8</v>
      </c>
      <c r="J33" s="112">
        <v>0.35</v>
      </c>
      <c r="K33" s="112">
        <v>162.21</v>
      </c>
      <c r="L33" s="112">
        <v>26.59</v>
      </c>
      <c r="M33" s="112">
        <v>68.040000000000006</v>
      </c>
      <c r="N33" s="112">
        <v>31</v>
      </c>
      <c r="O33" s="112">
        <v>0</v>
      </c>
      <c r="P33" s="112">
        <v>0.67</v>
      </c>
      <c r="Q33" s="167" t="s">
        <v>14</v>
      </c>
    </row>
    <row r="34" spans="1:17" customFormat="1">
      <c r="A34" s="80">
        <v>45426.270833333336</v>
      </c>
      <c r="B34" s="112">
        <v>11.43</v>
      </c>
      <c r="C34" s="112">
        <v>13.18</v>
      </c>
      <c r="D34" s="112">
        <v>25.2</v>
      </c>
      <c r="E34" s="112">
        <v>14.36</v>
      </c>
      <c r="F34" s="112">
        <v>1</v>
      </c>
      <c r="G34" s="112">
        <v>78.209999999999994</v>
      </c>
      <c r="H34" s="112">
        <v>25.21</v>
      </c>
      <c r="I34" s="112">
        <v>7.92</v>
      </c>
      <c r="J34" s="112">
        <v>0.1</v>
      </c>
      <c r="K34" s="112">
        <v>154.99</v>
      </c>
      <c r="L34" s="112">
        <v>26.63</v>
      </c>
      <c r="M34" s="112">
        <v>70.08</v>
      </c>
      <c r="N34" s="112">
        <v>51.6</v>
      </c>
      <c r="O34" s="112">
        <v>0</v>
      </c>
      <c r="P34" s="112">
        <v>0.66</v>
      </c>
      <c r="Q34" s="167" t="s">
        <v>14</v>
      </c>
    </row>
    <row r="35" spans="1:17" customFormat="1">
      <c r="A35" s="80">
        <v>45426.28125</v>
      </c>
      <c r="B35" s="112">
        <v>11.4</v>
      </c>
      <c r="C35" s="112">
        <v>13.17</v>
      </c>
      <c r="D35" s="112">
        <v>25.17</v>
      </c>
      <c r="E35" s="112">
        <v>14.92</v>
      </c>
      <c r="F35" s="112">
        <v>1</v>
      </c>
      <c r="G35" s="112">
        <v>78.209999999999994</v>
      </c>
      <c r="H35" s="112">
        <v>25.21</v>
      </c>
      <c r="I35" s="112">
        <v>8.0299999999999994</v>
      </c>
      <c r="J35" s="112">
        <v>0.25</v>
      </c>
      <c r="K35" s="112">
        <v>182.11</v>
      </c>
      <c r="L35" s="112">
        <v>27.3</v>
      </c>
      <c r="M35" s="112">
        <v>66.53</v>
      </c>
      <c r="N35" s="112">
        <v>62.8</v>
      </c>
      <c r="O35" s="112">
        <v>0</v>
      </c>
      <c r="P35" s="112">
        <v>0.69</v>
      </c>
      <c r="Q35" s="167" t="s">
        <v>14</v>
      </c>
    </row>
    <row r="36" spans="1:17" customFormat="1">
      <c r="A36" s="80">
        <v>45426.291666666664</v>
      </c>
      <c r="B36" s="112">
        <v>11.43</v>
      </c>
      <c r="C36" s="112">
        <v>13.19</v>
      </c>
      <c r="D36" s="112">
        <v>25.2</v>
      </c>
      <c r="E36" s="112">
        <v>15.14</v>
      </c>
      <c r="F36" s="112">
        <v>1</v>
      </c>
      <c r="G36" s="112">
        <v>86.2</v>
      </c>
      <c r="H36" s="112">
        <v>28.44</v>
      </c>
      <c r="I36" s="112">
        <v>8.16</v>
      </c>
      <c r="J36" s="112">
        <v>0.12</v>
      </c>
      <c r="K36" s="112">
        <v>254.14</v>
      </c>
      <c r="L36" s="112">
        <v>27.47</v>
      </c>
      <c r="M36" s="112">
        <v>66.55</v>
      </c>
      <c r="N36" s="112">
        <v>60.3</v>
      </c>
      <c r="O36" s="112">
        <v>0</v>
      </c>
      <c r="P36" s="112">
        <v>0.7</v>
      </c>
      <c r="Q36" s="167" t="s">
        <v>14</v>
      </c>
    </row>
    <row r="37" spans="1:17" customFormat="1">
      <c r="A37" s="80">
        <v>45426.302083333336</v>
      </c>
      <c r="B37" s="112">
        <v>11.41</v>
      </c>
      <c r="C37" s="112">
        <v>13.17</v>
      </c>
      <c r="D37" s="112">
        <v>25.18</v>
      </c>
      <c r="E37" s="112">
        <v>15.16</v>
      </c>
      <c r="F37" s="112">
        <v>1</v>
      </c>
      <c r="G37" s="112">
        <v>88.2</v>
      </c>
      <c r="H37" s="112">
        <v>28.44</v>
      </c>
      <c r="I37" s="112">
        <v>8.3000000000000007</v>
      </c>
      <c r="J37" s="112">
        <v>0.33</v>
      </c>
      <c r="K37" s="112">
        <v>345.34</v>
      </c>
      <c r="L37" s="112">
        <v>27.7</v>
      </c>
      <c r="M37" s="112">
        <v>64.290000000000006</v>
      </c>
      <c r="N37" s="112">
        <v>67</v>
      </c>
      <c r="O37" s="112">
        <v>0</v>
      </c>
      <c r="P37" s="112">
        <v>0.71</v>
      </c>
      <c r="Q37" s="167" t="s">
        <v>14</v>
      </c>
    </row>
    <row r="38" spans="1:17" customFormat="1">
      <c r="A38" s="80">
        <v>45426.3125</v>
      </c>
      <c r="B38" s="112">
        <v>11.39</v>
      </c>
      <c r="C38" s="112">
        <v>13.13</v>
      </c>
      <c r="D38" s="112">
        <v>25.14</v>
      </c>
      <c r="E38" s="112">
        <v>14.79</v>
      </c>
      <c r="F38" s="112">
        <v>1</v>
      </c>
      <c r="G38" s="112">
        <v>88.2</v>
      </c>
      <c r="H38" s="112">
        <v>28.44</v>
      </c>
      <c r="I38" s="112">
        <v>8.42</v>
      </c>
      <c r="J38" s="112">
        <v>0.34</v>
      </c>
      <c r="K38" s="112">
        <v>9.16</v>
      </c>
      <c r="L38" s="112">
        <v>28.19</v>
      </c>
      <c r="M38" s="112">
        <v>62.07</v>
      </c>
      <c r="N38" s="112">
        <v>111.5</v>
      </c>
      <c r="O38" s="112">
        <v>0</v>
      </c>
      <c r="P38" s="112">
        <v>0.73</v>
      </c>
      <c r="Q38" s="167" t="s">
        <v>14</v>
      </c>
    </row>
    <row r="39" spans="1:17" customFormat="1">
      <c r="A39" s="80">
        <v>45426.322916666664</v>
      </c>
      <c r="B39" s="112">
        <v>11.37</v>
      </c>
      <c r="C39" s="112">
        <v>13.13</v>
      </c>
      <c r="D39" s="112">
        <v>25.12</v>
      </c>
      <c r="E39" s="112">
        <v>16.18</v>
      </c>
      <c r="F39" s="112">
        <v>1</v>
      </c>
      <c r="G39" s="112">
        <v>88.2</v>
      </c>
      <c r="H39" s="112">
        <v>28.44</v>
      </c>
      <c r="I39" s="112">
        <v>8.59</v>
      </c>
      <c r="J39" s="112">
        <v>0.26</v>
      </c>
      <c r="K39" s="112">
        <v>20.74</v>
      </c>
      <c r="L39" s="112">
        <v>29.44</v>
      </c>
      <c r="M39" s="112">
        <v>57.82</v>
      </c>
      <c r="N39" s="112">
        <v>156.80000000000001</v>
      </c>
      <c r="O39" s="112">
        <v>0</v>
      </c>
      <c r="P39" s="112">
        <v>0.76</v>
      </c>
      <c r="Q39" s="167" t="s">
        <v>14</v>
      </c>
    </row>
    <row r="40" spans="1:17" customFormat="1">
      <c r="A40" s="80">
        <v>45426.333333333336</v>
      </c>
      <c r="B40" s="112">
        <v>11.39</v>
      </c>
      <c r="C40" s="112">
        <v>13.09</v>
      </c>
      <c r="D40" s="112">
        <v>25.12</v>
      </c>
      <c r="E40" s="112">
        <v>17.96</v>
      </c>
      <c r="F40" s="112">
        <v>1.1100000000000001</v>
      </c>
      <c r="G40" s="112">
        <v>102.1</v>
      </c>
      <c r="H40" s="112">
        <v>33.67</v>
      </c>
      <c r="I40" s="112">
        <v>8.8699999999999992</v>
      </c>
      <c r="J40" s="112">
        <v>0.3</v>
      </c>
      <c r="K40" s="112">
        <v>351.07</v>
      </c>
      <c r="L40" s="112">
        <v>29.88</v>
      </c>
      <c r="M40" s="112">
        <v>58.96</v>
      </c>
      <c r="N40" s="112">
        <v>137</v>
      </c>
      <c r="O40" s="112">
        <v>0</v>
      </c>
      <c r="P40" s="112">
        <v>0.81</v>
      </c>
      <c r="Q40" s="167" t="s">
        <v>14</v>
      </c>
    </row>
    <row r="41" spans="1:17" customFormat="1">
      <c r="A41" s="80">
        <v>45426.34375</v>
      </c>
      <c r="B41" s="112">
        <v>11.35</v>
      </c>
      <c r="C41" s="112">
        <v>13.16</v>
      </c>
      <c r="D41" s="112">
        <v>25.12</v>
      </c>
      <c r="E41" s="112">
        <v>20.8</v>
      </c>
      <c r="F41" s="112">
        <v>1.53</v>
      </c>
      <c r="G41" s="112">
        <v>105.62</v>
      </c>
      <c r="H41" s="112">
        <v>33.67</v>
      </c>
      <c r="I41" s="112">
        <v>9.1999999999999993</v>
      </c>
      <c r="J41" s="112">
        <v>0.51</v>
      </c>
      <c r="K41" s="112">
        <v>17.02</v>
      </c>
      <c r="L41" s="112">
        <v>30.32</v>
      </c>
      <c r="M41" s="112">
        <v>57.64</v>
      </c>
      <c r="N41" s="112">
        <v>140.5</v>
      </c>
      <c r="O41" s="112">
        <v>0</v>
      </c>
      <c r="P41" s="112">
        <v>0.82</v>
      </c>
      <c r="Q41" s="167" t="s">
        <v>14</v>
      </c>
    </row>
    <row r="42" spans="1:17" customFormat="1">
      <c r="A42" s="80">
        <v>45426.354166666664</v>
      </c>
      <c r="B42" s="112">
        <v>11.35</v>
      </c>
      <c r="C42" s="112">
        <v>13.13</v>
      </c>
      <c r="D42" s="112">
        <v>25.11</v>
      </c>
      <c r="E42" s="112">
        <v>21.28</v>
      </c>
      <c r="F42" s="112">
        <v>2.4500000000000002</v>
      </c>
      <c r="G42" s="112">
        <v>105.62</v>
      </c>
      <c r="H42" s="112">
        <v>33.67</v>
      </c>
      <c r="I42" s="112">
        <v>9.59</v>
      </c>
      <c r="J42" s="112">
        <v>0.76</v>
      </c>
      <c r="K42" s="112">
        <v>342.09</v>
      </c>
      <c r="L42" s="112">
        <v>30.81</v>
      </c>
      <c r="M42" s="112">
        <v>55</v>
      </c>
      <c r="N42" s="112">
        <v>141.30000000000001</v>
      </c>
      <c r="O42" s="112">
        <v>0</v>
      </c>
      <c r="P42" s="112">
        <v>0.85</v>
      </c>
      <c r="Q42" s="167" t="s">
        <v>14</v>
      </c>
    </row>
    <row r="43" spans="1:17" customFormat="1">
      <c r="A43" s="80">
        <v>45426.364583333336</v>
      </c>
      <c r="B43" s="112">
        <v>11.36</v>
      </c>
      <c r="C43" s="112">
        <v>13.1</v>
      </c>
      <c r="D43" s="112">
        <v>25.1</v>
      </c>
      <c r="E43" s="112">
        <v>23.57</v>
      </c>
      <c r="F43" s="112">
        <v>3.36</v>
      </c>
      <c r="G43" s="112">
        <v>105.62</v>
      </c>
      <c r="H43" s="112">
        <v>33.67</v>
      </c>
      <c r="I43" s="112">
        <v>9.9700000000000006</v>
      </c>
      <c r="J43" s="112">
        <v>0.49</v>
      </c>
      <c r="K43" s="112">
        <v>356.15</v>
      </c>
      <c r="L43" s="112">
        <v>31.27</v>
      </c>
      <c r="M43" s="112">
        <v>50.6</v>
      </c>
      <c r="N43" s="112">
        <v>149.4</v>
      </c>
      <c r="O43" s="112">
        <v>0</v>
      </c>
      <c r="P43" s="112">
        <v>0.88</v>
      </c>
      <c r="Q43" s="167" t="s">
        <v>14</v>
      </c>
    </row>
    <row r="44" spans="1:17" customFormat="1">
      <c r="A44" s="80">
        <v>45426.375</v>
      </c>
      <c r="B44" s="112">
        <v>11.4</v>
      </c>
      <c r="C44" s="112">
        <v>13.23</v>
      </c>
      <c r="D44" s="112">
        <v>25.2</v>
      </c>
      <c r="E44" s="112">
        <v>53.69</v>
      </c>
      <c r="F44" s="112">
        <v>11.3</v>
      </c>
      <c r="G44" s="112">
        <v>129.15</v>
      </c>
      <c r="H44" s="112">
        <v>44.74</v>
      </c>
      <c r="I44" s="112">
        <v>10.27</v>
      </c>
      <c r="J44" s="112">
        <v>0.47</v>
      </c>
      <c r="K44" s="112">
        <v>359.95</v>
      </c>
      <c r="L44" s="112">
        <v>31.91</v>
      </c>
      <c r="M44" s="112">
        <v>48.49</v>
      </c>
      <c r="N44" s="112">
        <v>158.5</v>
      </c>
      <c r="O44" s="112">
        <v>0</v>
      </c>
      <c r="P44" s="112">
        <v>0.93</v>
      </c>
      <c r="Q44" s="167" t="s">
        <v>14</v>
      </c>
    </row>
    <row r="45" spans="1:17" customFormat="1">
      <c r="A45" s="80">
        <v>45426.385416666664</v>
      </c>
      <c r="B45" s="112">
        <v>11.32</v>
      </c>
      <c r="C45" s="112">
        <v>13.13</v>
      </c>
      <c r="D45" s="112">
        <v>25.08</v>
      </c>
      <c r="E45" s="112">
        <v>49.47</v>
      </c>
      <c r="F45" s="112">
        <v>11.71</v>
      </c>
      <c r="G45" s="112">
        <v>135.03</v>
      </c>
      <c r="H45" s="112">
        <v>44.74</v>
      </c>
      <c r="I45" s="112">
        <v>10.47</v>
      </c>
      <c r="J45" s="112">
        <v>0.57999999999999996</v>
      </c>
      <c r="K45" s="112">
        <v>305.95999999999998</v>
      </c>
      <c r="L45" s="112">
        <v>32.58</v>
      </c>
      <c r="M45" s="112">
        <v>45.97</v>
      </c>
      <c r="N45" s="112">
        <v>164.6</v>
      </c>
      <c r="O45" s="112">
        <v>0</v>
      </c>
      <c r="P45" s="112">
        <v>0.9</v>
      </c>
      <c r="Q45" s="167" t="s">
        <v>14</v>
      </c>
    </row>
    <row r="46" spans="1:17" customFormat="1">
      <c r="A46" s="80">
        <v>45426.395833333336</v>
      </c>
      <c r="B46" s="112">
        <v>11.32</v>
      </c>
      <c r="C46" s="112">
        <v>13.1</v>
      </c>
      <c r="D46" s="112">
        <v>25.06</v>
      </c>
      <c r="E46" s="112">
        <v>54.57</v>
      </c>
      <c r="F46" s="112">
        <v>20.54</v>
      </c>
      <c r="G46" s="112">
        <v>135.03</v>
      </c>
      <c r="H46" s="112">
        <v>44.74</v>
      </c>
      <c r="I46" s="112">
        <v>10.56</v>
      </c>
      <c r="J46" s="112">
        <v>0.48</v>
      </c>
      <c r="K46" s="112">
        <v>358.7</v>
      </c>
      <c r="L46" s="112">
        <v>33.299999999999997</v>
      </c>
      <c r="M46" s="112">
        <v>43.36</v>
      </c>
      <c r="N46" s="112">
        <v>177.6</v>
      </c>
      <c r="O46" s="112">
        <v>0</v>
      </c>
      <c r="P46" s="112">
        <v>0.87</v>
      </c>
      <c r="Q46" s="167" t="s">
        <v>14</v>
      </c>
    </row>
    <row r="47" spans="1:17" customFormat="1">
      <c r="A47" s="80">
        <v>45426.40625</v>
      </c>
      <c r="B47" s="112">
        <v>11.31</v>
      </c>
      <c r="C47" s="112">
        <v>13.14</v>
      </c>
      <c r="D47" s="112">
        <v>25.08</v>
      </c>
      <c r="E47" s="112">
        <v>48.35</v>
      </c>
      <c r="F47" s="112">
        <v>14.87</v>
      </c>
      <c r="G47" s="112">
        <v>135.03</v>
      </c>
      <c r="H47" s="112">
        <v>44.74</v>
      </c>
      <c r="I47" s="112">
        <v>10.4</v>
      </c>
      <c r="J47" s="112">
        <v>0.44</v>
      </c>
      <c r="K47" s="112">
        <v>330.22</v>
      </c>
      <c r="L47" s="112">
        <v>34.020000000000003</v>
      </c>
      <c r="M47" s="112">
        <v>41.72</v>
      </c>
      <c r="N47" s="112">
        <v>187.3</v>
      </c>
      <c r="O47" s="112">
        <v>0</v>
      </c>
      <c r="P47" s="112">
        <v>0.91</v>
      </c>
      <c r="Q47" s="167" t="s">
        <v>14</v>
      </c>
    </row>
    <row r="48" spans="1:17" customFormat="1">
      <c r="A48" s="80">
        <v>45426.416666666664</v>
      </c>
      <c r="B48" s="112">
        <v>11.3</v>
      </c>
      <c r="C48" s="112">
        <v>13.1</v>
      </c>
      <c r="D48" s="112">
        <v>25.05</v>
      </c>
      <c r="E48" s="112">
        <v>85.41</v>
      </c>
      <c r="F48" s="112">
        <v>24.4</v>
      </c>
      <c r="G48" s="112">
        <v>132.91999999999999</v>
      </c>
      <c r="H48" s="112">
        <v>45.96</v>
      </c>
      <c r="I48" s="112">
        <v>10.23</v>
      </c>
      <c r="J48" s="112">
        <v>0.46</v>
      </c>
      <c r="K48" s="112">
        <v>22.46</v>
      </c>
      <c r="L48" s="112">
        <v>34.42</v>
      </c>
      <c r="M48" s="112">
        <v>40.869999999999997</v>
      </c>
      <c r="N48" s="112">
        <v>194.8</v>
      </c>
      <c r="O48" s="112">
        <v>0</v>
      </c>
      <c r="P48" s="112">
        <v>0.94</v>
      </c>
      <c r="Q48" s="167" t="s">
        <v>14</v>
      </c>
    </row>
    <row r="49" spans="1:17" customFormat="1">
      <c r="A49" s="80">
        <v>45426.427083333336</v>
      </c>
      <c r="B49" s="112">
        <v>11.33</v>
      </c>
      <c r="C49" s="112">
        <v>13.13</v>
      </c>
      <c r="D49" s="112">
        <v>25.09</v>
      </c>
      <c r="E49" s="112">
        <v>21.77</v>
      </c>
      <c r="F49" s="112">
        <v>24.82</v>
      </c>
      <c r="G49" s="112">
        <v>132.38999999999999</v>
      </c>
      <c r="H49" s="112">
        <v>45.96</v>
      </c>
      <c r="I49" s="112">
        <v>10.55</v>
      </c>
      <c r="J49" s="112">
        <v>0.62</v>
      </c>
      <c r="K49" s="112">
        <v>357.08</v>
      </c>
      <c r="L49" s="112">
        <v>34.83</v>
      </c>
      <c r="M49" s="112">
        <v>40.049999999999997</v>
      </c>
      <c r="N49" s="112">
        <v>203.2</v>
      </c>
      <c r="O49" s="112">
        <v>0</v>
      </c>
      <c r="P49" s="112">
        <v>0.93</v>
      </c>
      <c r="Q49" s="167" t="s">
        <v>14</v>
      </c>
    </row>
    <row r="50" spans="1:17" customFormat="1">
      <c r="A50" s="80">
        <v>45426.4375</v>
      </c>
      <c r="B50" s="112">
        <v>11.31</v>
      </c>
      <c r="C50" s="112">
        <v>13.13</v>
      </c>
      <c r="D50" s="112">
        <v>25.08</v>
      </c>
      <c r="E50" s="112">
        <v>77.52</v>
      </c>
      <c r="F50" s="112">
        <v>24.63</v>
      </c>
      <c r="G50" s="112">
        <v>132.38999999999999</v>
      </c>
      <c r="H50" s="112">
        <v>45.96</v>
      </c>
      <c r="I50" s="112">
        <v>10.75</v>
      </c>
      <c r="J50" s="112">
        <v>0.54</v>
      </c>
      <c r="K50" s="112">
        <v>48.28</v>
      </c>
      <c r="L50" s="112">
        <v>35.31</v>
      </c>
      <c r="M50" s="112">
        <v>39.61</v>
      </c>
      <c r="N50" s="112">
        <v>217.6</v>
      </c>
      <c r="O50" s="112">
        <v>0</v>
      </c>
      <c r="P50" s="112">
        <v>0.92</v>
      </c>
      <c r="Q50" s="167" t="s">
        <v>14</v>
      </c>
    </row>
    <row r="51" spans="1:17" customFormat="1">
      <c r="A51" s="80">
        <v>45426.447916666664</v>
      </c>
      <c r="B51" s="112">
        <v>11.32</v>
      </c>
      <c r="C51" s="112">
        <v>13.17</v>
      </c>
      <c r="D51" s="112">
        <v>25.1</v>
      </c>
      <c r="E51" s="112">
        <v>53.91</v>
      </c>
      <c r="F51" s="112">
        <v>30.97</v>
      </c>
      <c r="G51" s="112">
        <v>132.38999999999999</v>
      </c>
      <c r="H51" s="112">
        <v>45.96</v>
      </c>
      <c r="I51" s="112">
        <v>10.53</v>
      </c>
      <c r="J51" s="112">
        <v>0.8</v>
      </c>
      <c r="K51" s="112">
        <v>33.450000000000003</v>
      </c>
      <c r="L51" s="112">
        <v>35.61</v>
      </c>
      <c r="M51" s="112">
        <v>37.909999999999997</v>
      </c>
      <c r="N51" s="112">
        <v>278</v>
      </c>
      <c r="O51" s="112">
        <v>0</v>
      </c>
      <c r="P51" s="112">
        <v>0.9</v>
      </c>
      <c r="Q51" s="167" t="s">
        <v>14</v>
      </c>
    </row>
    <row r="52" spans="1:17" customFormat="1">
      <c r="A52" s="80">
        <v>45426.458333333336</v>
      </c>
      <c r="B52" s="112">
        <v>11.33</v>
      </c>
      <c r="C52" s="112">
        <v>13.15</v>
      </c>
      <c r="D52" s="112">
        <v>25.1</v>
      </c>
      <c r="E52" s="112">
        <v>109.26</v>
      </c>
      <c r="F52" s="112">
        <v>48</v>
      </c>
      <c r="G52" s="112">
        <v>129.88</v>
      </c>
      <c r="H52" s="112">
        <v>50.71</v>
      </c>
      <c r="I52" s="112">
        <v>10.38</v>
      </c>
      <c r="J52" s="112">
        <v>0.6</v>
      </c>
      <c r="K52" s="112">
        <v>25.84</v>
      </c>
      <c r="L52" s="112">
        <v>36.61</v>
      </c>
      <c r="M52" s="112">
        <v>35.44</v>
      </c>
      <c r="N52" s="112">
        <v>486.7</v>
      </c>
      <c r="O52" s="112">
        <v>0</v>
      </c>
      <c r="P52" s="112">
        <v>0.86</v>
      </c>
      <c r="Q52" s="167" t="s">
        <v>14</v>
      </c>
    </row>
    <row r="53" spans="1:17" customFormat="1">
      <c r="A53" s="80">
        <v>45426.46875</v>
      </c>
      <c r="B53" s="112">
        <v>11.32</v>
      </c>
      <c r="C53" s="112">
        <v>13.11</v>
      </c>
      <c r="D53" s="112">
        <v>25.07</v>
      </c>
      <c r="E53" s="112">
        <v>57.35</v>
      </c>
      <c r="F53" s="112">
        <v>42.24</v>
      </c>
      <c r="G53" s="112">
        <v>129.24</v>
      </c>
      <c r="H53" s="112">
        <v>50.71</v>
      </c>
      <c r="I53" s="112">
        <v>10.02</v>
      </c>
      <c r="J53" s="112">
        <v>0.92</v>
      </c>
      <c r="K53" s="112">
        <v>39.090000000000003</v>
      </c>
      <c r="L53" s="112">
        <v>36.71</v>
      </c>
      <c r="M53" s="112">
        <v>35.049999999999997</v>
      </c>
      <c r="N53" s="112">
        <v>620.79999999999995</v>
      </c>
      <c r="O53" s="112">
        <v>0</v>
      </c>
      <c r="P53" s="112">
        <v>0.87</v>
      </c>
      <c r="Q53" s="167" t="s">
        <v>14</v>
      </c>
    </row>
    <row r="54" spans="1:17" customFormat="1">
      <c r="A54" s="80">
        <v>45426.479166666664</v>
      </c>
      <c r="B54" s="112">
        <v>11.31</v>
      </c>
      <c r="C54" s="112">
        <v>13.08</v>
      </c>
      <c r="D54" s="112">
        <v>25.05</v>
      </c>
      <c r="E54" s="112">
        <v>64.66</v>
      </c>
      <c r="F54" s="112">
        <v>49.46</v>
      </c>
      <c r="G54" s="112">
        <v>129.24</v>
      </c>
      <c r="H54" s="112">
        <v>50.71</v>
      </c>
      <c r="I54" s="112">
        <v>9.68</v>
      </c>
      <c r="J54" s="112">
        <v>0.64</v>
      </c>
      <c r="K54" s="112">
        <v>25.2</v>
      </c>
      <c r="L54" s="112">
        <v>37.11</v>
      </c>
      <c r="M54" s="112">
        <v>33.72</v>
      </c>
      <c r="N54" s="112">
        <v>753.2</v>
      </c>
      <c r="O54" s="112">
        <v>0</v>
      </c>
      <c r="P54" s="112">
        <v>0.85</v>
      </c>
      <c r="Q54" s="167" t="s">
        <v>14</v>
      </c>
    </row>
    <row r="55" spans="1:17" customFormat="1">
      <c r="A55" s="80">
        <v>45426.489583333336</v>
      </c>
      <c r="B55" s="112">
        <v>11.32</v>
      </c>
      <c r="C55" s="112">
        <v>13.08</v>
      </c>
      <c r="D55" s="112">
        <v>25.05</v>
      </c>
      <c r="E55" s="112">
        <v>47.98</v>
      </c>
      <c r="F55" s="112">
        <v>39.53</v>
      </c>
      <c r="G55" s="112">
        <v>129.24</v>
      </c>
      <c r="H55" s="112">
        <v>50.71</v>
      </c>
      <c r="I55" s="112">
        <v>9.5500000000000007</v>
      </c>
      <c r="J55" s="112">
        <v>0.14000000000000001</v>
      </c>
      <c r="K55" s="112">
        <v>-0.43</v>
      </c>
      <c r="L55" s="112">
        <v>37.549999999999997</v>
      </c>
      <c r="M55" s="112">
        <v>32.9</v>
      </c>
      <c r="N55" s="112">
        <v>767.9</v>
      </c>
      <c r="O55" s="112">
        <v>0</v>
      </c>
      <c r="P55" s="112">
        <v>0.82</v>
      </c>
      <c r="Q55" s="167" t="s">
        <v>14</v>
      </c>
    </row>
    <row r="56" spans="1:17" customFormat="1">
      <c r="A56" s="80">
        <v>45426.5</v>
      </c>
      <c r="B56" s="149" t="s">
        <v>4</v>
      </c>
      <c r="C56" s="149" t="s">
        <v>4</v>
      </c>
      <c r="D56" s="149" t="s">
        <v>4</v>
      </c>
      <c r="E56" s="149" t="s">
        <v>4</v>
      </c>
      <c r="F56" s="149" t="s">
        <v>4</v>
      </c>
      <c r="G56" s="149" t="s">
        <v>4</v>
      </c>
      <c r="H56" s="149" t="s">
        <v>4</v>
      </c>
      <c r="I56" s="149" t="s">
        <v>4</v>
      </c>
      <c r="J56" s="149" t="s">
        <v>4</v>
      </c>
      <c r="K56" s="149" t="s">
        <v>4</v>
      </c>
      <c r="L56" s="149" t="s">
        <v>4</v>
      </c>
      <c r="M56" s="149" t="s">
        <v>4</v>
      </c>
      <c r="N56" s="149" t="s">
        <v>4</v>
      </c>
      <c r="O56" s="149" t="s">
        <v>4</v>
      </c>
      <c r="P56" s="149" t="s">
        <v>4</v>
      </c>
      <c r="Q56" s="149" t="s">
        <v>4</v>
      </c>
    </row>
    <row r="57" spans="1:17" customFormat="1">
      <c r="A57" s="80">
        <v>45426.510416666664</v>
      </c>
      <c r="B57" s="112">
        <v>11.3</v>
      </c>
      <c r="C57" s="112">
        <v>13.08</v>
      </c>
      <c r="D57" s="112">
        <v>25.04</v>
      </c>
      <c r="E57" s="112">
        <v>48.64</v>
      </c>
      <c r="F57" s="112">
        <v>76.83</v>
      </c>
      <c r="G57" s="112">
        <v>121.27</v>
      </c>
      <c r="H57" s="112">
        <v>47.16</v>
      </c>
      <c r="I57" s="112">
        <v>9.25</v>
      </c>
      <c r="J57" s="112">
        <v>0.79</v>
      </c>
      <c r="K57" s="112">
        <v>30.31</v>
      </c>
      <c r="L57" s="112">
        <v>37.85</v>
      </c>
      <c r="M57" s="112">
        <v>31.15</v>
      </c>
      <c r="N57" s="112">
        <v>823.1</v>
      </c>
      <c r="O57" s="112">
        <v>0</v>
      </c>
      <c r="P57" s="112">
        <v>0.65</v>
      </c>
      <c r="Q57" s="167" t="s">
        <v>14</v>
      </c>
    </row>
    <row r="58" spans="1:17" customFormat="1">
      <c r="A58" s="80">
        <v>45426.520833333336</v>
      </c>
      <c r="B58" s="151" t="s">
        <v>12</v>
      </c>
      <c r="C58" s="151" t="s">
        <v>12</v>
      </c>
      <c r="D58" s="151" t="s">
        <v>12</v>
      </c>
      <c r="E58" s="112">
        <v>6.08</v>
      </c>
      <c r="F58" s="151" t="s">
        <v>12</v>
      </c>
      <c r="G58" s="112">
        <v>121.27</v>
      </c>
      <c r="H58" s="112">
        <v>47.16</v>
      </c>
      <c r="I58" s="112">
        <v>8.42</v>
      </c>
      <c r="J58" s="112">
        <v>1.01</v>
      </c>
      <c r="K58" s="112">
        <v>58.41</v>
      </c>
      <c r="L58" s="112">
        <v>38.57</v>
      </c>
      <c r="M58" s="112">
        <v>28.51</v>
      </c>
      <c r="N58" s="112">
        <v>762.9</v>
      </c>
      <c r="O58" s="112">
        <v>0</v>
      </c>
      <c r="P58" s="112">
        <v>0.13</v>
      </c>
      <c r="Q58" s="167" t="s">
        <v>14</v>
      </c>
    </row>
    <row r="59" spans="1:17" customFormat="1">
      <c r="A59" s="80">
        <v>45426.53125</v>
      </c>
      <c r="B59" s="151" t="s">
        <v>12</v>
      </c>
      <c r="C59" s="151" t="s">
        <v>12</v>
      </c>
      <c r="D59" s="151" t="s">
        <v>12</v>
      </c>
      <c r="E59" s="112">
        <v>5.2</v>
      </c>
      <c r="F59" s="112">
        <v>3.44</v>
      </c>
      <c r="G59" s="151" t="s">
        <v>12</v>
      </c>
      <c r="H59" s="151" t="s">
        <v>12</v>
      </c>
      <c r="I59" s="112">
        <v>7.19</v>
      </c>
      <c r="J59" s="112">
        <v>0.28999999999999998</v>
      </c>
      <c r="K59" s="112">
        <v>317.63</v>
      </c>
      <c r="L59" s="112">
        <v>38.840000000000003</v>
      </c>
      <c r="M59" s="112">
        <v>28.12</v>
      </c>
      <c r="N59" s="112">
        <v>717.2</v>
      </c>
      <c r="O59" s="112">
        <v>0</v>
      </c>
      <c r="P59" s="112">
        <v>1.44</v>
      </c>
      <c r="Q59" s="167" t="s">
        <v>14</v>
      </c>
    </row>
    <row r="60" spans="1:17" customFormat="1">
      <c r="A60" s="80">
        <v>45426.541666666664</v>
      </c>
      <c r="B60" s="151" t="s">
        <v>12</v>
      </c>
      <c r="C60" s="151" t="s">
        <v>12</v>
      </c>
      <c r="D60" s="151" t="s">
        <v>12</v>
      </c>
      <c r="E60" s="112">
        <v>5.43</v>
      </c>
      <c r="F60" s="112">
        <v>3.54</v>
      </c>
      <c r="G60" s="151" t="s">
        <v>12</v>
      </c>
      <c r="H60" s="151" t="s">
        <v>12</v>
      </c>
      <c r="I60" s="112">
        <v>6.22</v>
      </c>
      <c r="J60" s="112">
        <v>0.85</v>
      </c>
      <c r="K60" s="112">
        <v>294.27</v>
      </c>
      <c r="L60" s="112">
        <v>38.76</v>
      </c>
      <c r="M60" s="112">
        <v>29.03</v>
      </c>
      <c r="N60" s="112">
        <v>723.5</v>
      </c>
      <c r="O60" s="112">
        <v>0</v>
      </c>
      <c r="P60" s="112">
        <v>4.3899999999999997</v>
      </c>
      <c r="Q60" s="167" t="s">
        <v>14</v>
      </c>
    </row>
    <row r="61" spans="1:17" customFormat="1">
      <c r="A61" s="80">
        <v>45426.552083333336</v>
      </c>
      <c r="B61" s="151" t="s">
        <v>12</v>
      </c>
      <c r="C61" s="151" t="s">
        <v>12</v>
      </c>
      <c r="D61" s="151" t="s">
        <v>12</v>
      </c>
      <c r="E61" s="112">
        <v>5.15</v>
      </c>
      <c r="F61" s="112">
        <v>0.18</v>
      </c>
      <c r="G61" s="151" t="s">
        <v>12</v>
      </c>
      <c r="H61" s="151" t="s">
        <v>12</v>
      </c>
      <c r="I61" s="112">
        <v>7.74</v>
      </c>
      <c r="J61" s="112">
        <v>0.16</v>
      </c>
      <c r="K61" s="112">
        <v>221.19</v>
      </c>
      <c r="L61" s="112">
        <v>39.19</v>
      </c>
      <c r="M61" s="112">
        <v>28.64</v>
      </c>
      <c r="N61" s="112">
        <v>634.29999999999995</v>
      </c>
      <c r="O61" s="112">
        <v>0</v>
      </c>
      <c r="P61" s="112">
        <v>0.51</v>
      </c>
      <c r="Q61" s="167" t="s">
        <v>14</v>
      </c>
    </row>
    <row r="62" spans="1:17" customFormat="1">
      <c r="A62" s="80">
        <v>45426.5625</v>
      </c>
      <c r="B62" s="112">
        <v>7.8</v>
      </c>
      <c r="C62" s="112">
        <v>13.04</v>
      </c>
      <c r="D62" s="112">
        <v>24.81</v>
      </c>
      <c r="E62" s="112">
        <v>18.8</v>
      </c>
      <c r="F62" s="112">
        <v>3.75</v>
      </c>
      <c r="G62" s="151" t="s">
        <v>12</v>
      </c>
      <c r="H62" s="151" t="s">
        <v>12</v>
      </c>
      <c r="I62" s="112">
        <v>14.48</v>
      </c>
      <c r="J62" s="112">
        <v>1.47</v>
      </c>
      <c r="K62" s="112">
        <v>58.01</v>
      </c>
      <c r="L62" s="112">
        <v>38.68</v>
      </c>
      <c r="M62" s="112">
        <v>28.88</v>
      </c>
      <c r="N62" s="112">
        <v>609.9</v>
      </c>
      <c r="O62" s="112">
        <v>0</v>
      </c>
      <c r="P62" s="112">
        <v>0.64</v>
      </c>
      <c r="Q62" s="167" t="s">
        <v>14</v>
      </c>
    </row>
    <row r="63" spans="1:17" customFormat="1">
      <c r="A63" s="80">
        <v>45426.572916666664</v>
      </c>
      <c r="B63" s="112">
        <v>11</v>
      </c>
      <c r="C63" s="112">
        <v>13.06</v>
      </c>
      <c r="D63" s="112">
        <v>24.79</v>
      </c>
      <c r="E63" s="112">
        <v>76.22</v>
      </c>
      <c r="F63" s="112">
        <v>143.24</v>
      </c>
      <c r="G63" s="151" t="s">
        <v>12</v>
      </c>
      <c r="H63" s="151" t="s">
        <v>12</v>
      </c>
      <c r="I63" s="112">
        <v>26</v>
      </c>
      <c r="J63" s="112">
        <v>0.56999999999999995</v>
      </c>
      <c r="K63" s="112">
        <v>351.57</v>
      </c>
      <c r="L63" s="112">
        <v>39.6</v>
      </c>
      <c r="M63" s="112">
        <v>27.3</v>
      </c>
      <c r="N63" s="112">
        <v>610</v>
      </c>
      <c r="O63" s="112">
        <v>0</v>
      </c>
      <c r="P63" s="112">
        <v>0.6</v>
      </c>
      <c r="Q63" s="167" t="s">
        <v>14</v>
      </c>
    </row>
    <row r="64" spans="1:17" customFormat="1">
      <c r="A64" s="80">
        <v>45426.583333333336</v>
      </c>
      <c r="B64" s="112">
        <v>10.99</v>
      </c>
      <c r="C64" s="112">
        <v>13.07</v>
      </c>
      <c r="D64" s="112">
        <v>24.79</v>
      </c>
      <c r="E64" s="112">
        <v>42.35</v>
      </c>
      <c r="F64" s="112">
        <v>5.68</v>
      </c>
      <c r="G64" s="151" t="s">
        <v>12</v>
      </c>
      <c r="H64" s="151" t="s">
        <v>12</v>
      </c>
      <c r="I64" s="112">
        <v>30.56</v>
      </c>
      <c r="J64" s="112">
        <v>0.55000000000000004</v>
      </c>
      <c r="K64" s="112">
        <v>0.56000000000000005</v>
      </c>
      <c r="L64" s="112">
        <v>39.53</v>
      </c>
      <c r="M64" s="112">
        <v>26.97</v>
      </c>
      <c r="N64" s="112">
        <v>586.4</v>
      </c>
      <c r="O64" s="112">
        <v>0</v>
      </c>
      <c r="P64" s="112">
        <v>0.61</v>
      </c>
      <c r="Q64" s="167" t="s">
        <v>14</v>
      </c>
    </row>
    <row r="65" spans="1:17" customFormat="1">
      <c r="A65" s="80">
        <v>45426.59375</v>
      </c>
      <c r="B65" s="112">
        <v>11</v>
      </c>
      <c r="C65" s="112">
        <v>13.03</v>
      </c>
      <c r="D65" s="112">
        <v>24.77</v>
      </c>
      <c r="E65" s="112">
        <v>61.11</v>
      </c>
      <c r="F65" s="112">
        <v>69.459999999999994</v>
      </c>
      <c r="G65" s="112">
        <v>84.15</v>
      </c>
      <c r="H65" s="112">
        <v>28.28</v>
      </c>
      <c r="I65" s="112">
        <v>22.48</v>
      </c>
      <c r="J65" s="112">
        <v>0.52</v>
      </c>
      <c r="K65" s="112">
        <v>16.38</v>
      </c>
      <c r="L65" s="112">
        <v>40.130000000000003</v>
      </c>
      <c r="M65" s="112">
        <v>25.11</v>
      </c>
      <c r="N65" s="112">
        <v>602.79999999999995</v>
      </c>
      <c r="O65" s="112">
        <v>0</v>
      </c>
      <c r="P65" s="112">
        <v>0.55000000000000004</v>
      </c>
      <c r="Q65" s="167" t="s">
        <v>14</v>
      </c>
    </row>
    <row r="66" spans="1:17" customFormat="1">
      <c r="A66" s="80">
        <v>45426.604166666664</v>
      </c>
      <c r="B66" s="112">
        <v>10.98</v>
      </c>
      <c r="C66" s="112">
        <v>13.06</v>
      </c>
      <c r="D66" s="112">
        <v>24.77</v>
      </c>
      <c r="E66" s="112">
        <v>47.27</v>
      </c>
      <c r="F66" s="112">
        <v>77.099999999999994</v>
      </c>
      <c r="G66" s="112">
        <v>84.15</v>
      </c>
      <c r="H66" s="112">
        <v>28.28</v>
      </c>
      <c r="I66" s="112">
        <v>17.260000000000002</v>
      </c>
      <c r="J66" s="112">
        <v>0.31</v>
      </c>
      <c r="K66" s="112">
        <v>34.08</v>
      </c>
      <c r="L66" s="112">
        <v>40.700000000000003</v>
      </c>
      <c r="M66" s="112">
        <v>24.53</v>
      </c>
      <c r="N66" s="112">
        <v>465.6</v>
      </c>
      <c r="O66" s="112">
        <v>0</v>
      </c>
      <c r="P66" s="112">
        <v>0.57999999999999996</v>
      </c>
      <c r="Q66" s="167" t="s">
        <v>14</v>
      </c>
    </row>
    <row r="67" spans="1:17" customFormat="1">
      <c r="A67" s="80">
        <v>45426.614583333336</v>
      </c>
      <c r="B67" s="112">
        <v>10.9</v>
      </c>
      <c r="C67" s="112">
        <v>13.05</v>
      </c>
      <c r="D67" s="112">
        <v>24.71</v>
      </c>
      <c r="E67" s="112">
        <v>42.15</v>
      </c>
      <c r="F67" s="112">
        <v>61.93</v>
      </c>
      <c r="G67" s="112">
        <v>84.15</v>
      </c>
      <c r="H67" s="112">
        <v>28.28</v>
      </c>
      <c r="I67" s="112">
        <v>15.73</v>
      </c>
      <c r="J67" s="112">
        <v>0.51</v>
      </c>
      <c r="K67" s="112">
        <v>88.98</v>
      </c>
      <c r="L67" s="112">
        <v>40.65</v>
      </c>
      <c r="M67" s="112">
        <v>24.14</v>
      </c>
      <c r="N67" s="112">
        <v>540.4</v>
      </c>
      <c r="O67" s="112">
        <v>0</v>
      </c>
      <c r="P67" s="112">
        <v>0.54</v>
      </c>
      <c r="Q67" s="112">
        <v>4.63</v>
      </c>
    </row>
    <row r="68" spans="1:17" customFormat="1">
      <c r="A68" s="80">
        <v>45426.625</v>
      </c>
      <c r="B68" s="112">
        <v>10.82</v>
      </c>
      <c r="C68" s="112">
        <v>13.04</v>
      </c>
      <c r="D68" s="112">
        <v>24.64</v>
      </c>
      <c r="E68" s="112">
        <v>51.47</v>
      </c>
      <c r="F68" s="112">
        <v>110.65</v>
      </c>
      <c r="G68" s="112">
        <v>84.15</v>
      </c>
      <c r="H68" s="112">
        <v>28.28</v>
      </c>
      <c r="I68" s="112">
        <v>14.55</v>
      </c>
      <c r="J68" s="112">
        <v>0.47</v>
      </c>
      <c r="K68" s="112">
        <v>5.41</v>
      </c>
      <c r="L68" s="112">
        <v>40.47</v>
      </c>
      <c r="M68" s="112">
        <v>23.38</v>
      </c>
      <c r="N68" s="112">
        <v>491.9</v>
      </c>
      <c r="O68" s="112">
        <v>0</v>
      </c>
      <c r="P68" s="112">
        <v>0.49</v>
      </c>
      <c r="Q68" s="112">
        <v>4.6399999999999997</v>
      </c>
    </row>
    <row r="69" spans="1:17" customFormat="1">
      <c r="A69" s="80">
        <v>45426.635416666664</v>
      </c>
      <c r="B69" s="112">
        <v>10.82</v>
      </c>
      <c r="C69" s="112">
        <v>13</v>
      </c>
      <c r="D69" s="112">
        <v>24.61</v>
      </c>
      <c r="E69" s="112">
        <v>60.66</v>
      </c>
      <c r="F69" s="112">
        <v>89.33</v>
      </c>
      <c r="G69" s="112">
        <v>76.59</v>
      </c>
      <c r="H69" s="112">
        <v>28.3</v>
      </c>
      <c r="I69" s="112">
        <v>10.88</v>
      </c>
      <c r="J69" s="112">
        <v>0.37</v>
      </c>
      <c r="K69" s="112">
        <v>21.39</v>
      </c>
      <c r="L69" s="112">
        <v>39.880000000000003</v>
      </c>
      <c r="M69" s="112">
        <v>23.1</v>
      </c>
      <c r="N69" s="112">
        <v>469</v>
      </c>
      <c r="O69" s="112">
        <v>0</v>
      </c>
      <c r="P69" s="112">
        <v>0.48</v>
      </c>
      <c r="Q69" s="112">
        <v>4.6500000000000004</v>
      </c>
    </row>
    <row r="70" spans="1:17" customFormat="1">
      <c r="A70" s="80">
        <v>45426.645833333336</v>
      </c>
      <c r="B70" s="112">
        <v>10.81</v>
      </c>
      <c r="C70" s="112">
        <v>13.03</v>
      </c>
      <c r="D70" s="112">
        <v>24.62</v>
      </c>
      <c r="E70" s="112">
        <v>41.89</v>
      </c>
      <c r="F70" s="112">
        <v>58.53</v>
      </c>
      <c r="G70" s="112">
        <v>75.849999999999994</v>
      </c>
      <c r="H70" s="112">
        <v>28.3</v>
      </c>
      <c r="I70" s="112">
        <v>8.36</v>
      </c>
      <c r="J70" s="112">
        <v>0.86</v>
      </c>
      <c r="K70" s="112">
        <v>83.28</v>
      </c>
      <c r="L70" s="112">
        <v>40.33</v>
      </c>
      <c r="M70" s="112">
        <v>20.47</v>
      </c>
      <c r="N70" s="112">
        <v>386.6</v>
      </c>
      <c r="O70" s="112">
        <v>0</v>
      </c>
      <c r="P70" s="112">
        <v>0.47</v>
      </c>
      <c r="Q70" s="112">
        <v>4.63</v>
      </c>
    </row>
    <row r="71" spans="1:17" customFormat="1">
      <c r="A71" s="80">
        <v>45426.65625</v>
      </c>
      <c r="B71" s="112">
        <v>10.82</v>
      </c>
      <c r="C71" s="112">
        <v>13.04</v>
      </c>
      <c r="D71" s="112">
        <v>24.63</v>
      </c>
      <c r="E71" s="112">
        <v>17.670000000000002</v>
      </c>
      <c r="F71" s="112">
        <v>33.51</v>
      </c>
      <c r="G71" s="112">
        <v>75.849999999999994</v>
      </c>
      <c r="H71" s="112">
        <v>28.3</v>
      </c>
      <c r="I71" s="112">
        <v>7.15</v>
      </c>
      <c r="J71" s="112">
        <v>0.79</v>
      </c>
      <c r="K71" s="112">
        <v>97.49</v>
      </c>
      <c r="L71" s="112">
        <v>39.79</v>
      </c>
      <c r="M71" s="112">
        <v>23.17</v>
      </c>
      <c r="N71" s="112">
        <v>411.4</v>
      </c>
      <c r="O71" s="112">
        <v>0</v>
      </c>
      <c r="P71" s="112">
        <v>0.44</v>
      </c>
      <c r="Q71" s="112">
        <v>4.6399999999999997</v>
      </c>
    </row>
    <row r="72" spans="1:17" customFormat="1">
      <c r="A72" s="80">
        <v>45426.666666666664</v>
      </c>
      <c r="B72" s="112">
        <v>10.79</v>
      </c>
      <c r="C72" s="112">
        <v>13.01</v>
      </c>
      <c r="D72" s="112">
        <v>24.59</v>
      </c>
      <c r="E72" s="112">
        <v>13.96</v>
      </c>
      <c r="F72" s="112">
        <v>46.64</v>
      </c>
      <c r="G72" s="112">
        <v>75.849999999999994</v>
      </c>
      <c r="H72" s="112">
        <v>28.3</v>
      </c>
      <c r="I72" s="112">
        <v>7.88</v>
      </c>
      <c r="J72" s="112">
        <v>0.49</v>
      </c>
      <c r="K72" s="112">
        <v>119.78</v>
      </c>
      <c r="L72" s="112">
        <v>38.74</v>
      </c>
      <c r="M72" s="112">
        <v>25.96</v>
      </c>
      <c r="N72" s="112">
        <v>254.4</v>
      </c>
      <c r="O72" s="112">
        <v>0</v>
      </c>
      <c r="P72" s="112">
        <v>0.4</v>
      </c>
      <c r="Q72" s="112">
        <v>4.6399999999999997</v>
      </c>
    </row>
    <row r="73" spans="1:17" customFormat="1">
      <c r="A73" s="80">
        <v>45426.677083333336</v>
      </c>
      <c r="B73" s="112">
        <v>10.77</v>
      </c>
      <c r="C73" s="112">
        <v>13.04</v>
      </c>
      <c r="D73" s="112">
        <v>24.59</v>
      </c>
      <c r="E73" s="112">
        <v>14.12</v>
      </c>
      <c r="F73" s="112">
        <v>33.520000000000003</v>
      </c>
      <c r="G73" s="112">
        <v>73.099999999999994</v>
      </c>
      <c r="H73" s="112">
        <v>27.49</v>
      </c>
      <c r="I73" s="112">
        <v>7.06</v>
      </c>
      <c r="J73" s="112">
        <v>0.56000000000000005</v>
      </c>
      <c r="K73" s="112">
        <v>104.12</v>
      </c>
      <c r="L73" s="112">
        <v>38.36</v>
      </c>
      <c r="M73" s="112">
        <v>24.08</v>
      </c>
      <c r="N73" s="112">
        <v>268.8</v>
      </c>
      <c r="O73" s="112">
        <v>0</v>
      </c>
      <c r="P73" s="112">
        <v>0.4</v>
      </c>
      <c r="Q73" s="167" t="s">
        <v>14</v>
      </c>
    </row>
    <row r="74" spans="1:17" customFormat="1">
      <c r="A74" s="80">
        <v>45426.6875</v>
      </c>
      <c r="B74" s="112">
        <v>10.77</v>
      </c>
      <c r="C74" s="112">
        <v>13.04</v>
      </c>
      <c r="D74" s="112">
        <v>24.59</v>
      </c>
      <c r="E74" s="112">
        <v>12.28</v>
      </c>
      <c r="F74" s="112">
        <v>28.68</v>
      </c>
      <c r="G74" s="112">
        <v>72.87</v>
      </c>
      <c r="H74" s="112">
        <v>27.49</v>
      </c>
      <c r="I74" s="112">
        <v>6.21</v>
      </c>
      <c r="J74" s="112">
        <v>0.59</v>
      </c>
      <c r="K74" s="112">
        <v>98.59</v>
      </c>
      <c r="L74" s="112">
        <v>38.99</v>
      </c>
      <c r="M74" s="112">
        <v>21.24</v>
      </c>
      <c r="N74" s="112">
        <v>241.3</v>
      </c>
      <c r="O74" s="112">
        <v>0</v>
      </c>
      <c r="P74" s="112">
        <v>0.4</v>
      </c>
      <c r="Q74" s="112">
        <v>4.63</v>
      </c>
    </row>
    <row r="75" spans="1:17" customFormat="1">
      <c r="A75" s="80">
        <v>45426.697916666664</v>
      </c>
      <c r="B75" s="112">
        <v>10.75</v>
      </c>
      <c r="C75" s="112">
        <v>13.02</v>
      </c>
      <c r="D75" s="112">
        <v>24.57</v>
      </c>
      <c r="E75" s="112">
        <v>12.02</v>
      </c>
      <c r="F75" s="112">
        <v>18.510000000000002</v>
      </c>
      <c r="G75" s="112">
        <v>72.87</v>
      </c>
      <c r="H75" s="112">
        <v>27.49</v>
      </c>
      <c r="I75" s="112">
        <v>5.56</v>
      </c>
      <c r="J75" s="112">
        <v>0.54</v>
      </c>
      <c r="K75" s="112">
        <v>101.93</v>
      </c>
      <c r="L75" s="112">
        <v>38.47</v>
      </c>
      <c r="M75" s="112">
        <v>24.95</v>
      </c>
      <c r="N75" s="112">
        <v>130</v>
      </c>
      <c r="O75" s="112">
        <v>0</v>
      </c>
      <c r="P75" s="112">
        <v>0.4</v>
      </c>
      <c r="Q75" s="112">
        <v>4.6399999999999997</v>
      </c>
    </row>
    <row r="76" spans="1:17" customFormat="1">
      <c r="A76" s="80">
        <v>45426.708333333336</v>
      </c>
      <c r="B76" s="112">
        <v>10.76</v>
      </c>
      <c r="C76" s="112">
        <v>13.04</v>
      </c>
      <c r="D76" s="112">
        <v>24.59</v>
      </c>
      <c r="E76" s="112">
        <v>11.47</v>
      </c>
      <c r="F76" s="112">
        <v>29.59</v>
      </c>
      <c r="G76" s="112">
        <v>72.87</v>
      </c>
      <c r="H76" s="112">
        <v>27.49</v>
      </c>
      <c r="I76" s="112">
        <v>5.45</v>
      </c>
      <c r="J76" s="112">
        <v>0.25</v>
      </c>
      <c r="K76" s="112">
        <v>203.27</v>
      </c>
      <c r="L76" s="112">
        <v>37.770000000000003</v>
      </c>
      <c r="M76" s="112">
        <v>28.3</v>
      </c>
      <c r="N76" s="112">
        <v>162.4</v>
      </c>
      <c r="O76" s="112">
        <v>0</v>
      </c>
      <c r="P76" s="112">
        <v>0.38</v>
      </c>
      <c r="Q76" s="167" t="s">
        <v>14</v>
      </c>
    </row>
    <row r="77" spans="1:17" customFormat="1">
      <c r="A77" s="80">
        <v>45426.71875</v>
      </c>
      <c r="B77" s="112">
        <v>10.79</v>
      </c>
      <c r="C77" s="112">
        <v>13.03</v>
      </c>
      <c r="D77" s="112">
        <v>24.61</v>
      </c>
      <c r="E77" s="112">
        <v>12.6</v>
      </c>
      <c r="F77" s="112">
        <v>23.4</v>
      </c>
      <c r="G77" s="112">
        <v>64.83</v>
      </c>
      <c r="H77" s="112">
        <v>22.56</v>
      </c>
      <c r="I77" s="112">
        <v>5.47</v>
      </c>
      <c r="J77" s="112">
        <v>0.19</v>
      </c>
      <c r="K77" s="112">
        <v>230.81</v>
      </c>
      <c r="L77" s="112">
        <v>36.11</v>
      </c>
      <c r="M77" s="112">
        <v>33.08</v>
      </c>
      <c r="N77" s="112">
        <v>119</v>
      </c>
      <c r="O77" s="112">
        <v>0</v>
      </c>
      <c r="P77" s="112">
        <v>0.39</v>
      </c>
      <c r="Q77" s="167" t="s">
        <v>14</v>
      </c>
    </row>
    <row r="78" spans="1:17" customFormat="1">
      <c r="A78" s="80">
        <v>45426.729166666664</v>
      </c>
      <c r="B78" s="112">
        <v>10.81</v>
      </c>
      <c r="C78" s="112">
        <v>13.02</v>
      </c>
      <c r="D78" s="112">
        <v>24.61</v>
      </c>
      <c r="E78" s="112">
        <v>12.88</v>
      </c>
      <c r="F78" s="112">
        <v>28.59</v>
      </c>
      <c r="G78" s="112">
        <v>64.05</v>
      </c>
      <c r="H78" s="112">
        <v>22.56</v>
      </c>
      <c r="I78" s="112">
        <v>5.3</v>
      </c>
      <c r="J78" s="112">
        <v>0.17</v>
      </c>
      <c r="K78" s="112">
        <v>208.16</v>
      </c>
      <c r="L78" s="112">
        <v>36.200000000000003</v>
      </c>
      <c r="M78" s="112">
        <v>32.299999999999997</v>
      </c>
      <c r="N78" s="112">
        <v>90.7</v>
      </c>
      <c r="O78" s="112">
        <v>0</v>
      </c>
      <c r="P78" s="112">
        <v>0.39</v>
      </c>
      <c r="Q78" s="167" t="s">
        <v>14</v>
      </c>
    </row>
    <row r="79" spans="1:17" customFormat="1">
      <c r="A79" s="80">
        <v>45426.739583333336</v>
      </c>
      <c r="B79" s="112">
        <v>10.79</v>
      </c>
      <c r="C79" s="112">
        <v>13.07</v>
      </c>
      <c r="D79" s="112">
        <v>24.63</v>
      </c>
      <c r="E79" s="112">
        <v>13.2</v>
      </c>
      <c r="F79" s="112">
        <v>33.25</v>
      </c>
      <c r="G79" s="112">
        <v>64.05</v>
      </c>
      <c r="H79" s="112">
        <v>22.56</v>
      </c>
      <c r="I79" s="112">
        <v>5.19</v>
      </c>
      <c r="J79" s="112">
        <v>0.15</v>
      </c>
      <c r="K79" s="112">
        <v>187.17</v>
      </c>
      <c r="L79" s="112">
        <v>35.57</v>
      </c>
      <c r="M79" s="112">
        <v>32.39</v>
      </c>
      <c r="N79" s="112">
        <v>47.8</v>
      </c>
      <c r="O79" s="112">
        <v>0</v>
      </c>
      <c r="P79" s="112">
        <v>0.37</v>
      </c>
      <c r="Q79" s="167" t="s">
        <v>14</v>
      </c>
    </row>
    <row r="80" spans="1:17" customFormat="1">
      <c r="A80" s="80">
        <v>45426.75</v>
      </c>
      <c r="B80" s="112">
        <v>10.79</v>
      </c>
      <c r="C80" s="112">
        <v>13.08</v>
      </c>
      <c r="D80" s="112">
        <v>24.63</v>
      </c>
      <c r="E80" s="112">
        <v>13.33</v>
      </c>
      <c r="F80" s="112">
        <v>27.54</v>
      </c>
      <c r="G80" s="112">
        <v>64.05</v>
      </c>
      <c r="H80" s="112">
        <v>22.56</v>
      </c>
      <c r="I80" s="112">
        <v>4.9400000000000004</v>
      </c>
      <c r="J80" s="112">
        <v>0.2</v>
      </c>
      <c r="K80" s="112">
        <v>192.16</v>
      </c>
      <c r="L80" s="112">
        <v>34.97</v>
      </c>
      <c r="M80" s="112">
        <v>33.479999999999997</v>
      </c>
      <c r="N80" s="112">
        <v>22.6</v>
      </c>
      <c r="O80" s="112">
        <v>0</v>
      </c>
      <c r="P80" s="112">
        <v>0.39</v>
      </c>
      <c r="Q80" s="167" t="s">
        <v>14</v>
      </c>
    </row>
    <row r="81" spans="1:17" customFormat="1">
      <c r="A81" s="80">
        <v>45426.760416666664</v>
      </c>
      <c r="B81" s="112">
        <v>10.8</v>
      </c>
      <c r="C81" s="112">
        <v>13.05</v>
      </c>
      <c r="D81" s="112">
        <v>24.62</v>
      </c>
      <c r="E81" s="112">
        <v>9.83</v>
      </c>
      <c r="F81" s="112">
        <v>39.36</v>
      </c>
      <c r="G81" s="112">
        <v>57.54</v>
      </c>
      <c r="H81" s="112">
        <v>22.18</v>
      </c>
      <c r="I81" s="112">
        <v>4.87</v>
      </c>
      <c r="J81" s="112">
        <v>0.26</v>
      </c>
      <c r="K81" s="112">
        <v>180.06</v>
      </c>
      <c r="L81" s="112">
        <v>34.35</v>
      </c>
      <c r="M81" s="112">
        <v>35.01</v>
      </c>
      <c r="N81" s="112">
        <v>8</v>
      </c>
      <c r="O81" s="112">
        <v>0</v>
      </c>
      <c r="P81" s="112">
        <v>0.39</v>
      </c>
      <c r="Q81" s="167" t="s">
        <v>14</v>
      </c>
    </row>
    <row r="82" spans="1:17" customFormat="1">
      <c r="A82" s="80">
        <v>45426.770833333336</v>
      </c>
      <c r="B82" s="112">
        <v>10.8</v>
      </c>
      <c r="C82" s="112">
        <v>13.06</v>
      </c>
      <c r="D82" s="112">
        <v>24.62</v>
      </c>
      <c r="E82" s="112">
        <v>11.36</v>
      </c>
      <c r="F82" s="112">
        <v>45.1</v>
      </c>
      <c r="G82" s="112">
        <v>56.99</v>
      </c>
      <c r="H82" s="112">
        <v>22.18</v>
      </c>
      <c r="I82" s="112">
        <v>4.87</v>
      </c>
      <c r="J82" s="112">
        <v>0.13</v>
      </c>
      <c r="K82" s="112">
        <v>223.6</v>
      </c>
      <c r="L82" s="112">
        <v>33.68</v>
      </c>
      <c r="M82" s="112">
        <v>36.94</v>
      </c>
      <c r="N82" s="112">
        <v>0</v>
      </c>
      <c r="O82" s="112">
        <v>0</v>
      </c>
      <c r="P82" s="112">
        <v>0.39</v>
      </c>
      <c r="Q82" s="167" t="s">
        <v>14</v>
      </c>
    </row>
    <row r="83" spans="1:17" customFormat="1">
      <c r="A83" s="80">
        <v>45426.78125</v>
      </c>
      <c r="B83" s="112">
        <v>10.82</v>
      </c>
      <c r="C83" s="112">
        <v>13.09</v>
      </c>
      <c r="D83" s="112">
        <v>24.66</v>
      </c>
      <c r="E83" s="112">
        <v>11.32</v>
      </c>
      <c r="F83" s="112">
        <v>47.33</v>
      </c>
      <c r="G83" s="112">
        <v>56.99</v>
      </c>
      <c r="H83" s="112">
        <v>22.18</v>
      </c>
      <c r="I83" s="112">
        <v>4.43</v>
      </c>
      <c r="J83" s="112">
        <v>0.14000000000000001</v>
      </c>
      <c r="K83" s="112">
        <v>213.58</v>
      </c>
      <c r="L83" s="112">
        <v>33.29</v>
      </c>
      <c r="M83" s="112">
        <v>38.299999999999997</v>
      </c>
      <c r="N83" s="112">
        <v>0</v>
      </c>
      <c r="O83" s="112">
        <v>0</v>
      </c>
      <c r="P83" s="112">
        <v>0.4</v>
      </c>
      <c r="Q83" s="167" t="s">
        <v>14</v>
      </c>
    </row>
    <row r="84" spans="1:17" customFormat="1">
      <c r="A84" s="80">
        <v>45426.791666666664</v>
      </c>
      <c r="B84" s="112">
        <v>10.83</v>
      </c>
      <c r="C84" s="112">
        <v>13.06</v>
      </c>
      <c r="D84" s="112">
        <v>24.65</v>
      </c>
      <c r="E84" s="112">
        <v>11.75</v>
      </c>
      <c r="F84" s="112">
        <v>43.3</v>
      </c>
      <c r="G84" s="112">
        <v>56.99</v>
      </c>
      <c r="H84" s="112">
        <v>22.18</v>
      </c>
      <c r="I84" s="112">
        <v>4.3600000000000003</v>
      </c>
      <c r="J84" s="112">
        <v>0.25</v>
      </c>
      <c r="K84" s="112">
        <v>248.48</v>
      </c>
      <c r="L84" s="112">
        <v>32.950000000000003</v>
      </c>
      <c r="M84" s="112">
        <v>39.31</v>
      </c>
      <c r="N84" s="112">
        <v>0</v>
      </c>
      <c r="O84" s="112">
        <v>0</v>
      </c>
      <c r="P84" s="112">
        <v>0.41</v>
      </c>
      <c r="Q84" s="167" t="s">
        <v>14</v>
      </c>
    </row>
    <row r="85" spans="1:17" customFormat="1">
      <c r="A85" s="80">
        <v>45426.802083333336</v>
      </c>
      <c r="B85" s="112">
        <v>10.87</v>
      </c>
      <c r="C85" s="112">
        <v>13.03</v>
      </c>
      <c r="D85" s="112">
        <v>24.66</v>
      </c>
      <c r="E85" s="112">
        <v>11.13</v>
      </c>
      <c r="F85" s="112">
        <v>44.58</v>
      </c>
      <c r="G85" s="112">
        <v>48.94</v>
      </c>
      <c r="H85" s="112">
        <v>20.63</v>
      </c>
      <c r="I85" s="112">
        <v>4.33</v>
      </c>
      <c r="J85" s="112">
        <v>0.22</v>
      </c>
      <c r="K85" s="112">
        <v>247.04</v>
      </c>
      <c r="L85" s="112">
        <v>32.76</v>
      </c>
      <c r="M85" s="112">
        <v>38.04</v>
      </c>
      <c r="N85" s="112">
        <v>0</v>
      </c>
      <c r="O85" s="112">
        <v>0</v>
      </c>
      <c r="P85" s="112">
        <v>0.41</v>
      </c>
      <c r="Q85" s="167" t="s">
        <v>14</v>
      </c>
    </row>
    <row r="86" spans="1:17" customFormat="1">
      <c r="A86" s="80">
        <v>45426.8125</v>
      </c>
      <c r="B86" s="112">
        <v>10.8</v>
      </c>
      <c r="C86" s="112">
        <v>13.06</v>
      </c>
      <c r="D86" s="112">
        <v>24.63</v>
      </c>
      <c r="E86" s="112">
        <v>10.86</v>
      </c>
      <c r="F86" s="112">
        <v>35.86</v>
      </c>
      <c r="G86" s="112">
        <v>48.16</v>
      </c>
      <c r="H86" s="112">
        <v>20.63</v>
      </c>
      <c r="I86" s="112">
        <v>4.38</v>
      </c>
      <c r="J86" s="112">
        <v>0.17</v>
      </c>
      <c r="K86" s="112">
        <v>191.72</v>
      </c>
      <c r="L86" s="112">
        <v>32.4</v>
      </c>
      <c r="M86" s="112">
        <v>39.590000000000003</v>
      </c>
      <c r="N86" s="112">
        <v>0</v>
      </c>
      <c r="O86" s="112">
        <v>0</v>
      </c>
      <c r="P86" s="112">
        <v>0.41</v>
      </c>
      <c r="Q86" s="167" t="s">
        <v>14</v>
      </c>
    </row>
    <row r="87" spans="1:17" customFormat="1">
      <c r="A87" s="80">
        <v>45426.822916666664</v>
      </c>
      <c r="B87" s="112">
        <v>10.83</v>
      </c>
      <c r="C87" s="112">
        <v>13.02</v>
      </c>
      <c r="D87" s="112">
        <v>24.63</v>
      </c>
      <c r="E87" s="112">
        <v>10.46</v>
      </c>
      <c r="F87" s="112">
        <v>36.08</v>
      </c>
      <c r="G87" s="112">
        <v>48.16</v>
      </c>
      <c r="H87" s="112">
        <v>20.63</v>
      </c>
      <c r="I87" s="112">
        <v>4.53</v>
      </c>
      <c r="J87" s="112">
        <v>0.13</v>
      </c>
      <c r="K87" s="112">
        <v>195.34</v>
      </c>
      <c r="L87" s="112">
        <v>32.08</v>
      </c>
      <c r="M87" s="112">
        <v>40.090000000000003</v>
      </c>
      <c r="N87" s="112">
        <v>0</v>
      </c>
      <c r="O87" s="112">
        <v>0</v>
      </c>
      <c r="P87" s="112">
        <v>0.42</v>
      </c>
      <c r="Q87" s="167" t="s">
        <v>14</v>
      </c>
    </row>
    <row r="88" spans="1:17" customFormat="1">
      <c r="A88" s="80">
        <v>45426.833333333336</v>
      </c>
      <c r="B88" s="112">
        <v>10.83</v>
      </c>
      <c r="C88" s="112">
        <v>13.04</v>
      </c>
      <c r="D88" s="112">
        <v>24.64</v>
      </c>
      <c r="E88" s="112">
        <v>10.86</v>
      </c>
      <c r="F88" s="112">
        <v>37.1</v>
      </c>
      <c r="G88" s="112">
        <v>48.16</v>
      </c>
      <c r="H88" s="112">
        <v>20.63</v>
      </c>
      <c r="I88" s="112">
        <v>4.57</v>
      </c>
      <c r="J88" s="112">
        <v>0.36</v>
      </c>
      <c r="K88" s="112">
        <v>246</v>
      </c>
      <c r="L88" s="112">
        <v>32.15</v>
      </c>
      <c r="M88" s="112">
        <v>38.28</v>
      </c>
      <c r="N88" s="112">
        <v>0</v>
      </c>
      <c r="O88" s="112">
        <v>0</v>
      </c>
      <c r="P88" s="112">
        <v>0.44</v>
      </c>
      <c r="Q88" s="167" t="s">
        <v>14</v>
      </c>
    </row>
    <row r="89" spans="1:17" customFormat="1">
      <c r="A89" s="80">
        <v>45426.84375</v>
      </c>
      <c r="B89" s="112">
        <v>10.85</v>
      </c>
      <c r="C89" s="112">
        <v>13.04</v>
      </c>
      <c r="D89" s="112">
        <v>24.65</v>
      </c>
      <c r="E89" s="112">
        <v>11.68</v>
      </c>
      <c r="F89" s="112">
        <v>38.770000000000003</v>
      </c>
      <c r="G89" s="112">
        <v>36.26</v>
      </c>
      <c r="H89" s="112">
        <v>15.74</v>
      </c>
      <c r="I89" s="112">
        <v>4.84</v>
      </c>
      <c r="J89" s="112">
        <v>0.23</v>
      </c>
      <c r="K89" s="112">
        <v>215.53</v>
      </c>
      <c r="L89" s="112">
        <v>32.14</v>
      </c>
      <c r="M89" s="112">
        <v>38.54</v>
      </c>
      <c r="N89" s="112">
        <v>0</v>
      </c>
      <c r="O89" s="112">
        <v>0</v>
      </c>
      <c r="P89" s="112">
        <v>0.48</v>
      </c>
      <c r="Q89" s="167" t="s">
        <v>14</v>
      </c>
    </row>
    <row r="90" spans="1:17" customFormat="1">
      <c r="A90" s="80">
        <v>45426.854166666664</v>
      </c>
      <c r="B90" s="112">
        <v>10.85</v>
      </c>
      <c r="C90" s="112">
        <v>13.04</v>
      </c>
      <c r="D90" s="112">
        <v>24.66</v>
      </c>
      <c r="E90" s="112">
        <v>11.3</v>
      </c>
      <c r="F90" s="112">
        <v>31.06</v>
      </c>
      <c r="G90" s="112">
        <v>35.25</v>
      </c>
      <c r="H90" s="112">
        <v>15.74</v>
      </c>
      <c r="I90" s="112">
        <v>5.07</v>
      </c>
      <c r="J90" s="112">
        <v>0.25</v>
      </c>
      <c r="K90" s="112">
        <v>166.04</v>
      </c>
      <c r="L90" s="112">
        <v>31.47</v>
      </c>
      <c r="M90" s="112">
        <v>42.65</v>
      </c>
      <c r="N90" s="112">
        <v>0</v>
      </c>
      <c r="O90" s="112">
        <v>0</v>
      </c>
      <c r="P90" s="112">
        <v>0.5</v>
      </c>
      <c r="Q90" s="167" t="s">
        <v>14</v>
      </c>
    </row>
    <row r="91" spans="1:17" customFormat="1">
      <c r="A91" s="80">
        <v>45426.864583333336</v>
      </c>
      <c r="B91" s="112">
        <v>10.84</v>
      </c>
      <c r="C91" s="112">
        <v>13.07</v>
      </c>
      <c r="D91" s="112">
        <v>24.66</v>
      </c>
      <c r="E91" s="112">
        <v>11.35</v>
      </c>
      <c r="F91" s="112">
        <v>28.21</v>
      </c>
      <c r="G91" s="112">
        <v>35.25</v>
      </c>
      <c r="H91" s="112">
        <v>15.74</v>
      </c>
      <c r="I91" s="112">
        <v>5.0199999999999996</v>
      </c>
      <c r="J91" s="112">
        <v>0.18</v>
      </c>
      <c r="K91" s="112">
        <v>197.79</v>
      </c>
      <c r="L91" s="112">
        <v>31.01</v>
      </c>
      <c r="M91" s="112">
        <v>43.46</v>
      </c>
      <c r="N91" s="112">
        <v>0</v>
      </c>
      <c r="O91" s="112">
        <v>0</v>
      </c>
      <c r="P91" s="112">
        <v>0.52</v>
      </c>
      <c r="Q91" s="167" t="s">
        <v>14</v>
      </c>
    </row>
    <row r="92" spans="1:17" customFormat="1">
      <c r="A92" s="80">
        <v>45426.875</v>
      </c>
      <c r="B92" s="112">
        <v>10.84</v>
      </c>
      <c r="C92" s="112">
        <v>13.07</v>
      </c>
      <c r="D92" s="112">
        <v>24.67</v>
      </c>
      <c r="E92" s="112">
        <v>10.84</v>
      </c>
      <c r="F92" s="112">
        <v>21.53</v>
      </c>
      <c r="G92" s="112">
        <v>35.25</v>
      </c>
      <c r="H92" s="112">
        <v>15.74</v>
      </c>
      <c r="I92" s="112">
        <v>5.25</v>
      </c>
      <c r="J92" s="112">
        <v>0.18</v>
      </c>
      <c r="K92" s="112">
        <v>277.63</v>
      </c>
      <c r="L92" s="112">
        <v>31.42</v>
      </c>
      <c r="M92" s="112">
        <v>41.23</v>
      </c>
      <c r="N92" s="112">
        <v>0</v>
      </c>
      <c r="O92" s="112">
        <v>0</v>
      </c>
      <c r="P92" s="112">
        <v>0.64</v>
      </c>
      <c r="Q92" s="167" t="s">
        <v>14</v>
      </c>
    </row>
    <row r="93" spans="1:17" customFormat="1">
      <c r="A93" s="80">
        <v>45426.885416666664</v>
      </c>
      <c r="B93" s="112">
        <v>10.86</v>
      </c>
      <c r="C93" s="112">
        <v>13.07</v>
      </c>
      <c r="D93" s="112">
        <v>24.68</v>
      </c>
      <c r="E93" s="112">
        <v>12.84</v>
      </c>
      <c r="F93" s="112">
        <v>15.77</v>
      </c>
      <c r="G93" s="112">
        <v>39.770000000000003</v>
      </c>
      <c r="H93" s="112">
        <v>16.25</v>
      </c>
      <c r="I93" s="112">
        <v>5.5</v>
      </c>
      <c r="J93" s="112">
        <v>0.32</v>
      </c>
      <c r="K93" s="112">
        <v>273.52999999999997</v>
      </c>
      <c r="L93" s="112">
        <v>32.090000000000003</v>
      </c>
      <c r="M93" s="112">
        <v>38.31</v>
      </c>
      <c r="N93" s="112">
        <v>0</v>
      </c>
      <c r="O93" s="112">
        <v>0</v>
      </c>
      <c r="P93" s="112">
        <v>0.74</v>
      </c>
      <c r="Q93" s="167" t="s">
        <v>14</v>
      </c>
    </row>
    <row r="94" spans="1:17" customFormat="1">
      <c r="A94" s="80">
        <v>45426.895833333336</v>
      </c>
      <c r="B94" s="112">
        <v>10.88</v>
      </c>
      <c r="C94" s="112">
        <v>13.03</v>
      </c>
      <c r="D94" s="112">
        <v>24.68</v>
      </c>
      <c r="E94" s="112">
        <v>16.96</v>
      </c>
      <c r="F94" s="112">
        <v>19.53</v>
      </c>
      <c r="G94" s="112">
        <v>40.21</v>
      </c>
      <c r="H94" s="112">
        <v>16.25</v>
      </c>
      <c r="I94" s="112">
        <v>6.43</v>
      </c>
      <c r="J94" s="112">
        <v>0.42</v>
      </c>
      <c r="K94" s="112">
        <v>293.61</v>
      </c>
      <c r="L94" s="112">
        <v>32.18</v>
      </c>
      <c r="M94" s="112">
        <v>38.020000000000003</v>
      </c>
      <c r="N94" s="112">
        <v>0</v>
      </c>
      <c r="O94" s="112">
        <v>0</v>
      </c>
      <c r="P94" s="112">
        <v>0.68</v>
      </c>
      <c r="Q94" s="167" t="s">
        <v>14</v>
      </c>
    </row>
    <row r="95" spans="1:17" customFormat="1">
      <c r="A95" s="80">
        <v>45426.90625</v>
      </c>
      <c r="B95" s="112">
        <v>10.87</v>
      </c>
      <c r="C95" s="112">
        <v>13.05</v>
      </c>
      <c r="D95" s="112">
        <v>24.68</v>
      </c>
      <c r="E95" s="112">
        <v>17.489999999999998</v>
      </c>
      <c r="F95" s="112">
        <v>22.1</v>
      </c>
      <c r="G95" s="112">
        <v>40.21</v>
      </c>
      <c r="H95" s="112">
        <v>16.25</v>
      </c>
      <c r="I95" s="112">
        <v>7.38</v>
      </c>
      <c r="J95" s="112">
        <v>0.2</v>
      </c>
      <c r="K95" s="112">
        <v>209.77</v>
      </c>
      <c r="L95" s="112">
        <v>31.62</v>
      </c>
      <c r="M95" s="112">
        <v>40.18</v>
      </c>
      <c r="N95" s="112">
        <v>0</v>
      </c>
      <c r="O95" s="112">
        <v>0</v>
      </c>
      <c r="P95" s="112">
        <v>0.66</v>
      </c>
      <c r="Q95" s="167" t="s">
        <v>14</v>
      </c>
    </row>
    <row r="96" spans="1:17" customFormat="1">
      <c r="A96" s="80">
        <v>45426.916666666664</v>
      </c>
      <c r="B96" s="112">
        <v>10.86</v>
      </c>
      <c r="C96" s="112">
        <v>13.09</v>
      </c>
      <c r="D96" s="112">
        <v>24.69</v>
      </c>
      <c r="E96" s="112">
        <v>16.670000000000002</v>
      </c>
      <c r="F96" s="112">
        <v>14.34</v>
      </c>
      <c r="G96" s="112">
        <v>40.21</v>
      </c>
      <c r="H96" s="112">
        <v>16.25</v>
      </c>
      <c r="I96" s="112">
        <v>7.59</v>
      </c>
      <c r="J96" s="112">
        <v>0.26</v>
      </c>
      <c r="K96" s="112">
        <v>176.2</v>
      </c>
      <c r="L96" s="112">
        <v>31</v>
      </c>
      <c r="M96" s="112">
        <v>44.59</v>
      </c>
      <c r="N96" s="112">
        <v>0</v>
      </c>
      <c r="O96" s="112">
        <v>0</v>
      </c>
      <c r="P96" s="112">
        <v>0.67</v>
      </c>
      <c r="Q96" s="167" t="s">
        <v>14</v>
      </c>
    </row>
    <row r="97" spans="1:22" customFormat="1">
      <c r="A97" s="80">
        <v>45426.927083333336</v>
      </c>
      <c r="B97" s="112">
        <v>10.88</v>
      </c>
      <c r="C97" s="112">
        <v>13.1</v>
      </c>
      <c r="D97" s="112">
        <v>24.71</v>
      </c>
      <c r="E97" s="112">
        <v>15.17</v>
      </c>
      <c r="F97" s="112">
        <v>18.95</v>
      </c>
      <c r="G97" s="112">
        <v>47.89</v>
      </c>
      <c r="H97" s="112">
        <v>18.5</v>
      </c>
      <c r="I97" s="112">
        <v>8.02</v>
      </c>
      <c r="J97" s="112">
        <v>0.23</v>
      </c>
      <c r="K97" s="112">
        <v>170.95</v>
      </c>
      <c r="L97" s="112">
        <v>30.31</v>
      </c>
      <c r="M97" s="112">
        <v>48.12</v>
      </c>
      <c r="N97" s="112">
        <v>0</v>
      </c>
      <c r="O97" s="112">
        <v>0</v>
      </c>
      <c r="P97" s="112">
        <v>0.69</v>
      </c>
      <c r="Q97" s="112">
        <v>4.63</v>
      </c>
    </row>
    <row r="98" spans="1:22" customFormat="1">
      <c r="A98" s="80">
        <v>45426.9375</v>
      </c>
      <c r="B98" s="112">
        <v>10.88</v>
      </c>
      <c r="C98" s="112">
        <v>13.12</v>
      </c>
      <c r="D98" s="112">
        <v>24.72</v>
      </c>
      <c r="E98" s="112">
        <v>13.58</v>
      </c>
      <c r="F98" s="112">
        <v>15.52</v>
      </c>
      <c r="G98" s="112">
        <v>48.64</v>
      </c>
      <c r="H98" s="112">
        <v>18.5</v>
      </c>
      <c r="I98" s="112">
        <v>8.2799999999999994</v>
      </c>
      <c r="J98" s="112">
        <v>0.17</v>
      </c>
      <c r="K98" s="112">
        <v>196.38</v>
      </c>
      <c r="L98" s="112">
        <v>29.69</v>
      </c>
      <c r="M98" s="112">
        <v>48.85</v>
      </c>
      <c r="N98" s="112">
        <v>0</v>
      </c>
      <c r="O98" s="112">
        <v>0</v>
      </c>
      <c r="P98" s="112">
        <v>0.69</v>
      </c>
      <c r="Q98" s="112">
        <v>4.63</v>
      </c>
    </row>
    <row r="99" spans="1:22" customFormat="1">
      <c r="A99" s="80">
        <v>45426.947916666664</v>
      </c>
      <c r="B99" s="112">
        <v>10.86</v>
      </c>
      <c r="C99" s="112">
        <v>13.1</v>
      </c>
      <c r="D99" s="112">
        <v>24.7</v>
      </c>
      <c r="E99" s="112">
        <v>12.64</v>
      </c>
      <c r="F99" s="112">
        <v>8.58</v>
      </c>
      <c r="G99" s="112">
        <v>48.64</v>
      </c>
      <c r="H99" s="112">
        <v>18.5</v>
      </c>
      <c r="I99" s="112">
        <v>8.5500000000000007</v>
      </c>
      <c r="J99" s="112">
        <v>0.24</v>
      </c>
      <c r="K99" s="112">
        <v>170.24</v>
      </c>
      <c r="L99" s="112">
        <v>30.11</v>
      </c>
      <c r="M99" s="112">
        <v>49.04</v>
      </c>
      <c r="N99" s="112">
        <v>0</v>
      </c>
      <c r="O99" s="112">
        <v>0</v>
      </c>
      <c r="P99" s="112">
        <v>0.7</v>
      </c>
      <c r="Q99" s="112">
        <v>4.62</v>
      </c>
    </row>
    <row r="100" spans="1:22" customFormat="1">
      <c r="A100" s="80">
        <v>45426.958333333336</v>
      </c>
      <c r="B100" s="112">
        <v>10.88</v>
      </c>
      <c r="C100" s="112">
        <v>13.08</v>
      </c>
      <c r="D100" s="112">
        <v>24.7</v>
      </c>
      <c r="E100" s="112">
        <v>11.89</v>
      </c>
      <c r="F100" s="112">
        <v>5.54</v>
      </c>
      <c r="G100" s="112">
        <v>48.64</v>
      </c>
      <c r="H100" s="112">
        <v>18.5</v>
      </c>
      <c r="I100" s="112">
        <v>8.57</v>
      </c>
      <c r="J100" s="112">
        <v>0.27</v>
      </c>
      <c r="K100" s="112">
        <v>164.15</v>
      </c>
      <c r="L100" s="112">
        <v>29.97</v>
      </c>
      <c r="M100" s="112">
        <v>50.91</v>
      </c>
      <c r="N100" s="112">
        <v>0</v>
      </c>
      <c r="O100" s="112">
        <v>0</v>
      </c>
      <c r="P100" s="112">
        <v>0.73</v>
      </c>
      <c r="Q100" s="112">
        <v>4.63</v>
      </c>
    </row>
    <row r="101" spans="1:22" customFormat="1">
      <c r="A101" s="80">
        <v>45426.96875</v>
      </c>
      <c r="B101" s="112">
        <v>10.88</v>
      </c>
      <c r="C101" s="112">
        <v>13.07</v>
      </c>
      <c r="D101" s="112">
        <v>24.7</v>
      </c>
      <c r="E101" s="112">
        <v>10.7</v>
      </c>
      <c r="F101" s="112">
        <v>4.99</v>
      </c>
      <c r="G101" s="112">
        <v>60.48</v>
      </c>
      <c r="H101" s="112">
        <v>20.76</v>
      </c>
      <c r="I101" s="112">
        <v>8.5399999999999991</v>
      </c>
      <c r="J101" s="112">
        <v>0.31</v>
      </c>
      <c r="K101" s="112">
        <v>179.4</v>
      </c>
      <c r="L101" s="112">
        <v>29.66</v>
      </c>
      <c r="M101" s="112">
        <v>53.38</v>
      </c>
      <c r="N101" s="112">
        <v>0</v>
      </c>
      <c r="O101" s="112">
        <v>0</v>
      </c>
      <c r="P101" s="112">
        <v>0.7</v>
      </c>
      <c r="Q101" s="112">
        <v>4.6399999999999997</v>
      </c>
    </row>
    <row r="102" spans="1:22" customFormat="1">
      <c r="A102" s="80">
        <v>45426.979166666664</v>
      </c>
      <c r="B102" s="112">
        <v>10.88</v>
      </c>
      <c r="C102" s="112">
        <v>13.06</v>
      </c>
      <c r="D102" s="112">
        <v>24.69</v>
      </c>
      <c r="E102" s="112">
        <v>10.49</v>
      </c>
      <c r="F102" s="112">
        <v>5.0999999999999996</v>
      </c>
      <c r="G102" s="112">
        <v>61.47</v>
      </c>
      <c r="H102" s="112">
        <v>20.76</v>
      </c>
      <c r="I102" s="112">
        <v>8.06</v>
      </c>
      <c r="J102" s="112">
        <v>0.31</v>
      </c>
      <c r="K102" s="112">
        <v>186.45</v>
      </c>
      <c r="L102" s="112">
        <v>29.58</v>
      </c>
      <c r="M102" s="112">
        <v>50.97</v>
      </c>
      <c r="N102" s="112">
        <v>0</v>
      </c>
      <c r="O102" s="112">
        <v>0</v>
      </c>
      <c r="P102" s="112">
        <v>0.69</v>
      </c>
      <c r="Q102" s="112">
        <v>4.63</v>
      </c>
    </row>
    <row r="103" spans="1:22" customFormat="1">
      <c r="A103" s="80">
        <v>45426.989583333336</v>
      </c>
      <c r="B103" s="112">
        <v>10.86</v>
      </c>
      <c r="C103" s="112">
        <v>13.06</v>
      </c>
      <c r="D103" s="112">
        <v>24.68</v>
      </c>
      <c r="E103" s="112">
        <v>10.43</v>
      </c>
      <c r="F103" s="112">
        <v>8.16</v>
      </c>
      <c r="G103" s="112">
        <v>61.47</v>
      </c>
      <c r="H103" s="112">
        <v>20.76</v>
      </c>
      <c r="I103" s="112">
        <v>8.1</v>
      </c>
      <c r="J103" s="112">
        <v>0.18</v>
      </c>
      <c r="K103" s="112">
        <v>203.93</v>
      </c>
      <c r="L103" s="112">
        <v>29.05</v>
      </c>
      <c r="M103" s="112">
        <v>52.48</v>
      </c>
      <c r="N103" s="112">
        <v>0</v>
      </c>
      <c r="O103" s="112">
        <v>0</v>
      </c>
      <c r="P103" s="112">
        <v>0.7</v>
      </c>
      <c r="Q103" s="112">
        <v>4.63</v>
      </c>
    </row>
    <row r="104" spans="1:22" customFormat="1">
      <c r="A104" s="80">
        <v>45427</v>
      </c>
      <c r="B104" s="112">
        <v>10.86</v>
      </c>
      <c r="C104" s="112">
        <v>13.04</v>
      </c>
      <c r="D104" s="112">
        <v>24.67</v>
      </c>
      <c r="E104" s="112">
        <v>9.99</v>
      </c>
      <c r="F104" s="112">
        <v>7.81</v>
      </c>
      <c r="G104" s="112">
        <v>61.47</v>
      </c>
      <c r="H104" s="112">
        <v>20.76</v>
      </c>
      <c r="I104" s="112">
        <v>8.11</v>
      </c>
      <c r="J104" s="112">
        <v>0.12</v>
      </c>
      <c r="K104" s="112">
        <v>207.76</v>
      </c>
      <c r="L104" s="112">
        <v>28.71</v>
      </c>
      <c r="M104" s="112">
        <v>53.46</v>
      </c>
      <c r="N104" s="112">
        <v>0</v>
      </c>
      <c r="O104" s="112">
        <v>0</v>
      </c>
      <c r="P104" s="112">
        <v>0.71</v>
      </c>
      <c r="Q104" s="112">
        <v>4.63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7.8</v>
      </c>
      <c r="C106" s="183">
        <f>MIN(C9:C104)</f>
        <v>13</v>
      </c>
      <c r="D106" s="183">
        <f t="shared" ref="D106:Q106" si="0">MIN(D9:D104)</f>
        <v>24.57</v>
      </c>
      <c r="E106" s="183">
        <f t="shared" si="0"/>
        <v>5.15</v>
      </c>
      <c r="F106" s="183">
        <f t="shared" si="0"/>
        <v>0.18</v>
      </c>
      <c r="G106" s="183">
        <f t="shared" si="0"/>
        <v>35.25</v>
      </c>
      <c r="H106" s="183">
        <f t="shared" si="0"/>
        <v>15.74</v>
      </c>
      <c r="I106" s="183">
        <f t="shared" si="0"/>
        <v>4.33</v>
      </c>
      <c r="J106" s="183">
        <f t="shared" si="0"/>
        <v>0.05</v>
      </c>
      <c r="K106" s="183">
        <f t="shared" si="0"/>
        <v>-0.43</v>
      </c>
      <c r="L106" s="183">
        <f t="shared" si="0"/>
        <v>25.87</v>
      </c>
      <c r="M106" s="183">
        <f t="shared" si="0"/>
        <v>20.47</v>
      </c>
      <c r="N106" s="183">
        <f t="shared" si="0"/>
        <v>0</v>
      </c>
      <c r="O106" s="183">
        <f t="shared" si="0"/>
        <v>0</v>
      </c>
      <c r="P106" s="183">
        <f t="shared" si="0"/>
        <v>0.13</v>
      </c>
      <c r="Q106" s="183">
        <f t="shared" si="0"/>
        <v>4.62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11.45</v>
      </c>
      <c r="C107" s="184">
        <f t="shared" ref="C107:Q107" si="1">MAX(C9:C104)</f>
        <v>13.23</v>
      </c>
      <c r="D107" s="184">
        <f t="shared" si="1"/>
        <v>25.22</v>
      </c>
      <c r="E107" s="184">
        <f t="shared" si="1"/>
        <v>109.26</v>
      </c>
      <c r="F107" s="184">
        <f t="shared" si="1"/>
        <v>143.24</v>
      </c>
      <c r="G107" s="184">
        <f t="shared" si="1"/>
        <v>135.03</v>
      </c>
      <c r="H107" s="184">
        <f t="shared" si="1"/>
        <v>50.71</v>
      </c>
      <c r="I107" s="184">
        <f t="shared" si="1"/>
        <v>30.56</v>
      </c>
      <c r="J107" s="184">
        <f t="shared" si="1"/>
        <v>1.47</v>
      </c>
      <c r="K107" s="184">
        <f t="shared" si="1"/>
        <v>359.95</v>
      </c>
      <c r="L107" s="184">
        <f t="shared" si="1"/>
        <v>40.700000000000003</v>
      </c>
      <c r="M107" s="184">
        <f t="shared" si="1"/>
        <v>73.290000000000006</v>
      </c>
      <c r="N107" s="184">
        <f t="shared" si="1"/>
        <v>823.1</v>
      </c>
      <c r="O107" s="184">
        <f t="shared" si="1"/>
        <v>0</v>
      </c>
      <c r="P107" s="184">
        <f t="shared" si="1"/>
        <v>4.3899999999999997</v>
      </c>
      <c r="Q107" s="184">
        <f t="shared" si="1"/>
        <v>4.6500000000000004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11.093846153846153</v>
      </c>
      <c r="C108" s="183">
        <f t="shared" ref="C108:Q108" si="2">AVERAGE(C9:C104)</f>
        <v>13.091098901098885</v>
      </c>
      <c r="D108" s="183">
        <f t="shared" si="2"/>
        <v>24.908241758241751</v>
      </c>
      <c r="E108" s="183">
        <f t="shared" si="2"/>
        <v>23.29336842105262</v>
      </c>
      <c r="F108" s="183">
        <f t="shared" si="2"/>
        <v>21.463404255319137</v>
      </c>
      <c r="G108" s="183">
        <f t="shared" si="2"/>
        <v>78.319213483146086</v>
      </c>
      <c r="H108" s="183">
        <f t="shared" si="2"/>
        <v>27.59011235955057</v>
      </c>
      <c r="I108" s="183">
        <f t="shared" si="2"/>
        <v>8.4068421052631592</v>
      </c>
      <c r="J108" s="183">
        <f t="shared" si="2"/>
        <v>0.35768421052631583</v>
      </c>
      <c r="K108" s="183">
        <f t="shared" si="2"/>
        <v>160.87989473684212</v>
      </c>
      <c r="L108" s="183">
        <f t="shared" si="2"/>
        <v>32.191473684210514</v>
      </c>
      <c r="M108" s="183">
        <f t="shared" si="2"/>
        <v>46.576105263157899</v>
      </c>
      <c r="N108" s="183">
        <f t="shared" si="2"/>
        <v>163.33473684210523</v>
      </c>
      <c r="O108" s="183">
        <f t="shared" si="2"/>
        <v>0</v>
      </c>
      <c r="P108" s="183">
        <f t="shared" si="2"/>
        <v>0.66663157894736813</v>
      </c>
      <c r="Q108" s="183">
        <f t="shared" si="2"/>
        <v>4.63375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0.44144150041723268</v>
      </c>
      <c r="C109" s="183">
        <f t="shared" ref="C109:Q109" si="3">STDEV(C9:C104)</f>
        <v>4.9898798681833299E-2</v>
      </c>
      <c r="D109" s="183">
        <f t="shared" si="3"/>
        <v>0.23710566517728707</v>
      </c>
      <c r="E109" s="183">
        <f t="shared" si="3"/>
        <v>20.139078377491291</v>
      </c>
      <c r="F109" s="183">
        <f t="shared" si="3"/>
        <v>25.985608239913521</v>
      </c>
      <c r="G109" s="183">
        <f t="shared" si="3"/>
        <v>27.480990587905275</v>
      </c>
      <c r="H109" s="183">
        <f t="shared" si="3"/>
        <v>9.4667977803745238</v>
      </c>
      <c r="I109" s="183">
        <f t="shared" si="3"/>
        <v>4.0682685592950607</v>
      </c>
      <c r="J109" s="183">
        <f t="shared" si="3"/>
        <v>0.24207635788302953</v>
      </c>
      <c r="K109" s="183">
        <f t="shared" si="3"/>
        <v>104.58681798772396</v>
      </c>
      <c r="L109" s="183">
        <f t="shared" si="3"/>
        <v>4.7982405836690472</v>
      </c>
      <c r="M109" s="183">
        <f t="shared" si="3"/>
        <v>15.911422786639283</v>
      </c>
      <c r="N109" s="183">
        <f t="shared" si="3"/>
        <v>239.80079754646229</v>
      </c>
      <c r="O109" s="183">
        <f t="shared" si="3"/>
        <v>0</v>
      </c>
      <c r="P109" s="183">
        <f t="shared" si="3"/>
        <v>0.4271543906601532</v>
      </c>
      <c r="Q109" s="183">
        <f t="shared" si="3"/>
        <v>7.1879528842825891E-3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17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Q24" sqref="Q24:Q103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45427.010416666664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45427.010416666664</v>
      </c>
      <c r="B9" s="112">
        <v>11.28</v>
      </c>
      <c r="C9" s="112">
        <v>13.05</v>
      </c>
      <c r="D9" s="112">
        <v>25.01</v>
      </c>
      <c r="E9" s="112">
        <v>10.16</v>
      </c>
      <c r="F9" s="112">
        <v>7.2</v>
      </c>
      <c r="G9" s="112">
        <v>61.51</v>
      </c>
      <c r="H9" s="112">
        <v>21.1</v>
      </c>
      <c r="I9" s="112">
        <v>8.14</v>
      </c>
      <c r="J9" s="112">
        <v>0.13</v>
      </c>
      <c r="K9" s="112">
        <v>184.07</v>
      </c>
      <c r="L9" s="112">
        <v>28.68</v>
      </c>
      <c r="M9" s="112">
        <v>53.72</v>
      </c>
      <c r="N9" s="112">
        <v>0</v>
      </c>
      <c r="O9" s="112">
        <v>0</v>
      </c>
      <c r="P9" s="112">
        <v>0.71</v>
      </c>
      <c r="Q9" s="112">
        <v>4.6500000000000004</v>
      </c>
    </row>
    <row r="10" spans="1:21" customFormat="1">
      <c r="A10" s="80">
        <v>45427.020833333336</v>
      </c>
      <c r="B10" s="112">
        <v>11.29</v>
      </c>
      <c r="C10" s="112">
        <v>13.1</v>
      </c>
      <c r="D10" s="112">
        <v>25.04</v>
      </c>
      <c r="E10" s="112">
        <v>10.39</v>
      </c>
      <c r="F10" s="112">
        <v>7.36</v>
      </c>
      <c r="G10" s="112">
        <v>61.51</v>
      </c>
      <c r="H10" s="112">
        <v>21.1</v>
      </c>
      <c r="I10" s="112">
        <v>8.11</v>
      </c>
      <c r="J10" s="112">
        <v>0.23</v>
      </c>
      <c r="K10" s="112">
        <v>231.92</v>
      </c>
      <c r="L10" s="112">
        <v>28.36</v>
      </c>
      <c r="M10" s="112">
        <v>54.73</v>
      </c>
      <c r="N10" s="112">
        <v>0</v>
      </c>
      <c r="O10" s="112">
        <v>0</v>
      </c>
      <c r="P10" s="112">
        <v>0.71</v>
      </c>
      <c r="Q10" s="112">
        <v>4.6399999999999997</v>
      </c>
    </row>
    <row r="11" spans="1:21" customFormat="1">
      <c r="A11" s="80">
        <v>45427.03125</v>
      </c>
      <c r="B11" s="112">
        <v>11.31</v>
      </c>
      <c r="C11" s="112">
        <v>13.09</v>
      </c>
      <c r="D11" s="112">
        <v>25.05</v>
      </c>
      <c r="E11" s="112">
        <v>10.52</v>
      </c>
      <c r="F11" s="112">
        <v>6.62</v>
      </c>
      <c r="G11" s="112">
        <v>61.51</v>
      </c>
      <c r="H11" s="112">
        <v>21.1</v>
      </c>
      <c r="I11" s="112">
        <v>8.06</v>
      </c>
      <c r="J11" s="112">
        <v>0.09</v>
      </c>
      <c r="K11" s="112">
        <v>136.33000000000001</v>
      </c>
      <c r="L11" s="112">
        <v>28.2</v>
      </c>
      <c r="M11" s="112">
        <v>55.77</v>
      </c>
      <c r="N11" s="112">
        <v>0</v>
      </c>
      <c r="O11" s="112">
        <v>0</v>
      </c>
      <c r="P11" s="112">
        <v>0.71</v>
      </c>
      <c r="Q11" s="112">
        <v>4.6399999999999997</v>
      </c>
    </row>
    <row r="12" spans="1:21" customFormat="1">
      <c r="A12" s="80">
        <v>45427.041666666664</v>
      </c>
      <c r="B12" s="112">
        <v>11.33</v>
      </c>
      <c r="C12" s="112">
        <v>13.07</v>
      </c>
      <c r="D12" s="112">
        <v>25.06</v>
      </c>
      <c r="E12" s="112">
        <v>9.69</v>
      </c>
      <c r="F12" s="112">
        <v>5.0999999999999996</v>
      </c>
      <c r="G12" s="112">
        <v>61.51</v>
      </c>
      <c r="H12" s="112">
        <v>21.1</v>
      </c>
      <c r="I12" s="112">
        <v>8.0500000000000007</v>
      </c>
      <c r="J12" s="112">
        <v>0.25</v>
      </c>
      <c r="K12" s="112">
        <v>356.43</v>
      </c>
      <c r="L12" s="112">
        <v>28.31</v>
      </c>
      <c r="M12" s="112">
        <v>54.65</v>
      </c>
      <c r="N12" s="112">
        <v>0</v>
      </c>
      <c r="O12" s="112">
        <v>0</v>
      </c>
      <c r="P12" s="112">
        <v>0.71</v>
      </c>
      <c r="Q12" s="112">
        <v>4.63</v>
      </c>
    </row>
    <row r="13" spans="1:21" customFormat="1">
      <c r="A13" s="80">
        <v>45427.052083333336</v>
      </c>
      <c r="B13" s="112">
        <v>11.34</v>
      </c>
      <c r="C13" s="112">
        <v>13.1</v>
      </c>
      <c r="D13" s="112">
        <v>25.08</v>
      </c>
      <c r="E13" s="112">
        <v>10.130000000000001</v>
      </c>
      <c r="F13" s="112">
        <v>4.9000000000000004</v>
      </c>
      <c r="G13" s="112">
        <v>60.47</v>
      </c>
      <c r="H13" s="112">
        <v>21.61</v>
      </c>
      <c r="I13" s="112">
        <v>8.01</v>
      </c>
      <c r="J13" s="112">
        <v>0.19</v>
      </c>
      <c r="K13" s="112">
        <v>172.84</v>
      </c>
      <c r="L13" s="112">
        <v>28.35</v>
      </c>
      <c r="M13" s="112">
        <v>56.62</v>
      </c>
      <c r="N13" s="112">
        <v>0</v>
      </c>
      <c r="O13" s="112">
        <v>0</v>
      </c>
      <c r="P13" s="112">
        <v>0.72</v>
      </c>
      <c r="Q13" s="112">
        <v>4.62</v>
      </c>
    </row>
    <row r="14" spans="1:21" customFormat="1">
      <c r="A14" s="80">
        <v>45427.0625</v>
      </c>
      <c r="B14" s="112">
        <v>11.34</v>
      </c>
      <c r="C14" s="112">
        <v>13.09</v>
      </c>
      <c r="D14" s="112">
        <v>25.08</v>
      </c>
      <c r="E14" s="112">
        <v>10.210000000000001</v>
      </c>
      <c r="F14" s="112">
        <v>4.53</v>
      </c>
      <c r="G14" s="112">
        <v>60.37</v>
      </c>
      <c r="H14" s="112">
        <v>21.61</v>
      </c>
      <c r="I14" s="112">
        <v>7.95</v>
      </c>
      <c r="J14" s="112">
        <v>0.24</v>
      </c>
      <c r="K14" s="112">
        <v>185.17</v>
      </c>
      <c r="L14" s="112">
        <v>28.29</v>
      </c>
      <c r="M14" s="112">
        <v>59.06</v>
      </c>
      <c r="N14" s="112">
        <v>0</v>
      </c>
      <c r="O14" s="112">
        <v>0</v>
      </c>
      <c r="P14" s="112">
        <v>0.72</v>
      </c>
      <c r="Q14" s="112">
        <v>4.63</v>
      </c>
    </row>
    <row r="15" spans="1:21" customFormat="1">
      <c r="A15" s="80">
        <v>45427.072916666664</v>
      </c>
      <c r="B15" s="112">
        <v>11.32</v>
      </c>
      <c r="C15" s="112">
        <v>13.11</v>
      </c>
      <c r="D15" s="112">
        <v>25.07</v>
      </c>
      <c r="E15" s="112">
        <v>9.86</v>
      </c>
      <c r="F15" s="112">
        <v>4.33</v>
      </c>
      <c r="G15" s="112">
        <v>60.37</v>
      </c>
      <c r="H15" s="112">
        <v>21.61</v>
      </c>
      <c r="I15" s="112">
        <v>7.91</v>
      </c>
      <c r="J15" s="112">
        <v>0.16</v>
      </c>
      <c r="K15" s="112">
        <v>160.68</v>
      </c>
      <c r="L15" s="112">
        <v>27.82</v>
      </c>
      <c r="M15" s="112">
        <v>60</v>
      </c>
      <c r="N15" s="112">
        <v>0</v>
      </c>
      <c r="O15" s="112">
        <v>0</v>
      </c>
      <c r="P15" s="112">
        <v>0.71</v>
      </c>
      <c r="Q15" s="112">
        <v>4.63</v>
      </c>
    </row>
    <row r="16" spans="1:21" customFormat="1">
      <c r="A16" s="80">
        <v>45427.083333333336</v>
      </c>
      <c r="B16" s="112">
        <v>11.34</v>
      </c>
      <c r="C16" s="112">
        <v>13.12</v>
      </c>
      <c r="D16" s="112">
        <v>25.09</v>
      </c>
      <c r="E16" s="112">
        <v>10.42</v>
      </c>
      <c r="F16" s="112">
        <v>4.58</v>
      </c>
      <c r="G16" s="112">
        <v>60.37</v>
      </c>
      <c r="H16" s="112">
        <v>21.61</v>
      </c>
      <c r="I16" s="112">
        <v>7.96</v>
      </c>
      <c r="J16" s="112">
        <v>0.17</v>
      </c>
      <c r="K16" s="112">
        <v>232.43</v>
      </c>
      <c r="L16" s="112">
        <v>27.82</v>
      </c>
      <c r="M16" s="112">
        <v>59.62</v>
      </c>
      <c r="N16" s="112">
        <v>0</v>
      </c>
      <c r="O16" s="112">
        <v>0</v>
      </c>
      <c r="P16" s="112">
        <v>0.72</v>
      </c>
      <c r="Q16" s="112">
        <v>4.6500000000000004</v>
      </c>
    </row>
    <row r="17" spans="1:17" customFormat="1">
      <c r="A17" s="80">
        <v>45427.09375</v>
      </c>
      <c r="B17" s="112">
        <v>11.37</v>
      </c>
      <c r="C17" s="112">
        <v>13.11</v>
      </c>
      <c r="D17" s="112">
        <v>25.11</v>
      </c>
      <c r="E17" s="112">
        <v>8.4</v>
      </c>
      <c r="F17" s="112">
        <v>4.41</v>
      </c>
      <c r="G17" s="112">
        <v>56.35</v>
      </c>
      <c r="H17" s="112">
        <v>18.809999999999999</v>
      </c>
      <c r="I17" s="112">
        <v>7.94</v>
      </c>
      <c r="J17" s="112">
        <v>0.22</v>
      </c>
      <c r="K17" s="112">
        <v>171.96</v>
      </c>
      <c r="L17" s="112">
        <v>27.99</v>
      </c>
      <c r="M17" s="112">
        <v>61.1</v>
      </c>
      <c r="N17" s="112">
        <v>0</v>
      </c>
      <c r="O17" s="112">
        <v>0</v>
      </c>
      <c r="P17" s="112">
        <v>0.72</v>
      </c>
      <c r="Q17" s="112">
        <v>4.6500000000000004</v>
      </c>
    </row>
    <row r="18" spans="1:17" customFormat="1">
      <c r="A18" s="80">
        <v>45427.104166666664</v>
      </c>
      <c r="B18" s="112">
        <v>11.38</v>
      </c>
      <c r="C18" s="112">
        <v>13.08</v>
      </c>
      <c r="D18" s="112">
        <v>25.1</v>
      </c>
      <c r="E18" s="112">
        <v>10.25</v>
      </c>
      <c r="F18" s="112">
        <v>4.5199999999999996</v>
      </c>
      <c r="G18" s="112">
        <v>56.01</v>
      </c>
      <c r="H18" s="112">
        <v>18.809999999999999</v>
      </c>
      <c r="I18" s="112">
        <v>7.9</v>
      </c>
      <c r="J18" s="112">
        <v>0.47</v>
      </c>
      <c r="K18" s="112">
        <v>177.55</v>
      </c>
      <c r="L18" s="112">
        <v>27.38</v>
      </c>
      <c r="M18" s="112">
        <v>63.26</v>
      </c>
      <c r="N18" s="112">
        <v>0</v>
      </c>
      <c r="O18" s="112">
        <v>0</v>
      </c>
      <c r="P18" s="112">
        <v>0.72</v>
      </c>
      <c r="Q18" s="112">
        <v>4.63</v>
      </c>
    </row>
    <row r="19" spans="1:17" customFormat="1">
      <c r="A19" s="80">
        <v>45427.114583333336</v>
      </c>
      <c r="B19" s="112">
        <v>11.39</v>
      </c>
      <c r="C19" s="112">
        <v>13.15</v>
      </c>
      <c r="D19" s="112">
        <v>25.15</v>
      </c>
      <c r="E19" s="112">
        <v>10.44</v>
      </c>
      <c r="F19" s="112">
        <v>4.55</v>
      </c>
      <c r="G19" s="112">
        <v>56.01</v>
      </c>
      <c r="H19" s="112">
        <v>18.809999999999999</v>
      </c>
      <c r="I19" s="112">
        <v>7.89</v>
      </c>
      <c r="J19" s="112">
        <v>0.15</v>
      </c>
      <c r="K19" s="112">
        <v>179.55</v>
      </c>
      <c r="L19" s="112">
        <v>27.03</v>
      </c>
      <c r="M19" s="112">
        <v>63.4</v>
      </c>
      <c r="N19" s="112">
        <v>0</v>
      </c>
      <c r="O19" s="112">
        <v>0</v>
      </c>
      <c r="P19" s="112">
        <v>0.71</v>
      </c>
      <c r="Q19" s="112">
        <v>4.63</v>
      </c>
    </row>
    <row r="20" spans="1:17" customFormat="1">
      <c r="A20" s="80">
        <v>45427.125</v>
      </c>
      <c r="B20" s="112">
        <v>11.39</v>
      </c>
      <c r="C20" s="112">
        <v>13.15</v>
      </c>
      <c r="D20" s="112">
        <v>25.15</v>
      </c>
      <c r="E20" s="112">
        <v>10.44</v>
      </c>
      <c r="F20" s="112">
        <v>4.55</v>
      </c>
      <c r="G20" s="112">
        <v>56.01</v>
      </c>
      <c r="H20" s="112">
        <v>18.809999999999999</v>
      </c>
      <c r="I20" s="112">
        <v>7.89</v>
      </c>
      <c r="J20" s="112">
        <v>0.15</v>
      </c>
      <c r="K20" s="112">
        <v>179.55</v>
      </c>
      <c r="L20" s="112">
        <v>27.03</v>
      </c>
      <c r="M20" s="112">
        <v>63.4</v>
      </c>
      <c r="N20" s="112">
        <v>0</v>
      </c>
      <c r="O20" s="112">
        <v>0</v>
      </c>
      <c r="P20" s="112">
        <v>0.71</v>
      </c>
      <c r="Q20" s="112">
        <v>4.63</v>
      </c>
    </row>
    <row r="21" spans="1:17" customFormat="1">
      <c r="A21" s="80">
        <v>45427.135416666664</v>
      </c>
      <c r="B21" s="112">
        <v>11.38</v>
      </c>
      <c r="C21" s="112">
        <v>13.19</v>
      </c>
      <c r="D21" s="112">
        <v>25.16</v>
      </c>
      <c r="E21" s="112">
        <v>10.59</v>
      </c>
      <c r="F21" s="112">
        <v>4.41</v>
      </c>
      <c r="G21" s="112">
        <v>57.12</v>
      </c>
      <c r="H21" s="112">
        <v>21.14</v>
      </c>
      <c r="I21" s="112">
        <v>7.93</v>
      </c>
      <c r="J21" s="112">
        <v>0.12</v>
      </c>
      <c r="K21" s="112">
        <v>195.61</v>
      </c>
      <c r="L21" s="112">
        <v>27.1</v>
      </c>
      <c r="M21" s="112">
        <v>64.900000000000006</v>
      </c>
      <c r="N21" s="112">
        <v>0</v>
      </c>
      <c r="O21" s="112">
        <v>0</v>
      </c>
      <c r="P21" s="112">
        <v>0.72</v>
      </c>
      <c r="Q21" s="112">
        <v>4.6399999999999997</v>
      </c>
    </row>
    <row r="22" spans="1:17" customFormat="1">
      <c r="A22" s="80">
        <v>45427.145833333336</v>
      </c>
      <c r="B22" s="112">
        <v>11.38</v>
      </c>
      <c r="C22" s="112">
        <v>13.17</v>
      </c>
      <c r="D22" s="112">
        <v>25.15</v>
      </c>
      <c r="E22" s="112">
        <v>10.56</v>
      </c>
      <c r="F22" s="112">
        <v>4.24</v>
      </c>
      <c r="G22" s="112">
        <v>58.32</v>
      </c>
      <c r="H22" s="112">
        <v>23.3</v>
      </c>
      <c r="I22" s="112">
        <v>7.9</v>
      </c>
      <c r="J22" s="112">
        <v>0.2</v>
      </c>
      <c r="K22" s="112">
        <v>164.11</v>
      </c>
      <c r="L22" s="112">
        <v>27.13</v>
      </c>
      <c r="M22" s="112">
        <v>66.81</v>
      </c>
      <c r="N22" s="112">
        <v>0</v>
      </c>
      <c r="O22" s="112">
        <v>0</v>
      </c>
      <c r="P22" s="112">
        <v>0.72</v>
      </c>
      <c r="Q22" s="167" t="s">
        <v>14</v>
      </c>
    </row>
    <row r="23" spans="1:17" customFormat="1">
      <c r="A23" s="80">
        <v>45427.15625</v>
      </c>
      <c r="B23" s="112">
        <v>11.37</v>
      </c>
      <c r="C23" s="112">
        <v>13.13</v>
      </c>
      <c r="D23" s="112">
        <v>25.12</v>
      </c>
      <c r="E23" s="112">
        <v>11.11</v>
      </c>
      <c r="F23" s="112">
        <v>4.33</v>
      </c>
      <c r="G23" s="112">
        <v>58.32</v>
      </c>
      <c r="H23" s="112">
        <v>23.3</v>
      </c>
      <c r="I23" s="112">
        <v>7.91</v>
      </c>
      <c r="J23" s="112">
        <v>0.26</v>
      </c>
      <c r="K23" s="112">
        <v>197.2</v>
      </c>
      <c r="L23" s="112">
        <v>26.33</v>
      </c>
      <c r="M23" s="112">
        <v>69.89</v>
      </c>
      <c r="N23" s="112">
        <v>0</v>
      </c>
      <c r="O23" s="112">
        <v>0</v>
      </c>
      <c r="P23" s="112">
        <v>0.73</v>
      </c>
      <c r="Q23" s="167" t="s">
        <v>14</v>
      </c>
    </row>
    <row r="24" spans="1:17" customFormat="1">
      <c r="A24" s="80">
        <v>45427.166666666664</v>
      </c>
      <c r="B24" s="112">
        <v>11.36</v>
      </c>
      <c r="C24" s="112">
        <v>13.15</v>
      </c>
      <c r="D24" s="112">
        <v>25.13</v>
      </c>
      <c r="E24" s="112">
        <v>10.3</v>
      </c>
      <c r="F24" s="112">
        <v>5.08</v>
      </c>
      <c r="G24" s="112">
        <v>58.32</v>
      </c>
      <c r="H24" s="112">
        <v>23.3</v>
      </c>
      <c r="I24" s="112">
        <v>7.95</v>
      </c>
      <c r="J24" s="112">
        <v>0.25</v>
      </c>
      <c r="K24" s="112">
        <v>195.56</v>
      </c>
      <c r="L24" s="112">
        <v>26.19</v>
      </c>
      <c r="M24" s="112">
        <v>68.83</v>
      </c>
      <c r="N24" s="112">
        <v>0</v>
      </c>
      <c r="O24" s="112">
        <v>0</v>
      </c>
      <c r="P24" s="112">
        <v>0.71</v>
      </c>
      <c r="Q24" s="167" t="s">
        <v>14</v>
      </c>
    </row>
    <row r="25" spans="1:17" customFormat="1">
      <c r="A25" s="80">
        <v>45427.177083333336</v>
      </c>
      <c r="B25" s="112">
        <v>11.38</v>
      </c>
      <c r="C25" s="112">
        <v>13.14</v>
      </c>
      <c r="D25" s="112">
        <v>25.14</v>
      </c>
      <c r="E25" s="112">
        <v>9.58</v>
      </c>
      <c r="F25" s="112">
        <v>6.55</v>
      </c>
      <c r="G25" s="112">
        <v>57.51</v>
      </c>
      <c r="H25" s="112">
        <v>20.92</v>
      </c>
      <c r="I25" s="112">
        <v>7.98</v>
      </c>
      <c r="J25" s="112">
        <v>0.02</v>
      </c>
      <c r="K25" s="112">
        <v>-0.18</v>
      </c>
      <c r="L25" s="112">
        <v>26.29</v>
      </c>
      <c r="M25" s="112">
        <v>67.58</v>
      </c>
      <c r="N25" s="112">
        <v>0</v>
      </c>
      <c r="O25" s="112">
        <v>0</v>
      </c>
      <c r="P25" s="112">
        <v>0.7</v>
      </c>
      <c r="Q25" s="167" t="s">
        <v>14</v>
      </c>
    </row>
    <row r="26" spans="1:17" customFormat="1">
      <c r="A26" s="80">
        <v>45427.1875</v>
      </c>
      <c r="B26" s="112">
        <v>11.38</v>
      </c>
      <c r="C26" s="112">
        <v>13.13</v>
      </c>
      <c r="D26" s="112">
        <v>25.13</v>
      </c>
      <c r="E26" s="112">
        <v>8.9700000000000006</v>
      </c>
      <c r="F26" s="112">
        <v>6.43</v>
      </c>
      <c r="G26" s="112">
        <v>57.43</v>
      </c>
      <c r="H26" s="112">
        <v>20.92</v>
      </c>
      <c r="I26" s="112">
        <v>7.9</v>
      </c>
      <c r="J26" s="112">
        <v>0.22</v>
      </c>
      <c r="K26" s="112">
        <v>210.3</v>
      </c>
      <c r="L26" s="112">
        <v>26.25</v>
      </c>
      <c r="M26" s="112">
        <v>72.58</v>
      </c>
      <c r="N26" s="112">
        <v>0</v>
      </c>
      <c r="O26" s="112">
        <v>0</v>
      </c>
      <c r="P26" s="112">
        <v>0.68</v>
      </c>
      <c r="Q26" s="167" t="s">
        <v>14</v>
      </c>
    </row>
    <row r="27" spans="1:17" customFormat="1">
      <c r="A27" s="80">
        <v>45427.197916666664</v>
      </c>
      <c r="B27" s="112">
        <v>11.39</v>
      </c>
      <c r="C27" s="112">
        <v>13.14</v>
      </c>
      <c r="D27" s="112">
        <v>25.14</v>
      </c>
      <c r="E27" s="112">
        <v>8.2899999999999991</v>
      </c>
      <c r="F27" s="112">
        <v>6.1</v>
      </c>
      <c r="G27" s="112">
        <v>57.43</v>
      </c>
      <c r="H27" s="112">
        <v>20.92</v>
      </c>
      <c r="I27" s="112">
        <v>7.81</v>
      </c>
      <c r="J27" s="112">
        <v>0.11</v>
      </c>
      <c r="K27" s="112">
        <v>197.31</v>
      </c>
      <c r="L27" s="112">
        <v>26.11</v>
      </c>
      <c r="M27" s="112">
        <v>70.540000000000006</v>
      </c>
      <c r="N27" s="112">
        <v>0</v>
      </c>
      <c r="O27" s="112">
        <v>0</v>
      </c>
      <c r="P27" s="112">
        <v>0.67</v>
      </c>
      <c r="Q27" s="167" t="s">
        <v>14</v>
      </c>
    </row>
    <row r="28" spans="1:17" customFormat="1">
      <c r="A28" s="80">
        <v>45427.208333333336</v>
      </c>
      <c r="B28" s="112">
        <v>11.37</v>
      </c>
      <c r="C28" s="112">
        <v>13.17</v>
      </c>
      <c r="D28" s="112">
        <v>25.14</v>
      </c>
      <c r="E28" s="112">
        <v>8.3800000000000008</v>
      </c>
      <c r="F28" s="112">
        <v>6.09</v>
      </c>
      <c r="G28" s="112">
        <v>57.43</v>
      </c>
      <c r="H28" s="112">
        <v>20.92</v>
      </c>
      <c r="I28" s="112">
        <v>7.8</v>
      </c>
      <c r="J28" s="112">
        <v>0.2</v>
      </c>
      <c r="K28" s="112">
        <v>197.03</v>
      </c>
      <c r="L28" s="112">
        <v>26.11</v>
      </c>
      <c r="M28" s="112">
        <v>71.92</v>
      </c>
      <c r="N28" s="112">
        <v>0</v>
      </c>
      <c r="O28" s="112">
        <v>0</v>
      </c>
      <c r="P28" s="112">
        <v>0.67</v>
      </c>
      <c r="Q28" s="167" t="s">
        <v>14</v>
      </c>
    </row>
    <row r="29" spans="1:17" customFormat="1">
      <c r="A29" s="80">
        <v>45427.21875</v>
      </c>
      <c r="B29" s="112">
        <v>11.38</v>
      </c>
      <c r="C29" s="112">
        <v>13.09</v>
      </c>
      <c r="D29" s="112">
        <v>25.11</v>
      </c>
      <c r="E29" s="112">
        <v>8.36</v>
      </c>
      <c r="F29" s="112">
        <v>5.63</v>
      </c>
      <c r="G29" s="112">
        <v>55.37</v>
      </c>
      <c r="H29" s="112">
        <v>21.13</v>
      </c>
      <c r="I29" s="112">
        <v>7.8</v>
      </c>
      <c r="J29" s="112">
        <v>0.24</v>
      </c>
      <c r="K29" s="112">
        <v>178.67</v>
      </c>
      <c r="L29" s="112">
        <v>26.19</v>
      </c>
      <c r="M29" s="112">
        <v>70.989999999999995</v>
      </c>
      <c r="N29" s="112">
        <v>0</v>
      </c>
      <c r="O29" s="112">
        <v>0</v>
      </c>
      <c r="P29" s="112">
        <v>0.68</v>
      </c>
      <c r="Q29" s="167" t="s">
        <v>14</v>
      </c>
    </row>
    <row r="30" spans="1:17" customFormat="1">
      <c r="A30" s="80">
        <v>45427.229166666664</v>
      </c>
      <c r="B30" s="112">
        <v>11.38</v>
      </c>
      <c r="C30" s="112">
        <v>13.09</v>
      </c>
      <c r="D30" s="112">
        <v>25.11</v>
      </c>
      <c r="E30" s="112">
        <v>8.2899999999999991</v>
      </c>
      <c r="F30" s="112">
        <v>4.7300000000000004</v>
      </c>
      <c r="G30" s="112">
        <v>55.17</v>
      </c>
      <c r="H30" s="112">
        <v>21.13</v>
      </c>
      <c r="I30" s="112">
        <v>7.84</v>
      </c>
      <c r="J30" s="112">
        <v>0.17</v>
      </c>
      <c r="K30" s="112">
        <v>136.56</v>
      </c>
      <c r="L30" s="112">
        <v>25.97</v>
      </c>
      <c r="M30" s="112">
        <v>71.92</v>
      </c>
      <c r="N30" s="112">
        <v>0</v>
      </c>
      <c r="O30" s="112">
        <v>0</v>
      </c>
      <c r="P30" s="112">
        <v>0.69</v>
      </c>
      <c r="Q30" s="167" t="s">
        <v>14</v>
      </c>
    </row>
    <row r="31" spans="1:17" customFormat="1">
      <c r="A31" s="80">
        <v>45427.239583333336</v>
      </c>
      <c r="B31" s="112">
        <v>11.38</v>
      </c>
      <c r="C31" s="112">
        <v>13.11</v>
      </c>
      <c r="D31" s="112">
        <v>25.12</v>
      </c>
      <c r="E31" s="112">
        <v>8.82</v>
      </c>
      <c r="F31" s="112">
        <v>5.72</v>
      </c>
      <c r="G31" s="112">
        <v>55.17</v>
      </c>
      <c r="H31" s="112">
        <v>21.13</v>
      </c>
      <c r="I31" s="112">
        <v>8.0299999999999994</v>
      </c>
      <c r="J31" s="112">
        <v>0.14000000000000001</v>
      </c>
      <c r="K31" s="112">
        <v>183.18</v>
      </c>
      <c r="L31" s="112">
        <v>25.97</v>
      </c>
      <c r="M31" s="112">
        <v>67.98</v>
      </c>
      <c r="N31" s="112">
        <v>0.3</v>
      </c>
      <c r="O31" s="112">
        <v>0</v>
      </c>
      <c r="P31" s="112">
        <v>0.68</v>
      </c>
      <c r="Q31" s="167" t="s">
        <v>14</v>
      </c>
    </row>
    <row r="32" spans="1:17" customFormat="1">
      <c r="A32" s="80">
        <v>45427.25</v>
      </c>
      <c r="B32" s="112">
        <v>11.43</v>
      </c>
      <c r="C32" s="112">
        <v>13.11</v>
      </c>
      <c r="D32" s="112">
        <v>25.15</v>
      </c>
      <c r="E32" s="112">
        <v>8.2799999999999994</v>
      </c>
      <c r="F32" s="112">
        <v>7.27</v>
      </c>
      <c r="G32" s="112">
        <v>55.17</v>
      </c>
      <c r="H32" s="112">
        <v>21.13</v>
      </c>
      <c r="I32" s="112">
        <v>8.15</v>
      </c>
      <c r="J32" s="112">
        <v>0.17</v>
      </c>
      <c r="K32" s="112">
        <v>173.6</v>
      </c>
      <c r="L32" s="112">
        <v>26.39</v>
      </c>
      <c r="M32" s="112">
        <v>65.38</v>
      </c>
      <c r="N32" s="112">
        <v>14.8</v>
      </c>
      <c r="O32" s="112">
        <v>0</v>
      </c>
      <c r="P32" s="112">
        <v>0.68</v>
      </c>
      <c r="Q32" s="167" t="s">
        <v>14</v>
      </c>
    </row>
    <row r="33" spans="1:17" customFormat="1">
      <c r="A33" s="80">
        <v>45427.260416666664</v>
      </c>
      <c r="B33" s="112">
        <v>11.4</v>
      </c>
      <c r="C33" s="112">
        <v>13.07</v>
      </c>
      <c r="D33" s="112">
        <v>25.11</v>
      </c>
      <c r="E33" s="112">
        <v>7.87</v>
      </c>
      <c r="F33" s="112">
        <v>9.0500000000000007</v>
      </c>
      <c r="G33" s="112">
        <v>51.66</v>
      </c>
      <c r="H33" s="112">
        <v>20.07</v>
      </c>
      <c r="I33" s="112">
        <v>8</v>
      </c>
      <c r="J33" s="112">
        <v>0.22</v>
      </c>
      <c r="K33" s="112">
        <v>225.14</v>
      </c>
      <c r="L33" s="112">
        <v>26.59</v>
      </c>
      <c r="M33" s="112">
        <v>66.349999999999994</v>
      </c>
      <c r="N33" s="112">
        <v>33.799999999999997</v>
      </c>
      <c r="O33" s="112">
        <v>0</v>
      </c>
      <c r="P33" s="112">
        <v>0.67</v>
      </c>
      <c r="Q33" s="167" t="s">
        <v>14</v>
      </c>
    </row>
    <row r="34" spans="1:17" customFormat="1">
      <c r="A34" s="80">
        <v>45427.270833333336</v>
      </c>
      <c r="B34" s="112">
        <v>11.37</v>
      </c>
      <c r="C34" s="112">
        <v>13.08</v>
      </c>
      <c r="D34" s="112">
        <v>25.09</v>
      </c>
      <c r="E34" s="112">
        <v>8.6300000000000008</v>
      </c>
      <c r="F34" s="112">
        <v>8.92</v>
      </c>
      <c r="G34" s="112">
        <v>51.32</v>
      </c>
      <c r="H34" s="112">
        <v>20.07</v>
      </c>
      <c r="I34" s="112">
        <v>7.9</v>
      </c>
      <c r="J34" s="112">
        <v>0.3</v>
      </c>
      <c r="K34" s="112">
        <v>188.69</v>
      </c>
      <c r="L34" s="112">
        <v>27.22</v>
      </c>
      <c r="M34" s="112">
        <v>64.47</v>
      </c>
      <c r="N34" s="112">
        <v>55.3</v>
      </c>
      <c r="O34" s="112">
        <v>0</v>
      </c>
      <c r="P34" s="112">
        <v>0.67</v>
      </c>
      <c r="Q34" s="167" t="s">
        <v>14</v>
      </c>
    </row>
    <row r="35" spans="1:17" customFormat="1">
      <c r="A35" s="80">
        <v>45427.28125</v>
      </c>
      <c r="B35" s="112">
        <v>11.34</v>
      </c>
      <c r="C35" s="112">
        <v>13.1</v>
      </c>
      <c r="D35" s="112">
        <v>25.08</v>
      </c>
      <c r="E35" s="112">
        <v>8.5500000000000007</v>
      </c>
      <c r="F35" s="112">
        <v>8.39</v>
      </c>
      <c r="G35" s="112">
        <v>51.32</v>
      </c>
      <c r="H35" s="112">
        <v>20.07</v>
      </c>
      <c r="I35" s="112">
        <v>7.98</v>
      </c>
      <c r="J35" s="112">
        <v>0.22</v>
      </c>
      <c r="K35" s="112">
        <v>225.08</v>
      </c>
      <c r="L35" s="112">
        <v>27.73</v>
      </c>
      <c r="M35" s="112">
        <v>62.52</v>
      </c>
      <c r="N35" s="112">
        <v>74.8</v>
      </c>
      <c r="O35" s="112">
        <v>0</v>
      </c>
      <c r="P35" s="112">
        <v>0.68</v>
      </c>
      <c r="Q35" s="167" t="s">
        <v>14</v>
      </c>
    </row>
    <row r="36" spans="1:17" customFormat="1">
      <c r="A36" s="80">
        <v>45427.291666666664</v>
      </c>
      <c r="B36" s="112">
        <v>11.32</v>
      </c>
      <c r="C36" s="112">
        <v>13.09</v>
      </c>
      <c r="D36" s="112">
        <v>25.06</v>
      </c>
      <c r="E36" s="112">
        <v>9.4</v>
      </c>
      <c r="F36" s="112">
        <v>10.15</v>
      </c>
      <c r="G36" s="112">
        <v>51.32</v>
      </c>
      <c r="H36" s="112">
        <v>20.07</v>
      </c>
      <c r="I36" s="112">
        <v>8.0500000000000007</v>
      </c>
      <c r="J36" s="112">
        <v>0.33</v>
      </c>
      <c r="K36" s="112">
        <v>237.27</v>
      </c>
      <c r="L36" s="112">
        <v>28.23</v>
      </c>
      <c r="M36" s="112">
        <v>59.01</v>
      </c>
      <c r="N36" s="112">
        <v>78.3</v>
      </c>
      <c r="O36" s="112">
        <v>0</v>
      </c>
      <c r="P36" s="112">
        <v>0.69</v>
      </c>
      <c r="Q36" s="167" t="s">
        <v>14</v>
      </c>
    </row>
    <row r="37" spans="1:17" customFormat="1">
      <c r="A37" s="80">
        <v>45427.302083333336</v>
      </c>
      <c r="B37" s="112">
        <v>11.32</v>
      </c>
      <c r="C37" s="112">
        <v>13.08</v>
      </c>
      <c r="D37" s="112">
        <v>25.05</v>
      </c>
      <c r="E37" s="112">
        <v>9.8800000000000008</v>
      </c>
      <c r="F37" s="112">
        <v>15.05</v>
      </c>
      <c r="G37" s="112">
        <v>52.81</v>
      </c>
      <c r="H37" s="112">
        <v>21.66</v>
      </c>
      <c r="I37" s="112">
        <v>8.06</v>
      </c>
      <c r="J37" s="112">
        <v>0.33</v>
      </c>
      <c r="K37" s="112">
        <v>235.26</v>
      </c>
      <c r="L37" s="112">
        <v>28.97</v>
      </c>
      <c r="M37" s="112">
        <v>57.08</v>
      </c>
      <c r="N37" s="112">
        <v>99.9</v>
      </c>
      <c r="O37" s="112">
        <v>0</v>
      </c>
      <c r="P37" s="112">
        <v>0.69</v>
      </c>
      <c r="Q37" s="167" t="s">
        <v>14</v>
      </c>
    </row>
    <row r="38" spans="1:17" customFormat="1">
      <c r="A38" s="80">
        <v>45427.3125</v>
      </c>
      <c r="B38" s="112">
        <v>11.32</v>
      </c>
      <c r="C38" s="112">
        <v>13.04</v>
      </c>
      <c r="D38" s="112">
        <v>25.03</v>
      </c>
      <c r="E38" s="112">
        <v>9.98</v>
      </c>
      <c r="F38" s="112">
        <v>12.34</v>
      </c>
      <c r="G38" s="112">
        <v>52.95</v>
      </c>
      <c r="H38" s="112">
        <v>21.66</v>
      </c>
      <c r="I38" s="112">
        <v>8.01</v>
      </c>
      <c r="J38" s="112">
        <v>0.46</v>
      </c>
      <c r="K38" s="112">
        <v>245.07</v>
      </c>
      <c r="L38" s="112">
        <v>29.53</v>
      </c>
      <c r="M38" s="112">
        <v>54.67</v>
      </c>
      <c r="N38" s="112">
        <v>115</v>
      </c>
      <c r="O38" s="112">
        <v>0</v>
      </c>
      <c r="P38" s="112">
        <v>0.67</v>
      </c>
      <c r="Q38" s="167" t="s">
        <v>14</v>
      </c>
    </row>
    <row r="39" spans="1:17" customFormat="1">
      <c r="A39" s="80">
        <v>45427.322916666664</v>
      </c>
      <c r="B39" s="112">
        <v>11.3</v>
      </c>
      <c r="C39" s="112">
        <v>13.06</v>
      </c>
      <c r="D39" s="112">
        <v>25.03</v>
      </c>
      <c r="E39" s="112">
        <v>10.039999999999999</v>
      </c>
      <c r="F39" s="112">
        <v>13.27</v>
      </c>
      <c r="G39" s="112">
        <v>52.95</v>
      </c>
      <c r="H39" s="112">
        <v>21.66</v>
      </c>
      <c r="I39" s="112">
        <v>7.97</v>
      </c>
      <c r="J39" s="112">
        <v>0.46</v>
      </c>
      <c r="K39" s="112">
        <v>256.02999999999997</v>
      </c>
      <c r="L39" s="112">
        <v>29.58</v>
      </c>
      <c r="M39" s="112">
        <v>54.13</v>
      </c>
      <c r="N39" s="112">
        <v>106.4</v>
      </c>
      <c r="O39" s="112">
        <v>0</v>
      </c>
      <c r="P39" s="112">
        <v>0.66</v>
      </c>
      <c r="Q39" s="167" t="s">
        <v>14</v>
      </c>
    </row>
    <row r="40" spans="1:17" customFormat="1">
      <c r="A40" s="80">
        <v>45427.333333333336</v>
      </c>
      <c r="B40" s="112">
        <v>11.31</v>
      </c>
      <c r="C40" s="112">
        <v>13.07</v>
      </c>
      <c r="D40" s="112">
        <v>25.04</v>
      </c>
      <c r="E40" s="112">
        <v>10.35</v>
      </c>
      <c r="F40" s="112">
        <v>15.8</v>
      </c>
      <c r="G40" s="112">
        <v>52.95</v>
      </c>
      <c r="H40" s="112">
        <v>21.66</v>
      </c>
      <c r="I40" s="112">
        <v>8.09</v>
      </c>
      <c r="J40" s="112">
        <v>0.4</v>
      </c>
      <c r="K40" s="112">
        <v>239.35</v>
      </c>
      <c r="L40" s="112">
        <v>30.14</v>
      </c>
      <c r="M40" s="112">
        <v>53.02</v>
      </c>
      <c r="N40" s="112">
        <v>124</v>
      </c>
      <c r="O40" s="112">
        <v>0</v>
      </c>
      <c r="P40" s="112">
        <v>0.66</v>
      </c>
      <c r="Q40" s="167" t="s">
        <v>14</v>
      </c>
    </row>
    <row r="41" spans="1:17" customFormat="1">
      <c r="A41" s="80">
        <v>45427.34375</v>
      </c>
      <c r="B41" s="112">
        <v>11.32</v>
      </c>
      <c r="C41" s="112">
        <v>13.1</v>
      </c>
      <c r="D41" s="112">
        <v>25.07</v>
      </c>
      <c r="E41" s="112">
        <v>9.6999999999999993</v>
      </c>
      <c r="F41" s="112">
        <v>8.14</v>
      </c>
      <c r="G41" s="112">
        <v>49.41</v>
      </c>
      <c r="H41" s="112">
        <v>21.95</v>
      </c>
      <c r="I41" s="112">
        <v>8.07</v>
      </c>
      <c r="J41" s="112">
        <v>0.43</v>
      </c>
      <c r="K41" s="112">
        <v>266.92</v>
      </c>
      <c r="L41" s="112">
        <v>30.61</v>
      </c>
      <c r="M41" s="112">
        <v>50.62</v>
      </c>
      <c r="N41" s="112">
        <v>144.69999999999999</v>
      </c>
      <c r="O41" s="112">
        <v>0</v>
      </c>
      <c r="P41" s="112">
        <v>0.69</v>
      </c>
      <c r="Q41" s="167" t="s">
        <v>14</v>
      </c>
    </row>
    <row r="42" spans="1:17" customFormat="1">
      <c r="A42" s="80">
        <v>45427.354166666664</v>
      </c>
      <c r="B42" s="112">
        <v>11.31</v>
      </c>
      <c r="C42" s="112">
        <v>13.13</v>
      </c>
      <c r="D42" s="112">
        <v>25.07</v>
      </c>
      <c r="E42" s="112">
        <v>10.3</v>
      </c>
      <c r="F42" s="112">
        <v>10.39</v>
      </c>
      <c r="G42" s="112">
        <v>49.06</v>
      </c>
      <c r="H42" s="112">
        <v>21.95</v>
      </c>
      <c r="I42" s="112">
        <v>8.1</v>
      </c>
      <c r="J42" s="112">
        <v>0.81</v>
      </c>
      <c r="K42" s="112">
        <v>274.06</v>
      </c>
      <c r="L42" s="112">
        <v>30.97</v>
      </c>
      <c r="M42" s="112">
        <v>47.78</v>
      </c>
      <c r="N42" s="112">
        <v>155.30000000000001</v>
      </c>
      <c r="O42" s="112">
        <v>0</v>
      </c>
      <c r="P42" s="112">
        <v>0.71</v>
      </c>
      <c r="Q42" s="167" t="s">
        <v>14</v>
      </c>
    </row>
    <row r="43" spans="1:17" customFormat="1">
      <c r="A43" s="80">
        <v>45427.364583333336</v>
      </c>
      <c r="B43" s="112">
        <v>11.32</v>
      </c>
      <c r="C43" s="112">
        <v>13.09</v>
      </c>
      <c r="D43" s="112">
        <v>25.06</v>
      </c>
      <c r="E43" s="112">
        <v>10.63</v>
      </c>
      <c r="F43" s="112">
        <v>10.44</v>
      </c>
      <c r="G43" s="112">
        <v>49.06</v>
      </c>
      <c r="H43" s="112">
        <v>21.95</v>
      </c>
      <c r="I43" s="112">
        <v>8.31</v>
      </c>
      <c r="J43" s="112">
        <v>0.72</v>
      </c>
      <c r="K43" s="112">
        <v>268.7</v>
      </c>
      <c r="L43" s="112">
        <v>31.99</v>
      </c>
      <c r="M43" s="112">
        <v>44.4</v>
      </c>
      <c r="N43" s="112">
        <v>184.4</v>
      </c>
      <c r="O43" s="112">
        <v>0</v>
      </c>
      <c r="P43" s="112">
        <v>0.72</v>
      </c>
      <c r="Q43" s="167" t="s">
        <v>14</v>
      </c>
    </row>
    <row r="44" spans="1:17" customFormat="1">
      <c r="A44" s="80">
        <v>45427.375</v>
      </c>
      <c r="B44" s="112">
        <v>11.34</v>
      </c>
      <c r="C44" s="112">
        <v>13.09</v>
      </c>
      <c r="D44" s="112">
        <v>25.07</v>
      </c>
      <c r="E44" s="112">
        <v>10.17</v>
      </c>
      <c r="F44" s="112">
        <v>8.8800000000000008</v>
      </c>
      <c r="G44" s="112">
        <v>49.06</v>
      </c>
      <c r="H44" s="112">
        <v>21.95</v>
      </c>
      <c r="I44" s="112">
        <v>8.5</v>
      </c>
      <c r="J44" s="112">
        <v>0.43</v>
      </c>
      <c r="K44" s="112">
        <v>261.25</v>
      </c>
      <c r="L44" s="112">
        <v>32.28</v>
      </c>
      <c r="M44" s="112">
        <v>41.95</v>
      </c>
      <c r="N44" s="112">
        <v>170.1</v>
      </c>
      <c r="O44" s="112">
        <v>0</v>
      </c>
      <c r="P44" s="112">
        <v>0.72</v>
      </c>
      <c r="Q44" s="167" t="s">
        <v>14</v>
      </c>
    </row>
    <row r="45" spans="1:17" customFormat="1">
      <c r="A45" s="80">
        <v>45427.385416666664</v>
      </c>
      <c r="B45" s="112">
        <v>11.33</v>
      </c>
      <c r="C45" s="112">
        <v>13.13</v>
      </c>
      <c r="D45" s="112">
        <v>25.09</v>
      </c>
      <c r="E45" s="112">
        <v>12.32</v>
      </c>
      <c r="F45" s="112">
        <v>14.31</v>
      </c>
      <c r="G45" s="112">
        <v>50.96</v>
      </c>
      <c r="H45" s="112">
        <v>23.49</v>
      </c>
      <c r="I45" s="112">
        <v>8.6300000000000008</v>
      </c>
      <c r="J45" s="112">
        <v>0.68</v>
      </c>
      <c r="K45" s="112">
        <v>321.04000000000002</v>
      </c>
      <c r="L45" s="112">
        <v>32.659999999999997</v>
      </c>
      <c r="M45" s="112">
        <v>39.369999999999997</v>
      </c>
      <c r="N45" s="112">
        <v>238</v>
      </c>
      <c r="O45" s="112">
        <v>0</v>
      </c>
      <c r="P45" s="112">
        <v>0.71</v>
      </c>
      <c r="Q45" s="167" t="s">
        <v>14</v>
      </c>
    </row>
    <row r="46" spans="1:17" customFormat="1">
      <c r="A46" s="80">
        <v>45427.395833333336</v>
      </c>
      <c r="B46" s="112">
        <v>11.34</v>
      </c>
      <c r="C46" s="112">
        <v>13.16</v>
      </c>
      <c r="D46" s="112">
        <v>25.11</v>
      </c>
      <c r="E46" s="112">
        <v>11.57</v>
      </c>
      <c r="F46" s="112">
        <v>10.82</v>
      </c>
      <c r="G46" s="112">
        <v>51.12</v>
      </c>
      <c r="H46" s="112">
        <v>23.49</v>
      </c>
      <c r="I46" s="112">
        <v>8.65</v>
      </c>
      <c r="J46" s="112">
        <v>0.42</v>
      </c>
      <c r="K46" s="112">
        <v>255.7</v>
      </c>
      <c r="L46" s="112">
        <v>33.75</v>
      </c>
      <c r="M46" s="112">
        <v>37.950000000000003</v>
      </c>
      <c r="N46" s="112">
        <v>277.5</v>
      </c>
      <c r="O46" s="112">
        <v>0</v>
      </c>
      <c r="P46" s="112">
        <v>0.71</v>
      </c>
      <c r="Q46" s="167" t="s">
        <v>14</v>
      </c>
    </row>
    <row r="47" spans="1:17" customFormat="1">
      <c r="A47" s="80">
        <v>45427.40625</v>
      </c>
      <c r="B47" s="112">
        <v>11.36</v>
      </c>
      <c r="C47" s="112">
        <v>13.24</v>
      </c>
      <c r="D47" s="112">
        <v>25.17</v>
      </c>
      <c r="E47" s="112">
        <v>11.16</v>
      </c>
      <c r="F47" s="112">
        <v>14.8</v>
      </c>
      <c r="G47" s="112">
        <v>51.12</v>
      </c>
      <c r="H47" s="112">
        <v>23.49</v>
      </c>
      <c r="I47" s="112">
        <v>8.6300000000000008</v>
      </c>
      <c r="J47" s="112">
        <v>0.52</v>
      </c>
      <c r="K47" s="112">
        <v>259.32</v>
      </c>
      <c r="L47" s="112">
        <v>34.21</v>
      </c>
      <c r="M47" s="112">
        <v>37</v>
      </c>
      <c r="N47" s="112">
        <v>288.3</v>
      </c>
      <c r="O47" s="112">
        <v>0</v>
      </c>
      <c r="P47" s="112">
        <v>0.7</v>
      </c>
      <c r="Q47" s="167" t="s">
        <v>14</v>
      </c>
    </row>
    <row r="48" spans="1:17" customFormat="1">
      <c r="A48" s="80">
        <v>45427.416666666664</v>
      </c>
      <c r="B48" s="112">
        <v>11.36</v>
      </c>
      <c r="C48" s="112">
        <v>13.15</v>
      </c>
      <c r="D48" s="112">
        <v>25.12</v>
      </c>
      <c r="E48" s="112">
        <v>11.43</v>
      </c>
      <c r="F48" s="112">
        <v>12.73</v>
      </c>
      <c r="G48" s="112">
        <v>51.12</v>
      </c>
      <c r="H48" s="112">
        <v>23.49</v>
      </c>
      <c r="I48" s="112">
        <v>8.65</v>
      </c>
      <c r="J48" s="112">
        <v>0.7</v>
      </c>
      <c r="K48" s="112">
        <v>288.11</v>
      </c>
      <c r="L48" s="112">
        <v>34.9</v>
      </c>
      <c r="M48" s="112">
        <v>35.25</v>
      </c>
      <c r="N48" s="112">
        <v>318.60000000000002</v>
      </c>
      <c r="O48" s="112">
        <v>0</v>
      </c>
      <c r="P48" s="112">
        <v>0.69</v>
      </c>
      <c r="Q48" s="167" t="s">
        <v>14</v>
      </c>
    </row>
    <row r="49" spans="1:17" customFormat="1">
      <c r="A49" s="80">
        <v>45427.427083333336</v>
      </c>
      <c r="B49" s="112">
        <v>11.33</v>
      </c>
      <c r="C49" s="112">
        <v>13.14</v>
      </c>
      <c r="D49" s="112">
        <v>25.09</v>
      </c>
      <c r="E49" s="112">
        <v>12.96</v>
      </c>
      <c r="F49" s="112">
        <v>15.64</v>
      </c>
      <c r="G49" s="112">
        <v>52.51</v>
      </c>
      <c r="H49" s="112">
        <v>24.43</v>
      </c>
      <c r="I49" s="112">
        <v>8.6999999999999993</v>
      </c>
      <c r="J49" s="112">
        <v>0.57999999999999996</v>
      </c>
      <c r="K49" s="112">
        <v>319.85000000000002</v>
      </c>
      <c r="L49" s="112">
        <v>35.130000000000003</v>
      </c>
      <c r="M49" s="112">
        <v>34.33</v>
      </c>
      <c r="N49" s="112">
        <v>289.60000000000002</v>
      </c>
      <c r="O49" s="112">
        <v>0</v>
      </c>
      <c r="P49" s="112">
        <v>0.71</v>
      </c>
      <c r="Q49" s="167" t="s">
        <v>14</v>
      </c>
    </row>
    <row r="50" spans="1:17" customFormat="1">
      <c r="A50" s="80">
        <v>45427.4375</v>
      </c>
      <c r="B50" s="112">
        <v>11.31</v>
      </c>
      <c r="C50" s="112">
        <v>13.16</v>
      </c>
      <c r="D50" s="112">
        <v>25.09</v>
      </c>
      <c r="E50" s="112">
        <v>16.260000000000002</v>
      </c>
      <c r="F50" s="112">
        <v>19.8</v>
      </c>
      <c r="G50" s="112">
        <v>52.65</v>
      </c>
      <c r="H50" s="112">
        <v>24.43</v>
      </c>
      <c r="I50" s="112">
        <v>8.7899999999999991</v>
      </c>
      <c r="J50" s="112">
        <v>0.12</v>
      </c>
      <c r="K50" s="112">
        <v>299.98</v>
      </c>
      <c r="L50" s="112">
        <v>35.200000000000003</v>
      </c>
      <c r="M50" s="112">
        <v>33.869999999999997</v>
      </c>
      <c r="N50" s="112">
        <v>262.8</v>
      </c>
      <c r="O50" s="112">
        <v>0</v>
      </c>
      <c r="P50" s="112">
        <v>0.69</v>
      </c>
      <c r="Q50" s="167" t="s">
        <v>14</v>
      </c>
    </row>
    <row r="51" spans="1:17" customFormat="1">
      <c r="A51" s="80">
        <v>45427.447916666664</v>
      </c>
      <c r="B51" s="112">
        <v>11.31</v>
      </c>
      <c r="C51" s="112">
        <v>13.12</v>
      </c>
      <c r="D51" s="112">
        <v>25.07</v>
      </c>
      <c r="E51" s="112">
        <v>20.059999999999999</v>
      </c>
      <c r="F51" s="112">
        <v>19.329999999999998</v>
      </c>
      <c r="G51" s="112">
        <v>52.65</v>
      </c>
      <c r="H51" s="112">
        <v>24.43</v>
      </c>
      <c r="I51" s="112">
        <v>8.9</v>
      </c>
      <c r="J51" s="112">
        <v>0.53</v>
      </c>
      <c r="K51" s="112">
        <v>306.67</v>
      </c>
      <c r="L51" s="112">
        <v>35.049999999999997</v>
      </c>
      <c r="M51" s="112">
        <v>33.909999999999997</v>
      </c>
      <c r="N51" s="112">
        <v>320.89999999999998</v>
      </c>
      <c r="O51" s="112">
        <v>0</v>
      </c>
      <c r="P51" s="112">
        <v>0.71</v>
      </c>
      <c r="Q51" s="167" t="s">
        <v>14</v>
      </c>
    </row>
    <row r="52" spans="1:17" customFormat="1">
      <c r="A52" s="80">
        <v>45427.458333333336</v>
      </c>
      <c r="B52" s="112">
        <v>11.3</v>
      </c>
      <c r="C52" s="112">
        <v>13.13</v>
      </c>
      <c r="D52" s="112">
        <v>25.07</v>
      </c>
      <c r="E52" s="112">
        <v>19.57</v>
      </c>
      <c r="F52" s="112">
        <v>20.5</v>
      </c>
      <c r="G52" s="112">
        <v>52.65</v>
      </c>
      <c r="H52" s="112">
        <v>24.43</v>
      </c>
      <c r="I52" s="112">
        <v>9.0500000000000007</v>
      </c>
      <c r="J52" s="112">
        <v>0.52</v>
      </c>
      <c r="K52" s="112">
        <v>264.93</v>
      </c>
      <c r="L52" s="112">
        <v>35.97</v>
      </c>
      <c r="M52" s="112">
        <v>33.369999999999997</v>
      </c>
      <c r="N52" s="112">
        <v>502.7</v>
      </c>
      <c r="O52" s="112">
        <v>0</v>
      </c>
      <c r="P52" s="112">
        <v>0.72</v>
      </c>
      <c r="Q52" s="167" t="s">
        <v>14</v>
      </c>
    </row>
    <row r="53" spans="1:17" customFormat="1">
      <c r="A53" s="80">
        <v>45427.46875</v>
      </c>
      <c r="B53" s="112">
        <v>11.31</v>
      </c>
      <c r="C53" s="112">
        <v>13.09</v>
      </c>
      <c r="D53" s="112">
        <v>25.06</v>
      </c>
      <c r="E53" s="112">
        <v>22.36</v>
      </c>
      <c r="F53" s="112">
        <v>19.34</v>
      </c>
      <c r="G53" s="112">
        <v>62.17</v>
      </c>
      <c r="H53" s="112">
        <v>25.88</v>
      </c>
      <c r="I53" s="112">
        <v>9.31</v>
      </c>
      <c r="J53" s="112">
        <v>0.28999999999999998</v>
      </c>
      <c r="K53" s="112">
        <v>271.27</v>
      </c>
      <c r="L53" s="112">
        <v>36.6</v>
      </c>
      <c r="M53" s="112">
        <v>32.44</v>
      </c>
      <c r="N53" s="112">
        <v>450.8</v>
      </c>
      <c r="O53" s="112">
        <v>0</v>
      </c>
      <c r="P53" s="112">
        <v>0.73</v>
      </c>
      <c r="Q53" s="167" t="s">
        <v>14</v>
      </c>
    </row>
    <row r="54" spans="1:17" customFormat="1">
      <c r="A54" s="80">
        <v>45427.479166666664</v>
      </c>
      <c r="B54" s="112">
        <v>11.33</v>
      </c>
      <c r="C54" s="112">
        <v>13.1</v>
      </c>
      <c r="D54" s="112">
        <v>25.08</v>
      </c>
      <c r="E54" s="112">
        <v>18.89</v>
      </c>
      <c r="F54" s="112">
        <v>19.52</v>
      </c>
      <c r="G54" s="112">
        <v>63.1</v>
      </c>
      <c r="H54" s="112">
        <v>25.88</v>
      </c>
      <c r="I54" s="112">
        <v>9.81</v>
      </c>
      <c r="J54" s="112">
        <v>0.41</v>
      </c>
      <c r="K54" s="112">
        <v>244.73</v>
      </c>
      <c r="L54" s="112">
        <v>37.020000000000003</v>
      </c>
      <c r="M54" s="112">
        <v>31.79</v>
      </c>
      <c r="N54" s="112">
        <v>481.3</v>
      </c>
      <c r="O54" s="112">
        <v>0</v>
      </c>
      <c r="P54" s="112">
        <v>0.74</v>
      </c>
      <c r="Q54" s="167" t="s">
        <v>14</v>
      </c>
    </row>
    <row r="55" spans="1:17" customFormat="1">
      <c r="A55" s="80">
        <v>45427.489583333336</v>
      </c>
      <c r="B55" s="112">
        <v>11.32</v>
      </c>
      <c r="C55" s="112">
        <v>13.12</v>
      </c>
      <c r="D55" s="112">
        <v>25.08</v>
      </c>
      <c r="E55" s="112">
        <v>19.100000000000001</v>
      </c>
      <c r="F55" s="112">
        <v>19.97</v>
      </c>
      <c r="G55" s="112">
        <v>63.1</v>
      </c>
      <c r="H55" s="112">
        <v>25.88</v>
      </c>
      <c r="I55" s="112">
        <v>10.210000000000001</v>
      </c>
      <c r="J55" s="112">
        <v>0.3</v>
      </c>
      <c r="K55" s="112">
        <v>240.38</v>
      </c>
      <c r="L55" s="112">
        <v>37.299999999999997</v>
      </c>
      <c r="M55" s="112">
        <v>31.09</v>
      </c>
      <c r="N55" s="112">
        <v>681.3</v>
      </c>
      <c r="O55" s="112">
        <v>0</v>
      </c>
      <c r="P55" s="112">
        <v>0.76</v>
      </c>
      <c r="Q55" s="167" t="s">
        <v>14</v>
      </c>
    </row>
    <row r="56" spans="1:17" customFormat="1">
      <c r="A56" s="80">
        <v>45427.5</v>
      </c>
      <c r="B56" s="112">
        <v>11.31</v>
      </c>
      <c r="C56" s="112">
        <v>13.07</v>
      </c>
      <c r="D56" s="112">
        <v>25.05</v>
      </c>
      <c r="E56" s="112">
        <v>23.15</v>
      </c>
      <c r="F56" s="112">
        <v>38.380000000000003</v>
      </c>
      <c r="G56" s="112">
        <v>63.1</v>
      </c>
      <c r="H56" s="112">
        <v>25.88</v>
      </c>
      <c r="I56" s="112">
        <v>10.42</v>
      </c>
      <c r="J56" s="112">
        <v>0.46</v>
      </c>
      <c r="K56" s="112">
        <v>325.58999999999997</v>
      </c>
      <c r="L56" s="112">
        <v>37.700000000000003</v>
      </c>
      <c r="M56" s="112">
        <v>29.93</v>
      </c>
      <c r="N56" s="112">
        <v>709.3</v>
      </c>
      <c r="O56" s="112">
        <v>0</v>
      </c>
      <c r="P56" s="112">
        <v>0.78</v>
      </c>
      <c r="Q56" s="167" t="s">
        <v>14</v>
      </c>
    </row>
    <row r="57" spans="1:17" customFormat="1">
      <c r="A57" s="80">
        <v>45427.510416666664</v>
      </c>
      <c r="B57" s="112">
        <v>11.27</v>
      </c>
      <c r="C57" s="112">
        <v>13.13</v>
      </c>
      <c r="D57" s="112">
        <v>25.04</v>
      </c>
      <c r="E57" s="112">
        <v>26.6</v>
      </c>
      <c r="F57" s="112">
        <v>34.51</v>
      </c>
      <c r="G57" s="112">
        <v>63.64</v>
      </c>
      <c r="H57" s="112">
        <v>26.25</v>
      </c>
      <c r="I57" s="112">
        <v>10.63</v>
      </c>
      <c r="J57" s="112">
        <v>0.8</v>
      </c>
      <c r="K57" s="112">
        <v>298.66000000000003</v>
      </c>
      <c r="L57" s="112">
        <v>37.28</v>
      </c>
      <c r="M57" s="112">
        <v>30.06</v>
      </c>
      <c r="N57" s="112">
        <v>621</v>
      </c>
      <c r="O57" s="112">
        <v>0</v>
      </c>
      <c r="P57" s="112">
        <v>0.8</v>
      </c>
      <c r="Q57" s="167" t="s">
        <v>14</v>
      </c>
    </row>
    <row r="58" spans="1:17" customFormat="1">
      <c r="A58" s="80">
        <v>45427.520833333336</v>
      </c>
      <c r="B58" s="112">
        <v>11.26</v>
      </c>
      <c r="C58" s="112">
        <v>13.12</v>
      </c>
      <c r="D58" s="112">
        <v>25.03</v>
      </c>
      <c r="E58" s="112">
        <v>32.68</v>
      </c>
      <c r="F58" s="112">
        <v>47.41</v>
      </c>
      <c r="G58" s="112">
        <v>63.7</v>
      </c>
      <c r="H58" s="112">
        <v>26.25</v>
      </c>
      <c r="I58" s="112">
        <v>10.78</v>
      </c>
      <c r="J58" s="112">
        <v>0.67</v>
      </c>
      <c r="K58" s="112">
        <v>349.33</v>
      </c>
      <c r="L58" s="112">
        <v>37.79</v>
      </c>
      <c r="M58" s="112">
        <v>27.98</v>
      </c>
      <c r="N58" s="112">
        <v>623.4</v>
      </c>
      <c r="O58" s="112">
        <v>0</v>
      </c>
      <c r="P58" s="112">
        <v>0.78</v>
      </c>
      <c r="Q58" s="167" t="s">
        <v>14</v>
      </c>
    </row>
    <row r="59" spans="1:17" customFormat="1">
      <c r="A59" s="80">
        <v>45427.53125</v>
      </c>
      <c r="B59" s="112">
        <v>11.27</v>
      </c>
      <c r="C59" s="112">
        <v>13.09</v>
      </c>
      <c r="D59" s="112">
        <v>25.02</v>
      </c>
      <c r="E59" s="112">
        <v>30.98</v>
      </c>
      <c r="F59" s="112">
        <v>37.159999999999997</v>
      </c>
      <c r="G59" s="112">
        <v>63.7</v>
      </c>
      <c r="H59" s="112">
        <v>26.25</v>
      </c>
      <c r="I59" s="112">
        <v>10.76</v>
      </c>
      <c r="J59" s="112">
        <v>0.62</v>
      </c>
      <c r="K59" s="112">
        <v>65.41</v>
      </c>
      <c r="L59" s="112">
        <v>37.93</v>
      </c>
      <c r="M59" s="112">
        <v>27.92</v>
      </c>
      <c r="N59" s="112">
        <v>706.1</v>
      </c>
      <c r="O59" s="112">
        <v>0</v>
      </c>
      <c r="P59" s="112">
        <v>0.8</v>
      </c>
      <c r="Q59" s="167" t="s">
        <v>14</v>
      </c>
    </row>
    <row r="60" spans="1:17" customFormat="1">
      <c r="A60" s="80">
        <v>45427.541666666664</v>
      </c>
      <c r="B60" s="112">
        <v>11.26</v>
      </c>
      <c r="C60" s="112">
        <v>13.09</v>
      </c>
      <c r="D60" s="112">
        <v>25.01</v>
      </c>
      <c r="E60" s="112">
        <v>26.74</v>
      </c>
      <c r="F60" s="112">
        <v>43.58</v>
      </c>
      <c r="G60" s="112">
        <v>63.7</v>
      </c>
      <c r="H60" s="112">
        <v>26.25</v>
      </c>
      <c r="I60" s="112">
        <v>10.55</v>
      </c>
      <c r="J60" s="112">
        <v>0.38</v>
      </c>
      <c r="K60" s="112">
        <v>312.48</v>
      </c>
      <c r="L60" s="112">
        <v>38.9</v>
      </c>
      <c r="M60" s="112">
        <v>26.79</v>
      </c>
      <c r="N60" s="112">
        <v>682</v>
      </c>
      <c r="O60" s="112">
        <v>0</v>
      </c>
      <c r="P60" s="112">
        <v>0.77</v>
      </c>
      <c r="Q60" s="167" t="s">
        <v>14</v>
      </c>
    </row>
    <row r="61" spans="1:17" customFormat="1">
      <c r="A61" s="80">
        <v>45427.552083333336</v>
      </c>
      <c r="B61" s="112">
        <v>11.23</v>
      </c>
      <c r="C61" s="112">
        <v>13.09</v>
      </c>
      <c r="D61" s="112">
        <v>24.99</v>
      </c>
      <c r="E61" s="112">
        <v>41.67</v>
      </c>
      <c r="F61" s="112">
        <v>60.24</v>
      </c>
      <c r="G61" s="112">
        <v>65.52</v>
      </c>
      <c r="H61" s="112">
        <v>29.04</v>
      </c>
      <c r="I61" s="112">
        <v>10.58</v>
      </c>
      <c r="J61" s="112">
        <v>0.59</v>
      </c>
      <c r="K61" s="112">
        <v>74.510000000000005</v>
      </c>
      <c r="L61" s="112">
        <v>39.130000000000003</v>
      </c>
      <c r="M61" s="112">
        <v>26.55</v>
      </c>
      <c r="N61" s="112">
        <v>638.79999999999995</v>
      </c>
      <c r="O61" s="112">
        <v>0</v>
      </c>
      <c r="P61" s="112">
        <v>0.78</v>
      </c>
      <c r="Q61" s="167" t="s">
        <v>14</v>
      </c>
    </row>
    <row r="62" spans="1:17" customFormat="1">
      <c r="A62" s="80">
        <v>45427.5625</v>
      </c>
      <c r="B62" s="112">
        <v>11.23</v>
      </c>
      <c r="C62" s="112">
        <v>13.1</v>
      </c>
      <c r="D62" s="112">
        <v>24.99</v>
      </c>
      <c r="E62" s="112">
        <v>51.53</v>
      </c>
      <c r="F62" s="112">
        <v>41.72</v>
      </c>
      <c r="G62" s="112">
        <v>65.67</v>
      </c>
      <c r="H62" s="112">
        <v>29.04</v>
      </c>
      <c r="I62" s="112">
        <v>10.44</v>
      </c>
      <c r="J62" s="112">
        <v>0.18</v>
      </c>
      <c r="K62" s="112">
        <v>87.26</v>
      </c>
      <c r="L62" s="112">
        <v>39.07</v>
      </c>
      <c r="M62" s="112">
        <v>27.18</v>
      </c>
      <c r="N62" s="112">
        <v>612.6</v>
      </c>
      <c r="O62" s="112">
        <v>0</v>
      </c>
      <c r="P62" s="112">
        <v>0.8</v>
      </c>
      <c r="Q62" s="167" t="s">
        <v>14</v>
      </c>
    </row>
    <row r="63" spans="1:17" customFormat="1">
      <c r="A63" s="80">
        <v>45427.572916666664</v>
      </c>
      <c r="B63" s="112">
        <v>11.27</v>
      </c>
      <c r="C63" s="112">
        <v>13.11</v>
      </c>
      <c r="D63" s="112">
        <v>25.03</v>
      </c>
      <c r="E63" s="112">
        <v>58.81</v>
      </c>
      <c r="F63" s="112">
        <v>65.7</v>
      </c>
      <c r="G63" s="112">
        <v>65.67</v>
      </c>
      <c r="H63" s="112">
        <v>29.04</v>
      </c>
      <c r="I63" s="112">
        <v>10.44</v>
      </c>
      <c r="J63" s="112">
        <v>0.56000000000000005</v>
      </c>
      <c r="K63" s="112">
        <v>72.849999999999994</v>
      </c>
      <c r="L63" s="112">
        <v>39.200000000000003</v>
      </c>
      <c r="M63" s="112">
        <v>26.52</v>
      </c>
      <c r="N63" s="112">
        <v>561.6</v>
      </c>
      <c r="O63" s="112">
        <v>0</v>
      </c>
      <c r="P63" s="112">
        <v>0.8</v>
      </c>
      <c r="Q63" s="167" t="s">
        <v>14</v>
      </c>
    </row>
    <row r="64" spans="1:17" customFormat="1">
      <c r="A64" s="80">
        <v>45427.583333333336</v>
      </c>
      <c r="B64" s="112">
        <v>11.31</v>
      </c>
      <c r="C64" s="112">
        <v>13.07</v>
      </c>
      <c r="D64" s="112">
        <v>25.04</v>
      </c>
      <c r="E64" s="112">
        <v>42.99</v>
      </c>
      <c r="F64" s="112">
        <v>58.16</v>
      </c>
      <c r="G64" s="112">
        <v>65.67</v>
      </c>
      <c r="H64" s="112">
        <v>29.04</v>
      </c>
      <c r="I64" s="112">
        <v>10.79</v>
      </c>
      <c r="J64" s="112">
        <v>0.96</v>
      </c>
      <c r="K64" s="112">
        <v>68.98</v>
      </c>
      <c r="L64" s="112">
        <v>38.78</v>
      </c>
      <c r="M64" s="112">
        <v>27.16</v>
      </c>
      <c r="N64" s="112">
        <v>510.5</v>
      </c>
      <c r="O64" s="112">
        <v>0</v>
      </c>
      <c r="P64" s="112">
        <v>0.82</v>
      </c>
      <c r="Q64" s="167" t="s">
        <v>14</v>
      </c>
    </row>
    <row r="65" spans="1:17" customFormat="1">
      <c r="A65" s="80">
        <v>45427.59375</v>
      </c>
      <c r="B65" s="112">
        <v>11.33</v>
      </c>
      <c r="C65" s="112">
        <v>13.05</v>
      </c>
      <c r="D65" s="112">
        <v>25.04</v>
      </c>
      <c r="E65" s="112">
        <v>59.18</v>
      </c>
      <c r="F65" s="112">
        <v>86.92</v>
      </c>
      <c r="G65" s="112">
        <v>73.459999999999994</v>
      </c>
      <c r="H65" s="112">
        <v>28.92</v>
      </c>
      <c r="I65" s="112">
        <v>10.79</v>
      </c>
      <c r="J65" s="112">
        <v>0.65</v>
      </c>
      <c r="K65" s="112">
        <v>0.26</v>
      </c>
      <c r="L65" s="112">
        <v>38.9</v>
      </c>
      <c r="M65" s="112">
        <v>26.73</v>
      </c>
      <c r="N65" s="112">
        <v>497.6</v>
      </c>
      <c r="O65" s="112">
        <v>0</v>
      </c>
      <c r="P65" s="112">
        <v>0.82</v>
      </c>
      <c r="Q65" s="167" t="s">
        <v>14</v>
      </c>
    </row>
    <row r="66" spans="1:17" customFormat="1">
      <c r="A66" s="80">
        <v>45427.604166666664</v>
      </c>
      <c r="B66" s="112">
        <v>11.29</v>
      </c>
      <c r="C66" s="112">
        <v>13.11</v>
      </c>
      <c r="D66" s="112">
        <v>25.05</v>
      </c>
      <c r="E66" s="112">
        <v>70.28</v>
      </c>
      <c r="F66" s="112">
        <v>96.82</v>
      </c>
      <c r="G66" s="112">
        <v>74.12</v>
      </c>
      <c r="H66" s="112">
        <v>28.92</v>
      </c>
      <c r="I66" s="112">
        <v>10.73</v>
      </c>
      <c r="J66" s="112">
        <v>0.28999999999999998</v>
      </c>
      <c r="K66" s="112">
        <v>12.25</v>
      </c>
      <c r="L66" s="112">
        <v>39.020000000000003</v>
      </c>
      <c r="M66" s="112">
        <v>27.23</v>
      </c>
      <c r="N66" s="112">
        <v>440.6</v>
      </c>
      <c r="O66" s="112">
        <v>0</v>
      </c>
      <c r="P66" s="112">
        <v>0.81</v>
      </c>
      <c r="Q66" s="167" t="s">
        <v>14</v>
      </c>
    </row>
    <row r="67" spans="1:17" customFormat="1">
      <c r="A67" s="80">
        <v>45427.614583333336</v>
      </c>
      <c r="B67" s="112">
        <v>11.29</v>
      </c>
      <c r="C67" s="112">
        <v>13.08</v>
      </c>
      <c r="D67" s="112">
        <v>25.03</v>
      </c>
      <c r="E67" s="112">
        <v>56.3</v>
      </c>
      <c r="F67" s="112">
        <v>64.36</v>
      </c>
      <c r="G67" s="112">
        <v>74.12</v>
      </c>
      <c r="H67" s="112">
        <v>28.92</v>
      </c>
      <c r="I67" s="112">
        <v>10.59</v>
      </c>
      <c r="J67" s="112">
        <v>0.14000000000000001</v>
      </c>
      <c r="K67" s="112">
        <v>110.55</v>
      </c>
      <c r="L67" s="112">
        <v>39.54</v>
      </c>
      <c r="M67" s="112">
        <v>27.31</v>
      </c>
      <c r="N67" s="112">
        <v>373.1</v>
      </c>
      <c r="O67" s="112">
        <v>0</v>
      </c>
      <c r="P67" s="112">
        <v>0.8</v>
      </c>
      <c r="Q67" s="167" t="s">
        <v>14</v>
      </c>
    </row>
    <row r="68" spans="1:17" customFormat="1">
      <c r="A68" s="80">
        <v>45427.625</v>
      </c>
      <c r="B68" s="112">
        <v>11.29</v>
      </c>
      <c r="C68" s="112">
        <v>13.08</v>
      </c>
      <c r="D68" s="112">
        <v>25.03</v>
      </c>
      <c r="E68" s="112">
        <v>61.24</v>
      </c>
      <c r="F68" s="112">
        <v>78.05</v>
      </c>
      <c r="G68" s="112">
        <v>74.12</v>
      </c>
      <c r="H68" s="112">
        <v>28.92</v>
      </c>
      <c r="I68" s="112">
        <v>10.63</v>
      </c>
      <c r="J68" s="112">
        <v>0.03</v>
      </c>
      <c r="K68" s="112">
        <v>236.78</v>
      </c>
      <c r="L68" s="112">
        <v>39.39</v>
      </c>
      <c r="M68" s="112">
        <v>27.33</v>
      </c>
      <c r="N68" s="112">
        <v>409.8</v>
      </c>
      <c r="O68" s="112">
        <v>0</v>
      </c>
      <c r="P68" s="112">
        <v>0.8</v>
      </c>
      <c r="Q68" s="167" t="s">
        <v>14</v>
      </c>
    </row>
    <row r="69" spans="1:17" customFormat="1">
      <c r="A69" s="80">
        <v>45427.635416666664</v>
      </c>
      <c r="B69" s="112">
        <v>11.27</v>
      </c>
      <c r="C69" s="112">
        <v>13.08</v>
      </c>
      <c r="D69" s="112">
        <v>25.01</v>
      </c>
      <c r="E69" s="112">
        <v>47.89</v>
      </c>
      <c r="F69" s="112">
        <v>85.22</v>
      </c>
      <c r="G69" s="112">
        <v>78.47</v>
      </c>
      <c r="H69" s="112">
        <v>35.729999999999997</v>
      </c>
      <c r="I69" s="112">
        <v>10.63</v>
      </c>
      <c r="J69" s="112">
        <v>0.26</v>
      </c>
      <c r="K69" s="112">
        <v>273.77999999999997</v>
      </c>
      <c r="L69" s="112">
        <v>38.97</v>
      </c>
      <c r="M69" s="112">
        <v>27.94</v>
      </c>
      <c r="N69" s="112">
        <v>378.8</v>
      </c>
      <c r="O69" s="112">
        <v>0</v>
      </c>
      <c r="P69" s="112">
        <v>0.79</v>
      </c>
      <c r="Q69" s="167" t="s">
        <v>14</v>
      </c>
    </row>
    <row r="70" spans="1:17" customFormat="1">
      <c r="A70" s="80">
        <v>45427.645833333336</v>
      </c>
      <c r="B70" s="112">
        <v>11.2</v>
      </c>
      <c r="C70" s="112">
        <v>13.09</v>
      </c>
      <c r="D70" s="112">
        <v>24.97</v>
      </c>
      <c r="E70" s="112">
        <v>55.93</v>
      </c>
      <c r="F70" s="112">
        <v>86.94</v>
      </c>
      <c r="G70" s="112">
        <v>78.83</v>
      </c>
      <c r="H70" s="112">
        <v>35.729999999999997</v>
      </c>
      <c r="I70" s="112">
        <v>10.5</v>
      </c>
      <c r="J70" s="112">
        <v>0.04</v>
      </c>
      <c r="K70" s="112">
        <v>20.28</v>
      </c>
      <c r="L70" s="112">
        <v>39.19</v>
      </c>
      <c r="M70" s="112">
        <v>27.79</v>
      </c>
      <c r="N70" s="112">
        <v>295.60000000000002</v>
      </c>
      <c r="O70" s="112">
        <v>0</v>
      </c>
      <c r="P70" s="112">
        <v>0.77</v>
      </c>
      <c r="Q70" s="167" t="s">
        <v>14</v>
      </c>
    </row>
    <row r="71" spans="1:17" customFormat="1">
      <c r="A71" s="80">
        <v>45427.65625</v>
      </c>
      <c r="B71" s="112">
        <v>11.22</v>
      </c>
      <c r="C71" s="112">
        <v>13.06</v>
      </c>
      <c r="D71" s="112">
        <v>24.97</v>
      </c>
      <c r="E71" s="112">
        <v>58.17</v>
      </c>
      <c r="F71" s="112">
        <v>90.51</v>
      </c>
      <c r="G71" s="112">
        <v>78.83</v>
      </c>
      <c r="H71" s="112">
        <v>35.729999999999997</v>
      </c>
      <c r="I71" s="112">
        <v>10.29</v>
      </c>
      <c r="J71" s="112">
        <v>0.2</v>
      </c>
      <c r="K71" s="112">
        <v>171.17</v>
      </c>
      <c r="L71" s="112">
        <v>39.31</v>
      </c>
      <c r="M71" s="112">
        <v>27.98</v>
      </c>
      <c r="N71" s="112">
        <v>297.2</v>
      </c>
      <c r="O71" s="112">
        <v>0</v>
      </c>
      <c r="P71" s="112">
        <v>0.72</v>
      </c>
      <c r="Q71" s="167" t="s">
        <v>14</v>
      </c>
    </row>
    <row r="72" spans="1:17" customFormat="1">
      <c r="A72" s="80">
        <v>45427.666666666664</v>
      </c>
      <c r="B72" s="112">
        <v>11.23</v>
      </c>
      <c r="C72" s="112">
        <v>13.07</v>
      </c>
      <c r="D72" s="112">
        <v>24.97</v>
      </c>
      <c r="E72" s="112">
        <v>45.37</v>
      </c>
      <c r="F72" s="112">
        <v>94</v>
      </c>
      <c r="G72" s="112">
        <v>78.83</v>
      </c>
      <c r="H72" s="112">
        <v>35.729999999999997</v>
      </c>
      <c r="I72" s="112">
        <v>10.01</v>
      </c>
      <c r="J72" s="112">
        <v>0.27</v>
      </c>
      <c r="K72" s="112">
        <v>226.89</v>
      </c>
      <c r="L72" s="112">
        <v>39.020000000000003</v>
      </c>
      <c r="M72" s="112">
        <v>28.58</v>
      </c>
      <c r="N72" s="112">
        <v>231.5</v>
      </c>
      <c r="O72" s="112">
        <v>0</v>
      </c>
      <c r="P72" s="112">
        <v>0.7</v>
      </c>
      <c r="Q72" s="167" t="s">
        <v>14</v>
      </c>
    </row>
    <row r="73" spans="1:17" customFormat="1">
      <c r="A73" s="80">
        <v>45427.677083333336</v>
      </c>
      <c r="B73" s="112">
        <v>11.22</v>
      </c>
      <c r="C73" s="112">
        <v>13.1</v>
      </c>
      <c r="D73" s="112">
        <v>24.98</v>
      </c>
      <c r="E73" s="112">
        <v>45.09</v>
      </c>
      <c r="F73" s="112">
        <v>80.34</v>
      </c>
      <c r="G73" s="112">
        <v>74.58</v>
      </c>
      <c r="H73" s="112">
        <v>34.86</v>
      </c>
      <c r="I73" s="112">
        <v>9.31</v>
      </c>
      <c r="J73" s="112">
        <v>0.21</v>
      </c>
      <c r="K73" s="112">
        <v>189.88</v>
      </c>
      <c r="L73" s="112">
        <v>38.47</v>
      </c>
      <c r="M73" s="112">
        <v>28.9</v>
      </c>
      <c r="N73" s="112">
        <v>179</v>
      </c>
      <c r="O73" s="112">
        <v>0</v>
      </c>
      <c r="P73" s="112">
        <v>0.7</v>
      </c>
      <c r="Q73" s="167" t="s">
        <v>14</v>
      </c>
    </row>
    <row r="74" spans="1:17" customFormat="1">
      <c r="A74" s="80">
        <v>45427.6875</v>
      </c>
      <c r="B74" s="112">
        <v>11.22</v>
      </c>
      <c r="C74" s="112">
        <v>13.12</v>
      </c>
      <c r="D74" s="112">
        <v>24.99</v>
      </c>
      <c r="E74" s="112">
        <v>44.58</v>
      </c>
      <c r="F74" s="112">
        <v>83.61</v>
      </c>
      <c r="G74" s="112">
        <v>74.22</v>
      </c>
      <c r="H74" s="112">
        <v>34.86</v>
      </c>
      <c r="I74" s="112">
        <v>8.83</v>
      </c>
      <c r="J74" s="112">
        <v>0.21</v>
      </c>
      <c r="K74" s="112">
        <v>138.55000000000001</v>
      </c>
      <c r="L74" s="112">
        <v>38.49</v>
      </c>
      <c r="M74" s="112">
        <v>29.82</v>
      </c>
      <c r="N74" s="112">
        <v>150.19999999999999</v>
      </c>
      <c r="O74" s="112">
        <v>0</v>
      </c>
      <c r="P74" s="112">
        <v>0.67</v>
      </c>
      <c r="Q74" s="167" t="s">
        <v>14</v>
      </c>
    </row>
    <row r="75" spans="1:17" customFormat="1">
      <c r="A75" s="80">
        <v>45427.697916666664</v>
      </c>
      <c r="B75" s="112">
        <v>11.22</v>
      </c>
      <c r="C75" s="112">
        <v>13.09</v>
      </c>
      <c r="D75" s="112">
        <v>24.98</v>
      </c>
      <c r="E75" s="112">
        <v>45.27</v>
      </c>
      <c r="F75" s="112">
        <v>86.64</v>
      </c>
      <c r="G75" s="112">
        <v>74.22</v>
      </c>
      <c r="H75" s="112">
        <v>34.86</v>
      </c>
      <c r="I75" s="112">
        <v>8.64</v>
      </c>
      <c r="J75" s="112">
        <v>0.27</v>
      </c>
      <c r="K75" s="112">
        <v>170.9</v>
      </c>
      <c r="L75" s="112">
        <v>38.25</v>
      </c>
      <c r="M75" s="112">
        <v>29.64</v>
      </c>
      <c r="N75" s="112">
        <v>98.5</v>
      </c>
      <c r="O75" s="112">
        <v>0</v>
      </c>
      <c r="P75" s="112">
        <v>0.65</v>
      </c>
      <c r="Q75" s="167" t="s">
        <v>14</v>
      </c>
    </row>
    <row r="76" spans="1:17" customFormat="1">
      <c r="A76" s="80">
        <v>45427.708333333336</v>
      </c>
      <c r="B76" s="112">
        <v>11.23</v>
      </c>
      <c r="C76" s="112">
        <v>13.09</v>
      </c>
      <c r="D76" s="112">
        <v>24.99</v>
      </c>
      <c r="E76" s="112">
        <v>38.42</v>
      </c>
      <c r="F76" s="112">
        <v>72.36</v>
      </c>
      <c r="G76" s="112">
        <v>74.22</v>
      </c>
      <c r="H76" s="112">
        <v>34.86</v>
      </c>
      <c r="I76" s="112">
        <v>8.2100000000000009</v>
      </c>
      <c r="J76" s="112">
        <v>0.25</v>
      </c>
      <c r="K76" s="112">
        <v>126.99</v>
      </c>
      <c r="L76" s="112">
        <v>37.64</v>
      </c>
      <c r="M76" s="112">
        <v>29.38</v>
      </c>
      <c r="N76" s="112">
        <v>47.5</v>
      </c>
      <c r="O76" s="112">
        <v>0</v>
      </c>
      <c r="P76" s="112">
        <v>0.66</v>
      </c>
      <c r="Q76" s="167" t="s">
        <v>14</v>
      </c>
    </row>
    <row r="77" spans="1:17" customFormat="1">
      <c r="A77" s="80">
        <v>45427.71875</v>
      </c>
      <c r="B77" s="112">
        <v>11.23</v>
      </c>
      <c r="C77" s="112">
        <v>13.11</v>
      </c>
      <c r="D77" s="112">
        <v>25</v>
      </c>
      <c r="E77" s="112">
        <v>42.33</v>
      </c>
      <c r="F77" s="112">
        <v>88.93</v>
      </c>
      <c r="G77" s="112">
        <v>72.89</v>
      </c>
      <c r="H77" s="112">
        <v>30.56</v>
      </c>
      <c r="I77" s="112">
        <v>8.07</v>
      </c>
      <c r="J77" s="112">
        <v>0.15</v>
      </c>
      <c r="K77" s="112">
        <v>147.22</v>
      </c>
      <c r="L77" s="112">
        <v>36.979999999999997</v>
      </c>
      <c r="M77" s="112">
        <v>31.56</v>
      </c>
      <c r="N77" s="112">
        <v>43</v>
      </c>
      <c r="O77" s="112">
        <v>0</v>
      </c>
      <c r="P77" s="112">
        <v>0.6</v>
      </c>
      <c r="Q77" s="167" t="s">
        <v>14</v>
      </c>
    </row>
    <row r="78" spans="1:17" customFormat="1">
      <c r="A78" s="80">
        <v>45427.729166666664</v>
      </c>
      <c r="B78" s="112">
        <v>11.21</v>
      </c>
      <c r="C78" s="112">
        <v>13.1</v>
      </c>
      <c r="D78" s="112">
        <v>24.98</v>
      </c>
      <c r="E78" s="112">
        <v>42.39</v>
      </c>
      <c r="F78" s="112">
        <v>84.63</v>
      </c>
      <c r="G78" s="112">
        <v>72.78</v>
      </c>
      <c r="H78" s="112">
        <v>30.56</v>
      </c>
      <c r="I78" s="112">
        <v>7.66</v>
      </c>
      <c r="J78" s="112">
        <v>0.12</v>
      </c>
      <c r="K78" s="112">
        <v>126.69</v>
      </c>
      <c r="L78" s="112">
        <v>36.82</v>
      </c>
      <c r="M78" s="112">
        <v>32.119999999999997</v>
      </c>
      <c r="N78" s="112">
        <v>41.2</v>
      </c>
      <c r="O78" s="112">
        <v>0</v>
      </c>
      <c r="P78" s="112">
        <v>0.61</v>
      </c>
      <c r="Q78" s="167" t="s">
        <v>14</v>
      </c>
    </row>
    <row r="79" spans="1:17" customFormat="1">
      <c r="A79" s="80">
        <v>45427.739583333336</v>
      </c>
      <c r="B79" s="112">
        <v>11.2</v>
      </c>
      <c r="C79" s="112">
        <v>13.08</v>
      </c>
      <c r="D79" s="112">
        <v>24.96</v>
      </c>
      <c r="E79" s="112">
        <v>34.65</v>
      </c>
      <c r="F79" s="112">
        <v>46.04</v>
      </c>
      <c r="G79" s="112">
        <v>72.78</v>
      </c>
      <c r="H79" s="112">
        <v>30.56</v>
      </c>
      <c r="I79" s="112">
        <v>7.04</v>
      </c>
      <c r="J79" s="112">
        <v>0.5</v>
      </c>
      <c r="K79" s="112">
        <v>56.34</v>
      </c>
      <c r="L79" s="112">
        <v>36.369999999999997</v>
      </c>
      <c r="M79" s="112">
        <v>31.9</v>
      </c>
      <c r="N79" s="112">
        <v>23.2</v>
      </c>
      <c r="O79" s="112">
        <v>0</v>
      </c>
      <c r="P79" s="112">
        <v>0.68</v>
      </c>
      <c r="Q79" s="167" t="s">
        <v>14</v>
      </c>
    </row>
    <row r="80" spans="1:17" customFormat="1">
      <c r="A80" s="80">
        <v>45427.75</v>
      </c>
      <c r="B80" s="112">
        <v>11.3</v>
      </c>
      <c r="C80" s="112">
        <v>13.1</v>
      </c>
      <c r="D80" s="112">
        <v>25.05</v>
      </c>
      <c r="E80" s="112">
        <v>50.83</v>
      </c>
      <c r="F80" s="112">
        <v>28.95</v>
      </c>
      <c r="G80" s="112">
        <v>72.78</v>
      </c>
      <c r="H80" s="112">
        <v>30.56</v>
      </c>
      <c r="I80" s="112">
        <v>6.99</v>
      </c>
      <c r="J80" s="112">
        <v>1.29</v>
      </c>
      <c r="K80" s="112">
        <v>48.11</v>
      </c>
      <c r="L80" s="112">
        <v>35.19</v>
      </c>
      <c r="M80" s="112">
        <v>35.5</v>
      </c>
      <c r="N80" s="112">
        <v>3.2</v>
      </c>
      <c r="O80" s="112">
        <v>0</v>
      </c>
      <c r="P80" s="112">
        <v>0.76</v>
      </c>
      <c r="Q80" s="167" t="s">
        <v>14</v>
      </c>
    </row>
    <row r="81" spans="1:17" customFormat="1">
      <c r="A81" s="80">
        <v>45427.760416666664</v>
      </c>
      <c r="B81" s="112">
        <v>11.34</v>
      </c>
      <c r="C81" s="112">
        <v>13.08</v>
      </c>
      <c r="D81" s="112">
        <v>25.07</v>
      </c>
      <c r="E81" s="112">
        <v>17.260000000000002</v>
      </c>
      <c r="F81" s="112">
        <v>39.58</v>
      </c>
      <c r="G81" s="112">
        <v>88.3</v>
      </c>
      <c r="H81" s="112">
        <v>32.51</v>
      </c>
      <c r="I81" s="112">
        <v>7.74</v>
      </c>
      <c r="J81" s="112">
        <v>0.59</v>
      </c>
      <c r="K81" s="112">
        <v>60.48</v>
      </c>
      <c r="L81" s="112">
        <v>34.950000000000003</v>
      </c>
      <c r="M81" s="112">
        <v>35.67</v>
      </c>
      <c r="N81" s="112">
        <v>0</v>
      </c>
      <c r="O81" s="112">
        <v>0</v>
      </c>
      <c r="P81" s="112">
        <v>0.8</v>
      </c>
      <c r="Q81" s="167" t="s">
        <v>14</v>
      </c>
    </row>
    <row r="82" spans="1:17" customFormat="1">
      <c r="A82" s="80">
        <v>45427.770833333336</v>
      </c>
      <c r="B82" s="112">
        <v>11.28</v>
      </c>
      <c r="C82" s="112">
        <v>13.11</v>
      </c>
      <c r="D82" s="112">
        <v>25.04</v>
      </c>
      <c r="E82" s="112">
        <v>38.94</v>
      </c>
      <c r="F82" s="112">
        <v>31.46</v>
      </c>
      <c r="G82" s="112">
        <v>89.82</v>
      </c>
      <c r="H82" s="112">
        <v>32.51</v>
      </c>
      <c r="I82" s="112">
        <v>8.6999999999999993</v>
      </c>
      <c r="J82" s="112">
        <v>0.37</v>
      </c>
      <c r="K82" s="112">
        <v>72.599999999999994</v>
      </c>
      <c r="L82" s="112">
        <v>34.840000000000003</v>
      </c>
      <c r="M82" s="112">
        <v>36.56</v>
      </c>
      <c r="N82" s="112">
        <v>0</v>
      </c>
      <c r="O82" s="112">
        <v>0</v>
      </c>
      <c r="P82" s="112">
        <v>0.84</v>
      </c>
      <c r="Q82" s="167" t="s">
        <v>14</v>
      </c>
    </row>
    <row r="83" spans="1:17" customFormat="1">
      <c r="A83" s="80">
        <v>45427.78125</v>
      </c>
      <c r="B83" s="112">
        <v>11.23</v>
      </c>
      <c r="C83" s="112">
        <v>13.16</v>
      </c>
      <c r="D83" s="112">
        <v>25.02</v>
      </c>
      <c r="E83" s="112">
        <v>58.5</v>
      </c>
      <c r="F83" s="112">
        <v>26.87</v>
      </c>
      <c r="G83" s="112">
        <v>89.82</v>
      </c>
      <c r="H83" s="112">
        <v>32.51</v>
      </c>
      <c r="I83" s="112">
        <v>8.68</v>
      </c>
      <c r="J83" s="112">
        <v>0.16</v>
      </c>
      <c r="K83" s="112">
        <v>96.26</v>
      </c>
      <c r="L83" s="112">
        <v>34.47</v>
      </c>
      <c r="M83" s="112">
        <v>38.72</v>
      </c>
      <c r="N83" s="112">
        <v>0</v>
      </c>
      <c r="O83" s="112">
        <v>0</v>
      </c>
      <c r="P83" s="112">
        <v>0.87</v>
      </c>
      <c r="Q83" s="167" t="s">
        <v>14</v>
      </c>
    </row>
    <row r="84" spans="1:17" customFormat="1">
      <c r="A84" s="80">
        <v>45427.791666666664</v>
      </c>
      <c r="B84" s="112">
        <v>11.22</v>
      </c>
      <c r="C84" s="112">
        <v>13.18</v>
      </c>
      <c r="D84" s="112">
        <v>25.02</v>
      </c>
      <c r="E84" s="112">
        <v>49.85</v>
      </c>
      <c r="F84" s="112">
        <v>34.590000000000003</v>
      </c>
      <c r="G84" s="112">
        <v>89.82</v>
      </c>
      <c r="H84" s="112">
        <v>32.51</v>
      </c>
      <c r="I84" s="112">
        <v>8.89</v>
      </c>
      <c r="J84" s="112">
        <v>0.21</v>
      </c>
      <c r="K84" s="112">
        <v>190.39</v>
      </c>
      <c r="L84" s="112">
        <v>33.79</v>
      </c>
      <c r="M84" s="112">
        <v>40.659999999999997</v>
      </c>
      <c r="N84" s="112">
        <v>0</v>
      </c>
      <c r="O84" s="112">
        <v>0</v>
      </c>
      <c r="P84" s="112">
        <v>0.77</v>
      </c>
      <c r="Q84" s="167" t="s">
        <v>14</v>
      </c>
    </row>
    <row r="85" spans="1:17" customFormat="1">
      <c r="A85" s="80">
        <v>45427.802083333336</v>
      </c>
      <c r="B85" s="112">
        <v>11.2</v>
      </c>
      <c r="C85" s="112">
        <v>13.17</v>
      </c>
      <c r="D85" s="112">
        <v>25.01</v>
      </c>
      <c r="E85" s="112">
        <v>44.91</v>
      </c>
      <c r="F85" s="112">
        <v>38.049999999999997</v>
      </c>
      <c r="G85" s="112">
        <v>107.6</v>
      </c>
      <c r="H85" s="112">
        <v>34.43</v>
      </c>
      <c r="I85" s="112">
        <v>9.36</v>
      </c>
      <c r="J85" s="112">
        <v>0.17</v>
      </c>
      <c r="K85" s="112">
        <v>173.14</v>
      </c>
      <c r="L85" s="112">
        <v>33.450000000000003</v>
      </c>
      <c r="M85" s="112">
        <v>41.61</v>
      </c>
      <c r="N85" s="112">
        <v>0</v>
      </c>
      <c r="O85" s="112">
        <v>0</v>
      </c>
      <c r="P85" s="112">
        <v>0.74</v>
      </c>
      <c r="Q85" s="167" t="s">
        <v>14</v>
      </c>
    </row>
    <row r="86" spans="1:17" customFormat="1">
      <c r="A86" s="80">
        <v>45427.8125</v>
      </c>
      <c r="B86" s="112">
        <v>11.18</v>
      </c>
      <c r="C86" s="112">
        <v>13.13</v>
      </c>
      <c r="D86" s="112">
        <v>24.97</v>
      </c>
      <c r="E86" s="112">
        <v>25.62</v>
      </c>
      <c r="F86" s="112">
        <v>27.52</v>
      </c>
      <c r="G86" s="112">
        <v>109.1</v>
      </c>
      <c r="H86" s="112">
        <v>34.43</v>
      </c>
      <c r="I86" s="112">
        <v>9.0500000000000007</v>
      </c>
      <c r="J86" s="112">
        <v>0.16</v>
      </c>
      <c r="K86" s="112">
        <v>218.84</v>
      </c>
      <c r="L86" s="112">
        <v>33.15</v>
      </c>
      <c r="M86" s="112">
        <v>43.33</v>
      </c>
      <c r="N86" s="112">
        <v>0</v>
      </c>
      <c r="O86" s="112">
        <v>0</v>
      </c>
      <c r="P86" s="112">
        <v>0.73</v>
      </c>
      <c r="Q86" s="167" t="s">
        <v>14</v>
      </c>
    </row>
    <row r="87" spans="1:17" customFormat="1">
      <c r="A87" s="80">
        <v>45427.822916666664</v>
      </c>
      <c r="B87" s="112">
        <v>11.18</v>
      </c>
      <c r="C87" s="112">
        <v>13.11</v>
      </c>
      <c r="D87" s="112">
        <v>24.96</v>
      </c>
      <c r="E87" s="112">
        <v>18.829999999999998</v>
      </c>
      <c r="F87" s="112">
        <v>32.159999999999997</v>
      </c>
      <c r="G87" s="112">
        <v>109.1</v>
      </c>
      <c r="H87" s="112">
        <v>34.43</v>
      </c>
      <c r="I87" s="112">
        <v>8.39</v>
      </c>
      <c r="J87" s="112">
        <v>0.1</v>
      </c>
      <c r="K87" s="112">
        <v>203.21</v>
      </c>
      <c r="L87" s="112">
        <v>32.86</v>
      </c>
      <c r="M87" s="112">
        <v>43.95</v>
      </c>
      <c r="N87" s="112">
        <v>0</v>
      </c>
      <c r="O87" s="112">
        <v>0</v>
      </c>
      <c r="P87" s="112">
        <v>0.66</v>
      </c>
      <c r="Q87" s="167" t="s">
        <v>14</v>
      </c>
    </row>
    <row r="88" spans="1:17" customFormat="1">
      <c r="A88" s="80">
        <v>45427.833333333336</v>
      </c>
      <c r="B88" s="112">
        <v>11.2</v>
      </c>
      <c r="C88" s="112">
        <v>13.11</v>
      </c>
      <c r="D88" s="112">
        <v>24.98</v>
      </c>
      <c r="E88" s="112">
        <v>15.79</v>
      </c>
      <c r="F88" s="112">
        <v>27.52</v>
      </c>
      <c r="G88" s="112">
        <v>109.1</v>
      </c>
      <c r="H88" s="112">
        <v>34.43</v>
      </c>
      <c r="I88" s="112">
        <v>7.98</v>
      </c>
      <c r="J88" s="112">
        <v>0.12</v>
      </c>
      <c r="K88" s="112">
        <v>133.22</v>
      </c>
      <c r="L88" s="112">
        <v>32.97</v>
      </c>
      <c r="M88" s="112">
        <v>43.45</v>
      </c>
      <c r="N88" s="112">
        <v>0</v>
      </c>
      <c r="O88" s="112">
        <v>0</v>
      </c>
      <c r="P88" s="112">
        <v>0.66</v>
      </c>
      <c r="Q88" s="167" t="s">
        <v>14</v>
      </c>
    </row>
    <row r="89" spans="1:17" customFormat="1">
      <c r="A89" s="80">
        <v>45427.84375</v>
      </c>
      <c r="B89" s="112">
        <v>11.22</v>
      </c>
      <c r="C89" s="112">
        <v>13.09</v>
      </c>
      <c r="D89" s="112">
        <v>24.98</v>
      </c>
      <c r="E89" s="112">
        <v>14.21</v>
      </c>
      <c r="F89" s="112">
        <v>25.96</v>
      </c>
      <c r="G89" s="112">
        <v>84.16</v>
      </c>
      <c r="H89" s="112">
        <v>27.55</v>
      </c>
      <c r="I89" s="112">
        <v>7.63</v>
      </c>
      <c r="J89" s="112">
        <v>0.09</v>
      </c>
      <c r="K89" s="112">
        <v>318.24</v>
      </c>
      <c r="L89" s="112">
        <v>32.81</v>
      </c>
      <c r="M89" s="112">
        <v>43.32</v>
      </c>
      <c r="N89" s="112">
        <v>0</v>
      </c>
      <c r="O89" s="112">
        <v>0</v>
      </c>
      <c r="P89" s="112">
        <v>0.66</v>
      </c>
      <c r="Q89" s="167" t="s">
        <v>14</v>
      </c>
    </row>
    <row r="90" spans="1:17" customFormat="1">
      <c r="A90" s="80">
        <v>45427.854166666664</v>
      </c>
      <c r="B90" s="112">
        <v>11.2</v>
      </c>
      <c r="C90" s="112">
        <v>13.09</v>
      </c>
      <c r="D90" s="112">
        <v>24.97</v>
      </c>
      <c r="E90" s="112">
        <v>23.51</v>
      </c>
      <c r="F90" s="112">
        <v>19.760000000000002</v>
      </c>
      <c r="G90" s="112">
        <v>82.06</v>
      </c>
      <c r="H90" s="112">
        <v>27.55</v>
      </c>
      <c r="I90" s="112">
        <v>7.24</v>
      </c>
      <c r="J90" s="112">
        <v>0.81</v>
      </c>
      <c r="K90" s="112">
        <v>19.600000000000001</v>
      </c>
      <c r="L90" s="112">
        <v>33</v>
      </c>
      <c r="M90" s="112">
        <v>41.56</v>
      </c>
      <c r="N90" s="112">
        <v>0</v>
      </c>
      <c r="O90" s="112">
        <v>0</v>
      </c>
      <c r="P90" s="112">
        <v>0.74</v>
      </c>
      <c r="Q90" s="167" t="s">
        <v>14</v>
      </c>
    </row>
    <row r="91" spans="1:17" customFormat="1">
      <c r="A91" s="80">
        <v>45427.864583333336</v>
      </c>
      <c r="B91" s="112">
        <v>11.21</v>
      </c>
      <c r="C91" s="112">
        <v>13.06</v>
      </c>
      <c r="D91" s="112">
        <v>24.96</v>
      </c>
      <c r="E91" s="112">
        <v>41.5</v>
      </c>
      <c r="F91" s="112">
        <v>19.739999999999998</v>
      </c>
      <c r="G91" s="112">
        <v>82.06</v>
      </c>
      <c r="H91" s="112">
        <v>27.55</v>
      </c>
      <c r="I91" s="112">
        <v>7.36</v>
      </c>
      <c r="J91" s="112">
        <v>1.65</v>
      </c>
      <c r="K91" s="112">
        <v>27.45</v>
      </c>
      <c r="L91" s="112">
        <v>33</v>
      </c>
      <c r="M91" s="112">
        <v>39.94</v>
      </c>
      <c r="N91" s="112">
        <v>0</v>
      </c>
      <c r="O91" s="112">
        <v>0</v>
      </c>
      <c r="P91" s="112">
        <v>0.73</v>
      </c>
      <c r="Q91" s="167" t="s">
        <v>14</v>
      </c>
    </row>
    <row r="92" spans="1:17" customFormat="1">
      <c r="A92" s="80">
        <v>45427.875</v>
      </c>
      <c r="B92" s="112">
        <v>11.2</v>
      </c>
      <c r="C92" s="112">
        <v>13.13</v>
      </c>
      <c r="D92" s="112">
        <v>24.99</v>
      </c>
      <c r="E92" s="112">
        <v>41.93</v>
      </c>
      <c r="F92" s="112">
        <v>16.649999999999999</v>
      </c>
      <c r="G92" s="112">
        <v>82.06</v>
      </c>
      <c r="H92" s="112">
        <v>27.55</v>
      </c>
      <c r="I92" s="112">
        <v>7.82</v>
      </c>
      <c r="J92" s="112">
        <v>1.46</v>
      </c>
      <c r="K92" s="112">
        <v>46.07</v>
      </c>
      <c r="L92" s="112">
        <v>32.65</v>
      </c>
      <c r="M92" s="112">
        <v>40.54</v>
      </c>
      <c r="N92" s="112">
        <v>0</v>
      </c>
      <c r="O92" s="112">
        <v>0</v>
      </c>
      <c r="P92" s="112">
        <v>0.72</v>
      </c>
      <c r="Q92" s="167" t="s">
        <v>14</v>
      </c>
    </row>
    <row r="93" spans="1:17" customFormat="1">
      <c r="A93" s="80">
        <v>45427.885416666664</v>
      </c>
      <c r="B93" s="112">
        <v>11.18</v>
      </c>
      <c r="C93" s="112">
        <v>13.12</v>
      </c>
      <c r="D93" s="112">
        <v>24.97</v>
      </c>
      <c r="E93" s="112">
        <v>29.47</v>
      </c>
      <c r="F93" s="112">
        <v>20.67</v>
      </c>
      <c r="G93" s="112">
        <v>76.64</v>
      </c>
      <c r="H93" s="112">
        <v>26.91</v>
      </c>
      <c r="I93" s="112">
        <v>8.01</v>
      </c>
      <c r="J93" s="112">
        <v>1.67</v>
      </c>
      <c r="K93" s="112">
        <v>39.72</v>
      </c>
      <c r="L93" s="112">
        <v>31.96</v>
      </c>
      <c r="M93" s="112">
        <v>44.05</v>
      </c>
      <c r="N93" s="112">
        <v>0</v>
      </c>
      <c r="O93" s="112">
        <v>0</v>
      </c>
      <c r="P93" s="112">
        <v>0.69</v>
      </c>
      <c r="Q93" s="167" t="s">
        <v>14</v>
      </c>
    </row>
    <row r="94" spans="1:17" customFormat="1">
      <c r="A94" s="80">
        <v>45427.895833333336</v>
      </c>
      <c r="B94" s="112">
        <v>11.17</v>
      </c>
      <c r="C94" s="112">
        <v>13.11</v>
      </c>
      <c r="D94" s="112">
        <v>24.95</v>
      </c>
      <c r="E94" s="112">
        <v>19</v>
      </c>
      <c r="F94" s="112">
        <v>17.38</v>
      </c>
      <c r="G94" s="112">
        <v>76.19</v>
      </c>
      <c r="H94" s="112">
        <v>26.91</v>
      </c>
      <c r="I94" s="112">
        <v>8</v>
      </c>
      <c r="J94" s="112">
        <v>1.26</v>
      </c>
      <c r="K94" s="112">
        <v>40.590000000000003</v>
      </c>
      <c r="L94" s="112">
        <v>31.48</v>
      </c>
      <c r="M94" s="112">
        <v>47.46</v>
      </c>
      <c r="N94" s="112">
        <v>0</v>
      </c>
      <c r="O94" s="112">
        <v>0</v>
      </c>
      <c r="P94" s="112">
        <v>0.7</v>
      </c>
      <c r="Q94" s="167" t="s">
        <v>14</v>
      </c>
    </row>
    <row r="95" spans="1:17" customFormat="1">
      <c r="A95" s="80">
        <v>45427.90625</v>
      </c>
      <c r="B95" s="112">
        <v>11.17</v>
      </c>
      <c r="C95" s="112">
        <v>13.1</v>
      </c>
      <c r="D95" s="112">
        <v>24.94</v>
      </c>
      <c r="E95" s="112">
        <v>17.57</v>
      </c>
      <c r="F95" s="112">
        <v>17.760000000000002</v>
      </c>
      <c r="G95" s="112">
        <v>76.19</v>
      </c>
      <c r="H95" s="112">
        <v>26.91</v>
      </c>
      <c r="I95" s="112">
        <v>7.66</v>
      </c>
      <c r="J95" s="112">
        <v>1.31</v>
      </c>
      <c r="K95" s="112">
        <v>46.7</v>
      </c>
      <c r="L95" s="112">
        <v>31.05</v>
      </c>
      <c r="M95" s="112">
        <v>49.73</v>
      </c>
      <c r="N95" s="112">
        <v>0</v>
      </c>
      <c r="O95" s="112">
        <v>0</v>
      </c>
      <c r="P95" s="112">
        <v>0.69</v>
      </c>
      <c r="Q95" s="167" t="s">
        <v>14</v>
      </c>
    </row>
    <row r="96" spans="1:17" customFormat="1">
      <c r="A96" s="80">
        <v>45427.916666666664</v>
      </c>
      <c r="B96" s="112">
        <v>11.18</v>
      </c>
      <c r="C96" s="112">
        <v>13.09</v>
      </c>
      <c r="D96" s="112">
        <v>24.95</v>
      </c>
      <c r="E96" s="112">
        <v>17.98</v>
      </c>
      <c r="F96" s="112">
        <v>18.48</v>
      </c>
      <c r="G96" s="112">
        <v>76.19</v>
      </c>
      <c r="H96" s="112">
        <v>26.91</v>
      </c>
      <c r="I96" s="112">
        <v>7.43</v>
      </c>
      <c r="J96" s="112">
        <v>0.54</v>
      </c>
      <c r="K96" s="112">
        <v>349.56</v>
      </c>
      <c r="L96" s="112">
        <v>30.96</v>
      </c>
      <c r="M96" s="112">
        <v>50.74</v>
      </c>
      <c r="N96" s="112">
        <v>0</v>
      </c>
      <c r="O96" s="112">
        <v>0</v>
      </c>
      <c r="P96" s="112">
        <v>0.67</v>
      </c>
      <c r="Q96" s="167" t="s">
        <v>14</v>
      </c>
    </row>
    <row r="97" spans="1:22" customFormat="1">
      <c r="A97" s="80">
        <v>45427.927083333336</v>
      </c>
      <c r="B97" s="112">
        <v>11.17</v>
      </c>
      <c r="C97" s="112">
        <v>13.11</v>
      </c>
      <c r="D97" s="112">
        <v>24.95</v>
      </c>
      <c r="E97" s="112">
        <v>16.649999999999999</v>
      </c>
      <c r="F97" s="112">
        <v>11.46</v>
      </c>
      <c r="G97" s="112">
        <v>71.150000000000006</v>
      </c>
      <c r="H97" s="112">
        <v>26.94</v>
      </c>
      <c r="I97" s="112">
        <v>7.24</v>
      </c>
      <c r="J97" s="112">
        <v>1.1100000000000001</v>
      </c>
      <c r="K97" s="112">
        <v>319.33</v>
      </c>
      <c r="L97" s="112">
        <v>30.54</v>
      </c>
      <c r="M97" s="112">
        <v>53.5</v>
      </c>
      <c r="N97" s="112">
        <v>0</v>
      </c>
      <c r="O97" s="112">
        <v>0</v>
      </c>
      <c r="P97" s="112">
        <v>0.67</v>
      </c>
      <c r="Q97" s="167" t="s">
        <v>14</v>
      </c>
    </row>
    <row r="98" spans="1:22" customFormat="1">
      <c r="A98" s="80">
        <v>45427.9375</v>
      </c>
      <c r="B98" s="112">
        <v>11.18</v>
      </c>
      <c r="C98" s="112">
        <v>13.12</v>
      </c>
      <c r="D98" s="112">
        <v>24.96</v>
      </c>
      <c r="E98" s="112">
        <v>21.92</v>
      </c>
      <c r="F98" s="112">
        <v>13.07</v>
      </c>
      <c r="G98" s="112">
        <v>70.72</v>
      </c>
      <c r="H98" s="112">
        <v>26.94</v>
      </c>
      <c r="I98" s="112">
        <v>7.14</v>
      </c>
      <c r="J98" s="112">
        <v>0.97</v>
      </c>
      <c r="K98" s="112">
        <v>33.200000000000003</v>
      </c>
      <c r="L98" s="112">
        <v>30.12</v>
      </c>
      <c r="M98" s="112">
        <v>55.18</v>
      </c>
      <c r="N98" s="112">
        <v>0</v>
      </c>
      <c r="O98" s="112">
        <v>0</v>
      </c>
      <c r="P98" s="112">
        <v>0.68</v>
      </c>
      <c r="Q98" s="167" t="s">
        <v>14</v>
      </c>
    </row>
    <row r="99" spans="1:22" customFormat="1">
      <c r="A99" s="80">
        <v>45427.947916666664</v>
      </c>
      <c r="B99" s="112">
        <v>11.16</v>
      </c>
      <c r="C99" s="112">
        <v>13.18</v>
      </c>
      <c r="D99" s="112">
        <v>24.98</v>
      </c>
      <c r="E99" s="112">
        <v>30.44</v>
      </c>
      <c r="F99" s="112">
        <v>13.15</v>
      </c>
      <c r="G99" s="112">
        <v>70.72</v>
      </c>
      <c r="H99" s="112">
        <v>26.94</v>
      </c>
      <c r="I99" s="112">
        <v>7.27</v>
      </c>
      <c r="J99" s="112">
        <v>0.88</v>
      </c>
      <c r="K99" s="112">
        <v>10.83</v>
      </c>
      <c r="L99" s="112">
        <v>29.77</v>
      </c>
      <c r="M99" s="112">
        <v>56.95</v>
      </c>
      <c r="N99" s="112">
        <v>0</v>
      </c>
      <c r="O99" s="112">
        <v>0</v>
      </c>
      <c r="P99" s="112">
        <v>0.67</v>
      </c>
      <c r="Q99" s="167" t="s">
        <v>14</v>
      </c>
    </row>
    <row r="100" spans="1:22" customFormat="1">
      <c r="A100" s="80">
        <v>45427.958333333336</v>
      </c>
      <c r="B100" s="112">
        <v>11.2</v>
      </c>
      <c r="C100" s="112">
        <v>13.12</v>
      </c>
      <c r="D100" s="112">
        <v>24.98</v>
      </c>
      <c r="E100" s="112">
        <v>36.56</v>
      </c>
      <c r="F100" s="112">
        <v>14.93</v>
      </c>
      <c r="G100" s="112">
        <v>70.72</v>
      </c>
      <c r="H100" s="112">
        <v>26.94</v>
      </c>
      <c r="I100" s="112">
        <v>7.26</v>
      </c>
      <c r="J100" s="112">
        <v>0.9</v>
      </c>
      <c r="K100" s="112">
        <v>28.19</v>
      </c>
      <c r="L100" s="112">
        <v>29.51</v>
      </c>
      <c r="M100" s="112">
        <v>58.01</v>
      </c>
      <c r="N100" s="112">
        <v>0</v>
      </c>
      <c r="O100" s="112">
        <v>0</v>
      </c>
      <c r="P100" s="112">
        <v>0.66</v>
      </c>
      <c r="Q100" s="167" t="s">
        <v>14</v>
      </c>
    </row>
    <row r="101" spans="1:22" customFormat="1">
      <c r="A101" s="80">
        <v>45427.96875</v>
      </c>
      <c r="B101" s="112">
        <v>11.22</v>
      </c>
      <c r="C101" s="112">
        <v>13.13</v>
      </c>
      <c r="D101" s="112">
        <v>25</v>
      </c>
      <c r="E101" s="112">
        <v>39.67</v>
      </c>
      <c r="F101" s="112">
        <v>14.18</v>
      </c>
      <c r="G101" s="112">
        <v>76.37</v>
      </c>
      <c r="H101" s="112">
        <v>29.43</v>
      </c>
      <c r="I101" s="112">
        <v>7.2</v>
      </c>
      <c r="J101" s="112">
        <v>0.8</v>
      </c>
      <c r="K101" s="112">
        <v>355.77</v>
      </c>
      <c r="L101" s="112">
        <v>29.16</v>
      </c>
      <c r="M101" s="112">
        <v>59.84</v>
      </c>
      <c r="N101" s="112">
        <v>0</v>
      </c>
      <c r="O101" s="112">
        <v>0</v>
      </c>
      <c r="P101" s="112">
        <v>0.66</v>
      </c>
      <c r="Q101" s="167" t="s">
        <v>14</v>
      </c>
    </row>
    <row r="102" spans="1:22" customFormat="1">
      <c r="A102" s="80">
        <v>45427.979166666664</v>
      </c>
      <c r="B102" s="112">
        <v>11.22</v>
      </c>
      <c r="C102" s="112">
        <v>13.11</v>
      </c>
      <c r="D102" s="112">
        <v>24.99</v>
      </c>
      <c r="E102" s="112">
        <v>74.150000000000006</v>
      </c>
      <c r="F102" s="112">
        <v>16.16</v>
      </c>
      <c r="G102" s="112">
        <v>76.84</v>
      </c>
      <c r="H102" s="112">
        <v>29.43</v>
      </c>
      <c r="I102" s="112">
        <v>7.11</v>
      </c>
      <c r="J102" s="112">
        <v>0.97</v>
      </c>
      <c r="K102" s="112">
        <v>42.15</v>
      </c>
      <c r="L102" s="112">
        <v>29.08</v>
      </c>
      <c r="M102" s="112">
        <v>59.18</v>
      </c>
      <c r="N102" s="112">
        <v>0</v>
      </c>
      <c r="O102" s="112">
        <v>0</v>
      </c>
      <c r="P102" s="112">
        <v>0.65</v>
      </c>
      <c r="Q102" s="167" t="s">
        <v>14</v>
      </c>
    </row>
    <row r="103" spans="1:22" customFormat="1">
      <c r="A103" s="80">
        <v>45427.989583333336</v>
      </c>
      <c r="B103" s="112">
        <v>11.23</v>
      </c>
      <c r="C103" s="112">
        <v>13.09</v>
      </c>
      <c r="D103" s="112">
        <v>24.99</v>
      </c>
      <c r="E103" s="112">
        <v>65.08</v>
      </c>
      <c r="F103" s="112">
        <v>14.88</v>
      </c>
      <c r="G103" s="112">
        <v>76.84</v>
      </c>
      <c r="H103" s="112">
        <v>29.43</v>
      </c>
      <c r="I103" s="112">
        <v>6.99</v>
      </c>
      <c r="J103" s="112">
        <v>0.98</v>
      </c>
      <c r="K103" s="112">
        <v>34.24</v>
      </c>
      <c r="L103" s="112">
        <v>29.17</v>
      </c>
      <c r="M103" s="112">
        <v>57.07</v>
      </c>
      <c r="N103" s="112">
        <v>0</v>
      </c>
      <c r="O103" s="112">
        <v>0</v>
      </c>
      <c r="P103" s="112">
        <v>0.64</v>
      </c>
      <c r="Q103" s="167" t="s">
        <v>14</v>
      </c>
    </row>
    <row r="104" spans="1:22" customFormat="1">
      <c r="A104" s="80">
        <v>45428</v>
      </c>
      <c r="B104" s="112">
        <v>11.23</v>
      </c>
      <c r="C104" s="112">
        <v>13.09</v>
      </c>
      <c r="D104" s="112">
        <v>24.99</v>
      </c>
      <c r="E104" s="112">
        <v>52.82</v>
      </c>
      <c r="F104" s="112">
        <v>20.25</v>
      </c>
      <c r="G104" s="112">
        <v>76.84</v>
      </c>
      <c r="H104" s="112">
        <v>29.43</v>
      </c>
      <c r="I104" s="112">
        <v>7.14</v>
      </c>
      <c r="J104" s="112">
        <v>1.06</v>
      </c>
      <c r="K104" s="112">
        <v>44.87</v>
      </c>
      <c r="L104" s="112">
        <v>29.28</v>
      </c>
      <c r="M104" s="112">
        <v>54.88</v>
      </c>
      <c r="N104" s="112">
        <v>0</v>
      </c>
      <c r="O104" s="112">
        <v>0</v>
      </c>
      <c r="P104" s="112">
        <v>0.62</v>
      </c>
      <c r="Q104" s="112">
        <v>1.01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11.16</v>
      </c>
      <c r="C106" s="183">
        <f>MIN(C9:C104)</f>
        <v>13.04</v>
      </c>
      <c r="D106" s="183">
        <f t="shared" ref="D106:Q106" si="0">MIN(D9:D104)</f>
        <v>24.94</v>
      </c>
      <c r="E106" s="183">
        <f t="shared" si="0"/>
        <v>7.87</v>
      </c>
      <c r="F106" s="183">
        <f t="shared" si="0"/>
        <v>4.24</v>
      </c>
      <c r="G106" s="183">
        <f t="shared" si="0"/>
        <v>49.06</v>
      </c>
      <c r="H106" s="183">
        <f t="shared" si="0"/>
        <v>18.809999999999999</v>
      </c>
      <c r="I106" s="183">
        <f t="shared" si="0"/>
        <v>6.99</v>
      </c>
      <c r="J106" s="183">
        <f t="shared" si="0"/>
        <v>0.02</v>
      </c>
      <c r="K106" s="183">
        <f t="shared" si="0"/>
        <v>-0.18</v>
      </c>
      <c r="L106" s="183">
        <f t="shared" si="0"/>
        <v>25.97</v>
      </c>
      <c r="M106" s="183">
        <f t="shared" si="0"/>
        <v>26.52</v>
      </c>
      <c r="N106" s="183">
        <f t="shared" si="0"/>
        <v>0</v>
      </c>
      <c r="O106" s="183">
        <f t="shared" si="0"/>
        <v>0</v>
      </c>
      <c r="P106" s="183">
        <f t="shared" si="0"/>
        <v>0.6</v>
      </c>
      <c r="Q106" s="183">
        <f t="shared" si="0"/>
        <v>1.01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11.43</v>
      </c>
      <c r="C107" s="184">
        <f t="shared" ref="C107:Q107" si="1">MAX(C9:C104)</f>
        <v>13.24</v>
      </c>
      <c r="D107" s="184">
        <f t="shared" si="1"/>
        <v>25.17</v>
      </c>
      <c r="E107" s="184">
        <f t="shared" si="1"/>
        <v>74.150000000000006</v>
      </c>
      <c r="F107" s="184">
        <f t="shared" si="1"/>
        <v>96.82</v>
      </c>
      <c r="G107" s="184">
        <f t="shared" si="1"/>
        <v>109.1</v>
      </c>
      <c r="H107" s="184">
        <f t="shared" si="1"/>
        <v>35.729999999999997</v>
      </c>
      <c r="I107" s="184">
        <f t="shared" si="1"/>
        <v>10.79</v>
      </c>
      <c r="J107" s="184">
        <f t="shared" si="1"/>
        <v>1.67</v>
      </c>
      <c r="K107" s="184">
        <f t="shared" si="1"/>
        <v>356.43</v>
      </c>
      <c r="L107" s="184">
        <f t="shared" si="1"/>
        <v>39.54</v>
      </c>
      <c r="M107" s="184">
        <f t="shared" si="1"/>
        <v>72.58</v>
      </c>
      <c r="N107" s="184">
        <f t="shared" si="1"/>
        <v>709.3</v>
      </c>
      <c r="O107" s="184">
        <f t="shared" si="1"/>
        <v>0</v>
      </c>
      <c r="P107" s="184">
        <f t="shared" si="1"/>
        <v>0.87</v>
      </c>
      <c r="Q107" s="184">
        <f t="shared" si="1"/>
        <v>4.6500000000000004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11.287083333333333</v>
      </c>
      <c r="C108" s="183">
        <f t="shared" ref="C108:Q108" si="2">AVERAGE(C9:C104)</f>
        <v>13.10885416666666</v>
      </c>
      <c r="D108" s="183">
        <f t="shared" si="2"/>
        <v>25.043749999999974</v>
      </c>
      <c r="E108" s="183">
        <f t="shared" si="2"/>
        <v>25.717187500000005</v>
      </c>
      <c r="F108" s="183">
        <f t="shared" si="2"/>
        <v>27.710624999999997</v>
      </c>
      <c r="G108" s="183">
        <f t="shared" si="2"/>
        <v>66.768854166666657</v>
      </c>
      <c r="H108" s="183">
        <f t="shared" si="2"/>
        <v>26.122499999999999</v>
      </c>
      <c r="I108" s="183">
        <f t="shared" si="2"/>
        <v>8.5289583333333336</v>
      </c>
      <c r="J108" s="183">
        <f t="shared" si="2"/>
        <v>0.44968749999999996</v>
      </c>
      <c r="K108" s="183">
        <f t="shared" si="2"/>
        <v>177.17281250000005</v>
      </c>
      <c r="L108" s="183">
        <f t="shared" si="2"/>
        <v>32.440312500000005</v>
      </c>
      <c r="M108" s="183">
        <f t="shared" si="2"/>
        <v>46.111666666666657</v>
      </c>
      <c r="N108" s="183">
        <f t="shared" si="2"/>
        <v>152.54375000000005</v>
      </c>
      <c r="O108" s="183">
        <f t="shared" si="2"/>
        <v>0</v>
      </c>
      <c r="P108" s="183">
        <f t="shared" si="2"/>
        <v>0.71447916666666667</v>
      </c>
      <c r="Q108" s="183">
        <f t="shared" si="2"/>
        <v>4.3771428571428572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6.9810520496052991E-2</v>
      </c>
      <c r="C109" s="183">
        <f t="shared" ref="C109:Q109" si="3">STDEV(C9:C104)</f>
        <v>3.3992872059847974E-2</v>
      </c>
      <c r="D109" s="183">
        <f t="shared" si="3"/>
        <v>6.0162061834768632E-2</v>
      </c>
      <c r="E109" s="183">
        <f t="shared" si="3"/>
        <v>18.330820161576305</v>
      </c>
      <c r="F109" s="183">
        <f t="shared" si="3"/>
        <v>27.07950026019876</v>
      </c>
      <c r="G109" s="183">
        <f t="shared" si="3"/>
        <v>14.084826914078796</v>
      </c>
      <c r="H109" s="183">
        <f t="shared" si="3"/>
        <v>4.9239130780304556</v>
      </c>
      <c r="I109" s="183">
        <f t="shared" si="3"/>
        <v>1.1129075047078572</v>
      </c>
      <c r="J109" s="183">
        <f t="shared" si="3"/>
        <v>0.37096021385474487</v>
      </c>
      <c r="K109" s="183">
        <f t="shared" si="3"/>
        <v>98.544855078958292</v>
      </c>
      <c r="L109" s="183">
        <f t="shared" si="3"/>
        <v>4.4978786703172258</v>
      </c>
      <c r="M109" s="183">
        <f t="shared" si="3"/>
        <v>14.717876610769126</v>
      </c>
      <c r="N109" s="183">
        <f t="shared" si="3"/>
        <v>216.64502948978907</v>
      </c>
      <c r="O109" s="183">
        <f t="shared" si="3"/>
        <v>0</v>
      </c>
      <c r="P109" s="183">
        <f t="shared" si="3"/>
        <v>5.2372547884650719E-2</v>
      </c>
      <c r="Q109" s="183">
        <f t="shared" si="3"/>
        <v>0.96917433988880763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14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0" activePane="bottomRight" state="frozen"/>
      <selection activeCell="A9" sqref="A9"/>
      <selection pane="topRight" activeCell="A9" sqref="A9"/>
      <selection pane="bottomLeft" activeCell="A9" sqref="A9"/>
      <selection pane="bottomRight" activeCell="Q76" sqref="Q76:Q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45428.010416666664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45428.010416666664</v>
      </c>
      <c r="B9" s="112">
        <v>11.33</v>
      </c>
      <c r="C9" s="112">
        <v>13.83</v>
      </c>
      <c r="D9" s="112">
        <v>25.46</v>
      </c>
      <c r="E9" s="112">
        <v>44.04</v>
      </c>
      <c r="F9" s="112">
        <v>29.24</v>
      </c>
      <c r="G9" s="112">
        <v>77.03</v>
      </c>
      <c r="H9" s="112">
        <v>29.5</v>
      </c>
      <c r="I9" s="112">
        <v>7.09</v>
      </c>
      <c r="J9" s="112">
        <v>0.84</v>
      </c>
      <c r="K9" s="112">
        <v>40.54</v>
      </c>
      <c r="L9" s="112">
        <v>29.3</v>
      </c>
      <c r="M9" s="112">
        <v>53.22</v>
      </c>
      <c r="N9" s="112">
        <v>0</v>
      </c>
      <c r="O9" s="112">
        <v>0</v>
      </c>
      <c r="P9" s="112">
        <v>0.56999999999999995</v>
      </c>
      <c r="Q9" s="167" t="s">
        <v>14</v>
      </c>
    </row>
    <row r="10" spans="1:21" customFormat="1">
      <c r="A10" s="80">
        <v>45428.020833333336</v>
      </c>
      <c r="B10" s="112">
        <v>11.26</v>
      </c>
      <c r="C10" s="112">
        <v>13.21</v>
      </c>
      <c r="D10" s="112">
        <v>25.08</v>
      </c>
      <c r="E10" s="112">
        <v>29.56</v>
      </c>
      <c r="F10" s="112">
        <v>32.68</v>
      </c>
      <c r="G10" s="112">
        <v>77.05</v>
      </c>
      <c r="H10" s="112">
        <v>29.5</v>
      </c>
      <c r="I10" s="112">
        <v>6.5</v>
      </c>
      <c r="J10" s="112">
        <v>0.31</v>
      </c>
      <c r="K10" s="112">
        <v>15.3</v>
      </c>
      <c r="L10" s="112">
        <v>29.34</v>
      </c>
      <c r="M10" s="112">
        <v>53.14</v>
      </c>
      <c r="N10" s="112">
        <v>0</v>
      </c>
      <c r="O10" s="112">
        <v>0</v>
      </c>
      <c r="P10" s="112">
        <v>0.53</v>
      </c>
      <c r="Q10" s="167" t="s">
        <v>14</v>
      </c>
    </row>
    <row r="11" spans="1:21" customFormat="1">
      <c r="A11" s="80">
        <v>45428.03125</v>
      </c>
      <c r="B11" s="112">
        <v>11.23</v>
      </c>
      <c r="C11" s="112">
        <v>13.12</v>
      </c>
      <c r="D11" s="112">
        <v>25</v>
      </c>
      <c r="E11" s="112">
        <v>22.92</v>
      </c>
      <c r="F11" s="112">
        <v>31.46</v>
      </c>
      <c r="G11" s="112">
        <v>77.05</v>
      </c>
      <c r="H11" s="112">
        <v>29.5</v>
      </c>
      <c r="I11" s="112">
        <v>6</v>
      </c>
      <c r="J11" s="112">
        <v>0.06</v>
      </c>
      <c r="K11" s="112">
        <v>154.04</v>
      </c>
      <c r="L11" s="112">
        <v>29.29</v>
      </c>
      <c r="M11" s="112">
        <v>54.8</v>
      </c>
      <c r="N11" s="112">
        <v>0</v>
      </c>
      <c r="O11" s="112">
        <v>0</v>
      </c>
      <c r="P11" s="112">
        <v>0.52</v>
      </c>
      <c r="Q11" s="167" t="s">
        <v>14</v>
      </c>
    </row>
    <row r="12" spans="1:21" customFormat="1">
      <c r="A12" s="80">
        <v>45428.041666666664</v>
      </c>
      <c r="B12" s="112">
        <v>11.21</v>
      </c>
      <c r="C12" s="112">
        <v>13.09</v>
      </c>
      <c r="D12" s="112">
        <v>24.98</v>
      </c>
      <c r="E12" s="112">
        <v>21.54</v>
      </c>
      <c r="F12" s="112">
        <v>34.28</v>
      </c>
      <c r="G12" s="112">
        <v>77.05</v>
      </c>
      <c r="H12" s="112">
        <v>29.5</v>
      </c>
      <c r="I12" s="112">
        <v>5.72</v>
      </c>
      <c r="J12" s="112">
        <v>0.2</v>
      </c>
      <c r="K12" s="112">
        <v>229.15</v>
      </c>
      <c r="L12" s="112">
        <v>28.97</v>
      </c>
      <c r="M12" s="112">
        <v>55.66</v>
      </c>
      <c r="N12" s="112">
        <v>0</v>
      </c>
      <c r="O12" s="112">
        <v>0</v>
      </c>
      <c r="P12" s="112">
        <v>0.51</v>
      </c>
      <c r="Q12" s="167" t="s">
        <v>14</v>
      </c>
    </row>
    <row r="13" spans="1:21" customFormat="1">
      <c r="A13" s="80">
        <v>45428.052083333336</v>
      </c>
      <c r="B13" s="112">
        <v>11.23</v>
      </c>
      <c r="C13" s="112">
        <v>13.06</v>
      </c>
      <c r="D13" s="112">
        <v>24.97</v>
      </c>
      <c r="E13" s="112">
        <v>28.96</v>
      </c>
      <c r="F13" s="112">
        <v>33.75</v>
      </c>
      <c r="G13" s="112">
        <v>64.739999999999995</v>
      </c>
      <c r="H13" s="112">
        <v>26.41</v>
      </c>
      <c r="I13" s="112">
        <v>5.55</v>
      </c>
      <c r="J13" s="112">
        <v>0.18</v>
      </c>
      <c r="K13" s="112">
        <v>186.44</v>
      </c>
      <c r="L13" s="112">
        <v>28.86</v>
      </c>
      <c r="M13" s="112">
        <v>57.19</v>
      </c>
      <c r="N13" s="112">
        <v>0</v>
      </c>
      <c r="O13" s="112">
        <v>0</v>
      </c>
      <c r="P13" s="112">
        <v>0.51</v>
      </c>
      <c r="Q13" s="167" t="s">
        <v>14</v>
      </c>
    </row>
    <row r="14" spans="1:21" customFormat="1">
      <c r="A14" s="80">
        <v>45428.0625</v>
      </c>
      <c r="B14" s="112">
        <v>11.27</v>
      </c>
      <c r="C14" s="112">
        <v>13.06</v>
      </c>
      <c r="D14" s="112">
        <v>25</v>
      </c>
      <c r="E14" s="112">
        <v>34.1</v>
      </c>
      <c r="F14" s="112">
        <v>27.17</v>
      </c>
      <c r="G14" s="112">
        <v>63.7</v>
      </c>
      <c r="H14" s="112">
        <v>26.41</v>
      </c>
      <c r="I14" s="112">
        <v>5.38</v>
      </c>
      <c r="J14" s="112">
        <v>0.23</v>
      </c>
      <c r="K14" s="112">
        <v>176.39</v>
      </c>
      <c r="L14" s="112">
        <v>28.66</v>
      </c>
      <c r="M14" s="112">
        <v>58.57</v>
      </c>
      <c r="N14" s="112">
        <v>0</v>
      </c>
      <c r="O14" s="112">
        <v>0</v>
      </c>
      <c r="P14" s="112">
        <v>0.51</v>
      </c>
      <c r="Q14" s="167" t="s">
        <v>14</v>
      </c>
    </row>
    <row r="15" spans="1:21" customFormat="1">
      <c r="A15" s="80">
        <v>45428.072916666664</v>
      </c>
      <c r="B15" s="112">
        <v>11.25</v>
      </c>
      <c r="C15" s="112">
        <v>13.09</v>
      </c>
      <c r="D15" s="112">
        <v>25</v>
      </c>
      <c r="E15" s="112">
        <v>27.09</v>
      </c>
      <c r="F15" s="112">
        <v>17.399999999999999</v>
      </c>
      <c r="G15" s="112">
        <v>63.7</v>
      </c>
      <c r="H15" s="112">
        <v>26.41</v>
      </c>
      <c r="I15" s="112">
        <v>5.15</v>
      </c>
      <c r="J15" s="112">
        <v>0.56000000000000005</v>
      </c>
      <c r="K15" s="112">
        <v>168.87</v>
      </c>
      <c r="L15" s="112">
        <v>28.24</v>
      </c>
      <c r="M15" s="112">
        <v>60.73</v>
      </c>
      <c r="N15" s="112">
        <v>0</v>
      </c>
      <c r="O15" s="112">
        <v>0</v>
      </c>
      <c r="P15" s="112">
        <v>0.53</v>
      </c>
      <c r="Q15" s="167" t="s">
        <v>14</v>
      </c>
    </row>
    <row r="16" spans="1:21" customFormat="1">
      <c r="A16" s="80">
        <v>45428.083333333336</v>
      </c>
      <c r="B16" s="112">
        <v>11.24</v>
      </c>
      <c r="C16" s="112">
        <v>13.08</v>
      </c>
      <c r="D16" s="112">
        <v>24.99</v>
      </c>
      <c r="E16" s="112">
        <v>25.3</v>
      </c>
      <c r="F16" s="112">
        <v>14.25</v>
      </c>
      <c r="G16" s="112">
        <v>63.7</v>
      </c>
      <c r="H16" s="112">
        <v>26.41</v>
      </c>
      <c r="I16" s="112">
        <v>5.45</v>
      </c>
      <c r="J16" s="112">
        <v>0.16</v>
      </c>
      <c r="K16" s="112">
        <v>69.930000000000007</v>
      </c>
      <c r="L16" s="112">
        <v>28.28</v>
      </c>
      <c r="M16" s="112">
        <v>59.92</v>
      </c>
      <c r="N16" s="112">
        <v>0</v>
      </c>
      <c r="O16" s="112">
        <v>0</v>
      </c>
      <c r="P16" s="112">
        <v>0.55000000000000004</v>
      </c>
      <c r="Q16" s="167" t="s">
        <v>14</v>
      </c>
    </row>
    <row r="17" spans="1:17" customFormat="1">
      <c r="A17" s="80">
        <v>45428.09375</v>
      </c>
      <c r="B17" s="112">
        <v>11.25</v>
      </c>
      <c r="C17" s="112">
        <v>13.16</v>
      </c>
      <c r="D17" s="112">
        <v>25.04</v>
      </c>
      <c r="E17" s="112">
        <v>22.54</v>
      </c>
      <c r="F17" s="112">
        <v>11.65</v>
      </c>
      <c r="G17" s="112">
        <v>50.65</v>
      </c>
      <c r="H17" s="112">
        <v>24.35</v>
      </c>
      <c r="I17" s="112">
        <v>5.88</v>
      </c>
      <c r="J17" s="112">
        <v>0.13</v>
      </c>
      <c r="K17" s="112">
        <v>103.24</v>
      </c>
      <c r="L17" s="112">
        <v>28.75</v>
      </c>
      <c r="M17" s="112">
        <v>58.51</v>
      </c>
      <c r="N17" s="112">
        <v>0</v>
      </c>
      <c r="O17" s="112">
        <v>0</v>
      </c>
      <c r="P17" s="112">
        <v>0.56999999999999995</v>
      </c>
      <c r="Q17" s="167" t="s">
        <v>14</v>
      </c>
    </row>
    <row r="18" spans="1:17" customFormat="1">
      <c r="A18" s="80">
        <v>45428.104166666664</v>
      </c>
      <c r="B18" s="112">
        <v>11.22</v>
      </c>
      <c r="C18" s="112">
        <v>13.18</v>
      </c>
      <c r="D18" s="112">
        <v>25.03</v>
      </c>
      <c r="E18" s="112">
        <v>32.36</v>
      </c>
      <c r="F18" s="112">
        <v>12.19</v>
      </c>
      <c r="G18" s="112">
        <v>49.55</v>
      </c>
      <c r="H18" s="112">
        <v>24.35</v>
      </c>
      <c r="I18" s="112">
        <v>5.85</v>
      </c>
      <c r="J18" s="112">
        <v>0.27</v>
      </c>
      <c r="K18" s="112">
        <v>182.34</v>
      </c>
      <c r="L18" s="112">
        <v>28.09</v>
      </c>
      <c r="M18" s="112">
        <v>62.69</v>
      </c>
      <c r="N18" s="112">
        <v>0</v>
      </c>
      <c r="O18" s="112">
        <v>0</v>
      </c>
      <c r="P18" s="112">
        <v>0.54</v>
      </c>
      <c r="Q18" s="167" t="s">
        <v>14</v>
      </c>
    </row>
    <row r="19" spans="1:17" customFormat="1">
      <c r="A19" s="80">
        <v>45428.114583333336</v>
      </c>
      <c r="B19" s="112">
        <v>11.22</v>
      </c>
      <c r="C19" s="112">
        <v>13.13</v>
      </c>
      <c r="D19" s="112">
        <v>25</v>
      </c>
      <c r="E19" s="112">
        <v>28.24</v>
      </c>
      <c r="F19" s="112">
        <v>15.19</v>
      </c>
      <c r="G19" s="112">
        <v>49.55</v>
      </c>
      <c r="H19" s="112">
        <v>24.35</v>
      </c>
      <c r="I19" s="112">
        <v>5.73</v>
      </c>
      <c r="J19" s="112">
        <v>0.31</v>
      </c>
      <c r="K19" s="112">
        <v>189.85</v>
      </c>
      <c r="L19" s="112">
        <v>27.65</v>
      </c>
      <c r="M19" s="112">
        <v>63.44</v>
      </c>
      <c r="N19" s="112">
        <v>0</v>
      </c>
      <c r="O19" s="112">
        <v>0</v>
      </c>
      <c r="P19" s="112">
        <v>0.53</v>
      </c>
      <c r="Q19" s="167" t="s">
        <v>14</v>
      </c>
    </row>
    <row r="20" spans="1:17" customFormat="1">
      <c r="A20" s="80">
        <v>45428.125</v>
      </c>
      <c r="B20" s="112">
        <v>11.23</v>
      </c>
      <c r="C20" s="112">
        <v>13.12</v>
      </c>
      <c r="D20" s="112">
        <v>25.01</v>
      </c>
      <c r="E20" s="112">
        <v>30.3</v>
      </c>
      <c r="F20" s="112">
        <v>22.29</v>
      </c>
      <c r="G20" s="112">
        <v>49.55</v>
      </c>
      <c r="H20" s="112">
        <v>24.35</v>
      </c>
      <c r="I20" s="112">
        <v>5.82</v>
      </c>
      <c r="J20" s="112">
        <v>0.11</v>
      </c>
      <c r="K20" s="112">
        <v>187.44</v>
      </c>
      <c r="L20" s="112">
        <v>27.85</v>
      </c>
      <c r="M20" s="112">
        <v>61.97</v>
      </c>
      <c r="N20" s="112">
        <v>0</v>
      </c>
      <c r="O20" s="112">
        <v>0</v>
      </c>
      <c r="P20" s="112">
        <v>0.5</v>
      </c>
      <c r="Q20" s="167" t="s">
        <v>14</v>
      </c>
    </row>
    <row r="21" spans="1:17" customFormat="1">
      <c r="A21" s="80">
        <v>45428.135416666664</v>
      </c>
      <c r="B21" s="112">
        <v>11.24</v>
      </c>
      <c r="C21" s="112">
        <v>13.11</v>
      </c>
      <c r="D21" s="112">
        <v>25.01</v>
      </c>
      <c r="E21" s="112">
        <v>23.8</v>
      </c>
      <c r="F21" s="112">
        <v>13.92</v>
      </c>
      <c r="G21" s="112">
        <v>45.92</v>
      </c>
      <c r="H21" s="112">
        <v>20.82</v>
      </c>
      <c r="I21" s="112">
        <v>5.67</v>
      </c>
      <c r="J21" s="112">
        <v>0.16</v>
      </c>
      <c r="K21" s="112">
        <v>194.92</v>
      </c>
      <c r="L21" s="112">
        <v>28.01</v>
      </c>
      <c r="M21" s="112">
        <v>60.97</v>
      </c>
      <c r="N21" s="112">
        <v>0</v>
      </c>
      <c r="O21" s="112">
        <v>0</v>
      </c>
      <c r="P21" s="112">
        <v>0.53</v>
      </c>
      <c r="Q21" s="167" t="s">
        <v>14</v>
      </c>
    </row>
    <row r="22" spans="1:17" customFormat="1">
      <c r="A22" s="80">
        <v>45428.145833333336</v>
      </c>
      <c r="B22" s="112">
        <v>11.24</v>
      </c>
      <c r="C22" s="112">
        <v>13.1</v>
      </c>
      <c r="D22" s="112">
        <v>25</v>
      </c>
      <c r="E22" s="112">
        <v>17.71</v>
      </c>
      <c r="F22" s="112">
        <v>11</v>
      </c>
      <c r="G22" s="112">
        <v>45.57</v>
      </c>
      <c r="H22" s="112">
        <v>20.82</v>
      </c>
      <c r="I22" s="112">
        <v>5.47</v>
      </c>
      <c r="J22" s="112">
        <v>0.04</v>
      </c>
      <c r="K22" s="112">
        <v>196.65</v>
      </c>
      <c r="L22" s="112">
        <v>28.32</v>
      </c>
      <c r="M22" s="112">
        <v>59.59</v>
      </c>
      <c r="N22" s="112">
        <v>0</v>
      </c>
      <c r="O22" s="112">
        <v>0</v>
      </c>
      <c r="P22" s="112">
        <v>0.55000000000000004</v>
      </c>
      <c r="Q22" s="167" t="s">
        <v>14</v>
      </c>
    </row>
    <row r="23" spans="1:17" customFormat="1">
      <c r="A23" s="80">
        <v>45428.15625</v>
      </c>
      <c r="B23" s="112">
        <v>11.24</v>
      </c>
      <c r="C23" s="112">
        <v>13.15</v>
      </c>
      <c r="D23" s="112">
        <v>25.03</v>
      </c>
      <c r="E23" s="112">
        <v>17.82</v>
      </c>
      <c r="F23" s="112">
        <v>8.5500000000000007</v>
      </c>
      <c r="G23" s="112">
        <v>45.57</v>
      </c>
      <c r="H23" s="112">
        <v>20.82</v>
      </c>
      <c r="I23" s="112">
        <v>5.68</v>
      </c>
      <c r="J23" s="112">
        <v>0.39</v>
      </c>
      <c r="K23" s="112">
        <v>39.200000000000003</v>
      </c>
      <c r="L23" s="112">
        <v>28.53</v>
      </c>
      <c r="M23" s="112">
        <v>58.86</v>
      </c>
      <c r="N23" s="112">
        <v>0</v>
      </c>
      <c r="O23" s="112">
        <v>0</v>
      </c>
      <c r="P23" s="112">
        <v>0.56000000000000005</v>
      </c>
      <c r="Q23" s="167" t="s">
        <v>14</v>
      </c>
    </row>
    <row r="24" spans="1:17" customFormat="1">
      <c r="A24" s="80">
        <v>45428.166666666664</v>
      </c>
      <c r="B24" s="112">
        <v>11.27</v>
      </c>
      <c r="C24" s="112">
        <v>13.14</v>
      </c>
      <c r="D24" s="112">
        <v>25.05</v>
      </c>
      <c r="E24" s="112">
        <v>16.98</v>
      </c>
      <c r="F24" s="112">
        <v>8.07</v>
      </c>
      <c r="G24" s="112">
        <v>45.57</v>
      </c>
      <c r="H24" s="112">
        <v>20.82</v>
      </c>
      <c r="I24" s="112">
        <v>5.89</v>
      </c>
      <c r="J24" s="112">
        <v>0.14000000000000001</v>
      </c>
      <c r="K24" s="112">
        <v>114.4</v>
      </c>
      <c r="L24" s="112">
        <v>28.58</v>
      </c>
      <c r="M24" s="112">
        <v>61.1</v>
      </c>
      <c r="N24" s="112">
        <v>0</v>
      </c>
      <c r="O24" s="112">
        <v>0</v>
      </c>
      <c r="P24" s="112">
        <v>0.56000000000000005</v>
      </c>
      <c r="Q24" s="167" t="s">
        <v>14</v>
      </c>
    </row>
    <row r="25" spans="1:17" customFormat="1">
      <c r="A25" s="80">
        <v>45428.177083333336</v>
      </c>
      <c r="B25" s="112">
        <v>11.26</v>
      </c>
      <c r="C25" s="112">
        <v>13.11</v>
      </c>
      <c r="D25" s="112">
        <v>25.02</v>
      </c>
      <c r="E25" s="112">
        <v>15.48</v>
      </c>
      <c r="F25" s="112">
        <v>9.17</v>
      </c>
      <c r="G25" s="112">
        <v>46.87</v>
      </c>
      <c r="H25" s="112">
        <v>22.24</v>
      </c>
      <c r="I25" s="112">
        <v>5.88</v>
      </c>
      <c r="J25" s="112">
        <v>0.4</v>
      </c>
      <c r="K25" s="112">
        <v>69.98</v>
      </c>
      <c r="L25" s="112">
        <v>28.54</v>
      </c>
      <c r="M25" s="112">
        <v>60.14</v>
      </c>
      <c r="N25" s="112">
        <v>0</v>
      </c>
      <c r="O25" s="112">
        <v>0</v>
      </c>
      <c r="P25" s="112">
        <v>0.55000000000000004</v>
      </c>
      <c r="Q25" s="112">
        <v>4.62</v>
      </c>
    </row>
    <row r="26" spans="1:17" customFormat="1">
      <c r="A26" s="80">
        <v>45428.1875</v>
      </c>
      <c r="B26" s="112">
        <v>11.27</v>
      </c>
      <c r="C26" s="112">
        <v>13.09</v>
      </c>
      <c r="D26" s="112">
        <v>25.02</v>
      </c>
      <c r="E26" s="112">
        <v>15.84</v>
      </c>
      <c r="F26" s="112">
        <v>10.29</v>
      </c>
      <c r="G26" s="112">
        <v>47</v>
      </c>
      <c r="H26" s="112">
        <v>22.24</v>
      </c>
      <c r="I26" s="112">
        <v>5.79</v>
      </c>
      <c r="J26" s="112">
        <v>0.19</v>
      </c>
      <c r="K26" s="112">
        <v>87.18</v>
      </c>
      <c r="L26" s="112">
        <v>28.66</v>
      </c>
      <c r="M26" s="112">
        <v>60.12</v>
      </c>
      <c r="N26" s="112">
        <v>0</v>
      </c>
      <c r="O26" s="112">
        <v>0</v>
      </c>
      <c r="P26" s="112">
        <v>0.55000000000000004</v>
      </c>
      <c r="Q26" s="112">
        <v>4.62</v>
      </c>
    </row>
    <row r="27" spans="1:17" customFormat="1">
      <c r="A27" s="80">
        <v>45428.197916666664</v>
      </c>
      <c r="B27" s="112">
        <v>11.24</v>
      </c>
      <c r="C27" s="112">
        <v>13.12</v>
      </c>
      <c r="D27" s="112">
        <v>25.01</v>
      </c>
      <c r="E27" s="112">
        <v>14.81</v>
      </c>
      <c r="F27" s="112">
        <v>9.4600000000000009</v>
      </c>
      <c r="G27" s="112">
        <v>47</v>
      </c>
      <c r="H27" s="112">
        <v>22.24</v>
      </c>
      <c r="I27" s="112">
        <v>5.69</v>
      </c>
      <c r="J27" s="112">
        <v>0.42</v>
      </c>
      <c r="K27" s="112">
        <v>41.62</v>
      </c>
      <c r="L27" s="112">
        <v>28.58</v>
      </c>
      <c r="M27" s="112">
        <v>59.35</v>
      </c>
      <c r="N27" s="112">
        <v>0</v>
      </c>
      <c r="O27" s="112">
        <v>0</v>
      </c>
      <c r="P27" s="112">
        <v>0.54</v>
      </c>
      <c r="Q27" s="167" t="s">
        <v>14</v>
      </c>
    </row>
    <row r="28" spans="1:17" customFormat="1">
      <c r="A28" s="80">
        <v>45428.208333333336</v>
      </c>
      <c r="B28" s="112">
        <v>11.26</v>
      </c>
      <c r="C28" s="112">
        <v>13.09</v>
      </c>
      <c r="D28" s="112">
        <v>25.02</v>
      </c>
      <c r="E28" s="112">
        <v>16.84</v>
      </c>
      <c r="F28" s="112">
        <v>7.98</v>
      </c>
      <c r="G28" s="112">
        <v>47</v>
      </c>
      <c r="H28" s="112">
        <v>22.24</v>
      </c>
      <c r="I28" s="112">
        <v>5.7</v>
      </c>
      <c r="J28" s="112">
        <v>0.38</v>
      </c>
      <c r="K28" s="112">
        <v>51.03</v>
      </c>
      <c r="L28" s="112">
        <v>28.44</v>
      </c>
      <c r="M28" s="112">
        <v>59.5</v>
      </c>
      <c r="N28" s="112">
        <v>0</v>
      </c>
      <c r="O28" s="112">
        <v>0</v>
      </c>
      <c r="P28" s="112">
        <v>0.56000000000000005</v>
      </c>
      <c r="Q28" s="167" t="s">
        <v>14</v>
      </c>
    </row>
    <row r="29" spans="1:17" customFormat="1">
      <c r="A29" s="80">
        <v>45428.21875</v>
      </c>
      <c r="B29" s="112">
        <v>11.26</v>
      </c>
      <c r="C29" s="112">
        <v>13.11</v>
      </c>
      <c r="D29" s="112">
        <v>25.02</v>
      </c>
      <c r="E29" s="112">
        <v>17.12</v>
      </c>
      <c r="F29" s="112">
        <v>6.63</v>
      </c>
      <c r="G29" s="112">
        <v>48.61</v>
      </c>
      <c r="H29" s="112">
        <v>23.2</v>
      </c>
      <c r="I29" s="112">
        <v>5.76</v>
      </c>
      <c r="J29" s="112">
        <v>0.72</v>
      </c>
      <c r="K29" s="112">
        <v>58.8</v>
      </c>
      <c r="L29" s="112">
        <v>28.47</v>
      </c>
      <c r="M29" s="112">
        <v>59.39</v>
      </c>
      <c r="N29" s="112">
        <v>0</v>
      </c>
      <c r="O29" s="112">
        <v>0</v>
      </c>
      <c r="P29" s="112">
        <v>0.56999999999999995</v>
      </c>
      <c r="Q29" s="167" t="s">
        <v>14</v>
      </c>
    </row>
    <row r="30" spans="1:17" customFormat="1">
      <c r="A30" s="80">
        <v>45428.229166666664</v>
      </c>
      <c r="B30" s="112">
        <v>11.24</v>
      </c>
      <c r="C30" s="112">
        <v>13.11</v>
      </c>
      <c r="D30" s="112">
        <v>25</v>
      </c>
      <c r="E30" s="112">
        <v>15.28</v>
      </c>
      <c r="F30" s="112">
        <v>6.84</v>
      </c>
      <c r="G30" s="112">
        <v>48.75</v>
      </c>
      <c r="H30" s="112">
        <v>23.2</v>
      </c>
      <c r="I30" s="112">
        <v>5.89</v>
      </c>
      <c r="J30" s="112">
        <v>0.83</v>
      </c>
      <c r="K30" s="112">
        <v>63.2</v>
      </c>
      <c r="L30" s="112">
        <v>28.29</v>
      </c>
      <c r="M30" s="112">
        <v>58.48</v>
      </c>
      <c r="N30" s="112">
        <v>0</v>
      </c>
      <c r="O30" s="112">
        <v>0</v>
      </c>
      <c r="P30" s="112">
        <v>0.56999999999999995</v>
      </c>
      <c r="Q30" s="167" t="s">
        <v>14</v>
      </c>
    </row>
    <row r="31" spans="1:17" customFormat="1">
      <c r="A31" s="80">
        <v>45428.239583333336</v>
      </c>
      <c r="B31" s="112">
        <v>11.23</v>
      </c>
      <c r="C31" s="112">
        <v>13.1</v>
      </c>
      <c r="D31" s="112">
        <v>24.99</v>
      </c>
      <c r="E31" s="112">
        <v>13.97</v>
      </c>
      <c r="F31" s="112">
        <v>7.74</v>
      </c>
      <c r="G31" s="112">
        <v>48.75</v>
      </c>
      <c r="H31" s="112">
        <v>23.2</v>
      </c>
      <c r="I31" s="112">
        <v>6.09</v>
      </c>
      <c r="J31" s="112">
        <v>0.73</v>
      </c>
      <c r="K31" s="112">
        <v>62.45</v>
      </c>
      <c r="L31" s="112">
        <v>28.27</v>
      </c>
      <c r="M31" s="112">
        <v>57.85</v>
      </c>
      <c r="N31" s="112">
        <v>0</v>
      </c>
      <c r="O31" s="112">
        <v>0</v>
      </c>
      <c r="P31" s="112">
        <v>0.59</v>
      </c>
      <c r="Q31" s="167" t="s">
        <v>14</v>
      </c>
    </row>
    <row r="32" spans="1:17" customFormat="1">
      <c r="A32" s="80">
        <v>45428.25</v>
      </c>
      <c r="B32" s="112">
        <v>11.25</v>
      </c>
      <c r="C32" s="112">
        <v>13.07</v>
      </c>
      <c r="D32" s="112">
        <v>25</v>
      </c>
      <c r="E32" s="112">
        <v>13.73</v>
      </c>
      <c r="F32" s="112">
        <v>7.75</v>
      </c>
      <c r="G32" s="112">
        <v>48.75</v>
      </c>
      <c r="H32" s="112">
        <v>23.2</v>
      </c>
      <c r="I32" s="112">
        <v>6.19</v>
      </c>
      <c r="J32" s="112">
        <v>0.7</v>
      </c>
      <c r="K32" s="112">
        <v>62.58</v>
      </c>
      <c r="L32" s="112">
        <v>28.29</v>
      </c>
      <c r="M32" s="112">
        <v>57.39</v>
      </c>
      <c r="N32" s="112">
        <v>1.6</v>
      </c>
      <c r="O32" s="112">
        <v>0</v>
      </c>
      <c r="P32" s="112">
        <v>0.57999999999999996</v>
      </c>
      <c r="Q32" s="167" t="s">
        <v>14</v>
      </c>
    </row>
    <row r="33" spans="1:17" customFormat="1">
      <c r="A33" s="80">
        <v>45428.260416666664</v>
      </c>
      <c r="B33" s="112">
        <v>11.25</v>
      </c>
      <c r="C33" s="112">
        <v>13.08</v>
      </c>
      <c r="D33" s="112">
        <v>25</v>
      </c>
      <c r="E33" s="112">
        <v>12.75</v>
      </c>
      <c r="F33" s="112">
        <v>6.93</v>
      </c>
      <c r="G33" s="112">
        <v>61.25</v>
      </c>
      <c r="H33" s="112">
        <v>24.14</v>
      </c>
      <c r="I33" s="112">
        <v>6.28</v>
      </c>
      <c r="J33" s="112">
        <v>0.31</v>
      </c>
      <c r="K33" s="112">
        <v>91.96</v>
      </c>
      <c r="L33" s="112">
        <v>28.59</v>
      </c>
      <c r="M33" s="112">
        <v>56.87</v>
      </c>
      <c r="N33" s="112">
        <v>11.4</v>
      </c>
      <c r="O33" s="112">
        <v>0</v>
      </c>
      <c r="P33" s="112">
        <v>0.57999999999999996</v>
      </c>
      <c r="Q33" s="167" t="s">
        <v>14</v>
      </c>
    </row>
    <row r="34" spans="1:17" customFormat="1">
      <c r="A34" s="80">
        <v>45428.270833333336</v>
      </c>
      <c r="B34" s="112">
        <v>11.24</v>
      </c>
      <c r="C34" s="112">
        <v>13.17</v>
      </c>
      <c r="D34" s="112">
        <v>25.04</v>
      </c>
      <c r="E34" s="112">
        <v>13.54</v>
      </c>
      <c r="F34" s="112">
        <v>8.41</v>
      </c>
      <c r="G34" s="112">
        <v>62.47</v>
      </c>
      <c r="H34" s="112">
        <v>24.14</v>
      </c>
      <c r="I34" s="112">
        <v>6.28</v>
      </c>
      <c r="J34" s="112">
        <v>0.19</v>
      </c>
      <c r="K34" s="112">
        <v>112.58</v>
      </c>
      <c r="L34" s="112">
        <v>28.81</v>
      </c>
      <c r="M34" s="112">
        <v>57.36</v>
      </c>
      <c r="N34" s="112">
        <v>26.8</v>
      </c>
      <c r="O34" s="112">
        <v>0</v>
      </c>
      <c r="P34" s="112">
        <v>0.57999999999999996</v>
      </c>
      <c r="Q34" s="167" t="s">
        <v>14</v>
      </c>
    </row>
    <row r="35" spans="1:17" customFormat="1">
      <c r="A35" s="80">
        <v>45428.28125</v>
      </c>
      <c r="B35" s="112">
        <v>11.22</v>
      </c>
      <c r="C35" s="112">
        <v>13.16</v>
      </c>
      <c r="D35" s="112">
        <v>25.02</v>
      </c>
      <c r="E35" s="112">
        <v>12.92</v>
      </c>
      <c r="F35" s="112">
        <v>7.58</v>
      </c>
      <c r="G35" s="112">
        <v>62.47</v>
      </c>
      <c r="H35" s="112">
        <v>24.14</v>
      </c>
      <c r="I35" s="112">
        <v>6.33</v>
      </c>
      <c r="J35" s="112">
        <v>0.15</v>
      </c>
      <c r="K35" s="112">
        <v>193.32</v>
      </c>
      <c r="L35" s="112">
        <v>28.83</v>
      </c>
      <c r="M35" s="112">
        <v>58.37</v>
      </c>
      <c r="N35" s="112">
        <v>48.1</v>
      </c>
      <c r="O35" s="112">
        <v>0</v>
      </c>
      <c r="P35" s="112">
        <v>0.59</v>
      </c>
      <c r="Q35" s="167" t="s">
        <v>14</v>
      </c>
    </row>
    <row r="36" spans="1:17" customFormat="1">
      <c r="A36" s="80">
        <v>45428.291666666664</v>
      </c>
      <c r="B36" s="112">
        <v>11.24</v>
      </c>
      <c r="C36" s="112">
        <v>13.1</v>
      </c>
      <c r="D36" s="112">
        <v>25</v>
      </c>
      <c r="E36" s="112">
        <v>12.91</v>
      </c>
      <c r="F36" s="112">
        <v>7.73</v>
      </c>
      <c r="G36" s="112">
        <v>62.47</v>
      </c>
      <c r="H36" s="112">
        <v>24.14</v>
      </c>
      <c r="I36" s="112">
        <v>6.37</v>
      </c>
      <c r="J36" s="112">
        <v>0.16</v>
      </c>
      <c r="K36" s="112">
        <v>122.94</v>
      </c>
      <c r="L36" s="112">
        <v>29.26</v>
      </c>
      <c r="M36" s="112">
        <v>58.3</v>
      </c>
      <c r="N36" s="112">
        <v>69.3</v>
      </c>
      <c r="O36" s="112">
        <v>0</v>
      </c>
      <c r="P36" s="112">
        <v>0.57999999999999996</v>
      </c>
      <c r="Q36" s="167" t="s">
        <v>14</v>
      </c>
    </row>
    <row r="37" spans="1:17" customFormat="1">
      <c r="A37" s="80">
        <v>45428.302083333336</v>
      </c>
      <c r="B37" s="112">
        <v>11.2</v>
      </c>
      <c r="C37" s="112">
        <v>13.11</v>
      </c>
      <c r="D37" s="112">
        <v>24.98</v>
      </c>
      <c r="E37" s="112">
        <v>14.56</v>
      </c>
      <c r="F37" s="112">
        <v>8.3000000000000007</v>
      </c>
      <c r="G37" s="112">
        <v>64.58</v>
      </c>
      <c r="H37" s="112">
        <v>22.53</v>
      </c>
      <c r="I37" s="112">
        <v>6.38</v>
      </c>
      <c r="J37" s="112">
        <v>0.13</v>
      </c>
      <c r="K37" s="112">
        <v>136.34</v>
      </c>
      <c r="L37" s="112">
        <v>29.58</v>
      </c>
      <c r="M37" s="112">
        <v>58.35</v>
      </c>
      <c r="N37" s="112">
        <v>91.4</v>
      </c>
      <c r="O37" s="112">
        <v>0</v>
      </c>
      <c r="P37" s="112">
        <v>0.59</v>
      </c>
      <c r="Q37" s="167" t="s">
        <v>14</v>
      </c>
    </row>
    <row r="38" spans="1:17" customFormat="1">
      <c r="A38" s="80">
        <v>45428.3125</v>
      </c>
      <c r="B38" s="112">
        <v>11.21</v>
      </c>
      <c r="C38" s="112">
        <v>13.13</v>
      </c>
      <c r="D38" s="112">
        <v>24.99</v>
      </c>
      <c r="E38" s="112">
        <v>13.78</v>
      </c>
      <c r="F38" s="112">
        <v>7.48</v>
      </c>
      <c r="G38" s="112">
        <v>64.790000000000006</v>
      </c>
      <c r="H38" s="112">
        <v>22.53</v>
      </c>
      <c r="I38" s="112">
        <v>6.4</v>
      </c>
      <c r="J38" s="112">
        <v>0.24</v>
      </c>
      <c r="K38" s="112">
        <v>93.81</v>
      </c>
      <c r="L38" s="112">
        <v>30.19</v>
      </c>
      <c r="M38" s="112">
        <v>55.63</v>
      </c>
      <c r="N38" s="112">
        <v>120.4</v>
      </c>
      <c r="O38" s="112">
        <v>0</v>
      </c>
      <c r="P38" s="112">
        <v>0.57999999999999996</v>
      </c>
      <c r="Q38" s="167" t="s">
        <v>14</v>
      </c>
    </row>
    <row r="39" spans="1:17" customFormat="1">
      <c r="A39" s="80">
        <v>45428.322916666664</v>
      </c>
      <c r="B39" s="112">
        <v>11.2</v>
      </c>
      <c r="C39" s="112">
        <v>13.17</v>
      </c>
      <c r="D39" s="112">
        <v>25.01</v>
      </c>
      <c r="E39" s="112">
        <v>13.86</v>
      </c>
      <c r="F39" s="112">
        <v>8.26</v>
      </c>
      <c r="G39" s="112">
        <v>64.790000000000006</v>
      </c>
      <c r="H39" s="112">
        <v>22.53</v>
      </c>
      <c r="I39" s="112">
        <v>6.42</v>
      </c>
      <c r="J39" s="112">
        <v>0.25</v>
      </c>
      <c r="K39" s="112">
        <v>105.04</v>
      </c>
      <c r="L39" s="112">
        <v>30.97</v>
      </c>
      <c r="M39" s="112">
        <v>52.73</v>
      </c>
      <c r="N39" s="112">
        <v>145.69999999999999</v>
      </c>
      <c r="O39" s="112">
        <v>0</v>
      </c>
      <c r="P39" s="112">
        <v>0.57999999999999996</v>
      </c>
      <c r="Q39" s="167" t="s">
        <v>14</v>
      </c>
    </row>
    <row r="40" spans="1:17" customFormat="1">
      <c r="A40" s="80">
        <v>45428.333333333336</v>
      </c>
      <c r="B40" s="112">
        <v>11.19</v>
      </c>
      <c r="C40" s="112">
        <v>13.14</v>
      </c>
      <c r="D40" s="112">
        <v>24.99</v>
      </c>
      <c r="E40" s="112">
        <v>14.57</v>
      </c>
      <c r="F40" s="112">
        <v>11.4</v>
      </c>
      <c r="G40" s="112">
        <v>64.790000000000006</v>
      </c>
      <c r="H40" s="112">
        <v>22.53</v>
      </c>
      <c r="I40" s="112">
        <v>6.42</v>
      </c>
      <c r="J40" s="112">
        <v>0.4</v>
      </c>
      <c r="K40" s="112">
        <v>87.67</v>
      </c>
      <c r="L40" s="112">
        <v>31.38</v>
      </c>
      <c r="M40" s="112">
        <v>51.95</v>
      </c>
      <c r="N40" s="112">
        <v>151.9</v>
      </c>
      <c r="O40" s="112">
        <v>0</v>
      </c>
      <c r="P40" s="112">
        <v>0.56999999999999995</v>
      </c>
      <c r="Q40" s="167" t="s">
        <v>14</v>
      </c>
    </row>
    <row r="41" spans="1:17" customFormat="1">
      <c r="A41" s="80">
        <v>45428.34375</v>
      </c>
      <c r="B41" s="112">
        <v>11.18</v>
      </c>
      <c r="C41" s="112">
        <v>13.11</v>
      </c>
      <c r="D41" s="112">
        <v>24.96</v>
      </c>
      <c r="E41" s="112">
        <v>17.25</v>
      </c>
      <c r="F41" s="112">
        <v>13.94</v>
      </c>
      <c r="G41" s="112">
        <v>62.71</v>
      </c>
      <c r="H41" s="112">
        <v>23.76</v>
      </c>
      <c r="I41" s="112">
        <v>6.39</v>
      </c>
      <c r="J41" s="112">
        <v>0.71</v>
      </c>
      <c r="K41" s="112">
        <v>74.58</v>
      </c>
      <c r="L41" s="112">
        <v>31.48</v>
      </c>
      <c r="M41" s="112">
        <v>50.99</v>
      </c>
      <c r="N41" s="112">
        <v>185.9</v>
      </c>
      <c r="O41" s="112">
        <v>0</v>
      </c>
      <c r="P41" s="112">
        <v>0.56999999999999995</v>
      </c>
      <c r="Q41" s="167" t="s">
        <v>14</v>
      </c>
    </row>
    <row r="42" spans="1:17" customFormat="1">
      <c r="A42" s="80">
        <v>45428.354166666664</v>
      </c>
      <c r="B42" s="112">
        <v>11.22</v>
      </c>
      <c r="C42" s="112">
        <v>13.14</v>
      </c>
      <c r="D42" s="112">
        <v>25</v>
      </c>
      <c r="E42" s="112">
        <v>18.45</v>
      </c>
      <c r="F42" s="112">
        <v>13.59</v>
      </c>
      <c r="G42" s="112">
        <v>62.51</v>
      </c>
      <c r="H42" s="112">
        <v>23.76</v>
      </c>
      <c r="I42" s="112">
        <v>6.34</v>
      </c>
      <c r="J42" s="112">
        <v>0.55000000000000004</v>
      </c>
      <c r="K42" s="112">
        <v>75.02</v>
      </c>
      <c r="L42" s="112">
        <v>31.85</v>
      </c>
      <c r="M42" s="112">
        <v>50.28</v>
      </c>
      <c r="N42" s="112">
        <v>192.6</v>
      </c>
      <c r="O42" s="112">
        <v>0</v>
      </c>
      <c r="P42" s="112">
        <v>0.59</v>
      </c>
      <c r="Q42" s="167" t="s">
        <v>14</v>
      </c>
    </row>
    <row r="43" spans="1:17" customFormat="1">
      <c r="A43" s="80">
        <v>45428.364583333336</v>
      </c>
      <c r="B43" s="112">
        <v>11.26</v>
      </c>
      <c r="C43" s="112">
        <v>13.13</v>
      </c>
      <c r="D43" s="112">
        <v>25.03</v>
      </c>
      <c r="E43" s="112">
        <v>19.39</v>
      </c>
      <c r="F43" s="112">
        <v>14.23</v>
      </c>
      <c r="G43" s="112">
        <v>62.51</v>
      </c>
      <c r="H43" s="112">
        <v>23.76</v>
      </c>
      <c r="I43" s="112">
        <v>6.32</v>
      </c>
      <c r="J43" s="112">
        <v>0.55000000000000004</v>
      </c>
      <c r="K43" s="112">
        <v>79.08</v>
      </c>
      <c r="L43" s="112">
        <v>32.5</v>
      </c>
      <c r="M43" s="112">
        <v>48.42</v>
      </c>
      <c r="N43" s="112">
        <v>229.4</v>
      </c>
      <c r="O43" s="112">
        <v>0</v>
      </c>
      <c r="P43" s="112">
        <v>0.59</v>
      </c>
      <c r="Q43" s="167" t="s">
        <v>14</v>
      </c>
    </row>
    <row r="44" spans="1:17" customFormat="1">
      <c r="A44" s="80">
        <v>45428.375</v>
      </c>
      <c r="B44" s="112">
        <v>11.27</v>
      </c>
      <c r="C44" s="112">
        <v>13.09</v>
      </c>
      <c r="D44" s="112">
        <v>25.02</v>
      </c>
      <c r="E44" s="112">
        <v>17.239999999999998</v>
      </c>
      <c r="F44" s="112">
        <v>13.48</v>
      </c>
      <c r="G44" s="112">
        <v>62.51</v>
      </c>
      <c r="H44" s="112">
        <v>23.76</v>
      </c>
      <c r="I44" s="112">
        <v>6.41</v>
      </c>
      <c r="J44" s="112">
        <v>0.86</v>
      </c>
      <c r="K44" s="112">
        <v>74.92</v>
      </c>
      <c r="L44" s="112">
        <v>32.78</v>
      </c>
      <c r="M44" s="112">
        <v>47.07</v>
      </c>
      <c r="N44" s="112">
        <v>248.7</v>
      </c>
      <c r="O44" s="112">
        <v>0</v>
      </c>
      <c r="P44" s="112">
        <v>0.57999999999999996</v>
      </c>
      <c r="Q44" s="167" t="s">
        <v>14</v>
      </c>
    </row>
    <row r="45" spans="1:17" customFormat="1">
      <c r="A45" s="80">
        <v>45428.385416666664</v>
      </c>
      <c r="B45" s="112">
        <v>11.24</v>
      </c>
      <c r="C45" s="112">
        <v>13.06</v>
      </c>
      <c r="D45" s="112">
        <v>24.98</v>
      </c>
      <c r="E45" s="112">
        <v>18.16</v>
      </c>
      <c r="F45" s="112">
        <v>19</v>
      </c>
      <c r="G45" s="112">
        <v>62.49</v>
      </c>
      <c r="H45" s="112">
        <v>24</v>
      </c>
      <c r="I45" s="112">
        <v>6.47</v>
      </c>
      <c r="J45" s="112">
        <v>0.63</v>
      </c>
      <c r="K45" s="112">
        <v>78.27</v>
      </c>
      <c r="L45" s="112">
        <v>33.21</v>
      </c>
      <c r="M45" s="112">
        <v>46.19</v>
      </c>
      <c r="N45" s="112">
        <v>248.1</v>
      </c>
      <c r="O45" s="112">
        <v>0</v>
      </c>
      <c r="P45" s="112">
        <v>0.57999999999999996</v>
      </c>
      <c r="Q45" s="167" t="s">
        <v>14</v>
      </c>
    </row>
    <row r="46" spans="1:17" customFormat="1">
      <c r="A46" s="80">
        <v>45428.395833333336</v>
      </c>
      <c r="B46" s="112">
        <v>11.23</v>
      </c>
      <c r="C46" s="112">
        <v>13.09</v>
      </c>
      <c r="D46" s="112">
        <v>24.99</v>
      </c>
      <c r="E46" s="112">
        <v>16.579999999999998</v>
      </c>
      <c r="F46" s="112">
        <v>22.25</v>
      </c>
      <c r="G46" s="112">
        <v>62.49</v>
      </c>
      <c r="H46" s="112">
        <v>24</v>
      </c>
      <c r="I46" s="112">
        <v>6.42</v>
      </c>
      <c r="J46" s="112">
        <v>0.32</v>
      </c>
      <c r="K46" s="112">
        <v>93.84</v>
      </c>
      <c r="L46" s="112">
        <v>34.159999999999997</v>
      </c>
      <c r="M46" s="112">
        <v>43.63</v>
      </c>
      <c r="N46" s="112">
        <v>251.8</v>
      </c>
      <c r="O46" s="112">
        <v>0</v>
      </c>
      <c r="P46" s="112">
        <v>0.55000000000000004</v>
      </c>
      <c r="Q46" s="167" t="s">
        <v>14</v>
      </c>
    </row>
    <row r="47" spans="1:17" customFormat="1">
      <c r="A47" s="80">
        <v>45428.40625</v>
      </c>
      <c r="B47" s="112">
        <v>11.23</v>
      </c>
      <c r="C47" s="112">
        <v>13.13</v>
      </c>
      <c r="D47" s="112">
        <v>25.01</v>
      </c>
      <c r="E47" s="112">
        <v>16.2</v>
      </c>
      <c r="F47" s="112">
        <v>22.33</v>
      </c>
      <c r="G47" s="112">
        <v>62.49</v>
      </c>
      <c r="H47" s="112">
        <v>24</v>
      </c>
      <c r="I47" s="112">
        <v>6.21</v>
      </c>
      <c r="J47" s="112">
        <v>0.66</v>
      </c>
      <c r="K47" s="112">
        <v>64.27</v>
      </c>
      <c r="L47" s="112">
        <v>34.96</v>
      </c>
      <c r="M47" s="112">
        <v>41.49</v>
      </c>
      <c r="N47" s="112">
        <v>308.5</v>
      </c>
      <c r="O47" s="112">
        <v>0</v>
      </c>
      <c r="P47" s="112">
        <v>0.56000000000000005</v>
      </c>
      <c r="Q47" s="167" t="s">
        <v>14</v>
      </c>
    </row>
    <row r="48" spans="1:17" customFormat="1">
      <c r="A48" s="80">
        <v>45428.416666666664</v>
      </c>
      <c r="B48" s="112">
        <v>11.21</v>
      </c>
      <c r="C48" s="112">
        <v>13.11</v>
      </c>
      <c r="D48" s="112">
        <v>24.98</v>
      </c>
      <c r="E48" s="112">
        <v>15.45</v>
      </c>
      <c r="F48" s="112">
        <v>25.32</v>
      </c>
      <c r="G48" s="112">
        <v>62.49</v>
      </c>
      <c r="H48" s="112">
        <v>24</v>
      </c>
      <c r="I48" s="112">
        <v>6.01</v>
      </c>
      <c r="J48" s="112">
        <v>0.26</v>
      </c>
      <c r="K48" s="112">
        <v>54.39</v>
      </c>
      <c r="L48" s="112">
        <v>35.18</v>
      </c>
      <c r="M48" s="112">
        <v>41.32</v>
      </c>
      <c r="N48" s="112">
        <v>328</v>
      </c>
      <c r="O48" s="112">
        <v>0</v>
      </c>
      <c r="P48" s="112">
        <v>0.56999999999999995</v>
      </c>
      <c r="Q48" s="167" t="s">
        <v>14</v>
      </c>
    </row>
    <row r="49" spans="1:17" customFormat="1">
      <c r="A49" s="80">
        <v>45428.427083333336</v>
      </c>
      <c r="B49" s="112">
        <v>11.21</v>
      </c>
      <c r="C49" s="112">
        <v>13.1</v>
      </c>
      <c r="D49" s="112">
        <v>24.97</v>
      </c>
      <c r="E49" s="112">
        <v>14.08</v>
      </c>
      <c r="F49" s="112">
        <v>22.34</v>
      </c>
      <c r="G49" s="112">
        <v>59.53</v>
      </c>
      <c r="H49" s="112">
        <v>26.28</v>
      </c>
      <c r="I49" s="112">
        <v>5.97</v>
      </c>
      <c r="J49" s="112">
        <v>0.5</v>
      </c>
      <c r="K49" s="112">
        <v>285.35000000000002</v>
      </c>
      <c r="L49" s="112">
        <v>35.71</v>
      </c>
      <c r="M49" s="112">
        <v>39.770000000000003</v>
      </c>
      <c r="N49" s="112">
        <v>331.6</v>
      </c>
      <c r="O49" s="112">
        <v>0</v>
      </c>
      <c r="P49" s="112">
        <v>0.54</v>
      </c>
      <c r="Q49" s="167" t="s">
        <v>14</v>
      </c>
    </row>
    <row r="50" spans="1:17" customFormat="1">
      <c r="A50" s="80">
        <v>45428.4375</v>
      </c>
      <c r="B50" s="112">
        <v>11.2</v>
      </c>
      <c r="C50" s="112">
        <v>13.07</v>
      </c>
      <c r="D50" s="112">
        <v>24.95</v>
      </c>
      <c r="E50" s="112">
        <v>15.31</v>
      </c>
      <c r="F50" s="112">
        <v>23.31</v>
      </c>
      <c r="G50" s="112">
        <v>59.24</v>
      </c>
      <c r="H50" s="112">
        <v>26.28</v>
      </c>
      <c r="I50" s="112">
        <v>5.84</v>
      </c>
      <c r="J50" s="112">
        <v>0.25</v>
      </c>
      <c r="K50" s="112">
        <v>164.89</v>
      </c>
      <c r="L50" s="112">
        <v>35.97</v>
      </c>
      <c r="M50" s="112">
        <v>39.06</v>
      </c>
      <c r="N50" s="112">
        <v>333.2</v>
      </c>
      <c r="O50" s="112">
        <v>0</v>
      </c>
      <c r="P50" s="112">
        <v>0.54</v>
      </c>
      <c r="Q50" s="167" t="s">
        <v>14</v>
      </c>
    </row>
    <row r="51" spans="1:17" customFormat="1">
      <c r="A51" s="80">
        <v>45428.447916666664</v>
      </c>
      <c r="B51" s="112">
        <v>11.2</v>
      </c>
      <c r="C51" s="112">
        <v>13.08</v>
      </c>
      <c r="D51" s="112">
        <v>24.96</v>
      </c>
      <c r="E51" s="112">
        <v>14.47</v>
      </c>
      <c r="F51" s="112">
        <v>22.16</v>
      </c>
      <c r="G51" s="112">
        <v>59.24</v>
      </c>
      <c r="H51" s="112">
        <v>26.28</v>
      </c>
      <c r="I51" s="112">
        <v>5.67</v>
      </c>
      <c r="J51" s="112">
        <v>0.23</v>
      </c>
      <c r="K51" s="112">
        <v>269.7</v>
      </c>
      <c r="L51" s="112">
        <v>36.159999999999997</v>
      </c>
      <c r="M51" s="112">
        <v>39.07</v>
      </c>
      <c r="N51" s="112">
        <v>373</v>
      </c>
      <c r="O51" s="112">
        <v>0</v>
      </c>
      <c r="P51" s="112">
        <v>0.53</v>
      </c>
      <c r="Q51" s="167" t="s">
        <v>14</v>
      </c>
    </row>
    <row r="52" spans="1:17" customFormat="1">
      <c r="A52" s="80">
        <v>45428.458333333336</v>
      </c>
      <c r="B52" s="112">
        <v>11.22</v>
      </c>
      <c r="C52" s="112">
        <v>13.1</v>
      </c>
      <c r="D52" s="112">
        <v>24.98</v>
      </c>
      <c r="E52" s="112">
        <v>14.6</v>
      </c>
      <c r="F52" s="112">
        <v>30.88</v>
      </c>
      <c r="G52" s="112">
        <v>59.24</v>
      </c>
      <c r="H52" s="112">
        <v>26.28</v>
      </c>
      <c r="I52" s="112">
        <v>5.71</v>
      </c>
      <c r="J52" s="112">
        <v>0.45</v>
      </c>
      <c r="K52" s="112">
        <v>316.72000000000003</v>
      </c>
      <c r="L52" s="112">
        <v>36.43</v>
      </c>
      <c r="M52" s="112">
        <v>38.22</v>
      </c>
      <c r="N52" s="112">
        <v>465.9</v>
      </c>
      <c r="O52" s="112">
        <v>0</v>
      </c>
      <c r="P52" s="112">
        <v>0.54</v>
      </c>
      <c r="Q52" s="112">
        <v>4.62</v>
      </c>
    </row>
    <row r="53" spans="1:17" customFormat="1">
      <c r="A53" s="80">
        <v>45428.46875</v>
      </c>
      <c r="B53" s="112">
        <v>11.24</v>
      </c>
      <c r="C53" s="112">
        <v>13.09</v>
      </c>
      <c r="D53" s="112">
        <v>25</v>
      </c>
      <c r="E53" s="112">
        <v>14.45</v>
      </c>
      <c r="F53" s="112">
        <v>32.96</v>
      </c>
      <c r="G53" s="112">
        <v>54.69</v>
      </c>
      <c r="H53" s="112">
        <v>23.23</v>
      </c>
      <c r="I53" s="112">
        <v>5.58</v>
      </c>
      <c r="J53" s="112">
        <v>0.71</v>
      </c>
      <c r="K53" s="112">
        <v>298.55</v>
      </c>
      <c r="L53" s="112">
        <v>37.01</v>
      </c>
      <c r="M53" s="112">
        <v>37.19</v>
      </c>
      <c r="N53" s="112">
        <v>606.1</v>
      </c>
      <c r="O53" s="112">
        <v>0</v>
      </c>
      <c r="P53" s="112">
        <v>0.52</v>
      </c>
      <c r="Q53" s="112">
        <v>4.6100000000000003</v>
      </c>
    </row>
    <row r="54" spans="1:17" customFormat="1">
      <c r="A54" s="80">
        <v>45428.479166666664</v>
      </c>
      <c r="B54" s="112">
        <v>11.22</v>
      </c>
      <c r="C54" s="112">
        <v>13.1</v>
      </c>
      <c r="D54" s="112">
        <v>24.99</v>
      </c>
      <c r="E54" s="112">
        <v>14.99</v>
      </c>
      <c r="F54" s="112">
        <v>37.229999999999997</v>
      </c>
      <c r="G54" s="112">
        <v>54.3</v>
      </c>
      <c r="H54" s="112">
        <v>23.23</v>
      </c>
      <c r="I54" s="112">
        <v>5.47</v>
      </c>
      <c r="J54" s="112">
        <v>0.78</v>
      </c>
      <c r="K54" s="112">
        <v>30.57</v>
      </c>
      <c r="L54" s="112">
        <v>37.409999999999997</v>
      </c>
      <c r="M54" s="112">
        <v>35.65</v>
      </c>
      <c r="N54" s="112">
        <v>694.9</v>
      </c>
      <c r="O54" s="112">
        <v>0</v>
      </c>
      <c r="P54" s="112">
        <v>0.52</v>
      </c>
      <c r="Q54" s="112">
        <v>4.62</v>
      </c>
    </row>
    <row r="55" spans="1:17" customFormat="1">
      <c r="A55" s="80">
        <v>45428.489583333336</v>
      </c>
      <c r="B55" s="112">
        <v>11.22</v>
      </c>
      <c r="C55" s="112">
        <v>13.11</v>
      </c>
      <c r="D55" s="112">
        <v>24.99</v>
      </c>
      <c r="E55" s="112">
        <v>14.87</v>
      </c>
      <c r="F55" s="112">
        <v>35.659999999999997</v>
      </c>
      <c r="G55" s="112">
        <v>54.3</v>
      </c>
      <c r="H55" s="112">
        <v>23.23</v>
      </c>
      <c r="I55" s="112">
        <v>5.12</v>
      </c>
      <c r="J55" s="112">
        <v>0.9</v>
      </c>
      <c r="K55" s="112">
        <v>44.55</v>
      </c>
      <c r="L55" s="112">
        <v>37.64</v>
      </c>
      <c r="M55" s="112">
        <v>34.799999999999997</v>
      </c>
      <c r="N55" s="112">
        <v>671.8</v>
      </c>
      <c r="O55" s="112">
        <v>0</v>
      </c>
      <c r="P55" s="112">
        <v>0.53</v>
      </c>
      <c r="Q55" s="167" t="s">
        <v>14</v>
      </c>
    </row>
    <row r="56" spans="1:17" customFormat="1">
      <c r="A56" s="80">
        <v>45428.5</v>
      </c>
      <c r="B56" s="112">
        <v>11.22</v>
      </c>
      <c r="C56" s="112">
        <v>13.07</v>
      </c>
      <c r="D56" s="112">
        <v>24.97</v>
      </c>
      <c r="E56" s="112">
        <v>15.1</v>
      </c>
      <c r="F56" s="112">
        <v>37.020000000000003</v>
      </c>
      <c r="G56" s="112">
        <v>54.3</v>
      </c>
      <c r="H56" s="112">
        <v>23.23</v>
      </c>
      <c r="I56" s="112">
        <v>5.03</v>
      </c>
      <c r="J56" s="112">
        <v>0.56999999999999995</v>
      </c>
      <c r="K56" s="112">
        <v>327.3</v>
      </c>
      <c r="L56" s="112">
        <v>37.39</v>
      </c>
      <c r="M56" s="112">
        <v>35.590000000000003</v>
      </c>
      <c r="N56" s="112">
        <v>568.1</v>
      </c>
      <c r="O56" s="112">
        <v>0</v>
      </c>
      <c r="P56" s="112">
        <v>0.53</v>
      </c>
      <c r="Q56" s="167" t="s">
        <v>14</v>
      </c>
    </row>
    <row r="57" spans="1:17" customFormat="1">
      <c r="A57" s="80">
        <v>45428.510416666664</v>
      </c>
      <c r="B57" s="112">
        <v>11.25</v>
      </c>
      <c r="C57" s="112">
        <v>13.1</v>
      </c>
      <c r="D57" s="112">
        <v>25.01</v>
      </c>
      <c r="E57" s="112">
        <v>15.35</v>
      </c>
      <c r="F57" s="112">
        <v>44.42</v>
      </c>
      <c r="G57" s="112">
        <v>48.57</v>
      </c>
      <c r="H57" s="112">
        <v>23.53</v>
      </c>
      <c r="I57" s="112">
        <v>5.14</v>
      </c>
      <c r="J57" s="112">
        <v>0.68</v>
      </c>
      <c r="K57" s="112">
        <v>27.14</v>
      </c>
      <c r="L57" s="112">
        <v>37.369999999999997</v>
      </c>
      <c r="M57" s="112">
        <v>34.96</v>
      </c>
      <c r="N57" s="112">
        <v>515.1</v>
      </c>
      <c r="O57" s="112">
        <v>0</v>
      </c>
      <c r="P57" s="112">
        <v>0.54</v>
      </c>
      <c r="Q57" s="167" t="s">
        <v>14</v>
      </c>
    </row>
    <row r="58" spans="1:17" customFormat="1">
      <c r="A58" s="80">
        <v>45428.520833333336</v>
      </c>
      <c r="B58" s="112">
        <v>11.26</v>
      </c>
      <c r="C58" s="112">
        <v>13.12</v>
      </c>
      <c r="D58" s="112">
        <v>25.03</v>
      </c>
      <c r="E58" s="112">
        <v>14.87</v>
      </c>
      <c r="F58" s="112">
        <v>37.659999999999997</v>
      </c>
      <c r="G58" s="112">
        <v>48.01</v>
      </c>
      <c r="H58" s="112">
        <v>23.53</v>
      </c>
      <c r="I58" s="112">
        <v>5.1100000000000003</v>
      </c>
      <c r="J58" s="112">
        <v>0.54</v>
      </c>
      <c r="K58" s="112">
        <v>340.77</v>
      </c>
      <c r="L58" s="112">
        <v>37.92</v>
      </c>
      <c r="M58" s="112">
        <v>34.21</v>
      </c>
      <c r="N58" s="112">
        <v>571.20000000000005</v>
      </c>
      <c r="O58" s="112">
        <v>0</v>
      </c>
      <c r="P58" s="112">
        <v>0.53</v>
      </c>
      <c r="Q58" s="167" t="s">
        <v>14</v>
      </c>
    </row>
    <row r="59" spans="1:17" customFormat="1">
      <c r="A59" s="80">
        <v>45428.53125</v>
      </c>
      <c r="B59" s="112">
        <v>11.26</v>
      </c>
      <c r="C59" s="112">
        <v>13.12</v>
      </c>
      <c r="D59" s="112">
        <v>25.03</v>
      </c>
      <c r="E59" s="112">
        <v>13.96</v>
      </c>
      <c r="F59" s="112">
        <v>19.52</v>
      </c>
      <c r="G59" s="112">
        <v>48.01</v>
      </c>
      <c r="H59" s="112">
        <v>23.53</v>
      </c>
      <c r="I59" s="112">
        <v>5.04</v>
      </c>
      <c r="J59" s="112">
        <v>1.03</v>
      </c>
      <c r="K59" s="112">
        <v>294.2</v>
      </c>
      <c r="L59" s="112">
        <v>37.53</v>
      </c>
      <c r="M59" s="112">
        <v>34.9</v>
      </c>
      <c r="N59" s="112">
        <v>506.2</v>
      </c>
      <c r="O59" s="112">
        <v>0</v>
      </c>
      <c r="P59" s="112">
        <v>0.54</v>
      </c>
      <c r="Q59" s="167" t="s">
        <v>14</v>
      </c>
    </row>
    <row r="60" spans="1:17" customFormat="1">
      <c r="A60" s="80">
        <v>45428.541666666664</v>
      </c>
      <c r="B60" s="112">
        <v>11.27</v>
      </c>
      <c r="C60" s="112">
        <v>13.13</v>
      </c>
      <c r="D60" s="112">
        <v>25.05</v>
      </c>
      <c r="E60" s="112">
        <v>13.68</v>
      </c>
      <c r="F60" s="112">
        <v>26.63</v>
      </c>
      <c r="G60" s="112">
        <v>48.01</v>
      </c>
      <c r="H60" s="112">
        <v>23.53</v>
      </c>
      <c r="I60" s="112">
        <v>5.12</v>
      </c>
      <c r="J60" s="112">
        <v>1.1000000000000001</v>
      </c>
      <c r="K60" s="112">
        <v>326.87</v>
      </c>
      <c r="L60" s="112">
        <v>37.590000000000003</v>
      </c>
      <c r="M60" s="112">
        <v>34</v>
      </c>
      <c r="N60" s="112">
        <v>433.4</v>
      </c>
      <c r="O60" s="112">
        <v>0</v>
      </c>
      <c r="P60" s="112">
        <v>0.53</v>
      </c>
      <c r="Q60" s="167" t="s">
        <v>14</v>
      </c>
    </row>
    <row r="61" spans="1:17" customFormat="1">
      <c r="A61" s="80">
        <v>45428.552083333336</v>
      </c>
      <c r="B61" s="112">
        <v>11.29</v>
      </c>
      <c r="C61" s="112">
        <v>13.12</v>
      </c>
      <c r="D61" s="112">
        <v>25.05</v>
      </c>
      <c r="E61" s="112">
        <v>15.17</v>
      </c>
      <c r="F61" s="112">
        <v>42.33</v>
      </c>
      <c r="G61" s="112">
        <v>44.35</v>
      </c>
      <c r="H61" s="112">
        <v>21.83</v>
      </c>
      <c r="I61" s="112">
        <v>5.49</v>
      </c>
      <c r="J61" s="112">
        <v>0.53</v>
      </c>
      <c r="K61" s="112">
        <v>326.07</v>
      </c>
      <c r="L61" s="112">
        <v>37.51</v>
      </c>
      <c r="M61" s="112">
        <v>34.01</v>
      </c>
      <c r="N61" s="112">
        <v>374.3</v>
      </c>
      <c r="O61" s="112">
        <v>0</v>
      </c>
      <c r="P61" s="112">
        <v>0.5</v>
      </c>
      <c r="Q61" s="167" t="s">
        <v>14</v>
      </c>
    </row>
    <row r="62" spans="1:17" customFormat="1">
      <c r="A62" s="80">
        <v>45428.5625</v>
      </c>
      <c r="B62" s="112">
        <v>11.29</v>
      </c>
      <c r="C62" s="112">
        <v>13.11</v>
      </c>
      <c r="D62" s="112">
        <v>25.05</v>
      </c>
      <c r="E62" s="112">
        <v>14.8</v>
      </c>
      <c r="F62" s="112">
        <v>34.880000000000003</v>
      </c>
      <c r="G62" s="112">
        <v>44.04</v>
      </c>
      <c r="H62" s="112">
        <v>21.83</v>
      </c>
      <c r="I62" s="112">
        <v>5.32</v>
      </c>
      <c r="J62" s="112">
        <v>0.71</v>
      </c>
      <c r="K62" s="112">
        <v>358.04</v>
      </c>
      <c r="L62" s="112">
        <v>38.090000000000003</v>
      </c>
      <c r="M62" s="112">
        <v>32.549999999999997</v>
      </c>
      <c r="N62" s="112">
        <v>667.5</v>
      </c>
      <c r="O62" s="112">
        <v>0</v>
      </c>
      <c r="P62" s="112">
        <v>0.5</v>
      </c>
      <c r="Q62" s="167" t="s">
        <v>14</v>
      </c>
    </row>
    <row r="63" spans="1:17" customFormat="1">
      <c r="A63" s="80">
        <v>45428.572916666664</v>
      </c>
      <c r="B63" s="112">
        <v>11.24</v>
      </c>
      <c r="C63" s="112">
        <v>13.08</v>
      </c>
      <c r="D63" s="112">
        <v>24.99</v>
      </c>
      <c r="E63" s="112">
        <v>14.39</v>
      </c>
      <c r="F63" s="112">
        <v>24.49</v>
      </c>
      <c r="G63" s="112">
        <v>44.04</v>
      </c>
      <c r="H63" s="112">
        <v>21.83</v>
      </c>
      <c r="I63" s="112">
        <v>4.99</v>
      </c>
      <c r="J63" s="112">
        <v>0.63</v>
      </c>
      <c r="K63" s="112">
        <v>112.71</v>
      </c>
      <c r="L63" s="112">
        <v>39.19</v>
      </c>
      <c r="M63" s="112">
        <v>30.38</v>
      </c>
      <c r="N63" s="112">
        <v>624.9</v>
      </c>
      <c r="O63" s="112">
        <v>0</v>
      </c>
      <c r="P63" s="112">
        <v>0.51</v>
      </c>
      <c r="Q63" s="167" t="s">
        <v>14</v>
      </c>
    </row>
    <row r="64" spans="1:17" customFormat="1">
      <c r="A64" s="80">
        <v>45428.583333333336</v>
      </c>
      <c r="B64" s="112">
        <v>11.22</v>
      </c>
      <c r="C64" s="112">
        <v>13.09</v>
      </c>
      <c r="D64" s="112">
        <v>24.98</v>
      </c>
      <c r="E64" s="112">
        <v>15.6</v>
      </c>
      <c r="F64" s="112">
        <v>37.590000000000003</v>
      </c>
      <c r="G64" s="112">
        <v>44.04</v>
      </c>
      <c r="H64" s="112">
        <v>21.83</v>
      </c>
      <c r="I64" s="112">
        <v>5.04</v>
      </c>
      <c r="J64" s="112">
        <v>0.68</v>
      </c>
      <c r="K64" s="112">
        <v>317.43</v>
      </c>
      <c r="L64" s="112">
        <v>39.5</v>
      </c>
      <c r="M64" s="112">
        <v>30.05</v>
      </c>
      <c r="N64" s="112">
        <v>595.29999999999995</v>
      </c>
      <c r="O64" s="112">
        <v>0</v>
      </c>
      <c r="P64" s="112">
        <v>0.51</v>
      </c>
      <c r="Q64" s="167" t="s">
        <v>14</v>
      </c>
    </row>
    <row r="65" spans="1:17" customFormat="1">
      <c r="A65" s="80">
        <v>45428.59375</v>
      </c>
      <c r="B65" s="112">
        <v>11.22</v>
      </c>
      <c r="C65" s="112">
        <v>13.08</v>
      </c>
      <c r="D65" s="112">
        <v>24.98</v>
      </c>
      <c r="E65" s="112">
        <v>15.73</v>
      </c>
      <c r="F65" s="112">
        <v>23.32</v>
      </c>
      <c r="G65" s="112">
        <v>43.08</v>
      </c>
      <c r="H65" s="112">
        <v>19.52</v>
      </c>
      <c r="I65" s="112">
        <v>4.99</v>
      </c>
      <c r="J65" s="112">
        <v>0.65</v>
      </c>
      <c r="K65" s="112">
        <v>76.42</v>
      </c>
      <c r="L65" s="112">
        <v>39.33</v>
      </c>
      <c r="M65" s="112">
        <v>29.95</v>
      </c>
      <c r="N65" s="112">
        <v>456.5</v>
      </c>
      <c r="O65" s="112">
        <v>0</v>
      </c>
      <c r="P65" s="112">
        <v>0.49</v>
      </c>
      <c r="Q65" s="167" t="s">
        <v>14</v>
      </c>
    </row>
    <row r="66" spans="1:17" customFormat="1">
      <c r="A66" s="80">
        <v>45428.604166666664</v>
      </c>
      <c r="B66" s="112">
        <v>11.19</v>
      </c>
      <c r="C66" s="112">
        <v>13.11</v>
      </c>
      <c r="D66" s="112">
        <v>24.97</v>
      </c>
      <c r="E66" s="112">
        <v>15.7</v>
      </c>
      <c r="F66" s="112">
        <v>23.67</v>
      </c>
      <c r="G66" s="112">
        <v>43</v>
      </c>
      <c r="H66" s="112">
        <v>19.52</v>
      </c>
      <c r="I66" s="112">
        <v>4.96</v>
      </c>
      <c r="J66" s="112">
        <v>0.35</v>
      </c>
      <c r="K66" s="112">
        <v>118.79</v>
      </c>
      <c r="L66" s="112">
        <v>40.18</v>
      </c>
      <c r="M66" s="112">
        <v>28.2</v>
      </c>
      <c r="N66" s="112">
        <v>571.4</v>
      </c>
      <c r="O66" s="112">
        <v>0</v>
      </c>
      <c r="P66" s="112">
        <v>0.5</v>
      </c>
      <c r="Q66" s="167" t="s">
        <v>14</v>
      </c>
    </row>
    <row r="67" spans="1:17" customFormat="1">
      <c r="A67" s="80">
        <v>45428.614583333336</v>
      </c>
      <c r="B67" s="112">
        <v>11.2</v>
      </c>
      <c r="C67" s="112">
        <v>13.06</v>
      </c>
      <c r="D67" s="112">
        <v>24.95</v>
      </c>
      <c r="E67" s="112">
        <v>15.98</v>
      </c>
      <c r="F67" s="112">
        <v>24.89</v>
      </c>
      <c r="G67" s="112">
        <v>43</v>
      </c>
      <c r="H67" s="112">
        <v>19.52</v>
      </c>
      <c r="I67" s="112">
        <v>5.0199999999999996</v>
      </c>
      <c r="J67" s="112">
        <v>0.28000000000000003</v>
      </c>
      <c r="K67" s="112">
        <v>122.42</v>
      </c>
      <c r="L67" s="112">
        <v>40.549999999999997</v>
      </c>
      <c r="M67" s="112">
        <v>27.41</v>
      </c>
      <c r="N67" s="112">
        <v>551.4</v>
      </c>
      <c r="O67" s="112">
        <v>0</v>
      </c>
      <c r="P67" s="112">
        <v>0.49</v>
      </c>
      <c r="Q67" s="167" t="s">
        <v>14</v>
      </c>
    </row>
    <row r="68" spans="1:17" customFormat="1">
      <c r="A68" s="80">
        <v>45428.625</v>
      </c>
      <c r="B68" s="112">
        <v>11.19</v>
      </c>
      <c r="C68" s="112">
        <v>13.12</v>
      </c>
      <c r="D68" s="112">
        <v>24.97</v>
      </c>
      <c r="E68" s="112">
        <v>16.440000000000001</v>
      </c>
      <c r="F68" s="112">
        <v>39.83</v>
      </c>
      <c r="G68" s="112">
        <v>43</v>
      </c>
      <c r="H68" s="112">
        <v>19.52</v>
      </c>
      <c r="I68" s="112">
        <v>5.05</v>
      </c>
      <c r="J68" s="112">
        <v>0.35</v>
      </c>
      <c r="K68" s="112">
        <v>46.66</v>
      </c>
      <c r="L68" s="112">
        <v>39.950000000000003</v>
      </c>
      <c r="M68" s="112">
        <v>27.92</v>
      </c>
      <c r="N68" s="112">
        <v>507.7</v>
      </c>
      <c r="O68" s="112">
        <v>0</v>
      </c>
      <c r="P68" s="112">
        <v>0.48</v>
      </c>
      <c r="Q68" s="167" t="s">
        <v>14</v>
      </c>
    </row>
    <row r="69" spans="1:17" customFormat="1">
      <c r="A69" s="80">
        <v>45428.635416666664</v>
      </c>
      <c r="B69" s="112">
        <v>11.17</v>
      </c>
      <c r="C69" s="112">
        <v>13.08</v>
      </c>
      <c r="D69" s="112">
        <v>24.94</v>
      </c>
      <c r="E69" s="112">
        <v>16.28</v>
      </c>
      <c r="F69" s="112">
        <v>33.770000000000003</v>
      </c>
      <c r="G69" s="112">
        <v>42.72</v>
      </c>
      <c r="H69" s="112">
        <v>18.45</v>
      </c>
      <c r="I69" s="112">
        <v>4.8899999999999997</v>
      </c>
      <c r="J69" s="112">
        <v>0.43</v>
      </c>
      <c r="K69" s="112">
        <v>57.54</v>
      </c>
      <c r="L69" s="112">
        <v>39.83</v>
      </c>
      <c r="M69" s="112">
        <v>27.89</v>
      </c>
      <c r="N69" s="112">
        <v>479.2</v>
      </c>
      <c r="O69" s="112">
        <v>0</v>
      </c>
      <c r="P69" s="112">
        <v>0.47</v>
      </c>
      <c r="Q69" s="167" t="s">
        <v>14</v>
      </c>
    </row>
    <row r="70" spans="1:17" customFormat="1">
      <c r="A70" s="80">
        <v>45428.645833333336</v>
      </c>
      <c r="B70" s="112">
        <v>11.16</v>
      </c>
      <c r="C70" s="112">
        <v>13.1</v>
      </c>
      <c r="D70" s="112">
        <v>24.94</v>
      </c>
      <c r="E70" s="112">
        <v>16.350000000000001</v>
      </c>
      <c r="F70" s="112">
        <v>20.6</v>
      </c>
      <c r="G70" s="112">
        <v>42.7</v>
      </c>
      <c r="H70" s="112">
        <v>18.45</v>
      </c>
      <c r="I70" s="112">
        <v>4.6100000000000003</v>
      </c>
      <c r="J70" s="112">
        <v>1.46</v>
      </c>
      <c r="K70" s="112">
        <v>63.97</v>
      </c>
      <c r="L70" s="112">
        <v>39.31</v>
      </c>
      <c r="M70" s="112">
        <v>28.7</v>
      </c>
      <c r="N70" s="112">
        <v>297.89999999999998</v>
      </c>
      <c r="O70" s="112">
        <v>0</v>
      </c>
      <c r="P70" s="112">
        <v>0.48</v>
      </c>
      <c r="Q70" s="167" t="s">
        <v>14</v>
      </c>
    </row>
    <row r="71" spans="1:17" customFormat="1">
      <c r="A71" s="80">
        <v>45428.65625</v>
      </c>
      <c r="B71" s="112">
        <v>11.15</v>
      </c>
      <c r="C71" s="112">
        <v>13.12</v>
      </c>
      <c r="D71" s="112">
        <v>24.94</v>
      </c>
      <c r="E71" s="112">
        <v>15.76</v>
      </c>
      <c r="F71" s="112">
        <v>23.96</v>
      </c>
      <c r="G71" s="112">
        <v>42.7</v>
      </c>
      <c r="H71" s="112">
        <v>18.45</v>
      </c>
      <c r="I71" s="112">
        <v>4.5599999999999996</v>
      </c>
      <c r="J71" s="112">
        <v>2.0699999999999998</v>
      </c>
      <c r="K71" s="112">
        <v>60.94</v>
      </c>
      <c r="L71" s="112">
        <v>37.799999999999997</v>
      </c>
      <c r="M71" s="112">
        <v>30.74</v>
      </c>
      <c r="N71" s="112">
        <v>258.39999999999998</v>
      </c>
      <c r="O71" s="112">
        <v>0</v>
      </c>
      <c r="P71" s="112">
        <v>0.47</v>
      </c>
      <c r="Q71" s="167" t="s">
        <v>14</v>
      </c>
    </row>
    <row r="72" spans="1:17" customFormat="1">
      <c r="A72" s="80">
        <v>45428.666666666664</v>
      </c>
      <c r="B72" s="112">
        <v>11.15</v>
      </c>
      <c r="C72" s="112">
        <v>13.14</v>
      </c>
      <c r="D72" s="112">
        <v>24.95</v>
      </c>
      <c r="E72" s="112">
        <v>15.48</v>
      </c>
      <c r="F72" s="112">
        <v>19.23</v>
      </c>
      <c r="G72" s="112">
        <v>42.7</v>
      </c>
      <c r="H72" s="112">
        <v>18.45</v>
      </c>
      <c r="I72" s="112">
        <v>4.75</v>
      </c>
      <c r="J72" s="112">
        <v>1.18</v>
      </c>
      <c r="K72" s="112">
        <v>70.209999999999994</v>
      </c>
      <c r="L72" s="112">
        <v>38.56</v>
      </c>
      <c r="M72" s="112">
        <v>29.08</v>
      </c>
      <c r="N72" s="112">
        <v>248.3</v>
      </c>
      <c r="O72" s="112">
        <v>0</v>
      </c>
      <c r="P72" s="112">
        <v>0.47</v>
      </c>
      <c r="Q72" s="167" t="s">
        <v>14</v>
      </c>
    </row>
    <row r="73" spans="1:17" customFormat="1">
      <c r="A73" s="80">
        <v>45428.677083333336</v>
      </c>
      <c r="B73" s="112">
        <v>11.13</v>
      </c>
      <c r="C73" s="112">
        <v>13.12</v>
      </c>
      <c r="D73" s="112">
        <v>24.92</v>
      </c>
      <c r="E73" s="112">
        <v>16.170000000000002</v>
      </c>
      <c r="F73" s="112">
        <v>31.96</v>
      </c>
      <c r="G73" s="112">
        <v>41.98</v>
      </c>
      <c r="H73" s="112">
        <v>17.059999999999999</v>
      </c>
      <c r="I73" s="112">
        <v>4.7300000000000004</v>
      </c>
      <c r="J73" s="112">
        <v>1.46</v>
      </c>
      <c r="K73" s="112">
        <v>58.14</v>
      </c>
      <c r="L73" s="112">
        <v>37.74</v>
      </c>
      <c r="M73" s="112">
        <v>29.62</v>
      </c>
      <c r="N73" s="112">
        <v>214.4</v>
      </c>
      <c r="O73" s="112">
        <v>0</v>
      </c>
      <c r="P73" s="112">
        <v>0.48</v>
      </c>
      <c r="Q73" s="167" t="s">
        <v>14</v>
      </c>
    </row>
    <row r="74" spans="1:17" customFormat="1">
      <c r="A74" s="80">
        <v>45428.6875</v>
      </c>
      <c r="B74" s="112">
        <v>11.12</v>
      </c>
      <c r="C74" s="112">
        <v>13.11</v>
      </c>
      <c r="D74" s="112">
        <v>24.91</v>
      </c>
      <c r="E74" s="112">
        <v>22.88</v>
      </c>
      <c r="F74" s="112">
        <v>30.47</v>
      </c>
      <c r="G74" s="112">
        <v>41.92</v>
      </c>
      <c r="H74" s="112">
        <v>17.059999999999999</v>
      </c>
      <c r="I74" s="112">
        <v>4.6399999999999997</v>
      </c>
      <c r="J74" s="112">
        <v>0.9</v>
      </c>
      <c r="K74" s="112">
        <v>35.14</v>
      </c>
      <c r="L74" s="112">
        <v>37.61</v>
      </c>
      <c r="M74" s="112">
        <v>32.76</v>
      </c>
      <c r="N74" s="112">
        <v>184.7</v>
      </c>
      <c r="O74" s="112">
        <v>0</v>
      </c>
      <c r="P74" s="112">
        <v>0.49</v>
      </c>
      <c r="Q74" s="112">
        <v>4.6500000000000004</v>
      </c>
    </row>
    <row r="75" spans="1:17" customFormat="1">
      <c r="A75" s="80">
        <v>45428.697916666664</v>
      </c>
      <c r="B75" s="112">
        <v>11.13</v>
      </c>
      <c r="C75" s="112">
        <v>13.11</v>
      </c>
      <c r="D75" s="112">
        <v>24.92</v>
      </c>
      <c r="E75" s="112">
        <v>24.15</v>
      </c>
      <c r="F75" s="112">
        <v>26.87</v>
      </c>
      <c r="G75" s="112">
        <v>41.92</v>
      </c>
      <c r="H75" s="112">
        <v>17.059999999999999</v>
      </c>
      <c r="I75" s="112">
        <v>4.4800000000000004</v>
      </c>
      <c r="J75" s="112">
        <v>1.07</v>
      </c>
      <c r="K75" s="112">
        <v>37.28</v>
      </c>
      <c r="L75" s="112">
        <v>37.19</v>
      </c>
      <c r="M75" s="112">
        <v>33.04</v>
      </c>
      <c r="N75" s="112">
        <v>106.9</v>
      </c>
      <c r="O75" s="112">
        <v>0</v>
      </c>
      <c r="P75" s="112">
        <v>0.5</v>
      </c>
      <c r="Q75" s="112">
        <v>4.6399999999999997</v>
      </c>
    </row>
    <row r="76" spans="1:17" customFormat="1">
      <c r="A76" s="80">
        <v>45428.708333333336</v>
      </c>
      <c r="B76" s="112">
        <v>11.12</v>
      </c>
      <c r="C76" s="112">
        <v>13.1</v>
      </c>
      <c r="D76" s="112">
        <v>24.91</v>
      </c>
      <c r="E76" s="112">
        <v>23.82</v>
      </c>
      <c r="F76" s="112">
        <v>37.799999999999997</v>
      </c>
      <c r="G76" s="112">
        <v>41.92</v>
      </c>
      <c r="H76" s="112">
        <v>17.059999999999999</v>
      </c>
      <c r="I76" s="112">
        <v>4.47</v>
      </c>
      <c r="J76" s="112">
        <v>1.03</v>
      </c>
      <c r="K76" s="112">
        <v>30.46</v>
      </c>
      <c r="L76" s="112">
        <v>37.24</v>
      </c>
      <c r="M76" s="112">
        <v>31.92</v>
      </c>
      <c r="N76" s="112">
        <v>106.3</v>
      </c>
      <c r="O76" s="112">
        <v>0</v>
      </c>
      <c r="P76" s="112">
        <v>0.52</v>
      </c>
      <c r="Q76" s="167" t="s">
        <v>14</v>
      </c>
    </row>
    <row r="77" spans="1:17" customFormat="1">
      <c r="A77" s="80">
        <v>45428.71875</v>
      </c>
      <c r="B77" s="112">
        <v>11.13</v>
      </c>
      <c r="C77" s="112">
        <v>13.1</v>
      </c>
      <c r="D77" s="112">
        <v>24.91</v>
      </c>
      <c r="E77" s="112">
        <v>23.2</v>
      </c>
      <c r="F77" s="112">
        <v>27.61</v>
      </c>
      <c r="G77" s="112">
        <v>43.89</v>
      </c>
      <c r="H77" s="112">
        <v>18.989999999999998</v>
      </c>
      <c r="I77" s="112">
        <v>4.51</v>
      </c>
      <c r="J77" s="112">
        <v>1.0900000000000001</v>
      </c>
      <c r="K77" s="112">
        <v>51.59</v>
      </c>
      <c r="L77" s="112">
        <v>37.08</v>
      </c>
      <c r="M77" s="112">
        <v>32.17</v>
      </c>
      <c r="N77" s="112">
        <v>72.5</v>
      </c>
      <c r="O77" s="112">
        <v>0</v>
      </c>
      <c r="P77" s="112">
        <v>0.56000000000000005</v>
      </c>
      <c r="Q77" s="167" t="s">
        <v>14</v>
      </c>
    </row>
    <row r="78" spans="1:17" customFormat="1">
      <c r="A78" s="80">
        <v>45428.729166666664</v>
      </c>
      <c r="B78" s="112">
        <v>11.14</v>
      </c>
      <c r="C78" s="112">
        <v>13.07</v>
      </c>
      <c r="D78" s="112">
        <v>24.91</v>
      </c>
      <c r="E78" s="112">
        <v>20.82</v>
      </c>
      <c r="F78" s="112">
        <v>28.64</v>
      </c>
      <c r="G78" s="112">
        <v>44.05</v>
      </c>
      <c r="H78" s="112">
        <v>18.989999999999998</v>
      </c>
      <c r="I78" s="112">
        <v>4.46</v>
      </c>
      <c r="J78" s="112">
        <v>1.41</v>
      </c>
      <c r="K78" s="112">
        <v>60.93</v>
      </c>
      <c r="L78" s="112">
        <v>36.85</v>
      </c>
      <c r="M78" s="112">
        <v>30.45</v>
      </c>
      <c r="N78" s="112">
        <v>51</v>
      </c>
      <c r="O78" s="112">
        <v>0</v>
      </c>
      <c r="P78" s="112">
        <v>0.56000000000000005</v>
      </c>
      <c r="Q78" s="167" t="s">
        <v>14</v>
      </c>
    </row>
    <row r="79" spans="1:17" customFormat="1">
      <c r="A79" s="80">
        <v>45428.739583333336</v>
      </c>
      <c r="B79" s="112">
        <v>11.15</v>
      </c>
      <c r="C79" s="112">
        <v>13.09</v>
      </c>
      <c r="D79" s="112">
        <v>24.92</v>
      </c>
      <c r="E79" s="112">
        <v>19.87</v>
      </c>
      <c r="F79" s="112">
        <v>39.299999999999997</v>
      </c>
      <c r="G79" s="112">
        <v>44.05</v>
      </c>
      <c r="H79" s="112">
        <v>18.989999999999998</v>
      </c>
      <c r="I79" s="112">
        <v>4.7300000000000004</v>
      </c>
      <c r="J79" s="112">
        <v>1.33</v>
      </c>
      <c r="K79" s="112">
        <v>55.44</v>
      </c>
      <c r="L79" s="112">
        <v>36.659999999999997</v>
      </c>
      <c r="M79" s="112">
        <v>30.23</v>
      </c>
      <c r="N79" s="112">
        <v>43.8</v>
      </c>
      <c r="O79" s="112">
        <v>0</v>
      </c>
      <c r="P79" s="112">
        <v>0.59</v>
      </c>
      <c r="Q79" s="167" t="s">
        <v>14</v>
      </c>
    </row>
    <row r="80" spans="1:17" customFormat="1">
      <c r="A80" s="80">
        <v>45428.75</v>
      </c>
      <c r="B80" s="112">
        <v>11.29</v>
      </c>
      <c r="C80" s="112">
        <v>13.08</v>
      </c>
      <c r="D80" s="112">
        <v>25.03</v>
      </c>
      <c r="E80" s="112">
        <v>20.55</v>
      </c>
      <c r="F80" s="112">
        <v>36.04</v>
      </c>
      <c r="G80" s="112">
        <v>44.05</v>
      </c>
      <c r="H80" s="112">
        <v>18.989999999999998</v>
      </c>
      <c r="I80" s="112">
        <v>4.95</v>
      </c>
      <c r="J80" s="112">
        <v>1.26</v>
      </c>
      <c r="K80" s="112">
        <v>59.26</v>
      </c>
      <c r="L80" s="112">
        <v>36.44</v>
      </c>
      <c r="M80" s="112">
        <v>30.74</v>
      </c>
      <c r="N80" s="112">
        <v>19.2</v>
      </c>
      <c r="O80" s="112">
        <v>0</v>
      </c>
      <c r="P80" s="112">
        <v>0.66</v>
      </c>
      <c r="Q80" s="167" t="s">
        <v>14</v>
      </c>
    </row>
    <row r="81" spans="1:17" customFormat="1">
      <c r="A81" s="80">
        <v>45428.760416666664</v>
      </c>
      <c r="B81" s="112">
        <v>11.26</v>
      </c>
      <c r="C81" s="112">
        <v>13.15</v>
      </c>
      <c r="D81" s="112">
        <v>25.04</v>
      </c>
      <c r="E81" s="112">
        <v>13.23</v>
      </c>
      <c r="F81" s="112">
        <v>41.85</v>
      </c>
      <c r="G81" s="112">
        <v>53.22</v>
      </c>
      <c r="H81" s="112">
        <v>21.5</v>
      </c>
      <c r="I81" s="112">
        <v>5.0599999999999996</v>
      </c>
      <c r="J81" s="112">
        <v>0.94</v>
      </c>
      <c r="K81" s="112">
        <v>66.09</v>
      </c>
      <c r="L81" s="112">
        <v>36.04</v>
      </c>
      <c r="M81" s="112">
        <v>31.86</v>
      </c>
      <c r="N81" s="112">
        <v>1.4</v>
      </c>
      <c r="O81" s="112">
        <v>0</v>
      </c>
      <c r="P81" s="112">
        <v>0.65</v>
      </c>
      <c r="Q81" s="167" t="s">
        <v>14</v>
      </c>
    </row>
    <row r="82" spans="1:17" customFormat="1">
      <c r="A82" s="80">
        <v>45428.770833333336</v>
      </c>
      <c r="B82" s="112">
        <v>11.22</v>
      </c>
      <c r="C82" s="112">
        <v>13.15</v>
      </c>
      <c r="D82" s="112">
        <v>25.01</v>
      </c>
      <c r="E82" s="112">
        <v>15.92</v>
      </c>
      <c r="F82" s="112">
        <v>37.119999999999997</v>
      </c>
      <c r="G82" s="112">
        <v>53.99</v>
      </c>
      <c r="H82" s="112">
        <v>21.5</v>
      </c>
      <c r="I82" s="112">
        <v>5.21</v>
      </c>
      <c r="J82" s="112">
        <v>0.41</v>
      </c>
      <c r="K82" s="112">
        <v>78.42</v>
      </c>
      <c r="L82" s="112">
        <v>35.72</v>
      </c>
      <c r="M82" s="112">
        <v>33.33</v>
      </c>
      <c r="N82" s="112">
        <v>0</v>
      </c>
      <c r="O82" s="112">
        <v>0</v>
      </c>
      <c r="P82" s="112">
        <v>0.62</v>
      </c>
      <c r="Q82" s="167" t="s">
        <v>14</v>
      </c>
    </row>
    <row r="83" spans="1:17" customFormat="1">
      <c r="A83" s="80">
        <v>45428.78125</v>
      </c>
      <c r="B83" s="112">
        <v>11.21</v>
      </c>
      <c r="C83" s="112">
        <v>13.11</v>
      </c>
      <c r="D83" s="112">
        <v>24.98</v>
      </c>
      <c r="E83" s="112">
        <v>15.95</v>
      </c>
      <c r="F83" s="112">
        <v>35.22</v>
      </c>
      <c r="G83" s="112">
        <v>53.99</v>
      </c>
      <c r="H83" s="112">
        <v>21.5</v>
      </c>
      <c r="I83" s="112">
        <v>4.9400000000000004</v>
      </c>
      <c r="J83" s="112">
        <v>0.3</v>
      </c>
      <c r="K83" s="112">
        <v>84.01</v>
      </c>
      <c r="L83" s="112">
        <v>35.25</v>
      </c>
      <c r="M83" s="112">
        <v>35.020000000000003</v>
      </c>
      <c r="N83" s="112">
        <v>0</v>
      </c>
      <c r="O83" s="112">
        <v>0</v>
      </c>
      <c r="P83" s="112">
        <v>0.65</v>
      </c>
      <c r="Q83" s="167" t="s">
        <v>14</v>
      </c>
    </row>
    <row r="84" spans="1:17" customFormat="1">
      <c r="A84" s="80">
        <v>45428.791666666664</v>
      </c>
      <c r="B84" s="112">
        <v>11.22</v>
      </c>
      <c r="C84" s="112">
        <v>13.12</v>
      </c>
      <c r="D84" s="112">
        <v>25</v>
      </c>
      <c r="E84" s="112">
        <v>14.27</v>
      </c>
      <c r="F84" s="112">
        <v>39.630000000000003</v>
      </c>
      <c r="G84" s="112">
        <v>53.99</v>
      </c>
      <c r="H84" s="112">
        <v>21.5</v>
      </c>
      <c r="I84" s="112">
        <v>4.74</v>
      </c>
      <c r="J84" s="112">
        <v>0.18</v>
      </c>
      <c r="K84" s="112">
        <v>155.80000000000001</v>
      </c>
      <c r="L84" s="112">
        <v>34.81</v>
      </c>
      <c r="M84" s="112">
        <v>36.47</v>
      </c>
      <c r="N84" s="112">
        <v>0</v>
      </c>
      <c r="O84" s="112">
        <v>0</v>
      </c>
      <c r="P84" s="112">
        <v>0.65</v>
      </c>
      <c r="Q84" s="167" t="s">
        <v>14</v>
      </c>
    </row>
    <row r="85" spans="1:17" customFormat="1">
      <c r="A85" s="80">
        <v>45428.802083333336</v>
      </c>
      <c r="B85" s="112">
        <v>11.23</v>
      </c>
      <c r="C85" s="112">
        <v>13.08</v>
      </c>
      <c r="D85" s="112">
        <v>24.98</v>
      </c>
      <c r="E85" s="112">
        <v>14.54</v>
      </c>
      <c r="F85" s="112">
        <v>53.75</v>
      </c>
      <c r="G85" s="112">
        <v>58.38</v>
      </c>
      <c r="H85" s="112">
        <v>21.01</v>
      </c>
      <c r="I85" s="112">
        <v>5.94</v>
      </c>
      <c r="J85" s="112">
        <v>0.16</v>
      </c>
      <c r="K85" s="112">
        <v>180.57</v>
      </c>
      <c r="L85" s="112">
        <v>34.020000000000003</v>
      </c>
      <c r="M85" s="112">
        <v>39.4</v>
      </c>
      <c r="N85" s="112">
        <v>0</v>
      </c>
      <c r="O85" s="112">
        <v>0</v>
      </c>
      <c r="P85" s="112">
        <v>0.52</v>
      </c>
      <c r="Q85" s="167" t="s">
        <v>14</v>
      </c>
    </row>
    <row r="86" spans="1:17" customFormat="1">
      <c r="A86" s="80">
        <v>45428.8125</v>
      </c>
      <c r="B86" s="112">
        <v>11.19</v>
      </c>
      <c r="C86" s="112">
        <v>13.1</v>
      </c>
      <c r="D86" s="112">
        <v>24.96</v>
      </c>
      <c r="E86" s="112">
        <v>14.2</v>
      </c>
      <c r="F86" s="112">
        <v>46.05</v>
      </c>
      <c r="G86" s="112">
        <v>58.75</v>
      </c>
      <c r="H86" s="112">
        <v>21.01</v>
      </c>
      <c r="I86" s="112">
        <v>6.5</v>
      </c>
      <c r="J86" s="112">
        <v>0.13</v>
      </c>
      <c r="K86" s="112">
        <v>173.31</v>
      </c>
      <c r="L86" s="112">
        <v>33.79</v>
      </c>
      <c r="M86" s="112">
        <v>42.09</v>
      </c>
      <c r="N86" s="112">
        <v>0</v>
      </c>
      <c r="O86" s="112">
        <v>0</v>
      </c>
      <c r="P86" s="112">
        <v>0.52</v>
      </c>
      <c r="Q86" s="167" t="s">
        <v>14</v>
      </c>
    </row>
    <row r="87" spans="1:17" customFormat="1">
      <c r="A87" s="80">
        <v>45428.822916666664</v>
      </c>
      <c r="B87" s="112">
        <v>11.18</v>
      </c>
      <c r="C87" s="112">
        <v>13.15</v>
      </c>
      <c r="D87" s="112">
        <v>24.98</v>
      </c>
      <c r="E87" s="112">
        <v>14.3</v>
      </c>
      <c r="F87" s="112">
        <v>42.03</v>
      </c>
      <c r="G87" s="112">
        <v>58.75</v>
      </c>
      <c r="H87" s="112">
        <v>21.01</v>
      </c>
      <c r="I87" s="112">
        <v>5.44</v>
      </c>
      <c r="J87" s="112">
        <v>0.17</v>
      </c>
      <c r="K87" s="112">
        <v>167.23</v>
      </c>
      <c r="L87" s="112">
        <v>33.69</v>
      </c>
      <c r="M87" s="112">
        <v>43.61</v>
      </c>
      <c r="N87" s="112">
        <v>0</v>
      </c>
      <c r="O87" s="112">
        <v>0</v>
      </c>
      <c r="P87" s="112">
        <v>0.53</v>
      </c>
      <c r="Q87" s="167" t="s">
        <v>14</v>
      </c>
    </row>
    <row r="88" spans="1:17" customFormat="1">
      <c r="A88" s="80">
        <v>45428.833333333336</v>
      </c>
      <c r="B88" s="112">
        <v>11.17</v>
      </c>
      <c r="C88" s="112">
        <v>13.11</v>
      </c>
      <c r="D88" s="112">
        <v>24.96</v>
      </c>
      <c r="E88" s="112">
        <v>14.04</v>
      </c>
      <c r="F88" s="112">
        <v>38.200000000000003</v>
      </c>
      <c r="G88" s="112">
        <v>58.75</v>
      </c>
      <c r="H88" s="112">
        <v>21.01</v>
      </c>
      <c r="I88" s="112">
        <v>5.65</v>
      </c>
      <c r="J88" s="112">
        <v>0.18</v>
      </c>
      <c r="K88" s="112">
        <v>176.04</v>
      </c>
      <c r="L88" s="112">
        <v>33.14</v>
      </c>
      <c r="M88" s="112">
        <v>46.04</v>
      </c>
      <c r="N88" s="112">
        <v>0</v>
      </c>
      <c r="O88" s="112">
        <v>0</v>
      </c>
      <c r="P88" s="112">
        <v>0.56000000000000005</v>
      </c>
      <c r="Q88" s="167" t="s">
        <v>14</v>
      </c>
    </row>
    <row r="89" spans="1:17" customFormat="1">
      <c r="A89" s="80">
        <v>45428.84375</v>
      </c>
      <c r="B89" s="112">
        <v>11.19</v>
      </c>
      <c r="C89" s="112">
        <v>13.04</v>
      </c>
      <c r="D89" s="112">
        <v>24.92</v>
      </c>
      <c r="E89" s="112">
        <v>13.49</v>
      </c>
      <c r="F89" s="112">
        <v>34.51</v>
      </c>
      <c r="G89" s="112">
        <v>53.07</v>
      </c>
      <c r="H89" s="112">
        <v>18.79</v>
      </c>
      <c r="I89" s="112">
        <v>5.68</v>
      </c>
      <c r="J89" s="112">
        <v>0.15</v>
      </c>
      <c r="K89" s="112">
        <v>187.11</v>
      </c>
      <c r="L89" s="112">
        <v>32.840000000000003</v>
      </c>
      <c r="M89" s="112">
        <v>47.26</v>
      </c>
      <c r="N89" s="112">
        <v>0</v>
      </c>
      <c r="O89" s="112">
        <v>0</v>
      </c>
      <c r="P89" s="112">
        <v>0.59</v>
      </c>
      <c r="Q89" s="167" t="s">
        <v>14</v>
      </c>
    </row>
    <row r="90" spans="1:17" customFormat="1">
      <c r="A90" s="80">
        <v>45428.854166666664</v>
      </c>
      <c r="B90" s="112">
        <v>11.16</v>
      </c>
      <c r="C90" s="112">
        <v>13.08</v>
      </c>
      <c r="D90" s="112">
        <v>24.93</v>
      </c>
      <c r="E90" s="112">
        <v>13.33</v>
      </c>
      <c r="F90" s="112">
        <v>34.54</v>
      </c>
      <c r="G90" s="112">
        <v>52.59</v>
      </c>
      <c r="H90" s="112">
        <v>18.79</v>
      </c>
      <c r="I90" s="112">
        <v>5.84</v>
      </c>
      <c r="J90" s="112">
        <v>0.17</v>
      </c>
      <c r="K90" s="112">
        <v>175.06</v>
      </c>
      <c r="L90" s="112">
        <v>32.619999999999997</v>
      </c>
      <c r="M90" s="112">
        <v>46.87</v>
      </c>
      <c r="N90" s="112">
        <v>0</v>
      </c>
      <c r="O90" s="112">
        <v>0</v>
      </c>
      <c r="P90" s="112">
        <v>0.57999999999999996</v>
      </c>
      <c r="Q90" s="167" t="s">
        <v>14</v>
      </c>
    </row>
    <row r="91" spans="1:17" customFormat="1">
      <c r="A91" s="80">
        <v>45428.864583333336</v>
      </c>
      <c r="B91" s="112">
        <v>11.16</v>
      </c>
      <c r="C91" s="112">
        <v>13.08</v>
      </c>
      <c r="D91" s="112">
        <v>24.93</v>
      </c>
      <c r="E91" s="112">
        <v>12.94</v>
      </c>
      <c r="F91" s="112">
        <v>37.020000000000003</v>
      </c>
      <c r="G91" s="112">
        <v>52.59</v>
      </c>
      <c r="H91" s="112">
        <v>18.79</v>
      </c>
      <c r="I91" s="112">
        <v>7.32</v>
      </c>
      <c r="J91" s="112">
        <v>0.1</v>
      </c>
      <c r="K91" s="112">
        <v>193.93</v>
      </c>
      <c r="L91" s="112">
        <v>32.630000000000003</v>
      </c>
      <c r="M91" s="112">
        <v>47.29</v>
      </c>
      <c r="N91" s="112">
        <v>0</v>
      </c>
      <c r="O91" s="112">
        <v>0</v>
      </c>
      <c r="P91" s="112">
        <v>0.57999999999999996</v>
      </c>
      <c r="Q91" s="167" t="s">
        <v>14</v>
      </c>
    </row>
    <row r="92" spans="1:17" customFormat="1">
      <c r="A92" s="80">
        <v>45428.875</v>
      </c>
      <c r="B92" s="112">
        <v>11.16</v>
      </c>
      <c r="C92" s="112">
        <v>13.09</v>
      </c>
      <c r="D92" s="112">
        <v>24.93</v>
      </c>
      <c r="E92" s="112">
        <v>12.84</v>
      </c>
      <c r="F92" s="112">
        <v>35.880000000000003</v>
      </c>
      <c r="G92" s="112">
        <v>52.59</v>
      </c>
      <c r="H92" s="112">
        <v>18.79</v>
      </c>
      <c r="I92" s="112">
        <v>8.5399999999999991</v>
      </c>
      <c r="J92" s="112">
        <v>0.14000000000000001</v>
      </c>
      <c r="K92" s="112">
        <v>197.36</v>
      </c>
      <c r="L92" s="112">
        <v>32.56</v>
      </c>
      <c r="M92" s="112">
        <v>47.76</v>
      </c>
      <c r="N92" s="112">
        <v>0</v>
      </c>
      <c r="O92" s="112">
        <v>0</v>
      </c>
      <c r="P92" s="112">
        <v>0.59</v>
      </c>
      <c r="Q92" s="167" t="s">
        <v>14</v>
      </c>
    </row>
    <row r="93" spans="1:17" customFormat="1">
      <c r="A93" s="80">
        <v>45428.885416666664</v>
      </c>
      <c r="B93" s="112">
        <v>11.18</v>
      </c>
      <c r="C93" s="112">
        <v>13.07</v>
      </c>
      <c r="D93" s="112">
        <v>24.94</v>
      </c>
      <c r="E93" s="112">
        <v>12.85</v>
      </c>
      <c r="F93" s="112">
        <v>37.46</v>
      </c>
      <c r="G93" s="112">
        <v>53.44</v>
      </c>
      <c r="H93" s="112">
        <v>21.8</v>
      </c>
      <c r="I93" s="112">
        <v>7.19</v>
      </c>
      <c r="J93" s="112">
        <v>0.13</v>
      </c>
      <c r="K93" s="112">
        <v>217.23</v>
      </c>
      <c r="L93" s="112">
        <v>32.35</v>
      </c>
      <c r="M93" s="112">
        <v>48.48</v>
      </c>
      <c r="N93" s="112">
        <v>0</v>
      </c>
      <c r="O93" s="112">
        <v>0</v>
      </c>
      <c r="P93" s="112">
        <v>0.59</v>
      </c>
      <c r="Q93" s="167" t="s">
        <v>14</v>
      </c>
    </row>
    <row r="94" spans="1:17" customFormat="1">
      <c r="A94" s="80">
        <v>45428.895833333336</v>
      </c>
      <c r="B94" s="112">
        <v>11.18</v>
      </c>
      <c r="C94" s="112">
        <v>13.05</v>
      </c>
      <c r="D94" s="112">
        <v>24.93</v>
      </c>
      <c r="E94" s="112">
        <v>12.54</v>
      </c>
      <c r="F94" s="112">
        <v>32.11</v>
      </c>
      <c r="G94" s="112">
        <v>53.51</v>
      </c>
      <c r="H94" s="112">
        <v>21.8</v>
      </c>
      <c r="I94" s="112">
        <v>6.46</v>
      </c>
      <c r="J94" s="112">
        <v>0.14000000000000001</v>
      </c>
      <c r="K94" s="112">
        <v>240.57</v>
      </c>
      <c r="L94" s="112">
        <v>32.17</v>
      </c>
      <c r="M94" s="112">
        <v>49.24</v>
      </c>
      <c r="N94" s="112">
        <v>0</v>
      </c>
      <c r="O94" s="112">
        <v>0</v>
      </c>
      <c r="P94" s="112">
        <v>0.59</v>
      </c>
      <c r="Q94" s="167" t="s">
        <v>14</v>
      </c>
    </row>
    <row r="95" spans="1:17" customFormat="1">
      <c r="A95" s="80">
        <v>45428.90625</v>
      </c>
      <c r="B95" s="112">
        <v>11.19</v>
      </c>
      <c r="C95" s="112">
        <v>13.1</v>
      </c>
      <c r="D95" s="112">
        <v>24.96</v>
      </c>
      <c r="E95" s="112">
        <v>13.07</v>
      </c>
      <c r="F95" s="112">
        <v>28.94</v>
      </c>
      <c r="G95" s="112">
        <v>53.51</v>
      </c>
      <c r="H95" s="112">
        <v>21.8</v>
      </c>
      <c r="I95" s="112">
        <v>6.12</v>
      </c>
      <c r="J95" s="112">
        <v>0.21</v>
      </c>
      <c r="K95" s="112">
        <v>170.19</v>
      </c>
      <c r="L95" s="112">
        <v>32.369999999999997</v>
      </c>
      <c r="M95" s="112">
        <v>51.1</v>
      </c>
      <c r="N95" s="112">
        <v>0</v>
      </c>
      <c r="O95" s="112">
        <v>0</v>
      </c>
      <c r="P95" s="112">
        <v>0.6</v>
      </c>
      <c r="Q95" s="167" t="s">
        <v>14</v>
      </c>
    </row>
    <row r="96" spans="1:17" customFormat="1">
      <c r="A96" s="80">
        <v>45428.916666666664</v>
      </c>
      <c r="B96" s="112">
        <v>11.18</v>
      </c>
      <c r="C96" s="112">
        <v>13.08</v>
      </c>
      <c r="D96" s="112">
        <v>24.94</v>
      </c>
      <c r="E96" s="112">
        <v>12.68</v>
      </c>
      <c r="F96" s="112">
        <v>24.49</v>
      </c>
      <c r="G96" s="112">
        <v>53.51</v>
      </c>
      <c r="H96" s="112">
        <v>21.8</v>
      </c>
      <c r="I96" s="112">
        <v>5.92</v>
      </c>
      <c r="J96" s="112">
        <v>0.18</v>
      </c>
      <c r="K96" s="112">
        <v>194.89</v>
      </c>
      <c r="L96" s="112">
        <v>31.46</v>
      </c>
      <c r="M96" s="112">
        <v>54.27</v>
      </c>
      <c r="N96" s="112">
        <v>0</v>
      </c>
      <c r="O96" s="112">
        <v>0</v>
      </c>
      <c r="P96" s="112">
        <v>0.61</v>
      </c>
      <c r="Q96" s="167" t="s">
        <v>14</v>
      </c>
    </row>
    <row r="97" spans="1:22" customFormat="1">
      <c r="A97" s="80">
        <v>45428.927083333336</v>
      </c>
      <c r="B97" s="112">
        <v>11.17</v>
      </c>
      <c r="C97" s="112">
        <v>13.1</v>
      </c>
      <c r="D97" s="112">
        <v>24.94</v>
      </c>
      <c r="E97" s="112">
        <v>12.3</v>
      </c>
      <c r="F97" s="112">
        <v>18.29</v>
      </c>
      <c r="G97" s="112">
        <v>56.74</v>
      </c>
      <c r="H97" s="112">
        <v>20.73</v>
      </c>
      <c r="I97" s="112">
        <v>6.08</v>
      </c>
      <c r="J97" s="112">
        <v>0.14000000000000001</v>
      </c>
      <c r="K97" s="112">
        <v>216.9</v>
      </c>
      <c r="L97" s="112">
        <v>31.56</v>
      </c>
      <c r="M97" s="112">
        <v>51.51</v>
      </c>
      <c r="N97" s="112">
        <v>0</v>
      </c>
      <c r="O97" s="112">
        <v>0</v>
      </c>
      <c r="P97" s="112">
        <v>0.6</v>
      </c>
      <c r="Q97" s="167" t="s">
        <v>14</v>
      </c>
    </row>
    <row r="98" spans="1:22" customFormat="1">
      <c r="A98" s="80">
        <v>45428.9375</v>
      </c>
      <c r="B98" s="112">
        <v>11.19</v>
      </c>
      <c r="C98" s="112">
        <v>13.09</v>
      </c>
      <c r="D98" s="112">
        <v>24.95</v>
      </c>
      <c r="E98" s="112">
        <v>11.7</v>
      </c>
      <c r="F98" s="112">
        <v>15.52</v>
      </c>
      <c r="G98" s="112">
        <v>57.01</v>
      </c>
      <c r="H98" s="112">
        <v>20.73</v>
      </c>
      <c r="I98" s="112">
        <v>6.19</v>
      </c>
      <c r="J98" s="112">
        <v>0.2</v>
      </c>
      <c r="K98" s="112">
        <v>245.13</v>
      </c>
      <c r="L98" s="112">
        <v>31.43</v>
      </c>
      <c r="M98" s="112">
        <v>52.37</v>
      </c>
      <c r="N98" s="112">
        <v>0</v>
      </c>
      <c r="O98" s="112">
        <v>0</v>
      </c>
      <c r="P98" s="112">
        <v>0.6</v>
      </c>
      <c r="Q98" s="167" t="s">
        <v>14</v>
      </c>
    </row>
    <row r="99" spans="1:22" customFormat="1">
      <c r="A99" s="80">
        <v>45428.947916666664</v>
      </c>
      <c r="B99" s="112">
        <v>11.21</v>
      </c>
      <c r="C99" s="112">
        <v>13.07</v>
      </c>
      <c r="D99" s="112">
        <v>24.96</v>
      </c>
      <c r="E99" s="112">
        <v>11.99</v>
      </c>
      <c r="F99" s="112">
        <v>17.809999999999999</v>
      </c>
      <c r="G99" s="112">
        <v>57.01</v>
      </c>
      <c r="H99" s="112">
        <v>20.73</v>
      </c>
      <c r="I99" s="112">
        <v>6.23</v>
      </c>
      <c r="J99" s="112">
        <v>0.26</v>
      </c>
      <c r="K99" s="112">
        <v>259.89</v>
      </c>
      <c r="L99" s="112">
        <v>31.5</v>
      </c>
      <c r="M99" s="112">
        <v>51.5</v>
      </c>
      <c r="N99" s="112">
        <v>0</v>
      </c>
      <c r="O99" s="112">
        <v>0</v>
      </c>
      <c r="P99" s="112">
        <v>0.61</v>
      </c>
      <c r="Q99" s="167" t="s">
        <v>14</v>
      </c>
    </row>
    <row r="100" spans="1:22" customFormat="1">
      <c r="A100" s="80">
        <v>45428.958333333336</v>
      </c>
      <c r="B100" s="112">
        <v>11.22</v>
      </c>
      <c r="C100" s="112">
        <v>13.12</v>
      </c>
      <c r="D100" s="112">
        <v>25</v>
      </c>
      <c r="E100" s="112">
        <v>12.25</v>
      </c>
      <c r="F100" s="112">
        <v>7.5</v>
      </c>
      <c r="G100" s="112">
        <v>57.01</v>
      </c>
      <c r="H100" s="112">
        <v>20.73</v>
      </c>
      <c r="I100" s="112">
        <v>6.42</v>
      </c>
      <c r="J100" s="112">
        <v>0.19</v>
      </c>
      <c r="K100" s="112">
        <v>225.58</v>
      </c>
      <c r="L100" s="112">
        <v>31.93</v>
      </c>
      <c r="M100" s="112">
        <v>50.49</v>
      </c>
      <c r="N100" s="112">
        <v>0</v>
      </c>
      <c r="O100" s="112">
        <v>0</v>
      </c>
      <c r="P100" s="112">
        <v>0.7</v>
      </c>
      <c r="Q100" s="167" t="s">
        <v>14</v>
      </c>
    </row>
    <row r="101" spans="1:22" customFormat="1">
      <c r="A101" s="80">
        <v>45428.96875</v>
      </c>
      <c r="B101" s="112">
        <v>11.22</v>
      </c>
      <c r="C101" s="112">
        <v>13.13</v>
      </c>
      <c r="D101" s="112">
        <v>25</v>
      </c>
      <c r="E101" s="112">
        <v>11.65</v>
      </c>
      <c r="F101" s="112">
        <v>9.26</v>
      </c>
      <c r="G101" s="112">
        <v>55.33</v>
      </c>
      <c r="H101" s="112">
        <v>20.420000000000002</v>
      </c>
      <c r="I101" s="112">
        <v>6.76</v>
      </c>
      <c r="J101" s="112">
        <v>0.24</v>
      </c>
      <c r="K101" s="112">
        <v>183.04</v>
      </c>
      <c r="L101" s="112">
        <v>31.69</v>
      </c>
      <c r="M101" s="112">
        <v>54.7</v>
      </c>
      <c r="N101" s="112">
        <v>0</v>
      </c>
      <c r="O101" s="112">
        <v>0</v>
      </c>
      <c r="P101" s="112">
        <v>0.64</v>
      </c>
      <c r="Q101" s="167" t="s">
        <v>14</v>
      </c>
    </row>
    <row r="102" spans="1:22" customFormat="1">
      <c r="A102" s="80">
        <v>45428.979166666664</v>
      </c>
      <c r="B102" s="112">
        <v>11.2</v>
      </c>
      <c r="C102" s="112">
        <v>13.08</v>
      </c>
      <c r="D102" s="112">
        <v>24.96</v>
      </c>
      <c r="E102" s="112">
        <v>12.23</v>
      </c>
      <c r="F102" s="112">
        <v>16.600000000000001</v>
      </c>
      <c r="G102" s="112">
        <v>55.19</v>
      </c>
      <c r="H102" s="112">
        <v>20.420000000000002</v>
      </c>
      <c r="I102" s="112">
        <v>6.95</v>
      </c>
      <c r="J102" s="112">
        <v>0.13</v>
      </c>
      <c r="K102" s="112">
        <v>188.3</v>
      </c>
      <c r="L102" s="112">
        <v>31.51</v>
      </c>
      <c r="M102" s="112">
        <v>53.31</v>
      </c>
      <c r="N102" s="112">
        <v>0</v>
      </c>
      <c r="O102" s="112">
        <v>0</v>
      </c>
      <c r="P102" s="112">
        <v>0.63</v>
      </c>
      <c r="Q102" s="167" t="s">
        <v>14</v>
      </c>
    </row>
    <row r="103" spans="1:22" customFormat="1">
      <c r="A103" s="80">
        <v>45428.989583333336</v>
      </c>
      <c r="B103" s="112">
        <v>11.2</v>
      </c>
      <c r="C103" s="112">
        <v>13.07</v>
      </c>
      <c r="D103" s="112">
        <v>24.95</v>
      </c>
      <c r="E103" s="112">
        <v>12.05</v>
      </c>
      <c r="F103" s="112">
        <v>14.56</v>
      </c>
      <c r="G103" s="112">
        <v>55.19</v>
      </c>
      <c r="H103" s="112">
        <v>20.420000000000002</v>
      </c>
      <c r="I103" s="112">
        <v>6.95</v>
      </c>
      <c r="J103" s="112">
        <v>0.21</v>
      </c>
      <c r="K103" s="112">
        <v>232.29</v>
      </c>
      <c r="L103" s="112">
        <v>31.4</v>
      </c>
      <c r="M103" s="112">
        <v>52.93</v>
      </c>
      <c r="N103" s="112">
        <v>0</v>
      </c>
      <c r="O103" s="112">
        <v>0</v>
      </c>
      <c r="P103" s="112">
        <v>0.62</v>
      </c>
      <c r="Q103" s="167" t="s">
        <v>14</v>
      </c>
    </row>
    <row r="104" spans="1:22" customFormat="1">
      <c r="A104" s="80">
        <v>45429</v>
      </c>
      <c r="B104" s="112">
        <v>11.17</v>
      </c>
      <c r="C104" s="112">
        <v>13.09</v>
      </c>
      <c r="D104" s="112">
        <v>24.94</v>
      </c>
      <c r="E104" s="112">
        <v>12.29</v>
      </c>
      <c r="F104" s="112">
        <v>17.829999999999998</v>
      </c>
      <c r="G104" s="112">
        <v>55.19</v>
      </c>
      <c r="H104" s="112">
        <v>20.420000000000002</v>
      </c>
      <c r="I104" s="112">
        <v>6.85</v>
      </c>
      <c r="J104" s="112">
        <v>0.22</v>
      </c>
      <c r="K104" s="112">
        <v>219.07</v>
      </c>
      <c r="L104" s="112">
        <v>31.48</v>
      </c>
      <c r="M104" s="112">
        <v>52.74</v>
      </c>
      <c r="N104" s="112">
        <v>0</v>
      </c>
      <c r="O104" s="112">
        <v>0</v>
      </c>
      <c r="P104" s="112">
        <v>0.61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11.12</v>
      </c>
      <c r="C106" s="183">
        <f>MIN(C9:C104)</f>
        <v>13.04</v>
      </c>
      <c r="D106" s="183">
        <f t="shared" ref="D106:Q106" si="0">MIN(D9:D104)</f>
        <v>24.91</v>
      </c>
      <c r="E106" s="183">
        <f t="shared" si="0"/>
        <v>11.65</v>
      </c>
      <c r="F106" s="183">
        <f t="shared" si="0"/>
        <v>6.63</v>
      </c>
      <c r="G106" s="183">
        <f t="shared" si="0"/>
        <v>41.92</v>
      </c>
      <c r="H106" s="183">
        <f t="shared" si="0"/>
        <v>17.059999999999999</v>
      </c>
      <c r="I106" s="183">
        <f t="shared" si="0"/>
        <v>4.46</v>
      </c>
      <c r="J106" s="183">
        <f t="shared" si="0"/>
        <v>0.04</v>
      </c>
      <c r="K106" s="183">
        <f t="shared" si="0"/>
        <v>15.3</v>
      </c>
      <c r="L106" s="183">
        <f t="shared" si="0"/>
        <v>27.65</v>
      </c>
      <c r="M106" s="183">
        <f t="shared" si="0"/>
        <v>27.41</v>
      </c>
      <c r="N106" s="183">
        <f t="shared" si="0"/>
        <v>0</v>
      </c>
      <c r="O106" s="183">
        <f t="shared" si="0"/>
        <v>0</v>
      </c>
      <c r="P106" s="183">
        <f t="shared" si="0"/>
        <v>0.47</v>
      </c>
      <c r="Q106" s="183">
        <f t="shared" si="0"/>
        <v>4.6100000000000003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11.33</v>
      </c>
      <c r="C107" s="184">
        <f t="shared" ref="C107:Q107" si="1">MAX(C9:C104)</f>
        <v>13.83</v>
      </c>
      <c r="D107" s="184">
        <f t="shared" si="1"/>
        <v>25.46</v>
      </c>
      <c r="E107" s="184">
        <f t="shared" si="1"/>
        <v>44.04</v>
      </c>
      <c r="F107" s="184">
        <f t="shared" si="1"/>
        <v>53.75</v>
      </c>
      <c r="G107" s="184">
        <f t="shared" si="1"/>
        <v>77.05</v>
      </c>
      <c r="H107" s="184">
        <f t="shared" si="1"/>
        <v>29.5</v>
      </c>
      <c r="I107" s="184">
        <f t="shared" si="1"/>
        <v>8.5399999999999991</v>
      </c>
      <c r="J107" s="184">
        <f t="shared" si="1"/>
        <v>2.0699999999999998</v>
      </c>
      <c r="K107" s="184">
        <f t="shared" si="1"/>
        <v>358.04</v>
      </c>
      <c r="L107" s="184">
        <f t="shared" si="1"/>
        <v>40.549999999999997</v>
      </c>
      <c r="M107" s="184">
        <f t="shared" si="1"/>
        <v>63.44</v>
      </c>
      <c r="N107" s="184">
        <f t="shared" si="1"/>
        <v>694.9</v>
      </c>
      <c r="O107" s="184">
        <f t="shared" si="1"/>
        <v>0</v>
      </c>
      <c r="P107" s="184">
        <f t="shared" si="1"/>
        <v>0.7</v>
      </c>
      <c r="Q107" s="184">
        <f t="shared" si="1"/>
        <v>4.6500000000000004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11.215000000000002</v>
      </c>
      <c r="C108" s="183">
        <f t="shared" ref="C108:Q108" si="2">AVERAGE(C9:C104)</f>
        <v>13.112916666666663</v>
      </c>
      <c r="D108" s="183">
        <f t="shared" si="2"/>
        <v>24.988437500000003</v>
      </c>
      <c r="E108" s="183">
        <f t="shared" si="2"/>
        <v>17.140208333333334</v>
      </c>
      <c r="F108" s="183">
        <f t="shared" si="2"/>
        <v>23.879062499999993</v>
      </c>
      <c r="G108" s="183">
        <f t="shared" si="2"/>
        <v>53.85812499999998</v>
      </c>
      <c r="H108" s="183">
        <f t="shared" si="2"/>
        <v>22.253749999999993</v>
      </c>
      <c r="I108" s="183">
        <f t="shared" si="2"/>
        <v>5.7467708333333327</v>
      </c>
      <c r="J108" s="183">
        <f t="shared" si="2"/>
        <v>0.48666666666666675</v>
      </c>
      <c r="K108" s="183">
        <f t="shared" si="2"/>
        <v>141.2253125</v>
      </c>
      <c r="L108" s="183">
        <f t="shared" si="2"/>
        <v>33.194687499999993</v>
      </c>
      <c r="M108" s="183">
        <f t="shared" si="2"/>
        <v>45.795833333333341</v>
      </c>
      <c r="N108" s="183">
        <f t="shared" si="2"/>
        <v>157.94895833333331</v>
      </c>
      <c r="O108" s="183">
        <f t="shared" si="2"/>
        <v>0</v>
      </c>
      <c r="P108" s="183">
        <f t="shared" si="2"/>
        <v>0.55604166666666688</v>
      </c>
      <c r="Q108" s="183">
        <f t="shared" si="2"/>
        <v>4.6257142857142863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4.1902141636009568E-2</v>
      </c>
      <c r="C109" s="183">
        <f t="shared" ref="C109:Q109" si="3">STDEV(C9:C104)</f>
        <v>7.9788096548778498E-2</v>
      </c>
      <c r="D109" s="183">
        <f t="shared" si="3"/>
        <v>6.1922330382504165E-2</v>
      </c>
      <c r="E109" s="183">
        <f t="shared" si="3"/>
        <v>5.6091421577291269</v>
      </c>
      <c r="F109" s="183">
        <f t="shared" si="3"/>
        <v>11.897123586739694</v>
      </c>
      <c r="G109" s="183">
        <f t="shared" si="3"/>
        <v>8.7303072005395368</v>
      </c>
      <c r="H109" s="183">
        <f t="shared" si="3"/>
        <v>2.7881294427401078</v>
      </c>
      <c r="I109" s="183">
        <f t="shared" si="3"/>
        <v>0.74510825040699269</v>
      </c>
      <c r="J109" s="183">
        <f t="shared" si="3"/>
        <v>0.39352299917183098</v>
      </c>
      <c r="K109" s="183">
        <f t="shared" si="3"/>
        <v>88.986745931516438</v>
      </c>
      <c r="L109" s="183">
        <f t="shared" si="3"/>
        <v>3.8939342716386727</v>
      </c>
      <c r="M109" s="183">
        <f t="shared" si="3"/>
        <v>11.370464848773423</v>
      </c>
      <c r="N109" s="183">
        <f t="shared" si="3"/>
        <v>215.65303321712315</v>
      </c>
      <c r="O109" s="183">
        <f t="shared" si="3"/>
        <v>0</v>
      </c>
      <c r="P109" s="183">
        <f t="shared" si="3"/>
        <v>4.6735068916889375E-2</v>
      </c>
      <c r="Q109" s="183">
        <f t="shared" si="3"/>
        <v>1.3972762620115398E-2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7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activeCell="A9" sqref="A9"/>
      <selection pane="topRight" activeCell="A9" sqref="A9"/>
      <selection pane="bottomLeft" activeCell="A9" sqref="A9"/>
      <selection pane="bottomRight" activeCell="Q9" sqref="Q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45429.010416666664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45429.010416666664</v>
      </c>
      <c r="B9" s="112">
        <v>11.39</v>
      </c>
      <c r="C9" s="112">
        <v>12.95</v>
      </c>
      <c r="D9" s="112">
        <v>25.04</v>
      </c>
      <c r="E9" s="112">
        <v>11.76</v>
      </c>
      <c r="F9" s="112">
        <v>15.2</v>
      </c>
      <c r="G9" s="112">
        <v>55.37</v>
      </c>
      <c r="H9" s="112">
        <v>23.34</v>
      </c>
      <c r="I9" s="112">
        <v>6.73</v>
      </c>
      <c r="J9" s="112">
        <v>0.15</v>
      </c>
      <c r="K9" s="112">
        <v>227.86</v>
      </c>
      <c r="L9" s="112">
        <v>31.5</v>
      </c>
      <c r="M9" s="112">
        <v>52.57</v>
      </c>
      <c r="N9" s="112">
        <v>0</v>
      </c>
      <c r="O9" s="112">
        <v>0</v>
      </c>
      <c r="P9" s="112">
        <v>0.61</v>
      </c>
      <c r="Q9" s="167" t="s">
        <v>14</v>
      </c>
    </row>
    <row r="10" spans="1:21" customFormat="1">
      <c r="A10" s="80">
        <v>45429.020833333336</v>
      </c>
      <c r="B10" s="112">
        <v>11.33</v>
      </c>
      <c r="C10" s="112">
        <v>13.12</v>
      </c>
      <c r="D10" s="112">
        <v>25.08</v>
      </c>
      <c r="E10" s="112">
        <v>12.33</v>
      </c>
      <c r="F10" s="112">
        <v>18.03</v>
      </c>
      <c r="G10" s="112">
        <v>55.39</v>
      </c>
      <c r="H10" s="112">
        <v>23.34</v>
      </c>
      <c r="I10" s="112">
        <v>6.51</v>
      </c>
      <c r="J10" s="112">
        <v>0.16</v>
      </c>
      <c r="K10" s="112">
        <v>209.33</v>
      </c>
      <c r="L10" s="112">
        <v>31.36</v>
      </c>
      <c r="M10" s="112">
        <v>53.37</v>
      </c>
      <c r="N10" s="112">
        <v>0</v>
      </c>
      <c r="O10" s="112">
        <v>0</v>
      </c>
      <c r="P10" s="112">
        <v>0.6</v>
      </c>
      <c r="Q10" s="112">
        <v>4.6399999999999997</v>
      </c>
    </row>
    <row r="11" spans="1:21" customFormat="1">
      <c r="A11" s="80">
        <v>45429.03125</v>
      </c>
      <c r="B11" s="112">
        <v>11.32</v>
      </c>
      <c r="C11" s="112">
        <v>13.13</v>
      </c>
      <c r="D11" s="112">
        <v>25.09</v>
      </c>
      <c r="E11" s="112">
        <v>12.08</v>
      </c>
      <c r="F11" s="112">
        <v>14.73</v>
      </c>
      <c r="G11" s="112">
        <v>55.39</v>
      </c>
      <c r="H11" s="112">
        <v>23.34</v>
      </c>
      <c r="I11" s="112">
        <v>6.31</v>
      </c>
      <c r="J11" s="112">
        <v>0.18</v>
      </c>
      <c r="K11" s="112">
        <v>212.43</v>
      </c>
      <c r="L11" s="112">
        <v>31.33</v>
      </c>
      <c r="M11" s="112">
        <v>53.4</v>
      </c>
      <c r="N11" s="112">
        <v>0</v>
      </c>
      <c r="O11" s="112">
        <v>0</v>
      </c>
      <c r="P11" s="112">
        <v>0.59</v>
      </c>
      <c r="Q11" s="112">
        <v>4.63</v>
      </c>
    </row>
    <row r="12" spans="1:21" customFormat="1">
      <c r="A12" s="80">
        <v>45429.041666666664</v>
      </c>
      <c r="B12" s="112">
        <v>11.32</v>
      </c>
      <c r="C12" s="112">
        <v>13.13</v>
      </c>
      <c r="D12" s="112">
        <v>25.08</v>
      </c>
      <c r="E12" s="112">
        <v>11.55</v>
      </c>
      <c r="F12" s="112">
        <v>18.100000000000001</v>
      </c>
      <c r="G12" s="112">
        <v>55.39</v>
      </c>
      <c r="H12" s="112">
        <v>23.34</v>
      </c>
      <c r="I12" s="112">
        <v>6.24</v>
      </c>
      <c r="J12" s="112">
        <v>0.21</v>
      </c>
      <c r="K12" s="112">
        <v>199.31</v>
      </c>
      <c r="L12" s="112">
        <v>31.1</v>
      </c>
      <c r="M12" s="112">
        <v>54.09</v>
      </c>
      <c r="N12" s="112">
        <v>0</v>
      </c>
      <c r="O12" s="112">
        <v>0</v>
      </c>
      <c r="P12" s="112">
        <v>0.57999999999999996</v>
      </c>
      <c r="Q12" s="167" t="s">
        <v>14</v>
      </c>
    </row>
    <row r="13" spans="1:21" customFormat="1">
      <c r="A13" s="80">
        <v>45429.052083333336</v>
      </c>
      <c r="B13" s="112">
        <v>11.31</v>
      </c>
      <c r="C13" s="112">
        <v>13.1</v>
      </c>
      <c r="D13" s="112">
        <v>25.06</v>
      </c>
      <c r="E13" s="112">
        <v>12.29</v>
      </c>
      <c r="F13" s="112">
        <v>14.83</v>
      </c>
      <c r="G13" s="112">
        <v>51.17</v>
      </c>
      <c r="H13" s="112">
        <v>23.05</v>
      </c>
      <c r="I13" s="112">
        <v>6.15</v>
      </c>
      <c r="J13" s="112">
        <v>0.22</v>
      </c>
      <c r="K13" s="112">
        <v>215.92</v>
      </c>
      <c r="L13" s="112">
        <v>30.88</v>
      </c>
      <c r="M13" s="112">
        <v>55.08</v>
      </c>
      <c r="N13" s="112">
        <v>0</v>
      </c>
      <c r="O13" s="112">
        <v>0</v>
      </c>
      <c r="P13" s="112">
        <v>0.59</v>
      </c>
      <c r="Q13" s="167" t="s">
        <v>14</v>
      </c>
    </row>
    <row r="14" spans="1:21" customFormat="1">
      <c r="A14" s="80">
        <v>45429.0625</v>
      </c>
      <c r="B14" s="112">
        <v>11.3</v>
      </c>
      <c r="C14" s="112">
        <v>13.11</v>
      </c>
      <c r="D14" s="112">
        <v>25.05</v>
      </c>
      <c r="E14" s="112">
        <v>12.53</v>
      </c>
      <c r="F14" s="112">
        <v>15.13</v>
      </c>
      <c r="G14" s="112">
        <v>50.75</v>
      </c>
      <c r="H14" s="112">
        <v>23.05</v>
      </c>
      <c r="I14" s="112">
        <v>6.15</v>
      </c>
      <c r="J14" s="112">
        <v>0.23</v>
      </c>
      <c r="K14" s="112">
        <v>223.49</v>
      </c>
      <c r="L14" s="112">
        <v>30.88</v>
      </c>
      <c r="M14" s="112">
        <v>54.41</v>
      </c>
      <c r="N14" s="112">
        <v>0</v>
      </c>
      <c r="O14" s="112">
        <v>0</v>
      </c>
      <c r="P14" s="112">
        <v>0.59</v>
      </c>
      <c r="Q14" s="167" t="s">
        <v>14</v>
      </c>
    </row>
    <row r="15" spans="1:21" customFormat="1">
      <c r="A15" s="80">
        <v>45429.072916666664</v>
      </c>
      <c r="B15" s="112">
        <v>11.29</v>
      </c>
      <c r="C15" s="112">
        <v>13.13</v>
      </c>
      <c r="D15" s="112">
        <v>25.06</v>
      </c>
      <c r="E15" s="112">
        <v>12.38</v>
      </c>
      <c r="F15" s="112">
        <v>15.49</v>
      </c>
      <c r="G15" s="112">
        <v>50.75</v>
      </c>
      <c r="H15" s="112">
        <v>23.05</v>
      </c>
      <c r="I15" s="112">
        <v>6.34</v>
      </c>
      <c r="J15" s="112">
        <v>0.17</v>
      </c>
      <c r="K15" s="112">
        <v>207.01</v>
      </c>
      <c r="L15" s="112">
        <v>30.91</v>
      </c>
      <c r="M15" s="112">
        <v>53.74</v>
      </c>
      <c r="N15" s="112">
        <v>0</v>
      </c>
      <c r="O15" s="112">
        <v>0</v>
      </c>
      <c r="P15" s="112">
        <v>0.57999999999999996</v>
      </c>
      <c r="Q15" s="112">
        <v>4.6399999999999997</v>
      </c>
    </row>
    <row r="16" spans="1:21" customFormat="1">
      <c r="A16" s="80">
        <v>45429.083333333336</v>
      </c>
      <c r="B16" s="112">
        <v>11.31</v>
      </c>
      <c r="C16" s="112">
        <v>13.13</v>
      </c>
      <c r="D16" s="112">
        <v>25.07</v>
      </c>
      <c r="E16" s="112">
        <v>12</v>
      </c>
      <c r="F16" s="112">
        <v>14.96</v>
      </c>
      <c r="G16" s="112">
        <v>50.75</v>
      </c>
      <c r="H16" s="112">
        <v>23.05</v>
      </c>
      <c r="I16" s="112">
        <v>6.35</v>
      </c>
      <c r="J16" s="112">
        <v>0.14000000000000001</v>
      </c>
      <c r="K16" s="112">
        <v>217.89</v>
      </c>
      <c r="L16" s="112">
        <v>30.95</v>
      </c>
      <c r="M16" s="112">
        <v>53.49</v>
      </c>
      <c r="N16" s="112">
        <v>0</v>
      </c>
      <c r="O16" s="112">
        <v>0</v>
      </c>
      <c r="P16" s="112">
        <v>0.56999999999999995</v>
      </c>
      <c r="Q16" s="167" t="s">
        <v>14</v>
      </c>
    </row>
    <row r="17" spans="1:17" customFormat="1">
      <c r="A17" s="80">
        <v>45429.09375</v>
      </c>
      <c r="B17" s="112">
        <v>11.31</v>
      </c>
      <c r="C17" s="112">
        <v>13.14</v>
      </c>
      <c r="D17" s="112">
        <v>25.08</v>
      </c>
      <c r="E17" s="112">
        <v>8.7100000000000009</v>
      </c>
      <c r="F17" s="112">
        <v>13.07</v>
      </c>
      <c r="G17" s="112">
        <v>42.62</v>
      </c>
      <c r="H17" s="112">
        <v>16.28</v>
      </c>
      <c r="I17" s="112">
        <v>6.17</v>
      </c>
      <c r="J17" s="112">
        <v>0.16</v>
      </c>
      <c r="K17" s="112">
        <v>230.57</v>
      </c>
      <c r="L17" s="112">
        <v>30.93</v>
      </c>
      <c r="M17" s="112">
        <v>53.21</v>
      </c>
      <c r="N17" s="112">
        <v>0</v>
      </c>
      <c r="O17" s="112">
        <v>0</v>
      </c>
      <c r="P17" s="112">
        <v>0.56000000000000005</v>
      </c>
      <c r="Q17" s="167" t="s">
        <v>14</v>
      </c>
    </row>
    <row r="18" spans="1:17" customFormat="1">
      <c r="A18" s="80">
        <v>45429.104166666664</v>
      </c>
      <c r="B18" s="112">
        <v>11.32</v>
      </c>
      <c r="C18" s="112">
        <v>13.13</v>
      </c>
      <c r="D18" s="112">
        <v>25.08</v>
      </c>
      <c r="E18" s="112">
        <v>10.56</v>
      </c>
      <c r="F18" s="112">
        <v>12.7</v>
      </c>
      <c r="G18" s="112">
        <v>41.82</v>
      </c>
      <c r="H18" s="112">
        <v>16.28</v>
      </c>
      <c r="I18" s="112">
        <v>6.13</v>
      </c>
      <c r="J18" s="112">
        <v>0.28000000000000003</v>
      </c>
      <c r="K18" s="112">
        <v>241.64</v>
      </c>
      <c r="L18" s="112">
        <v>30.91</v>
      </c>
      <c r="M18" s="112">
        <v>53.24</v>
      </c>
      <c r="N18" s="112">
        <v>0</v>
      </c>
      <c r="O18" s="112">
        <v>0</v>
      </c>
      <c r="P18" s="112">
        <v>0.56000000000000005</v>
      </c>
      <c r="Q18" s="167" t="s">
        <v>14</v>
      </c>
    </row>
    <row r="19" spans="1:17" customFormat="1">
      <c r="A19" s="80">
        <v>45429.114583333336</v>
      </c>
      <c r="B19" s="112">
        <v>11.34</v>
      </c>
      <c r="C19" s="112">
        <v>13.08</v>
      </c>
      <c r="D19" s="112">
        <v>25.07</v>
      </c>
      <c r="E19" s="112">
        <v>10.46</v>
      </c>
      <c r="F19" s="112">
        <v>10.86</v>
      </c>
      <c r="G19" s="112">
        <v>41.82</v>
      </c>
      <c r="H19" s="112">
        <v>16.28</v>
      </c>
      <c r="I19" s="112">
        <v>6.11</v>
      </c>
      <c r="J19" s="112">
        <v>0.31</v>
      </c>
      <c r="K19" s="112">
        <v>241.87</v>
      </c>
      <c r="L19" s="112">
        <v>30.81</v>
      </c>
      <c r="M19" s="112">
        <v>54.07</v>
      </c>
      <c r="N19" s="112">
        <v>0</v>
      </c>
      <c r="O19" s="112">
        <v>0</v>
      </c>
      <c r="P19" s="112">
        <v>0.55000000000000004</v>
      </c>
      <c r="Q19" s="167" t="s">
        <v>14</v>
      </c>
    </row>
    <row r="20" spans="1:17" customFormat="1">
      <c r="A20" s="80">
        <v>45429.125</v>
      </c>
      <c r="B20" s="112">
        <v>11.31</v>
      </c>
      <c r="C20" s="112">
        <v>13.09</v>
      </c>
      <c r="D20" s="112">
        <v>25.05</v>
      </c>
      <c r="E20" s="112">
        <v>10.94</v>
      </c>
      <c r="F20" s="112">
        <v>11.3</v>
      </c>
      <c r="G20" s="112">
        <v>41.82</v>
      </c>
      <c r="H20" s="112">
        <v>16.28</v>
      </c>
      <c r="I20" s="112">
        <v>6.03</v>
      </c>
      <c r="J20" s="112">
        <v>0.17</v>
      </c>
      <c r="K20" s="112">
        <v>214.02</v>
      </c>
      <c r="L20" s="112">
        <v>30.51</v>
      </c>
      <c r="M20" s="112">
        <v>55.81</v>
      </c>
      <c r="N20" s="112">
        <v>0</v>
      </c>
      <c r="O20" s="112">
        <v>0</v>
      </c>
      <c r="P20" s="112">
        <v>0.55000000000000004</v>
      </c>
      <c r="Q20" s="167" t="s">
        <v>14</v>
      </c>
    </row>
    <row r="21" spans="1:17" customFormat="1">
      <c r="A21" s="80">
        <v>45429.135416666664</v>
      </c>
      <c r="B21" s="112">
        <v>11.32</v>
      </c>
      <c r="C21" s="112">
        <v>13.07</v>
      </c>
      <c r="D21" s="112">
        <v>25.05</v>
      </c>
      <c r="E21" s="112">
        <v>10.18</v>
      </c>
      <c r="F21" s="112">
        <v>18.920000000000002</v>
      </c>
      <c r="G21" s="112">
        <v>36.380000000000003</v>
      </c>
      <c r="H21" s="112">
        <v>16.739999999999998</v>
      </c>
      <c r="I21" s="112">
        <v>6.03</v>
      </c>
      <c r="J21" s="112">
        <v>0.26</v>
      </c>
      <c r="K21" s="112">
        <v>221.11</v>
      </c>
      <c r="L21" s="112">
        <v>30.34</v>
      </c>
      <c r="M21" s="112">
        <v>56.65</v>
      </c>
      <c r="N21" s="112">
        <v>0</v>
      </c>
      <c r="O21" s="112">
        <v>0</v>
      </c>
      <c r="P21" s="112">
        <v>0.53</v>
      </c>
      <c r="Q21" s="112">
        <v>4.6100000000000003</v>
      </c>
    </row>
    <row r="22" spans="1:17" customFormat="1">
      <c r="A22" s="80">
        <v>45429.145833333336</v>
      </c>
      <c r="B22" s="112">
        <v>11.4</v>
      </c>
      <c r="C22" s="112">
        <v>13.09</v>
      </c>
      <c r="D22" s="112">
        <v>25.12</v>
      </c>
      <c r="E22" s="112">
        <v>10</v>
      </c>
      <c r="F22" s="112">
        <v>18.260000000000002</v>
      </c>
      <c r="G22" s="112">
        <v>35.85</v>
      </c>
      <c r="H22" s="112">
        <v>16.739999999999998</v>
      </c>
      <c r="I22" s="112">
        <v>5.71</v>
      </c>
      <c r="J22" s="112">
        <v>0.39</v>
      </c>
      <c r="K22" s="112">
        <v>234.98</v>
      </c>
      <c r="L22" s="112">
        <v>30.28</v>
      </c>
      <c r="M22" s="112">
        <v>56.15</v>
      </c>
      <c r="N22" s="112">
        <v>0</v>
      </c>
      <c r="O22" s="112">
        <v>0</v>
      </c>
      <c r="P22" s="112">
        <v>0.51</v>
      </c>
      <c r="Q22" s="112">
        <v>4.62</v>
      </c>
    </row>
    <row r="23" spans="1:17" customFormat="1">
      <c r="A23" s="80">
        <v>45429.15625</v>
      </c>
      <c r="B23" s="112">
        <v>11.39</v>
      </c>
      <c r="C23" s="112">
        <v>13.13</v>
      </c>
      <c r="D23" s="112">
        <v>25.14</v>
      </c>
      <c r="E23" s="112">
        <v>9.35</v>
      </c>
      <c r="F23" s="112">
        <v>19.989999999999998</v>
      </c>
      <c r="G23" s="112">
        <v>35.85</v>
      </c>
      <c r="H23" s="112">
        <v>16.739999999999998</v>
      </c>
      <c r="I23" s="112">
        <v>5.22</v>
      </c>
      <c r="J23" s="112">
        <v>0.32</v>
      </c>
      <c r="K23" s="112">
        <v>238.81</v>
      </c>
      <c r="L23" s="112">
        <v>30.2</v>
      </c>
      <c r="M23" s="112">
        <v>55.94</v>
      </c>
      <c r="N23" s="112">
        <v>0</v>
      </c>
      <c r="O23" s="112">
        <v>0</v>
      </c>
      <c r="P23" s="112">
        <v>0.51</v>
      </c>
      <c r="Q23" s="112">
        <v>4.6500000000000004</v>
      </c>
    </row>
    <row r="24" spans="1:17" customFormat="1">
      <c r="A24" s="80">
        <v>45429.166666666664</v>
      </c>
      <c r="B24" s="112">
        <v>11.37</v>
      </c>
      <c r="C24" s="112">
        <v>13.16</v>
      </c>
      <c r="D24" s="112">
        <v>25.13</v>
      </c>
      <c r="E24" s="112">
        <v>9.0500000000000007</v>
      </c>
      <c r="F24" s="112">
        <v>20.41</v>
      </c>
      <c r="G24" s="112">
        <v>35.85</v>
      </c>
      <c r="H24" s="112">
        <v>16.739999999999998</v>
      </c>
      <c r="I24" s="112">
        <v>5.18</v>
      </c>
      <c r="J24" s="112">
        <v>0.42</v>
      </c>
      <c r="K24" s="112">
        <v>251.82</v>
      </c>
      <c r="L24" s="112">
        <v>30.21</v>
      </c>
      <c r="M24" s="112">
        <v>54.58</v>
      </c>
      <c r="N24" s="112">
        <v>0</v>
      </c>
      <c r="O24" s="112">
        <v>0</v>
      </c>
      <c r="P24" s="112">
        <v>0.49</v>
      </c>
      <c r="Q24" s="112">
        <v>4.63</v>
      </c>
    </row>
    <row r="25" spans="1:17" customFormat="1">
      <c r="A25" s="80">
        <v>45429.177083333336</v>
      </c>
      <c r="B25" s="112">
        <v>11.36</v>
      </c>
      <c r="C25" s="112">
        <v>13.13</v>
      </c>
      <c r="D25" s="112">
        <v>25.11</v>
      </c>
      <c r="E25" s="112">
        <v>9.1199999999999992</v>
      </c>
      <c r="F25" s="112">
        <v>20.28</v>
      </c>
      <c r="G25" s="112">
        <v>32.53</v>
      </c>
      <c r="H25" s="112">
        <v>16.510000000000002</v>
      </c>
      <c r="I25" s="112">
        <v>5.18</v>
      </c>
      <c r="J25" s="112">
        <v>0.53</v>
      </c>
      <c r="K25" s="112">
        <v>262.11</v>
      </c>
      <c r="L25" s="112">
        <v>30.16</v>
      </c>
      <c r="M25" s="112">
        <v>54.44</v>
      </c>
      <c r="N25" s="112">
        <v>0</v>
      </c>
      <c r="O25" s="112">
        <v>0</v>
      </c>
      <c r="P25" s="112">
        <v>0.49</v>
      </c>
      <c r="Q25" s="112">
        <v>4.6500000000000004</v>
      </c>
    </row>
    <row r="26" spans="1:17" customFormat="1">
      <c r="A26" s="80">
        <v>45429.1875</v>
      </c>
      <c r="B26" s="112">
        <v>11.35</v>
      </c>
      <c r="C26" s="112">
        <v>13.11</v>
      </c>
      <c r="D26" s="112">
        <v>25.09</v>
      </c>
      <c r="E26" s="112">
        <v>9.43</v>
      </c>
      <c r="F26" s="112">
        <v>14.89</v>
      </c>
      <c r="G26" s="112">
        <v>32.200000000000003</v>
      </c>
      <c r="H26" s="112">
        <v>16.510000000000002</v>
      </c>
      <c r="I26" s="112">
        <v>5.2</v>
      </c>
      <c r="J26" s="112">
        <v>0.59</v>
      </c>
      <c r="K26" s="112">
        <v>257.19</v>
      </c>
      <c r="L26" s="112">
        <v>30.13</v>
      </c>
      <c r="M26" s="112">
        <v>55.36</v>
      </c>
      <c r="N26" s="112">
        <v>0</v>
      </c>
      <c r="O26" s="112">
        <v>0</v>
      </c>
      <c r="P26" s="112">
        <v>0.48</v>
      </c>
      <c r="Q26" s="112">
        <v>4.63</v>
      </c>
    </row>
    <row r="27" spans="1:17" customFormat="1">
      <c r="A27" s="80">
        <v>45429.197916666664</v>
      </c>
      <c r="B27" s="112">
        <v>11.36</v>
      </c>
      <c r="C27" s="112">
        <v>13.07</v>
      </c>
      <c r="D27" s="112">
        <v>25.09</v>
      </c>
      <c r="E27" s="112">
        <v>8.93</v>
      </c>
      <c r="F27" s="112">
        <v>18.559999999999999</v>
      </c>
      <c r="G27" s="112">
        <v>32.200000000000003</v>
      </c>
      <c r="H27" s="112">
        <v>16.510000000000002</v>
      </c>
      <c r="I27" s="112">
        <v>5.22</v>
      </c>
      <c r="J27" s="112">
        <v>0.47</v>
      </c>
      <c r="K27" s="112">
        <v>257.11</v>
      </c>
      <c r="L27" s="112">
        <v>29.89</v>
      </c>
      <c r="M27" s="112">
        <v>57.04</v>
      </c>
      <c r="N27" s="112">
        <v>0</v>
      </c>
      <c r="O27" s="112">
        <v>0</v>
      </c>
      <c r="P27" s="112">
        <v>0.46</v>
      </c>
      <c r="Q27" s="112">
        <v>4.6399999999999997</v>
      </c>
    </row>
    <row r="28" spans="1:17" customFormat="1">
      <c r="A28" s="80">
        <v>45429.208333333336</v>
      </c>
      <c r="B28" s="112">
        <v>11.35</v>
      </c>
      <c r="C28" s="112">
        <v>13.08</v>
      </c>
      <c r="D28" s="112">
        <v>25.08</v>
      </c>
      <c r="E28" s="112">
        <v>8.86</v>
      </c>
      <c r="F28" s="112">
        <v>17.28</v>
      </c>
      <c r="G28" s="112">
        <v>32.200000000000003</v>
      </c>
      <c r="H28" s="112">
        <v>16.510000000000002</v>
      </c>
      <c r="I28" s="112">
        <v>5.22</v>
      </c>
      <c r="J28" s="112">
        <v>0.52</v>
      </c>
      <c r="K28" s="112">
        <v>254.81</v>
      </c>
      <c r="L28" s="112">
        <v>29.83</v>
      </c>
      <c r="M28" s="112">
        <v>57.76</v>
      </c>
      <c r="N28" s="112">
        <v>0</v>
      </c>
      <c r="O28" s="112">
        <v>0</v>
      </c>
      <c r="P28" s="112">
        <v>0.45</v>
      </c>
      <c r="Q28" s="112">
        <v>4.63</v>
      </c>
    </row>
    <row r="29" spans="1:17" customFormat="1">
      <c r="A29" s="80">
        <v>45429.21875</v>
      </c>
      <c r="B29" s="112">
        <v>11.34</v>
      </c>
      <c r="C29" s="112">
        <v>13.1</v>
      </c>
      <c r="D29" s="112">
        <v>25.08</v>
      </c>
      <c r="E29" s="112">
        <v>8.16</v>
      </c>
      <c r="F29" s="112">
        <v>19.87</v>
      </c>
      <c r="G29" s="112">
        <v>31.02</v>
      </c>
      <c r="H29" s="112">
        <v>13.6</v>
      </c>
      <c r="I29" s="112">
        <v>5.04</v>
      </c>
      <c r="J29" s="112">
        <v>0.48</v>
      </c>
      <c r="K29" s="112">
        <v>259.42</v>
      </c>
      <c r="L29" s="112">
        <v>29.72</v>
      </c>
      <c r="M29" s="112">
        <v>58.71</v>
      </c>
      <c r="N29" s="112">
        <v>0</v>
      </c>
      <c r="O29" s="112">
        <v>0</v>
      </c>
      <c r="P29" s="112">
        <v>0.44</v>
      </c>
      <c r="Q29" s="167" t="s">
        <v>14</v>
      </c>
    </row>
    <row r="30" spans="1:17" customFormat="1">
      <c r="A30" s="80">
        <v>45429.229166666664</v>
      </c>
      <c r="B30" s="112">
        <v>11.35</v>
      </c>
      <c r="C30" s="112">
        <v>13.1</v>
      </c>
      <c r="D30" s="112">
        <v>25.09</v>
      </c>
      <c r="E30" s="112">
        <v>8.92</v>
      </c>
      <c r="F30" s="112">
        <v>14.97</v>
      </c>
      <c r="G30" s="112">
        <v>30.9</v>
      </c>
      <c r="H30" s="112">
        <v>13.6</v>
      </c>
      <c r="I30" s="112">
        <v>4.92</v>
      </c>
      <c r="J30" s="112">
        <v>0.49</v>
      </c>
      <c r="K30" s="112">
        <v>251.7</v>
      </c>
      <c r="L30" s="112">
        <v>29.61</v>
      </c>
      <c r="M30" s="112">
        <v>59.62</v>
      </c>
      <c r="N30" s="112">
        <v>0.3</v>
      </c>
      <c r="O30" s="112">
        <v>0</v>
      </c>
      <c r="P30" s="112">
        <v>0.44</v>
      </c>
      <c r="Q30" s="167" t="s">
        <v>14</v>
      </c>
    </row>
    <row r="31" spans="1:17" customFormat="1">
      <c r="A31" s="80">
        <v>45429.239583333336</v>
      </c>
      <c r="B31" s="112">
        <v>11.35</v>
      </c>
      <c r="C31" s="112">
        <v>13.08</v>
      </c>
      <c r="D31" s="112">
        <v>25.08</v>
      </c>
      <c r="E31" s="112">
        <v>8.7899999999999991</v>
      </c>
      <c r="F31" s="112">
        <v>17.440000000000001</v>
      </c>
      <c r="G31" s="112">
        <v>30.9</v>
      </c>
      <c r="H31" s="112">
        <v>13.6</v>
      </c>
      <c r="I31" s="112">
        <v>4.84</v>
      </c>
      <c r="J31" s="112">
        <v>0.37</v>
      </c>
      <c r="K31" s="112">
        <v>253.28</v>
      </c>
      <c r="L31" s="112">
        <v>29.61</v>
      </c>
      <c r="M31" s="112">
        <v>60.41</v>
      </c>
      <c r="N31" s="112">
        <v>8.5</v>
      </c>
      <c r="O31" s="112">
        <v>0</v>
      </c>
      <c r="P31" s="112">
        <v>0.44</v>
      </c>
      <c r="Q31" s="167" t="s">
        <v>14</v>
      </c>
    </row>
    <row r="32" spans="1:17" customFormat="1">
      <c r="A32" s="80">
        <v>45429.25</v>
      </c>
      <c r="B32" s="112">
        <v>11.32</v>
      </c>
      <c r="C32" s="112">
        <v>13.09</v>
      </c>
      <c r="D32" s="112">
        <v>25.06</v>
      </c>
      <c r="E32" s="112">
        <v>8.16</v>
      </c>
      <c r="F32" s="112">
        <v>19.66</v>
      </c>
      <c r="G32" s="112">
        <v>30.9</v>
      </c>
      <c r="H32" s="112">
        <v>13.6</v>
      </c>
      <c r="I32" s="112">
        <v>4.9800000000000004</v>
      </c>
      <c r="J32" s="112">
        <v>0.33</v>
      </c>
      <c r="K32" s="112">
        <v>245.4</v>
      </c>
      <c r="L32" s="112">
        <v>29.52</v>
      </c>
      <c r="M32" s="112">
        <v>61.55</v>
      </c>
      <c r="N32" s="112">
        <v>7.6</v>
      </c>
      <c r="O32" s="112">
        <v>0</v>
      </c>
      <c r="P32" s="112">
        <v>0.42</v>
      </c>
      <c r="Q32" s="167" t="s">
        <v>14</v>
      </c>
    </row>
    <row r="33" spans="1:17" customFormat="1">
      <c r="A33" s="80">
        <v>45429.260416666664</v>
      </c>
      <c r="B33" s="112">
        <v>11.32</v>
      </c>
      <c r="C33" s="112">
        <v>13.1</v>
      </c>
      <c r="D33" s="112">
        <v>25.07</v>
      </c>
      <c r="E33" s="112">
        <v>8.2100000000000009</v>
      </c>
      <c r="F33" s="112">
        <v>17.02</v>
      </c>
      <c r="G33" s="112">
        <v>28.21</v>
      </c>
      <c r="H33" s="112">
        <v>16.29</v>
      </c>
      <c r="I33" s="112">
        <v>4.84</v>
      </c>
      <c r="J33" s="112">
        <v>0.6</v>
      </c>
      <c r="K33" s="112">
        <v>258.43</v>
      </c>
      <c r="L33" s="112">
        <v>29.52</v>
      </c>
      <c r="M33" s="112">
        <v>61.68</v>
      </c>
      <c r="N33" s="112">
        <v>13</v>
      </c>
      <c r="O33" s="112">
        <v>0</v>
      </c>
      <c r="P33" s="112">
        <v>0.43</v>
      </c>
      <c r="Q33" s="167" t="s">
        <v>14</v>
      </c>
    </row>
    <row r="34" spans="1:17" customFormat="1">
      <c r="A34" s="80">
        <v>45429.270833333336</v>
      </c>
      <c r="B34" s="112">
        <v>11.35</v>
      </c>
      <c r="C34" s="112">
        <v>13.08</v>
      </c>
      <c r="D34" s="112">
        <v>25.09</v>
      </c>
      <c r="E34" s="112">
        <v>8.9700000000000006</v>
      </c>
      <c r="F34" s="112">
        <v>13.01</v>
      </c>
      <c r="G34" s="112">
        <v>27.95</v>
      </c>
      <c r="H34" s="112">
        <v>16.29</v>
      </c>
      <c r="I34" s="112">
        <v>4.6100000000000003</v>
      </c>
      <c r="J34" s="112">
        <v>0.87</v>
      </c>
      <c r="K34" s="112">
        <v>271.58999999999997</v>
      </c>
      <c r="L34" s="112">
        <v>29.42</v>
      </c>
      <c r="M34" s="112">
        <v>61.47</v>
      </c>
      <c r="N34" s="112">
        <v>23.7</v>
      </c>
      <c r="O34" s="112">
        <v>0</v>
      </c>
      <c r="P34" s="112">
        <v>0.43</v>
      </c>
      <c r="Q34" s="112">
        <v>4.63</v>
      </c>
    </row>
    <row r="35" spans="1:17" customFormat="1">
      <c r="A35" s="80">
        <v>45429.28125</v>
      </c>
      <c r="B35" s="112">
        <v>11.33</v>
      </c>
      <c r="C35" s="112">
        <v>13.15</v>
      </c>
      <c r="D35" s="112">
        <v>25.1</v>
      </c>
      <c r="E35" s="112">
        <v>8.56</v>
      </c>
      <c r="F35" s="112">
        <v>12.92</v>
      </c>
      <c r="G35" s="112">
        <v>27.95</v>
      </c>
      <c r="H35" s="112">
        <v>16.29</v>
      </c>
      <c r="I35" s="112">
        <v>4.78</v>
      </c>
      <c r="J35" s="112">
        <v>0.92</v>
      </c>
      <c r="K35" s="112">
        <v>260.77</v>
      </c>
      <c r="L35" s="112">
        <v>29.45</v>
      </c>
      <c r="M35" s="112">
        <v>61.25</v>
      </c>
      <c r="N35" s="112">
        <v>38.1</v>
      </c>
      <c r="O35" s="112">
        <v>0</v>
      </c>
      <c r="P35" s="112">
        <v>0.43</v>
      </c>
      <c r="Q35" s="167" t="s">
        <v>14</v>
      </c>
    </row>
    <row r="36" spans="1:17" customFormat="1">
      <c r="A36" s="80">
        <v>45429.291666666664</v>
      </c>
      <c r="B36" s="112">
        <v>11.33</v>
      </c>
      <c r="C36" s="112">
        <v>13.1</v>
      </c>
      <c r="D36" s="112">
        <v>25.07</v>
      </c>
      <c r="E36" s="112">
        <v>8.5</v>
      </c>
      <c r="F36" s="112">
        <v>11.66</v>
      </c>
      <c r="G36" s="112">
        <v>27.95</v>
      </c>
      <c r="H36" s="112">
        <v>16.29</v>
      </c>
      <c r="I36" s="112">
        <v>5.05</v>
      </c>
      <c r="J36" s="112">
        <v>1.04</v>
      </c>
      <c r="K36" s="112">
        <v>266.88</v>
      </c>
      <c r="L36" s="112">
        <v>29.49</v>
      </c>
      <c r="M36" s="112">
        <v>61.06</v>
      </c>
      <c r="N36" s="112">
        <v>45</v>
      </c>
      <c r="O36" s="112">
        <v>0</v>
      </c>
      <c r="P36" s="112">
        <v>0.43</v>
      </c>
      <c r="Q36" s="167" t="s">
        <v>14</v>
      </c>
    </row>
    <row r="37" spans="1:17" customFormat="1">
      <c r="A37" s="80">
        <v>45429.302083333336</v>
      </c>
      <c r="B37" s="112">
        <v>11.32</v>
      </c>
      <c r="C37" s="112">
        <v>13.14</v>
      </c>
      <c r="D37" s="112">
        <v>25.09</v>
      </c>
      <c r="E37" s="112">
        <v>8.65</v>
      </c>
      <c r="F37" s="112">
        <v>12.2</v>
      </c>
      <c r="G37" s="112">
        <v>23.32</v>
      </c>
      <c r="H37" s="112">
        <v>14.96</v>
      </c>
      <c r="I37" s="112">
        <v>5</v>
      </c>
      <c r="J37" s="112">
        <v>0.84</v>
      </c>
      <c r="K37" s="112">
        <v>267.27</v>
      </c>
      <c r="L37" s="112">
        <v>29.52</v>
      </c>
      <c r="M37" s="112">
        <v>61.21</v>
      </c>
      <c r="N37" s="112">
        <v>53.6</v>
      </c>
      <c r="O37" s="112">
        <v>0</v>
      </c>
      <c r="P37" s="112">
        <v>0.45</v>
      </c>
      <c r="Q37" s="167" t="s">
        <v>14</v>
      </c>
    </row>
    <row r="38" spans="1:17" customFormat="1">
      <c r="A38" s="80">
        <v>45429.3125</v>
      </c>
      <c r="B38" s="112">
        <v>11.35</v>
      </c>
      <c r="C38" s="112">
        <v>13.1</v>
      </c>
      <c r="D38" s="112">
        <v>25.09</v>
      </c>
      <c r="E38" s="112">
        <v>8.9499999999999993</v>
      </c>
      <c r="F38" s="112">
        <v>11.01</v>
      </c>
      <c r="G38" s="112">
        <v>22.93</v>
      </c>
      <c r="H38" s="112">
        <v>14.96</v>
      </c>
      <c r="I38" s="112">
        <v>4.9000000000000004</v>
      </c>
      <c r="J38" s="112">
        <v>0.91</v>
      </c>
      <c r="K38" s="112">
        <v>262.61</v>
      </c>
      <c r="L38" s="112">
        <v>29.67</v>
      </c>
      <c r="M38" s="112">
        <v>60.84</v>
      </c>
      <c r="N38" s="112">
        <v>85.8</v>
      </c>
      <c r="O38" s="112">
        <v>0</v>
      </c>
      <c r="P38" s="112">
        <v>0.45</v>
      </c>
      <c r="Q38" s="112">
        <v>4.63</v>
      </c>
    </row>
    <row r="39" spans="1:17" customFormat="1">
      <c r="A39" s="80">
        <v>45429.322916666664</v>
      </c>
      <c r="B39" s="112">
        <v>11.38</v>
      </c>
      <c r="C39" s="112">
        <v>13.07</v>
      </c>
      <c r="D39" s="112">
        <v>25.09</v>
      </c>
      <c r="E39" s="112">
        <v>9.17</v>
      </c>
      <c r="F39" s="112">
        <v>9.1199999999999992</v>
      </c>
      <c r="G39" s="112">
        <v>22.93</v>
      </c>
      <c r="H39" s="112">
        <v>14.96</v>
      </c>
      <c r="I39" s="112">
        <v>4.87</v>
      </c>
      <c r="J39" s="112">
        <v>0.77</v>
      </c>
      <c r="K39" s="112">
        <v>264.70999999999998</v>
      </c>
      <c r="L39" s="112">
        <v>29.82</v>
      </c>
      <c r="M39" s="112">
        <v>60.6</v>
      </c>
      <c r="N39" s="112">
        <v>93.1</v>
      </c>
      <c r="O39" s="112">
        <v>0</v>
      </c>
      <c r="P39" s="112">
        <v>0.45</v>
      </c>
      <c r="Q39" s="167" t="s">
        <v>14</v>
      </c>
    </row>
    <row r="40" spans="1:17" customFormat="1">
      <c r="A40" s="80">
        <v>45429.333333333336</v>
      </c>
      <c r="B40" s="112">
        <v>11.36</v>
      </c>
      <c r="C40" s="112">
        <v>13.08</v>
      </c>
      <c r="D40" s="112">
        <v>25.09</v>
      </c>
      <c r="E40" s="112">
        <v>9.44</v>
      </c>
      <c r="F40" s="112">
        <v>10.47</v>
      </c>
      <c r="G40" s="112">
        <v>22.93</v>
      </c>
      <c r="H40" s="112">
        <v>14.96</v>
      </c>
      <c r="I40" s="112">
        <v>4.91</v>
      </c>
      <c r="J40" s="112">
        <v>0.75</v>
      </c>
      <c r="K40" s="112">
        <v>252.63</v>
      </c>
      <c r="L40" s="112">
        <v>30.01</v>
      </c>
      <c r="M40" s="112">
        <v>60.41</v>
      </c>
      <c r="N40" s="112">
        <v>96.8</v>
      </c>
      <c r="O40" s="112">
        <v>0</v>
      </c>
      <c r="P40" s="112">
        <v>0.45</v>
      </c>
      <c r="Q40" s="167" t="s">
        <v>14</v>
      </c>
    </row>
    <row r="41" spans="1:17" customFormat="1">
      <c r="A41" s="80">
        <v>45429.34375</v>
      </c>
      <c r="B41" s="112">
        <v>11.37</v>
      </c>
      <c r="C41" s="112">
        <v>13.12</v>
      </c>
      <c r="D41" s="112">
        <v>25.11</v>
      </c>
      <c r="E41" s="112">
        <v>11.03</v>
      </c>
      <c r="F41" s="112">
        <v>8.61</v>
      </c>
      <c r="G41" s="112">
        <v>19.399999999999999</v>
      </c>
      <c r="H41" s="112">
        <v>10.51</v>
      </c>
      <c r="I41" s="112">
        <v>4.96</v>
      </c>
      <c r="J41" s="112">
        <v>0.54</v>
      </c>
      <c r="K41" s="112">
        <v>255.52</v>
      </c>
      <c r="L41" s="112">
        <v>29.82</v>
      </c>
      <c r="M41" s="112">
        <v>64.239999999999995</v>
      </c>
      <c r="N41" s="112">
        <v>90.1</v>
      </c>
      <c r="O41" s="112">
        <v>0</v>
      </c>
      <c r="P41" s="112">
        <v>0.48</v>
      </c>
      <c r="Q41" s="167" t="s">
        <v>14</v>
      </c>
    </row>
    <row r="42" spans="1:17" customFormat="1">
      <c r="A42" s="80">
        <v>45429.354166666664</v>
      </c>
      <c r="B42" s="112">
        <v>11.36</v>
      </c>
      <c r="C42" s="112">
        <v>13.1</v>
      </c>
      <c r="D42" s="112">
        <v>25.1</v>
      </c>
      <c r="E42" s="112">
        <v>10.210000000000001</v>
      </c>
      <c r="F42" s="112">
        <v>8.5299999999999994</v>
      </c>
      <c r="G42" s="112">
        <v>19.100000000000001</v>
      </c>
      <c r="H42" s="112">
        <v>10.51</v>
      </c>
      <c r="I42" s="112">
        <v>4.9800000000000004</v>
      </c>
      <c r="J42" s="112">
        <v>0.28000000000000003</v>
      </c>
      <c r="K42" s="112">
        <v>249.99</v>
      </c>
      <c r="L42" s="112">
        <v>29.43</v>
      </c>
      <c r="M42" s="112">
        <v>71.39</v>
      </c>
      <c r="N42" s="112">
        <v>130.69999999999999</v>
      </c>
      <c r="O42" s="112">
        <v>0</v>
      </c>
      <c r="P42" s="112">
        <v>0.48</v>
      </c>
      <c r="Q42" s="167" t="s">
        <v>14</v>
      </c>
    </row>
    <row r="43" spans="1:17" customFormat="1">
      <c r="A43" s="80">
        <v>45429.364583333336</v>
      </c>
      <c r="B43" s="112">
        <v>11.35</v>
      </c>
      <c r="C43" s="112">
        <v>13.08</v>
      </c>
      <c r="D43" s="112">
        <v>25.08</v>
      </c>
      <c r="E43" s="112">
        <v>10.5</v>
      </c>
      <c r="F43" s="112">
        <v>7.96</v>
      </c>
      <c r="G43" s="112">
        <v>19.100000000000001</v>
      </c>
      <c r="H43" s="112">
        <v>10.51</v>
      </c>
      <c r="I43" s="112">
        <v>5.09</v>
      </c>
      <c r="J43" s="112">
        <v>0.81</v>
      </c>
      <c r="K43" s="112">
        <v>283.08</v>
      </c>
      <c r="L43" s="112">
        <v>29.58</v>
      </c>
      <c r="M43" s="112">
        <v>67.17</v>
      </c>
      <c r="N43" s="112">
        <v>151.30000000000001</v>
      </c>
      <c r="O43" s="112">
        <v>0</v>
      </c>
      <c r="P43" s="112">
        <v>0.5</v>
      </c>
      <c r="Q43" s="167" t="s">
        <v>14</v>
      </c>
    </row>
    <row r="44" spans="1:17" customFormat="1">
      <c r="A44" s="80">
        <v>45429.375</v>
      </c>
      <c r="B44" s="112">
        <v>11.35</v>
      </c>
      <c r="C44" s="112">
        <v>13.08</v>
      </c>
      <c r="D44" s="112">
        <v>25.08</v>
      </c>
      <c r="E44" s="112">
        <v>12.29</v>
      </c>
      <c r="F44" s="112">
        <v>8.27</v>
      </c>
      <c r="G44" s="112">
        <v>19.100000000000001</v>
      </c>
      <c r="H44" s="112">
        <v>10.51</v>
      </c>
      <c r="I44" s="112">
        <v>5.14</v>
      </c>
      <c r="J44" s="112">
        <v>0.6</v>
      </c>
      <c r="K44" s="112">
        <v>287.18</v>
      </c>
      <c r="L44" s="112">
        <v>30.04</v>
      </c>
      <c r="M44" s="112">
        <v>64.040000000000006</v>
      </c>
      <c r="N44" s="112">
        <v>168.9</v>
      </c>
      <c r="O44" s="112">
        <v>0</v>
      </c>
      <c r="P44" s="112">
        <v>0.52</v>
      </c>
      <c r="Q44" s="167" t="s">
        <v>14</v>
      </c>
    </row>
    <row r="45" spans="1:17" customFormat="1">
      <c r="A45" s="80">
        <v>45429.385416666664</v>
      </c>
      <c r="B45" s="112">
        <v>11.33</v>
      </c>
      <c r="C45" s="112">
        <v>13.11</v>
      </c>
      <c r="D45" s="112">
        <v>25.08</v>
      </c>
      <c r="E45" s="112">
        <v>12.87</v>
      </c>
      <c r="F45" s="112">
        <v>8.31</v>
      </c>
      <c r="G45" s="112">
        <v>26.61</v>
      </c>
      <c r="H45" s="112">
        <v>13.71</v>
      </c>
      <c r="I45" s="112">
        <v>5.32</v>
      </c>
      <c r="J45" s="112">
        <v>1.03</v>
      </c>
      <c r="K45" s="112">
        <v>317.06</v>
      </c>
      <c r="L45" s="112">
        <v>30.46</v>
      </c>
      <c r="M45" s="112">
        <v>60.82</v>
      </c>
      <c r="N45" s="112">
        <v>190</v>
      </c>
      <c r="O45" s="112">
        <v>0</v>
      </c>
      <c r="P45" s="112">
        <v>0.57999999999999996</v>
      </c>
      <c r="Q45" s="167" t="s">
        <v>14</v>
      </c>
    </row>
    <row r="46" spans="1:17" customFormat="1">
      <c r="A46" s="80">
        <v>45429.395833333336</v>
      </c>
      <c r="B46" s="112">
        <v>11.35</v>
      </c>
      <c r="C46" s="112">
        <v>13.11</v>
      </c>
      <c r="D46" s="112">
        <v>25.1</v>
      </c>
      <c r="E46" s="112">
        <v>12.15</v>
      </c>
      <c r="F46" s="112">
        <v>8.56</v>
      </c>
      <c r="G46" s="112">
        <v>27.24</v>
      </c>
      <c r="H46" s="112">
        <v>13.71</v>
      </c>
      <c r="I46" s="112">
        <v>5.69</v>
      </c>
      <c r="J46" s="112">
        <v>0.8</v>
      </c>
      <c r="K46" s="112">
        <v>315.45</v>
      </c>
      <c r="L46" s="112">
        <v>30.97</v>
      </c>
      <c r="M46" s="112">
        <v>58.72</v>
      </c>
      <c r="N46" s="112">
        <v>215.5</v>
      </c>
      <c r="O46" s="112">
        <v>0</v>
      </c>
      <c r="P46" s="112">
        <v>0.62</v>
      </c>
      <c r="Q46" s="167" t="s">
        <v>14</v>
      </c>
    </row>
    <row r="47" spans="1:17" customFormat="1">
      <c r="A47" s="80">
        <v>45429.40625</v>
      </c>
      <c r="B47" s="112">
        <v>11.35</v>
      </c>
      <c r="C47" s="112">
        <v>13.09</v>
      </c>
      <c r="D47" s="112">
        <v>25.09</v>
      </c>
      <c r="E47" s="112">
        <v>12.72</v>
      </c>
      <c r="F47" s="112">
        <v>8.7200000000000006</v>
      </c>
      <c r="G47" s="112">
        <v>27.24</v>
      </c>
      <c r="H47" s="112">
        <v>13.71</v>
      </c>
      <c r="I47" s="112">
        <v>6</v>
      </c>
      <c r="J47" s="112">
        <v>0.73</v>
      </c>
      <c r="K47" s="112">
        <v>313.77999999999997</v>
      </c>
      <c r="L47" s="112">
        <v>31.16</v>
      </c>
      <c r="M47" s="112">
        <v>58.31</v>
      </c>
      <c r="N47" s="112">
        <v>206.6</v>
      </c>
      <c r="O47" s="112">
        <v>0</v>
      </c>
      <c r="P47" s="112">
        <v>0.68</v>
      </c>
      <c r="Q47" s="167" t="s">
        <v>14</v>
      </c>
    </row>
    <row r="48" spans="1:17" customFormat="1">
      <c r="A48" s="80">
        <v>45429.416666666664</v>
      </c>
      <c r="B48" s="112">
        <v>11.4</v>
      </c>
      <c r="C48" s="112">
        <v>13.13</v>
      </c>
      <c r="D48" s="112">
        <v>25.14</v>
      </c>
      <c r="E48" s="112">
        <v>16.510000000000002</v>
      </c>
      <c r="F48" s="112">
        <v>9.3000000000000007</v>
      </c>
      <c r="G48" s="112">
        <v>27.24</v>
      </c>
      <c r="H48" s="112">
        <v>13.71</v>
      </c>
      <c r="I48" s="112">
        <v>6.21</v>
      </c>
      <c r="J48" s="112">
        <v>0.62</v>
      </c>
      <c r="K48" s="112">
        <v>318.27</v>
      </c>
      <c r="L48" s="112">
        <v>31.57</v>
      </c>
      <c r="M48" s="112">
        <v>57.13</v>
      </c>
      <c r="N48" s="112">
        <v>225.2</v>
      </c>
      <c r="O48" s="112">
        <v>0</v>
      </c>
      <c r="P48" s="112">
        <v>0.8</v>
      </c>
      <c r="Q48" s="167" t="s">
        <v>14</v>
      </c>
    </row>
    <row r="49" spans="1:17" customFormat="1">
      <c r="A49" s="80">
        <v>45429.427083333336</v>
      </c>
      <c r="B49" s="112">
        <v>11.39</v>
      </c>
      <c r="C49" s="112">
        <v>13.1</v>
      </c>
      <c r="D49" s="112">
        <v>25.12</v>
      </c>
      <c r="E49" s="112">
        <v>10.28</v>
      </c>
      <c r="F49" s="112">
        <v>9.3699999999999992</v>
      </c>
      <c r="G49" s="112">
        <v>60.4</v>
      </c>
      <c r="H49" s="112">
        <v>30.69</v>
      </c>
      <c r="I49" s="112">
        <v>7.27</v>
      </c>
      <c r="J49" s="112">
        <v>0.74</v>
      </c>
      <c r="K49" s="112">
        <v>327.75</v>
      </c>
      <c r="L49" s="112">
        <v>31.86</v>
      </c>
      <c r="M49" s="112">
        <v>55.15</v>
      </c>
      <c r="N49" s="112">
        <v>252.6</v>
      </c>
      <c r="O49" s="112">
        <v>0</v>
      </c>
      <c r="P49" s="112">
        <v>0.87</v>
      </c>
      <c r="Q49" s="167" t="s">
        <v>14</v>
      </c>
    </row>
    <row r="50" spans="1:17" customFormat="1">
      <c r="A50" s="80">
        <v>45429.4375</v>
      </c>
      <c r="B50" s="112">
        <v>11.38</v>
      </c>
      <c r="C50" s="112">
        <v>13.11</v>
      </c>
      <c r="D50" s="112">
        <v>25.12</v>
      </c>
      <c r="E50" s="112">
        <v>11.49</v>
      </c>
      <c r="F50" s="112">
        <v>7</v>
      </c>
      <c r="G50" s="112">
        <v>63.19</v>
      </c>
      <c r="H50" s="112">
        <v>30.69</v>
      </c>
      <c r="I50" s="112">
        <v>10.25</v>
      </c>
      <c r="J50" s="112">
        <v>0.85</v>
      </c>
      <c r="K50" s="112">
        <v>304.79000000000002</v>
      </c>
      <c r="L50" s="112">
        <v>31.83</v>
      </c>
      <c r="M50" s="112">
        <v>54.07</v>
      </c>
      <c r="N50" s="112">
        <v>212.5</v>
      </c>
      <c r="O50" s="112">
        <v>0</v>
      </c>
      <c r="P50" s="112">
        <v>0.89</v>
      </c>
      <c r="Q50" s="167" t="s">
        <v>14</v>
      </c>
    </row>
    <row r="51" spans="1:17" customFormat="1">
      <c r="A51" s="80">
        <v>45429.447916666664</v>
      </c>
      <c r="B51" s="112">
        <v>11.37</v>
      </c>
      <c r="C51" s="112">
        <v>13.08</v>
      </c>
      <c r="D51" s="112">
        <v>25.1</v>
      </c>
      <c r="E51" s="112">
        <v>9.4</v>
      </c>
      <c r="F51" s="112">
        <v>6.95</v>
      </c>
      <c r="G51" s="112">
        <v>63.19</v>
      </c>
      <c r="H51" s="112">
        <v>30.69</v>
      </c>
      <c r="I51" s="112">
        <v>11.99</v>
      </c>
      <c r="J51" s="112">
        <v>0.57999999999999996</v>
      </c>
      <c r="K51" s="112">
        <v>273.10000000000002</v>
      </c>
      <c r="L51" s="112">
        <v>32.229999999999997</v>
      </c>
      <c r="M51" s="112">
        <v>52.77</v>
      </c>
      <c r="N51" s="112">
        <v>192.4</v>
      </c>
      <c r="O51" s="112">
        <v>0</v>
      </c>
      <c r="P51" s="112">
        <v>0.9</v>
      </c>
      <c r="Q51" s="167" t="s">
        <v>14</v>
      </c>
    </row>
    <row r="52" spans="1:17" customFormat="1">
      <c r="A52" s="80">
        <v>45429.458333333336</v>
      </c>
      <c r="B52" s="112">
        <v>11.36</v>
      </c>
      <c r="C52" s="112">
        <v>13.12</v>
      </c>
      <c r="D52" s="112">
        <v>25.1</v>
      </c>
      <c r="E52" s="112">
        <v>8.4</v>
      </c>
      <c r="F52" s="112">
        <v>7.69</v>
      </c>
      <c r="G52" s="112">
        <v>63.19</v>
      </c>
      <c r="H52" s="112">
        <v>30.69</v>
      </c>
      <c r="I52" s="112">
        <v>11.71</v>
      </c>
      <c r="J52" s="112">
        <v>0.81</v>
      </c>
      <c r="K52" s="112">
        <v>268</v>
      </c>
      <c r="L52" s="112">
        <v>32.020000000000003</v>
      </c>
      <c r="M52" s="112">
        <v>51.7</v>
      </c>
      <c r="N52" s="112">
        <v>189.8</v>
      </c>
      <c r="O52" s="112">
        <v>0</v>
      </c>
      <c r="P52" s="112">
        <v>0.86</v>
      </c>
      <c r="Q52" s="167" t="s">
        <v>14</v>
      </c>
    </row>
    <row r="53" spans="1:17" customFormat="1">
      <c r="A53" s="80">
        <v>45429.46875</v>
      </c>
      <c r="B53" s="112">
        <v>11.34</v>
      </c>
      <c r="C53" s="112">
        <v>13.16</v>
      </c>
      <c r="D53" s="112">
        <v>25.11</v>
      </c>
      <c r="E53" s="112">
        <v>8.5500000000000007</v>
      </c>
      <c r="F53" s="112">
        <v>7.74</v>
      </c>
      <c r="G53" s="112">
        <v>59.45</v>
      </c>
      <c r="H53" s="112">
        <v>28.73</v>
      </c>
      <c r="I53" s="112">
        <v>11.86</v>
      </c>
      <c r="J53" s="112">
        <v>0.82</v>
      </c>
      <c r="K53" s="112">
        <v>277.68</v>
      </c>
      <c r="L53" s="112">
        <v>32.29</v>
      </c>
      <c r="M53" s="112">
        <v>50.93</v>
      </c>
      <c r="N53" s="112">
        <v>224</v>
      </c>
      <c r="O53" s="112">
        <v>0</v>
      </c>
      <c r="P53" s="112">
        <v>0.84</v>
      </c>
      <c r="Q53" s="167" t="s">
        <v>14</v>
      </c>
    </row>
    <row r="54" spans="1:17" customFormat="1">
      <c r="A54" s="80">
        <v>45429.479166666664</v>
      </c>
      <c r="B54" s="112">
        <v>11.36</v>
      </c>
      <c r="C54" s="112">
        <v>13.11</v>
      </c>
      <c r="D54" s="112">
        <v>25.1</v>
      </c>
      <c r="E54" s="112">
        <v>8.1300000000000008</v>
      </c>
      <c r="F54" s="112">
        <v>7.91</v>
      </c>
      <c r="G54" s="112">
        <v>59.14</v>
      </c>
      <c r="H54" s="112">
        <v>28.73</v>
      </c>
      <c r="I54" s="112">
        <v>11.19</v>
      </c>
      <c r="J54" s="112">
        <v>0.97</v>
      </c>
      <c r="K54" s="112">
        <v>280.8</v>
      </c>
      <c r="L54" s="112">
        <v>32.6</v>
      </c>
      <c r="M54" s="112">
        <v>50.81</v>
      </c>
      <c r="N54" s="112">
        <v>238.6</v>
      </c>
      <c r="O54" s="112">
        <v>0</v>
      </c>
      <c r="P54" s="112">
        <v>0.84</v>
      </c>
      <c r="Q54" s="167" t="s">
        <v>14</v>
      </c>
    </row>
    <row r="55" spans="1:17" customFormat="1">
      <c r="A55" s="80">
        <v>45429.489583333336</v>
      </c>
      <c r="B55" s="112">
        <v>11.36</v>
      </c>
      <c r="C55" s="112">
        <v>13.1</v>
      </c>
      <c r="D55" s="112">
        <v>25.1</v>
      </c>
      <c r="E55" s="112">
        <v>8.02</v>
      </c>
      <c r="F55" s="112">
        <v>9.2799999999999994</v>
      </c>
      <c r="G55" s="112">
        <v>59.14</v>
      </c>
      <c r="H55" s="112">
        <v>28.73</v>
      </c>
      <c r="I55" s="112">
        <v>10.86</v>
      </c>
      <c r="J55" s="112">
        <v>0.59</v>
      </c>
      <c r="K55" s="112">
        <v>255.39</v>
      </c>
      <c r="L55" s="112">
        <v>32.58</v>
      </c>
      <c r="M55" s="112">
        <v>51.45</v>
      </c>
      <c r="N55" s="112">
        <v>169.8</v>
      </c>
      <c r="O55" s="112">
        <v>0</v>
      </c>
      <c r="P55" s="112">
        <v>0.83</v>
      </c>
      <c r="Q55" s="112">
        <v>4.63</v>
      </c>
    </row>
    <row r="56" spans="1:17" customFormat="1">
      <c r="A56" s="80">
        <v>45429.5</v>
      </c>
      <c r="B56" s="112">
        <v>11.38</v>
      </c>
      <c r="C56" s="112">
        <v>13.1</v>
      </c>
      <c r="D56" s="112">
        <v>25.12</v>
      </c>
      <c r="E56" s="112">
        <v>9.19</v>
      </c>
      <c r="F56" s="112">
        <v>10.029999999999999</v>
      </c>
      <c r="G56" s="112">
        <v>59.14</v>
      </c>
      <c r="H56" s="112">
        <v>28.73</v>
      </c>
      <c r="I56" s="112">
        <v>10.77</v>
      </c>
      <c r="J56" s="112">
        <v>0.75</v>
      </c>
      <c r="K56" s="112">
        <v>275.27999999999997</v>
      </c>
      <c r="L56" s="112">
        <v>32.06</v>
      </c>
      <c r="M56" s="112">
        <v>52.93</v>
      </c>
      <c r="N56" s="112">
        <v>165.2</v>
      </c>
      <c r="O56" s="112">
        <v>0</v>
      </c>
      <c r="P56" s="112">
        <v>0.84</v>
      </c>
      <c r="Q56" s="167" t="s">
        <v>14</v>
      </c>
    </row>
    <row r="57" spans="1:17" customFormat="1">
      <c r="A57" s="80">
        <v>45429.510416666664</v>
      </c>
      <c r="B57" s="112">
        <v>11.37</v>
      </c>
      <c r="C57" s="112">
        <v>13.12</v>
      </c>
      <c r="D57" s="112">
        <v>25.11</v>
      </c>
      <c r="E57" s="112">
        <v>7.93</v>
      </c>
      <c r="F57" s="112">
        <v>8.08</v>
      </c>
      <c r="G57" s="112">
        <v>59.96</v>
      </c>
      <c r="H57" s="112">
        <v>25.56</v>
      </c>
      <c r="I57" s="112">
        <v>10.58</v>
      </c>
      <c r="J57" s="112">
        <v>0.64</v>
      </c>
      <c r="K57" s="112">
        <v>268.97000000000003</v>
      </c>
      <c r="L57" s="112">
        <v>32.4</v>
      </c>
      <c r="M57" s="112">
        <v>52.1</v>
      </c>
      <c r="N57" s="112">
        <v>226.5</v>
      </c>
      <c r="O57" s="112">
        <v>0</v>
      </c>
      <c r="P57" s="112">
        <v>0.83</v>
      </c>
      <c r="Q57" s="112">
        <v>4.6500000000000004</v>
      </c>
    </row>
    <row r="58" spans="1:17" customFormat="1">
      <c r="A58" s="80">
        <v>45429.520833333336</v>
      </c>
      <c r="B58" s="112">
        <v>11.35</v>
      </c>
      <c r="C58" s="112">
        <v>13.09</v>
      </c>
      <c r="D58" s="112">
        <v>25.09</v>
      </c>
      <c r="E58" s="112">
        <v>9.31</v>
      </c>
      <c r="F58" s="112">
        <v>11.22</v>
      </c>
      <c r="G58" s="112">
        <v>60.03</v>
      </c>
      <c r="H58" s="112">
        <v>25.56</v>
      </c>
      <c r="I58" s="112">
        <v>10.58</v>
      </c>
      <c r="J58" s="112">
        <v>0.67</v>
      </c>
      <c r="K58" s="112">
        <v>256.89</v>
      </c>
      <c r="L58" s="112">
        <v>32.93</v>
      </c>
      <c r="M58" s="112">
        <v>51.63</v>
      </c>
      <c r="N58" s="112">
        <v>303.39999999999998</v>
      </c>
      <c r="O58" s="112">
        <v>0</v>
      </c>
      <c r="P58" s="112">
        <v>0.82</v>
      </c>
      <c r="Q58" s="112">
        <v>4.6399999999999997</v>
      </c>
    </row>
    <row r="59" spans="1:17" customFormat="1">
      <c r="A59" s="80">
        <v>45429.53125</v>
      </c>
      <c r="B59" s="112">
        <v>11.33</v>
      </c>
      <c r="C59" s="112">
        <v>13.1</v>
      </c>
      <c r="D59" s="112">
        <v>25.07</v>
      </c>
      <c r="E59" s="112">
        <v>10.61</v>
      </c>
      <c r="F59" s="112">
        <v>16.23</v>
      </c>
      <c r="G59" s="112">
        <v>60.03</v>
      </c>
      <c r="H59" s="112">
        <v>25.56</v>
      </c>
      <c r="I59" s="112">
        <v>10.55</v>
      </c>
      <c r="J59" s="112">
        <v>0.9</v>
      </c>
      <c r="K59" s="112">
        <v>285.52999999999997</v>
      </c>
      <c r="L59" s="112">
        <v>33.07</v>
      </c>
      <c r="M59" s="112">
        <v>50.28</v>
      </c>
      <c r="N59" s="112">
        <v>404.5</v>
      </c>
      <c r="O59" s="112">
        <v>0</v>
      </c>
      <c r="P59" s="112">
        <v>0.81</v>
      </c>
      <c r="Q59" s="167" t="s">
        <v>14</v>
      </c>
    </row>
    <row r="60" spans="1:17" customFormat="1">
      <c r="A60" s="80">
        <v>45429.541666666664</v>
      </c>
      <c r="B60" s="112">
        <v>11.35</v>
      </c>
      <c r="C60" s="112">
        <v>13.14</v>
      </c>
      <c r="D60" s="112">
        <v>25.11</v>
      </c>
      <c r="E60" s="112">
        <v>14.41</v>
      </c>
      <c r="F60" s="112">
        <v>18.61</v>
      </c>
      <c r="G60" s="112">
        <v>60.03</v>
      </c>
      <c r="H60" s="112">
        <v>25.56</v>
      </c>
      <c r="I60" s="112">
        <v>10.54</v>
      </c>
      <c r="J60" s="112">
        <v>0.61</v>
      </c>
      <c r="K60" s="112">
        <v>256.38</v>
      </c>
      <c r="L60" s="112">
        <v>34.18</v>
      </c>
      <c r="M60" s="112">
        <v>47.31</v>
      </c>
      <c r="N60" s="112">
        <v>626.4</v>
      </c>
      <c r="O60" s="112">
        <v>0</v>
      </c>
      <c r="P60" s="112">
        <v>0.8</v>
      </c>
      <c r="Q60" s="167" t="s">
        <v>14</v>
      </c>
    </row>
    <row r="61" spans="1:17" customFormat="1">
      <c r="A61" s="80">
        <v>45429.552083333336</v>
      </c>
      <c r="B61" s="112">
        <v>11.4</v>
      </c>
      <c r="C61" s="112">
        <v>13.15</v>
      </c>
      <c r="D61" s="112">
        <v>25.15</v>
      </c>
      <c r="E61" s="112">
        <v>14.56</v>
      </c>
      <c r="F61" s="112">
        <v>17.88</v>
      </c>
      <c r="G61" s="112">
        <v>53.62</v>
      </c>
      <c r="H61" s="112">
        <v>22.03</v>
      </c>
      <c r="I61" s="112">
        <v>10.6</v>
      </c>
      <c r="J61" s="112">
        <v>0.86</v>
      </c>
      <c r="K61" s="112">
        <v>267.85000000000002</v>
      </c>
      <c r="L61" s="112">
        <v>34.119999999999997</v>
      </c>
      <c r="M61" s="112">
        <v>46.27</v>
      </c>
      <c r="N61" s="112">
        <v>405.5</v>
      </c>
      <c r="O61" s="112">
        <v>0</v>
      </c>
      <c r="P61" s="112">
        <v>0.79</v>
      </c>
      <c r="Q61" s="112">
        <v>4.62</v>
      </c>
    </row>
    <row r="62" spans="1:17" customFormat="1">
      <c r="A62" s="80">
        <v>45429.5625</v>
      </c>
      <c r="B62" s="112">
        <v>11.41</v>
      </c>
      <c r="C62" s="112">
        <v>13.16</v>
      </c>
      <c r="D62" s="112">
        <v>25.17</v>
      </c>
      <c r="E62" s="112">
        <v>10.72</v>
      </c>
      <c r="F62" s="112">
        <v>17.21</v>
      </c>
      <c r="G62" s="112">
        <v>52.99</v>
      </c>
      <c r="H62" s="112">
        <v>22.03</v>
      </c>
      <c r="I62" s="112">
        <v>10.69</v>
      </c>
      <c r="J62" s="112">
        <v>0.64</v>
      </c>
      <c r="K62" s="112">
        <v>268.45999999999998</v>
      </c>
      <c r="L62" s="112">
        <v>34.33</v>
      </c>
      <c r="M62" s="112">
        <v>44.82</v>
      </c>
      <c r="N62" s="112">
        <v>404.4</v>
      </c>
      <c r="O62" s="112">
        <v>0</v>
      </c>
      <c r="P62" s="112">
        <v>0.77</v>
      </c>
      <c r="Q62" s="112">
        <v>4.6100000000000003</v>
      </c>
    </row>
    <row r="63" spans="1:17" customFormat="1">
      <c r="A63" s="80">
        <v>45429.572916666664</v>
      </c>
      <c r="B63" s="112">
        <v>11.37</v>
      </c>
      <c r="C63" s="112">
        <v>13.15</v>
      </c>
      <c r="D63" s="112">
        <v>25.13</v>
      </c>
      <c r="E63" s="112">
        <v>8.41</v>
      </c>
      <c r="F63" s="112">
        <v>16.96</v>
      </c>
      <c r="G63" s="112">
        <v>52.99</v>
      </c>
      <c r="H63" s="112">
        <v>22.03</v>
      </c>
      <c r="I63" s="112">
        <v>10.65</v>
      </c>
      <c r="J63" s="112">
        <v>0.88</v>
      </c>
      <c r="K63" s="112">
        <v>306.68</v>
      </c>
      <c r="L63" s="112">
        <v>34</v>
      </c>
      <c r="M63" s="112">
        <v>44.04</v>
      </c>
      <c r="N63" s="112">
        <v>344.8</v>
      </c>
      <c r="O63" s="112">
        <v>0</v>
      </c>
      <c r="P63" s="112">
        <v>0.76</v>
      </c>
      <c r="Q63" s="112">
        <v>4.6100000000000003</v>
      </c>
    </row>
    <row r="64" spans="1:17" customFormat="1">
      <c r="A64" s="80">
        <v>45429.583333333336</v>
      </c>
      <c r="B64" s="112">
        <v>11.39</v>
      </c>
      <c r="C64" s="112">
        <v>13.12</v>
      </c>
      <c r="D64" s="112">
        <v>25.14</v>
      </c>
      <c r="E64" s="112">
        <v>6.68</v>
      </c>
      <c r="F64" s="112">
        <v>25.83</v>
      </c>
      <c r="G64" s="112">
        <v>52.99</v>
      </c>
      <c r="H64" s="112">
        <v>22.03</v>
      </c>
      <c r="I64" s="112">
        <v>10.220000000000001</v>
      </c>
      <c r="J64" s="112">
        <v>0.56000000000000005</v>
      </c>
      <c r="K64" s="112">
        <v>312.04000000000002</v>
      </c>
      <c r="L64" s="112">
        <v>33.67</v>
      </c>
      <c r="M64" s="112">
        <v>44.43</v>
      </c>
      <c r="N64" s="112">
        <v>213.6</v>
      </c>
      <c r="O64" s="112">
        <v>0</v>
      </c>
      <c r="P64" s="112">
        <v>0.72</v>
      </c>
      <c r="Q64" s="112">
        <v>4.5999999999999996</v>
      </c>
    </row>
    <row r="65" spans="1:17" customFormat="1">
      <c r="A65" s="80">
        <v>45429.59375</v>
      </c>
      <c r="B65" s="112">
        <v>11.4</v>
      </c>
      <c r="C65" s="112">
        <v>13.09</v>
      </c>
      <c r="D65" s="112">
        <v>25.13</v>
      </c>
      <c r="E65" s="112">
        <v>8.33</v>
      </c>
      <c r="F65" s="112">
        <v>30.33</v>
      </c>
      <c r="G65" s="112">
        <v>44.61</v>
      </c>
      <c r="H65" s="112">
        <v>17.59</v>
      </c>
      <c r="I65" s="112">
        <v>9.83</v>
      </c>
      <c r="J65" s="112">
        <v>0.39</v>
      </c>
      <c r="K65" s="112">
        <v>326.97000000000003</v>
      </c>
      <c r="L65" s="112">
        <v>33.659999999999997</v>
      </c>
      <c r="M65" s="112">
        <v>43.67</v>
      </c>
      <c r="N65" s="112">
        <v>187.5</v>
      </c>
      <c r="O65" s="112">
        <v>0</v>
      </c>
      <c r="P65" s="112">
        <v>0.57999999999999996</v>
      </c>
      <c r="Q65" s="112">
        <v>4.62</v>
      </c>
    </row>
    <row r="66" spans="1:17" customFormat="1">
      <c r="A66" s="80">
        <v>45429.604166666664</v>
      </c>
      <c r="B66" s="112">
        <v>11.42</v>
      </c>
      <c r="C66" s="112">
        <v>13.07</v>
      </c>
      <c r="D66" s="112">
        <v>25.13</v>
      </c>
      <c r="E66" s="112">
        <v>8.43</v>
      </c>
      <c r="F66" s="112">
        <v>32.909999999999997</v>
      </c>
      <c r="G66" s="112">
        <v>43.9</v>
      </c>
      <c r="H66" s="112">
        <v>17.59</v>
      </c>
      <c r="I66" s="112">
        <v>9.08</v>
      </c>
      <c r="J66" s="112">
        <v>0.21</v>
      </c>
      <c r="K66" s="112">
        <v>285.63</v>
      </c>
      <c r="L66" s="112">
        <v>33.81</v>
      </c>
      <c r="M66" s="112">
        <v>44.41</v>
      </c>
      <c r="N66" s="112">
        <v>167.7</v>
      </c>
      <c r="O66" s="112">
        <v>0</v>
      </c>
      <c r="P66" s="112">
        <v>0.61</v>
      </c>
      <c r="Q66" s="112">
        <v>4.62</v>
      </c>
    </row>
    <row r="67" spans="1:17" customFormat="1">
      <c r="A67" s="80">
        <v>45429.614583333336</v>
      </c>
      <c r="B67" s="112">
        <v>11.38</v>
      </c>
      <c r="C67" s="112">
        <v>13.09</v>
      </c>
      <c r="D67" s="112">
        <v>25.11</v>
      </c>
      <c r="E67" s="112">
        <v>7.23</v>
      </c>
      <c r="F67" s="112">
        <v>29.77</v>
      </c>
      <c r="G67" s="112">
        <v>43.9</v>
      </c>
      <c r="H67" s="112">
        <v>17.59</v>
      </c>
      <c r="I67" s="112">
        <v>8.32</v>
      </c>
      <c r="J67" s="112">
        <v>0.17</v>
      </c>
      <c r="K67" s="112">
        <v>139.96</v>
      </c>
      <c r="L67" s="112">
        <v>33.85</v>
      </c>
      <c r="M67" s="112">
        <v>44.14</v>
      </c>
      <c r="N67" s="112">
        <v>110.8</v>
      </c>
      <c r="O67" s="112">
        <v>0</v>
      </c>
      <c r="P67" s="112">
        <v>0.62</v>
      </c>
      <c r="Q67" s="112">
        <v>4.62</v>
      </c>
    </row>
    <row r="68" spans="1:17" customFormat="1">
      <c r="A68" s="80">
        <v>45429.625</v>
      </c>
      <c r="B68" s="112">
        <v>11.37</v>
      </c>
      <c r="C68" s="112">
        <v>13.1</v>
      </c>
      <c r="D68" s="112">
        <v>25.11</v>
      </c>
      <c r="E68" s="112">
        <v>7.23</v>
      </c>
      <c r="F68" s="112">
        <v>41.72</v>
      </c>
      <c r="G68" s="112">
        <v>43.9</v>
      </c>
      <c r="H68" s="112">
        <v>17.59</v>
      </c>
      <c r="I68" s="112">
        <v>8.31</v>
      </c>
      <c r="J68" s="112">
        <v>0.25</v>
      </c>
      <c r="K68" s="112">
        <v>210.04</v>
      </c>
      <c r="L68" s="112">
        <v>33.549999999999997</v>
      </c>
      <c r="M68" s="112">
        <v>45.43</v>
      </c>
      <c r="N68" s="112">
        <v>108.6</v>
      </c>
      <c r="O68" s="112">
        <v>0</v>
      </c>
      <c r="P68" s="112">
        <v>0.57999999999999996</v>
      </c>
      <c r="Q68" s="112">
        <v>4.6100000000000003</v>
      </c>
    </row>
    <row r="69" spans="1:17" customFormat="1">
      <c r="A69" s="80">
        <v>45429.635416666664</v>
      </c>
      <c r="B69" s="112">
        <v>11.38</v>
      </c>
      <c r="C69" s="112">
        <v>13.09</v>
      </c>
      <c r="D69" s="112">
        <v>25.11</v>
      </c>
      <c r="E69" s="112">
        <v>8.0500000000000007</v>
      </c>
      <c r="F69" s="112">
        <v>39.11</v>
      </c>
      <c r="G69" s="112">
        <v>44.14</v>
      </c>
      <c r="H69" s="112">
        <v>17.46</v>
      </c>
      <c r="I69" s="112">
        <v>8.07</v>
      </c>
      <c r="J69" s="112">
        <v>0.18</v>
      </c>
      <c r="K69" s="112">
        <v>157.19</v>
      </c>
      <c r="L69" s="112">
        <v>33.71</v>
      </c>
      <c r="M69" s="112">
        <v>45.51</v>
      </c>
      <c r="N69" s="112">
        <v>112.8</v>
      </c>
      <c r="O69" s="112">
        <v>0</v>
      </c>
      <c r="P69" s="112">
        <v>0.54</v>
      </c>
      <c r="Q69" s="112">
        <v>4.62</v>
      </c>
    </row>
    <row r="70" spans="1:17" customFormat="1">
      <c r="A70" s="80">
        <v>45429.645833333336</v>
      </c>
      <c r="B70" s="112">
        <v>11.38</v>
      </c>
      <c r="C70" s="112">
        <v>13.07</v>
      </c>
      <c r="D70" s="112">
        <v>25.1</v>
      </c>
      <c r="E70" s="112">
        <v>7.38</v>
      </c>
      <c r="F70" s="112">
        <v>39.72</v>
      </c>
      <c r="G70" s="112">
        <v>44.16</v>
      </c>
      <c r="H70" s="112">
        <v>17.46</v>
      </c>
      <c r="I70" s="112">
        <v>7.53</v>
      </c>
      <c r="J70" s="112">
        <v>0.2</v>
      </c>
      <c r="K70" s="112">
        <v>87.02</v>
      </c>
      <c r="L70" s="112">
        <v>33.71</v>
      </c>
      <c r="M70" s="112">
        <v>44.71</v>
      </c>
      <c r="N70" s="112">
        <v>102.3</v>
      </c>
      <c r="O70" s="112">
        <v>0</v>
      </c>
      <c r="P70" s="112">
        <v>0.53</v>
      </c>
      <c r="Q70" s="112">
        <v>4.63</v>
      </c>
    </row>
    <row r="71" spans="1:17" customFormat="1">
      <c r="A71" s="80">
        <v>45429.65625</v>
      </c>
      <c r="B71" s="112">
        <v>11.37</v>
      </c>
      <c r="C71" s="112">
        <v>13.06</v>
      </c>
      <c r="D71" s="112">
        <v>25.09</v>
      </c>
      <c r="E71" s="112">
        <v>6.41</v>
      </c>
      <c r="F71" s="112">
        <v>37.42</v>
      </c>
      <c r="G71" s="112">
        <v>44.16</v>
      </c>
      <c r="H71" s="112">
        <v>17.46</v>
      </c>
      <c r="I71" s="112">
        <v>7.03</v>
      </c>
      <c r="J71" s="112">
        <v>0.17</v>
      </c>
      <c r="K71" s="112">
        <v>116.27</v>
      </c>
      <c r="L71" s="112">
        <v>33.590000000000003</v>
      </c>
      <c r="M71" s="112">
        <v>45.53</v>
      </c>
      <c r="N71" s="112">
        <v>70.7</v>
      </c>
      <c r="O71" s="112">
        <v>0</v>
      </c>
      <c r="P71" s="112">
        <v>0.52</v>
      </c>
      <c r="Q71" s="167" t="s">
        <v>14</v>
      </c>
    </row>
    <row r="72" spans="1:17" customFormat="1">
      <c r="A72" s="80">
        <v>45429.666666666664</v>
      </c>
      <c r="B72" s="112">
        <v>11.38</v>
      </c>
      <c r="C72" s="112">
        <v>13.05</v>
      </c>
      <c r="D72" s="112">
        <v>25.09</v>
      </c>
      <c r="E72" s="112">
        <v>7.27</v>
      </c>
      <c r="F72" s="112">
        <v>45.37</v>
      </c>
      <c r="G72" s="112">
        <v>44.16</v>
      </c>
      <c r="H72" s="112">
        <v>17.46</v>
      </c>
      <c r="I72" s="112">
        <v>7.05</v>
      </c>
      <c r="J72" s="112">
        <v>0.23</v>
      </c>
      <c r="K72" s="112">
        <v>184.68</v>
      </c>
      <c r="L72" s="112">
        <v>33.17</v>
      </c>
      <c r="M72" s="112">
        <v>46.78</v>
      </c>
      <c r="N72" s="112">
        <v>49.5</v>
      </c>
      <c r="O72" s="112">
        <v>0</v>
      </c>
      <c r="P72" s="112">
        <v>0.49</v>
      </c>
      <c r="Q72" s="167" t="s">
        <v>14</v>
      </c>
    </row>
    <row r="73" spans="1:17" customFormat="1">
      <c r="A73" s="80">
        <v>45429.677083333336</v>
      </c>
      <c r="B73" s="112">
        <v>11.38</v>
      </c>
      <c r="C73" s="112">
        <v>13.09</v>
      </c>
      <c r="D73" s="112">
        <v>25.11</v>
      </c>
      <c r="E73" s="112">
        <v>6.96</v>
      </c>
      <c r="F73" s="112">
        <v>49.13</v>
      </c>
      <c r="G73" s="112">
        <v>39.57</v>
      </c>
      <c r="H73" s="112">
        <v>14.62</v>
      </c>
      <c r="I73" s="112">
        <v>6.73</v>
      </c>
      <c r="J73" s="112">
        <v>0.09</v>
      </c>
      <c r="K73" s="112">
        <v>190.28</v>
      </c>
      <c r="L73" s="112">
        <v>32.9</v>
      </c>
      <c r="M73" s="112">
        <v>47.71</v>
      </c>
      <c r="N73" s="112">
        <v>43.1</v>
      </c>
      <c r="O73" s="112">
        <v>0</v>
      </c>
      <c r="P73" s="112">
        <v>0.48</v>
      </c>
      <c r="Q73" s="112">
        <v>4.62</v>
      </c>
    </row>
    <row r="74" spans="1:17" customFormat="1">
      <c r="A74" s="80">
        <v>45429.6875</v>
      </c>
      <c r="B74" s="112">
        <v>11.38</v>
      </c>
      <c r="C74" s="112">
        <v>13.09</v>
      </c>
      <c r="D74" s="112">
        <v>25.11</v>
      </c>
      <c r="E74" s="112">
        <v>7.16</v>
      </c>
      <c r="F74" s="112">
        <v>41.04</v>
      </c>
      <c r="G74" s="112">
        <v>39.18</v>
      </c>
      <c r="H74" s="112">
        <v>14.62</v>
      </c>
      <c r="I74" s="112">
        <v>6.27</v>
      </c>
      <c r="J74" s="112">
        <v>0.05</v>
      </c>
      <c r="K74" s="112">
        <v>331.82</v>
      </c>
      <c r="L74" s="112">
        <v>33.06</v>
      </c>
      <c r="M74" s="112">
        <v>46.34</v>
      </c>
      <c r="N74" s="112">
        <v>38.9</v>
      </c>
      <c r="O74" s="112">
        <v>0</v>
      </c>
      <c r="P74" s="112">
        <v>0.5</v>
      </c>
      <c r="Q74" s="112">
        <v>4.6100000000000003</v>
      </c>
    </row>
    <row r="75" spans="1:17" customFormat="1">
      <c r="A75" s="80">
        <v>45429.697916666664</v>
      </c>
      <c r="B75" s="112">
        <v>11.37</v>
      </c>
      <c r="C75" s="112">
        <v>13.11</v>
      </c>
      <c r="D75" s="112">
        <v>25.11</v>
      </c>
      <c r="E75" s="112">
        <v>7.77</v>
      </c>
      <c r="F75" s="112">
        <v>35.25</v>
      </c>
      <c r="G75" s="112">
        <v>39.18</v>
      </c>
      <c r="H75" s="112">
        <v>14.62</v>
      </c>
      <c r="I75" s="112">
        <v>6.11</v>
      </c>
      <c r="J75" s="112">
        <v>0.28000000000000003</v>
      </c>
      <c r="K75" s="112">
        <v>357.63</v>
      </c>
      <c r="L75" s="112">
        <v>33.26</v>
      </c>
      <c r="M75" s="112">
        <v>44.06</v>
      </c>
      <c r="N75" s="112">
        <v>41</v>
      </c>
      <c r="O75" s="112">
        <v>0</v>
      </c>
      <c r="P75" s="112">
        <v>0.54</v>
      </c>
      <c r="Q75" s="167" t="s">
        <v>14</v>
      </c>
    </row>
    <row r="76" spans="1:17" customFormat="1">
      <c r="A76" s="80">
        <v>45429.708333333336</v>
      </c>
      <c r="B76" s="112">
        <v>11.37</v>
      </c>
      <c r="C76" s="112">
        <v>13.09</v>
      </c>
      <c r="D76" s="112">
        <v>25.1</v>
      </c>
      <c r="E76" s="112">
        <v>7.54</v>
      </c>
      <c r="F76" s="112">
        <v>25.61</v>
      </c>
      <c r="G76" s="112">
        <v>39.18</v>
      </c>
      <c r="H76" s="112">
        <v>14.62</v>
      </c>
      <c r="I76" s="112">
        <v>6.24</v>
      </c>
      <c r="J76" s="112">
        <v>0.32</v>
      </c>
      <c r="K76" s="112">
        <v>48.33</v>
      </c>
      <c r="L76" s="112">
        <v>33.39</v>
      </c>
      <c r="M76" s="112">
        <v>44.77</v>
      </c>
      <c r="N76" s="112">
        <v>35</v>
      </c>
      <c r="O76" s="112">
        <v>0</v>
      </c>
      <c r="P76" s="112">
        <v>0.61</v>
      </c>
      <c r="Q76" s="112">
        <v>4.63</v>
      </c>
    </row>
    <row r="77" spans="1:17" customFormat="1">
      <c r="A77" s="80">
        <v>45429.71875</v>
      </c>
      <c r="B77" s="112">
        <v>11.36</v>
      </c>
      <c r="C77" s="112">
        <v>13.14</v>
      </c>
      <c r="D77" s="112">
        <v>25.12</v>
      </c>
      <c r="E77" s="112">
        <v>7.09</v>
      </c>
      <c r="F77" s="112">
        <v>31.06</v>
      </c>
      <c r="G77" s="112">
        <v>39.18</v>
      </c>
      <c r="H77" s="112">
        <v>19.57</v>
      </c>
      <c r="I77" s="112">
        <v>6.3</v>
      </c>
      <c r="J77" s="112">
        <v>0.33</v>
      </c>
      <c r="K77" s="112">
        <v>174.32</v>
      </c>
      <c r="L77" s="112">
        <v>33.299999999999997</v>
      </c>
      <c r="M77" s="112">
        <v>45.92</v>
      </c>
      <c r="N77" s="112">
        <v>30.8</v>
      </c>
      <c r="O77" s="112">
        <v>0</v>
      </c>
      <c r="P77" s="112">
        <v>0.53</v>
      </c>
      <c r="Q77" s="167" t="s">
        <v>14</v>
      </c>
    </row>
    <row r="78" spans="1:17" customFormat="1">
      <c r="A78" s="80">
        <v>45429.729166666664</v>
      </c>
      <c r="B78" s="112">
        <v>11.39</v>
      </c>
      <c r="C78" s="112">
        <v>13.15</v>
      </c>
      <c r="D78" s="112">
        <v>25.15</v>
      </c>
      <c r="E78" s="112">
        <v>7.31</v>
      </c>
      <c r="F78" s="112">
        <v>33.450000000000003</v>
      </c>
      <c r="G78" s="112">
        <v>39.18</v>
      </c>
      <c r="H78" s="112">
        <v>19.57</v>
      </c>
      <c r="I78" s="112">
        <v>6.52</v>
      </c>
      <c r="J78" s="112">
        <v>0.14000000000000001</v>
      </c>
      <c r="K78" s="112">
        <v>192.42</v>
      </c>
      <c r="L78" s="112">
        <v>33.31</v>
      </c>
      <c r="M78" s="112">
        <v>45.91</v>
      </c>
      <c r="N78" s="112">
        <v>23.9</v>
      </c>
      <c r="O78" s="112">
        <v>0</v>
      </c>
      <c r="P78" s="112">
        <v>0.5</v>
      </c>
      <c r="Q78" s="167" t="s">
        <v>14</v>
      </c>
    </row>
    <row r="79" spans="1:17" customFormat="1">
      <c r="A79" s="80">
        <v>45429.739583333336</v>
      </c>
      <c r="B79" s="112">
        <v>11.36</v>
      </c>
      <c r="C79" s="112">
        <v>13.1</v>
      </c>
      <c r="D79" s="112">
        <v>25.09</v>
      </c>
      <c r="E79" s="112">
        <v>7.37</v>
      </c>
      <c r="F79" s="112">
        <v>23.75</v>
      </c>
      <c r="G79" s="112">
        <v>39.18</v>
      </c>
      <c r="H79" s="112">
        <v>19.57</v>
      </c>
      <c r="I79" s="112">
        <v>6.72</v>
      </c>
      <c r="J79" s="112">
        <v>0.22</v>
      </c>
      <c r="K79" s="112">
        <v>185.4</v>
      </c>
      <c r="L79" s="112">
        <v>33.03</v>
      </c>
      <c r="M79" s="112">
        <v>47.17</v>
      </c>
      <c r="N79" s="112">
        <v>20.8</v>
      </c>
      <c r="O79" s="112">
        <v>0</v>
      </c>
      <c r="P79" s="112">
        <v>0.5</v>
      </c>
      <c r="Q79" s="167" t="s">
        <v>14</v>
      </c>
    </row>
    <row r="80" spans="1:17" customFormat="1">
      <c r="A80" s="80">
        <v>45429.75</v>
      </c>
      <c r="B80" s="112">
        <v>11.31</v>
      </c>
      <c r="C80" s="112">
        <v>13.1</v>
      </c>
      <c r="D80" s="112">
        <v>25.06</v>
      </c>
      <c r="E80" s="112">
        <v>7.55</v>
      </c>
      <c r="F80" s="112">
        <v>30.51</v>
      </c>
      <c r="G80" s="112">
        <v>39.18</v>
      </c>
      <c r="H80" s="112">
        <v>19.57</v>
      </c>
      <c r="I80" s="112">
        <v>6.46</v>
      </c>
      <c r="J80" s="112">
        <v>0.19</v>
      </c>
      <c r="K80" s="112">
        <v>169.91</v>
      </c>
      <c r="L80" s="112">
        <v>33.049999999999997</v>
      </c>
      <c r="M80" s="112">
        <v>47.26</v>
      </c>
      <c r="N80" s="112">
        <v>17</v>
      </c>
      <c r="O80" s="112">
        <v>0</v>
      </c>
      <c r="P80" s="112">
        <v>0.49</v>
      </c>
      <c r="Q80" s="167" t="s">
        <v>14</v>
      </c>
    </row>
    <row r="81" spans="1:17" customFormat="1">
      <c r="A81" s="80">
        <v>45429.760416666664</v>
      </c>
      <c r="B81" s="112">
        <v>11.32</v>
      </c>
      <c r="C81" s="112">
        <v>13.07</v>
      </c>
      <c r="D81" s="112">
        <v>25.05</v>
      </c>
      <c r="E81" s="112">
        <v>9.19</v>
      </c>
      <c r="F81" s="112">
        <v>23.7</v>
      </c>
      <c r="G81" s="112">
        <v>40.99</v>
      </c>
      <c r="H81" s="112">
        <v>14.43</v>
      </c>
      <c r="I81" s="112">
        <v>6.25</v>
      </c>
      <c r="J81" s="112">
        <v>0.22</v>
      </c>
      <c r="K81" s="112">
        <v>161.46</v>
      </c>
      <c r="L81" s="112">
        <v>32.81</v>
      </c>
      <c r="M81" s="112">
        <v>47.95</v>
      </c>
      <c r="N81" s="112">
        <v>3</v>
      </c>
      <c r="O81" s="112">
        <v>0</v>
      </c>
      <c r="P81" s="112">
        <v>0.5</v>
      </c>
      <c r="Q81" s="167" t="s">
        <v>14</v>
      </c>
    </row>
    <row r="82" spans="1:17" customFormat="1">
      <c r="A82" s="80">
        <v>45429.770833333336</v>
      </c>
      <c r="B82" s="112">
        <v>11.34</v>
      </c>
      <c r="C82" s="112">
        <v>13.03</v>
      </c>
      <c r="D82" s="112">
        <v>25.04</v>
      </c>
      <c r="E82" s="112">
        <v>11.17</v>
      </c>
      <c r="F82" s="112">
        <v>26.27</v>
      </c>
      <c r="G82" s="112">
        <v>41.14</v>
      </c>
      <c r="H82" s="112">
        <v>14.43</v>
      </c>
      <c r="I82" s="112">
        <v>6.33</v>
      </c>
      <c r="J82" s="112">
        <v>0.26</v>
      </c>
      <c r="K82" s="112">
        <v>233.19</v>
      </c>
      <c r="L82" s="112">
        <v>32.33</v>
      </c>
      <c r="M82" s="112">
        <v>49.6</v>
      </c>
      <c r="N82" s="112">
        <v>0</v>
      </c>
      <c r="O82" s="112">
        <v>0</v>
      </c>
      <c r="P82" s="112">
        <v>0.49</v>
      </c>
      <c r="Q82" s="167" t="s">
        <v>14</v>
      </c>
    </row>
    <row r="83" spans="1:17" customFormat="1">
      <c r="A83" s="80">
        <v>45429.78125</v>
      </c>
      <c r="B83" s="112">
        <v>11.33</v>
      </c>
      <c r="C83" s="112">
        <v>13.07</v>
      </c>
      <c r="D83" s="112">
        <v>25.06</v>
      </c>
      <c r="E83" s="112">
        <v>11.87</v>
      </c>
      <c r="F83" s="112">
        <v>17.899999999999999</v>
      </c>
      <c r="G83" s="112">
        <v>41.14</v>
      </c>
      <c r="H83" s="112">
        <v>14.43</v>
      </c>
      <c r="I83" s="112">
        <v>6.06</v>
      </c>
      <c r="J83" s="112">
        <v>0.31</v>
      </c>
      <c r="K83" s="112">
        <v>264.37</v>
      </c>
      <c r="L83" s="112">
        <v>31.48</v>
      </c>
      <c r="M83" s="112">
        <v>53.54</v>
      </c>
      <c r="N83" s="112">
        <v>0</v>
      </c>
      <c r="O83" s="112">
        <v>0</v>
      </c>
      <c r="P83" s="112">
        <v>0.51</v>
      </c>
      <c r="Q83" s="167" t="s">
        <v>14</v>
      </c>
    </row>
    <row r="84" spans="1:17" customFormat="1">
      <c r="A84" s="80">
        <v>45429.791666666664</v>
      </c>
      <c r="B84" s="112">
        <v>11.32</v>
      </c>
      <c r="C84" s="112">
        <v>13.15</v>
      </c>
      <c r="D84" s="112">
        <v>25.09</v>
      </c>
      <c r="E84" s="112">
        <v>12</v>
      </c>
      <c r="F84" s="112">
        <v>17.170000000000002</v>
      </c>
      <c r="G84" s="112">
        <v>41.14</v>
      </c>
      <c r="H84" s="112">
        <v>14.43</v>
      </c>
      <c r="I84" s="112">
        <v>6.26</v>
      </c>
      <c r="J84" s="112">
        <v>0.27</v>
      </c>
      <c r="K84" s="112">
        <v>254.27</v>
      </c>
      <c r="L84" s="112">
        <v>31.12</v>
      </c>
      <c r="M84" s="112">
        <v>55.33</v>
      </c>
      <c r="N84" s="112">
        <v>0</v>
      </c>
      <c r="O84" s="112">
        <v>0</v>
      </c>
      <c r="P84" s="112">
        <v>0.51</v>
      </c>
      <c r="Q84" s="112">
        <v>4.63</v>
      </c>
    </row>
    <row r="85" spans="1:17" customFormat="1">
      <c r="A85" s="80">
        <v>45429.802083333336</v>
      </c>
      <c r="B85" s="112">
        <v>11.32</v>
      </c>
      <c r="C85" s="112">
        <v>13.14</v>
      </c>
      <c r="D85" s="112">
        <v>25.09</v>
      </c>
      <c r="E85" s="112">
        <v>11.87</v>
      </c>
      <c r="F85" s="112">
        <v>17.23</v>
      </c>
      <c r="G85" s="112">
        <v>44.19</v>
      </c>
      <c r="H85" s="112">
        <v>18.09</v>
      </c>
      <c r="I85" s="112">
        <v>6.42</v>
      </c>
      <c r="J85" s="112">
        <v>0.52</v>
      </c>
      <c r="K85" s="112">
        <v>259.25</v>
      </c>
      <c r="L85" s="112">
        <v>30.91</v>
      </c>
      <c r="M85" s="112">
        <v>55.76</v>
      </c>
      <c r="N85" s="112">
        <v>0</v>
      </c>
      <c r="O85" s="112">
        <v>0</v>
      </c>
      <c r="P85" s="112">
        <v>0.52</v>
      </c>
      <c r="Q85" s="112">
        <v>4.5999999999999996</v>
      </c>
    </row>
    <row r="86" spans="1:17" customFormat="1">
      <c r="A86" s="80">
        <v>45429.8125</v>
      </c>
      <c r="B86" s="112">
        <v>11.3</v>
      </c>
      <c r="C86" s="112">
        <v>13.13</v>
      </c>
      <c r="D86" s="112">
        <v>25.06</v>
      </c>
      <c r="E86" s="112">
        <v>12.06</v>
      </c>
      <c r="F86" s="112">
        <v>17.11</v>
      </c>
      <c r="G86" s="112">
        <v>44.45</v>
      </c>
      <c r="H86" s="112">
        <v>18.09</v>
      </c>
      <c r="I86" s="112">
        <v>6.26</v>
      </c>
      <c r="J86" s="112">
        <v>0.25</v>
      </c>
      <c r="K86" s="112">
        <v>232.97</v>
      </c>
      <c r="L86" s="112">
        <v>30.79</v>
      </c>
      <c r="M86" s="112">
        <v>56.02</v>
      </c>
      <c r="N86" s="112">
        <v>0</v>
      </c>
      <c r="O86" s="112">
        <v>0</v>
      </c>
      <c r="P86" s="112">
        <v>0.5</v>
      </c>
      <c r="Q86" s="167" t="s">
        <v>14</v>
      </c>
    </row>
    <row r="87" spans="1:17" customFormat="1">
      <c r="A87" s="80">
        <v>45429.822916666664</v>
      </c>
      <c r="B87" s="112">
        <v>11.29</v>
      </c>
      <c r="C87" s="112">
        <v>13.11</v>
      </c>
      <c r="D87" s="112">
        <v>25.05</v>
      </c>
      <c r="E87" s="112">
        <v>11.95</v>
      </c>
      <c r="F87" s="112">
        <v>13.85</v>
      </c>
      <c r="G87" s="112">
        <v>44.45</v>
      </c>
      <c r="H87" s="112">
        <v>18.09</v>
      </c>
      <c r="I87" s="112">
        <v>6.32</v>
      </c>
      <c r="J87" s="112">
        <v>0.23</v>
      </c>
      <c r="K87" s="112">
        <v>230.07</v>
      </c>
      <c r="L87" s="112">
        <v>30.58</v>
      </c>
      <c r="M87" s="112">
        <v>57.27</v>
      </c>
      <c r="N87" s="112">
        <v>0</v>
      </c>
      <c r="O87" s="112">
        <v>0</v>
      </c>
      <c r="P87" s="112">
        <v>0.51</v>
      </c>
      <c r="Q87" s="112">
        <v>4.6399999999999997</v>
      </c>
    </row>
    <row r="88" spans="1:17" customFormat="1">
      <c r="A88" s="80">
        <v>45429.833333333336</v>
      </c>
      <c r="B88" s="112">
        <v>11.28</v>
      </c>
      <c r="C88" s="112">
        <v>13.11</v>
      </c>
      <c r="D88" s="112">
        <v>25.04</v>
      </c>
      <c r="E88" s="112">
        <v>12.58</v>
      </c>
      <c r="F88" s="112">
        <v>15.54</v>
      </c>
      <c r="G88" s="112">
        <v>44.45</v>
      </c>
      <c r="H88" s="112">
        <v>18.09</v>
      </c>
      <c r="I88" s="112">
        <v>6.27</v>
      </c>
      <c r="J88" s="112">
        <v>0.16</v>
      </c>
      <c r="K88" s="112">
        <v>194.34</v>
      </c>
      <c r="L88" s="112">
        <v>30.53</v>
      </c>
      <c r="M88" s="112">
        <v>57.45</v>
      </c>
      <c r="N88" s="112">
        <v>0</v>
      </c>
      <c r="O88" s="112">
        <v>0</v>
      </c>
      <c r="P88" s="112">
        <v>0.5</v>
      </c>
      <c r="Q88" s="167" t="s">
        <v>14</v>
      </c>
    </row>
    <row r="89" spans="1:17" customFormat="1">
      <c r="A89" s="80">
        <v>45429.84375</v>
      </c>
      <c r="B89" s="112">
        <v>11.28</v>
      </c>
      <c r="C89" s="112">
        <v>13.12</v>
      </c>
      <c r="D89" s="112">
        <v>25.05</v>
      </c>
      <c r="E89" s="112">
        <v>11.97</v>
      </c>
      <c r="F89" s="112">
        <v>14.16</v>
      </c>
      <c r="G89" s="112">
        <v>40.9</v>
      </c>
      <c r="H89" s="112">
        <v>17.22</v>
      </c>
      <c r="I89" s="112">
        <v>6.06</v>
      </c>
      <c r="J89" s="112">
        <v>0.19</v>
      </c>
      <c r="K89" s="112">
        <v>205.77</v>
      </c>
      <c r="L89" s="112">
        <v>30.16</v>
      </c>
      <c r="M89" s="112">
        <v>58.8</v>
      </c>
      <c r="N89" s="112">
        <v>0</v>
      </c>
      <c r="O89" s="112">
        <v>0</v>
      </c>
      <c r="P89" s="112">
        <v>0.5</v>
      </c>
      <c r="Q89" s="112">
        <v>4.6399999999999997</v>
      </c>
    </row>
    <row r="90" spans="1:17" customFormat="1">
      <c r="A90" s="80">
        <v>45429.854166666664</v>
      </c>
      <c r="B90" s="112">
        <v>11.29</v>
      </c>
      <c r="C90" s="112">
        <v>13.12</v>
      </c>
      <c r="D90" s="112">
        <v>25.05</v>
      </c>
      <c r="E90" s="112">
        <v>11.85</v>
      </c>
      <c r="F90" s="112">
        <v>13.6</v>
      </c>
      <c r="G90" s="112">
        <v>40.6</v>
      </c>
      <c r="H90" s="112">
        <v>17.22</v>
      </c>
      <c r="I90" s="112">
        <v>5.98</v>
      </c>
      <c r="J90" s="112">
        <v>0.18</v>
      </c>
      <c r="K90" s="112">
        <v>213.22</v>
      </c>
      <c r="L90" s="112">
        <v>30</v>
      </c>
      <c r="M90" s="112">
        <v>58.86</v>
      </c>
      <c r="N90" s="112">
        <v>0</v>
      </c>
      <c r="O90" s="112">
        <v>0</v>
      </c>
      <c r="P90" s="112">
        <v>0.49</v>
      </c>
      <c r="Q90" s="112">
        <v>4.6500000000000004</v>
      </c>
    </row>
    <row r="91" spans="1:17" customFormat="1">
      <c r="A91" s="80">
        <v>45429.864583333336</v>
      </c>
      <c r="B91" s="112">
        <v>11.29</v>
      </c>
      <c r="C91" s="112">
        <v>13.08</v>
      </c>
      <c r="D91" s="112">
        <v>25.04</v>
      </c>
      <c r="E91" s="112">
        <v>12.42</v>
      </c>
      <c r="F91" s="112">
        <v>10.64</v>
      </c>
      <c r="G91" s="112">
        <v>40.6</v>
      </c>
      <c r="H91" s="112">
        <v>17.22</v>
      </c>
      <c r="I91" s="112">
        <v>5.92</v>
      </c>
      <c r="J91" s="112">
        <v>0.31</v>
      </c>
      <c r="K91" s="112">
        <v>242.22</v>
      </c>
      <c r="L91" s="112">
        <v>29.95</v>
      </c>
      <c r="M91" s="112">
        <v>59.65</v>
      </c>
      <c r="N91" s="112">
        <v>0</v>
      </c>
      <c r="O91" s="112">
        <v>0</v>
      </c>
      <c r="P91" s="112">
        <v>0.5</v>
      </c>
      <c r="Q91" s="167" t="s">
        <v>14</v>
      </c>
    </row>
    <row r="92" spans="1:17" customFormat="1">
      <c r="A92" s="80">
        <v>45429.875</v>
      </c>
      <c r="B92" s="112">
        <v>11.29</v>
      </c>
      <c r="C92" s="112">
        <v>13.09</v>
      </c>
      <c r="D92" s="112">
        <v>25.04</v>
      </c>
      <c r="E92" s="112">
        <v>12.26</v>
      </c>
      <c r="F92" s="112">
        <v>10.35</v>
      </c>
      <c r="G92" s="112">
        <v>40.6</v>
      </c>
      <c r="H92" s="112">
        <v>17.22</v>
      </c>
      <c r="I92" s="112">
        <v>5.97</v>
      </c>
      <c r="J92" s="112">
        <v>0.42</v>
      </c>
      <c r="K92" s="112">
        <v>242.6</v>
      </c>
      <c r="L92" s="112">
        <v>29.86</v>
      </c>
      <c r="M92" s="112">
        <v>60.48</v>
      </c>
      <c r="N92" s="112">
        <v>0</v>
      </c>
      <c r="O92" s="112">
        <v>0</v>
      </c>
      <c r="P92" s="112">
        <v>0.49</v>
      </c>
      <c r="Q92" s="112">
        <v>0.14000000000000001</v>
      </c>
    </row>
    <row r="93" spans="1:17" customFormat="1">
      <c r="A93" s="80">
        <v>45429.885416666664</v>
      </c>
      <c r="B93" s="112">
        <v>11.28</v>
      </c>
      <c r="C93" s="112">
        <v>13.09</v>
      </c>
      <c r="D93" s="112">
        <v>25.03</v>
      </c>
      <c r="E93" s="112">
        <v>12.55</v>
      </c>
      <c r="F93" s="112">
        <v>8.81</v>
      </c>
      <c r="G93" s="112">
        <v>39.54</v>
      </c>
      <c r="H93" s="112">
        <v>18.28</v>
      </c>
      <c r="I93" s="112">
        <v>5.99</v>
      </c>
      <c r="J93" s="112">
        <v>0.43</v>
      </c>
      <c r="K93" s="112">
        <v>251.34</v>
      </c>
      <c r="L93" s="112">
        <v>29.86</v>
      </c>
      <c r="M93" s="112">
        <v>59.83</v>
      </c>
      <c r="N93" s="112">
        <v>0</v>
      </c>
      <c r="O93" s="112">
        <v>0</v>
      </c>
      <c r="P93" s="112">
        <v>0.49</v>
      </c>
      <c r="Q93" s="167" t="s">
        <v>14</v>
      </c>
    </row>
    <row r="94" spans="1:17" customFormat="1">
      <c r="A94" s="80">
        <v>45429.895833333336</v>
      </c>
      <c r="B94" s="112">
        <v>11.27</v>
      </c>
      <c r="C94" s="112">
        <v>13.11</v>
      </c>
      <c r="D94" s="112">
        <v>25.04</v>
      </c>
      <c r="E94" s="112">
        <v>12.4</v>
      </c>
      <c r="F94" s="112">
        <v>8.4499999999999993</v>
      </c>
      <c r="G94" s="112">
        <v>39.43</v>
      </c>
      <c r="H94" s="112">
        <v>18.28</v>
      </c>
      <c r="I94" s="112">
        <v>5.96</v>
      </c>
      <c r="J94" s="112">
        <v>0.49</v>
      </c>
      <c r="K94" s="112">
        <v>251.35</v>
      </c>
      <c r="L94" s="112">
        <v>29.71</v>
      </c>
      <c r="M94" s="112">
        <v>59.67</v>
      </c>
      <c r="N94" s="112">
        <v>0</v>
      </c>
      <c r="O94" s="112">
        <v>0</v>
      </c>
      <c r="P94" s="112">
        <v>0.49</v>
      </c>
      <c r="Q94" s="167" t="s">
        <v>14</v>
      </c>
    </row>
    <row r="95" spans="1:17" customFormat="1">
      <c r="A95" s="80">
        <v>45429.90625</v>
      </c>
      <c r="B95" s="112">
        <v>11.28</v>
      </c>
      <c r="C95" s="112">
        <v>13.1</v>
      </c>
      <c r="D95" s="112">
        <v>25.04</v>
      </c>
      <c r="E95" s="112">
        <v>12.53</v>
      </c>
      <c r="F95" s="112">
        <v>8.1999999999999993</v>
      </c>
      <c r="G95" s="112">
        <v>39.43</v>
      </c>
      <c r="H95" s="112">
        <v>18.28</v>
      </c>
      <c r="I95" s="112">
        <v>5.87</v>
      </c>
      <c r="J95" s="112">
        <v>0.46</v>
      </c>
      <c r="K95" s="112">
        <v>247.76</v>
      </c>
      <c r="L95" s="112">
        <v>29.56</v>
      </c>
      <c r="M95" s="112">
        <v>60.81</v>
      </c>
      <c r="N95" s="112">
        <v>0</v>
      </c>
      <c r="O95" s="112">
        <v>0</v>
      </c>
      <c r="P95" s="112">
        <v>0.48</v>
      </c>
      <c r="Q95" s="112">
        <v>4.62</v>
      </c>
    </row>
    <row r="96" spans="1:17" customFormat="1">
      <c r="A96" s="80">
        <v>45429.916666666664</v>
      </c>
      <c r="B96" s="112">
        <v>11.28</v>
      </c>
      <c r="C96" s="112">
        <v>13.07</v>
      </c>
      <c r="D96" s="112">
        <v>25.02</v>
      </c>
      <c r="E96" s="112">
        <v>12.54</v>
      </c>
      <c r="F96" s="112">
        <v>9.0500000000000007</v>
      </c>
      <c r="G96" s="112">
        <v>39.43</v>
      </c>
      <c r="H96" s="112">
        <v>18.28</v>
      </c>
      <c r="I96" s="112">
        <v>5.79</v>
      </c>
      <c r="J96" s="112">
        <v>0.39</v>
      </c>
      <c r="K96" s="112">
        <v>249.05</v>
      </c>
      <c r="L96" s="112">
        <v>29.27</v>
      </c>
      <c r="M96" s="112">
        <v>62.46</v>
      </c>
      <c r="N96" s="112">
        <v>0</v>
      </c>
      <c r="O96" s="112">
        <v>0</v>
      </c>
      <c r="P96" s="112">
        <v>0.47</v>
      </c>
      <c r="Q96" s="167" t="s">
        <v>14</v>
      </c>
    </row>
    <row r="97" spans="1:22" customFormat="1">
      <c r="A97" s="80">
        <v>45429.927083333336</v>
      </c>
      <c r="B97" s="112">
        <v>11.28</v>
      </c>
      <c r="C97" s="112">
        <v>13.07</v>
      </c>
      <c r="D97" s="112">
        <v>25.02</v>
      </c>
      <c r="E97" s="112">
        <v>11.77</v>
      </c>
      <c r="F97" s="112">
        <v>14.96</v>
      </c>
      <c r="G97" s="112">
        <v>30.29</v>
      </c>
      <c r="H97" s="112">
        <v>16.559999999999999</v>
      </c>
      <c r="I97" s="112">
        <v>5.69</v>
      </c>
      <c r="J97" s="112">
        <v>0.3</v>
      </c>
      <c r="K97" s="112">
        <v>239.39</v>
      </c>
      <c r="L97" s="112">
        <v>28.94</v>
      </c>
      <c r="M97" s="112">
        <v>64.09</v>
      </c>
      <c r="N97" s="112">
        <v>0</v>
      </c>
      <c r="O97" s="112">
        <v>0</v>
      </c>
      <c r="P97" s="112">
        <v>0.44</v>
      </c>
      <c r="Q97" s="112">
        <v>4.63</v>
      </c>
    </row>
    <row r="98" spans="1:22" customFormat="1">
      <c r="A98" s="80">
        <v>45429.9375</v>
      </c>
      <c r="B98" s="112">
        <v>11.33</v>
      </c>
      <c r="C98" s="112">
        <v>13.16</v>
      </c>
      <c r="D98" s="112">
        <v>25.1</v>
      </c>
      <c r="E98" s="112">
        <v>10.8</v>
      </c>
      <c r="F98" s="112">
        <v>15.06</v>
      </c>
      <c r="G98" s="112">
        <v>29.52</v>
      </c>
      <c r="H98" s="112">
        <v>16.559999999999999</v>
      </c>
      <c r="I98" s="112">
        <v>5.42</v>
      </c>
      <c r="J98" s="112">
        <v>0.26</v>
      </c>
      <c r="K98" s="112">
        <v>247.29</v>
      </c>
      <c r="L98" s="112">
        <v>28.9</v>
      </c>
      <c r="M98" s="112">
        <v>64.459999999999994</v>
      </c>
      <c r="N98" s="112">
        <v>0</v>
      </c>
      <c r="O98" s="112">
        <v>0</v>
      </c>
      <c r="P98" s="112">
        <v>0.42</v>
      </c>
      <c r="Q98" s="112">
        <v>4.6399999999999997</v>
      </c>
    </row>
    <row r="99" spans="1:22" customFormat="1">
      <c r="A99" s="80">
        <v>45429.947916666664</v>
      </c>
      <c r="B99" s="112">
        <v>11.4</v>
      </c>
      <c r="C99" s="112">
        <v>13.06</v>
      </c>
      <c r="D99" s="112">
        <v>25.11</v>
      </c>
      <c r="E99" s="112">
        <v>10.55</v>
      </c>
      <c r="F99" s="112">
        <v>15.41</v>
      </c>
      <c r="G99" s="112">
        <v>29.52</v>
      </c>
      <c r="H99" s="112">
        <v>16.559999999999999</v>
      </c>
      <c r="I99" s="112">
        <v>5.08</v>
      </c>
      <c r="J99" s="112">
        <v>0.17</v>
      </c>
      <c r="K99" s="112">
        <v>187.15</v>
      </c>
      <c r="L99" s="112">
        <v>28.74</v>
      </c>
      <c r="M99" s="112">
        <v>65.09</v>
      </c>
      <c r="N99" s="112">
        <v>0</v>
      </c>
      <c r="O99" s="112">
        <v>0</v>
      </c>
      <c r="P99" s="112">
        <v>0.4</v>
      </c>
      <c r="Q99" s="167" t="s">
        <v>14</v>
      </c>
    </row>
    <row r="100" spans="1:22" customFormat="1">
      <c r="A100" s="80">
        <v>45429.958333333336</v>
      </c>
      <c r="B100" s="112">
        <v>11.43</v>
      </c>
      <c r="C100" s="112">
        <v>13.08</v>
      </c>
      <c r="D100" s="112">
        <v>25.14</v>
      </c>
      <c r="E100" s="112">
        <v>9.92</v>
      </c>
      <c r="F100" s="112">
        <v>16.23</v>
      </c>
      <c r="G100" s="112">
        <v>29.52</v>
      </c>
      <c r="H100" s="112">
        <v>16.559999999999999</v>
      </c>
      <c r="I100" s="112">
        <v>4.91</v>
      </c>
      <c r="J100" s="112">
        <v>0.24</v>
      </c>
      <c r="K100" s="112">
        <v>231.11</v>
      </c>
      <c r="L100" s="112">
        <v>28.81</v>
      </c>
      <c r="M100" s="112">
        <v>64.89</v>
      </c>
      <c r="N100" s="112">
        <v>0</v>
      </c>
      <c r="O100" s="112">
        <v>0</v>
      </c>
      <c r="P100" s="112">
        <v>0.39</v>
      </c>
      <c r="Q100" s="167" t="s">
        <v>14</v>
      </c>
    </row>
    <row r="101" spans="1:22" customFormat="1">
      <c r="A101" s="80">
        <v>45429.96875</v>
      </c>
      <c r="B101" s="112">
        <v>11.42</v>
      </c>
      <c r="C101" s="112">
        <v>13.1</v>
      </c>
      <c r="D101" s="112">
        <v>25.15</v>
      </c>
      <c r="E101" s="112">
        <v>10.029999999999999</v>
      </c>
      <c r="F101" s="112">
        <v>13.72</v>
      </c>
      <c r="G101" s="112">
        <v>28.59</v>
      </c>
      <c r="H101" s="112">
        <v>13.37</v>
      </c>
      <c r="I101" s="112">
        <v>4.7699999999999996</v>
      </c>
      <c r="J101" s="112">
        <v>0.65</v>
      </c>
      <c r="K101" s="112">
        <v>270.70999999999998</v>
      </c>
      <c r="L101" s="112">
        <v>28.5</v>
      </c>
      <c r="M101" s="112">
        <v>66.13</v>
      </c>
      <c r="N101" s="112">
        <v>0</v>
      </c>
      <c r="O101" s="112">
        <v>0</v>
      </c>
      <c r="P101" s="112">
        <v>0.39</v>
      </c>
      <c r="Q101" s="112">
        <v>4.62</v>
      </c>
    </row>
    <row r="102" spans="1:22" customFormat="1">
      <c r="A102" s="80">
        <v>45429.979166666664</v>
      </c>
      <c r="B102" s="112">
        <v>11.38</v>
      </c>
      <c r="C102" s="112">
        <v>13.1</v>
      </c>
      <c r="D102" s="112">
        <v>25.11</v>
      </c>
      <c r="E102" s="112">
        <v>10.130000000000001</v>
      </c>
      <c r="F102" s="112">
        <v>9.34</v>
      </c>
      <c r="G102" s="112">
        <v>28.51</v>
      </c>
      <c r="H102" s="112">
        <v>13.37</v>
      </c>
      <c r="I102" s="112">
        <v>4.72</v>
      </c>
      <c r="J102" s="112">
        <v>0.83</v>
      </c>
      <c r="K102" s="112">
        <v>256.44</v>
      </c>
      <c r="L102" s="112">
        <v>28.38</v>
      </c>
      <c r="M102" s="112">
        <v>66.709999999999994</v>
      </c>
      <c r="N102" s="112">
        <v>0</v>
      </c>
      <c r="O102" s="112">
        <v>0</v>
      </c>
      <c r="P102" s="112">
        <v>0.39</v>
      </c>
      <c r="Q102" s="112">
        <v>4.6399999999999997</v>
      </c>
    </row>
    <row r="103" spans="1:22" customFormat="1">
      <c r="A103" s="80">
        <v>45429.989583333336</v>
      </c>
      <c r="B103" s="112">
        <v>11.36</v>
      </c>
      <c r="C103" s="112">
        <v>13.08</v>
      </c>
      <c r="D103" s="112">
        <v>25.09</v>
      </c>
      <c r="E103" s="112">
        <v>10.02</v>
      </c>
      <c r="F103" s="112">
        <v>11.7</v>
      </c>
      <c r="G103" s="112">
        <v>28.51</v>
      </c>
      <c r="H103" s="112">
        <v>13.37</v>
      </c>
      <c r="I103" s="112">
        <v>4.88</v>
      </c>
      <c r="J103" s="112">
        <v>0.46</v>
      </c>
      <c r="K103" s="112">
        <v>244.89</v>
      </c>
      <c r="L103" s="112">
        <v>28.49</v>
      </c>
      <c r="M103" s="112">
        <v>65.599999999999994</v>
      </c>
      <c r="N103" s="112">
        <v>0</v>
      </c>
      <c r="O103" s="112">
        <v>0</v>
      </c>
      <c r="P103" s="112">
        <v>0.37</v>
      </c>
      <c r="Q103" s="112">
        <v>4.63</v>
      </c>
    </row>
    <row r="104" spans="1:22" customFormat="1">
      <c r="A104" s="80">
        <v>45430</v>
      </c>
      <c r="B104" s="112">
        <v>11.35</v>
      </c>
      <c r="C104" s="112">
        <v>13.08</v>
      </c>
      <c r="D104" s="112">
        <v>25.08</v>
      </c>
      <c r="E104" s="112">
        <v>9.4</v>
      </c>
      <c r="F104" s="112">
        <v>12.49</v>
      </c>
      <c r="G104" s="112">
        <v>28.51</v>
      </c>
      <c r="H104" s="112">
        <v>13.37</v>
      </c>
      <c r="I104" s="112">
        <v>5.0599999999999996</v>
      </c>
      <c r="J104" s="112">
        <v>0.32</v>
      </c>
      <c r="K104" s="112">
        <v>227.67</v>
      </c>
      <c r="L104" s="112">
        <v>28.52</v>
      </c>
      <c r="M104" s="112">
        <v>65.36</v>
      </c>
      <c r="N104" s="112">
        <v>0</v>
      </c>
      <c r="O104" s="112">
        <v>0</v>
      </c>
      <c r="P104" s="112">
        <v>0.37</v>
      </c>
      <c r="Q104" s="112">
        <v>4.63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11.27</v>
      </c>
      <c r="C106" s="183">
        <f>MIN(C9:C104)</f>
        <v>12.95</v>
      </c>
      <c r="D106" s="183">
        <f t="shared" ref="D106:Q106" si="0">MIN(D9:D104)</f>
        <v>25.02</v>
      </c>
      <c r="E106" s="183">
        <f t="shared" si="0"/>
        <v>6.41</v>
      </c>
      <c r="F106" s="183">
        <f t="shared" si="0"/>
        <v>6.95</v>
      </c>
      <c r="G106" s="183">
        <f t="shared" si="0"/>
        <v>19.100000000000001</v>
      </c>
      <c r="H106" s="183">
        <f t="shared" si="0"/>
        <v>10.51</v>
      </c>
      <c r="I106" s="183">
        <f t="shared" si="0"/>
        <v>4.6100000000000003</v>
      </c>
      <c r="J106" s="183">
        <f t="shared" si="0"/>
        <v>0.05</v>
      </c>
      <c r="K106" s="183">
        <f t="shared" si="0"/>
        <v>48.33</v>
      </c>
      <c r="L106" s="183">
        <f t="shared" si="0"/>
        <v>28.38</v>
      </c>
      <c r="M106" s="183">
        <f t="shared" si="0"/>
        <v>43.67</v>
      </c>
      <c r="N106" s="183">
        <f t="shared" si="0"/>
        <v>0</v>
      </c>
      <c r="O106" s="183">
        <f t="shared" si="0"/>
        <v>0</v>
      </c>
      <c r="P106" s="183">
        <f t="shared" si="0"/>
        <v>0.37</v>
      </c>
      <c r="Q106" s="183">
        <f t="shared" si="0"/>
        <v>0.14000000000000001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11.43</v>
      </c>
      <c r="C107" s="184">
        <f t="shared" ref="C107:Q107" si="1">MAX(C9:C104)</f>
        <v>13.16</v>
      </c>
      <c r="D107" s="184">
        <f t="shared" si="1"/>
        <v>25.17</v>
      </c>
      <c r="E107" s="184">
        <f t="shared" si="1"/>
        <v>16.510000000000002</v>
      </c>
      <c r="F107" s="184">
        <f t="shared" si="1"/>
        <v>49.13</v>
      </c>
      <c r="G107" s="184">
        <f t="shared" si="1"/>
        <v>63.19</v>
      </c>
      <c r="H107" s="184">
        <f t="shared" si="1"/>
        <v>30.69</v>
      </c>
      <c r="I107" s="184">
        <f t="shared" si="1"/>
        <v>11.99</v>
      </c>
      <c r="J107" s="184">
        <f t="shared" si="1"/>
        <v>1.04</v>
      </c>
      <c r="K107" s="184">
        <f t="shared" si="1"/>
        <v>357.63</v>
      </c>
      <c r="L107" s="184">
        <f t="shared" si="1"/>
        <v>34.33</v>
      </c>
      <c r="M107" s="184">
        <f t="shared" si="1"/>
        <v>71.39</v>
      </c>
      <c r="N107" s="184">
        <f t="shared" si="1"/>
        <v>626.4</v>
      </c>
      <c r="O107" s="184">
        <f t="shared" si="1"/>
        <v>0</v>
      </c>
      <c r="P107" s="184">
        <f t="shared" si="1"/>
        <v>0.9</v>
      </c>
      <c r="Q107" s="184">
        <f t="shared" si="1"/>
        <v>4.6500000000000004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11.347187499999999</v>
      </c>
      <c r="C108" s="183">
        <f t="shared" ref="C108:Q108" si="2">AVERAGE(C9:C104)</f>
        <v>13.102187499999991</v>
      </c>
      <c r="D108" s="183">
        <f t="shared" si="2"/>
        <v>25.089062499999986</v>
      </c>
      <c r="E108" s="183">
        <f t="shared" si="2"/>
        <v>10.04447916666666</v>
      </c>
      <c r="F108" s="183">
        <f t="shared" si="2"/>
        <v>17.350833333333334</v>
      </c>
      <c r="G108" s="183">
        <f t="shared" si="2"/>
        <v>40.424062499999977</v>
      </c>
      <c r="H108" s="183">
        <f t="shared" si="2"/>
        <v>18.29958333333332</v>
      </c>
      <c r="I108" s="183">
        <f t="shared" si="2"/>
        <v>6.7232291666666661</v>
      </c>
      <c r="J108" s="183">
        <f t="shared" si="2"/>
        <v>0.45072916666666663</v>
      </c>
      <c r="K108" s="183">
        <f t="shared" si="2"/>
        <v>243.28791666666666</v>
      </c>
      <c r="L108" s="183">
        <f t="shared" si="2"/>
        <v>31.148124999999997</v>
      </c>
      <c r="M108" s="183">
        <f t="shared" si="2"/>
        <v>55.113020833333344</v>
      </c>
      <c r="N108" s="183">
        <f t="shared" si="2"/>
        <v>78.970833333333346</v>
      </c>
      <c r="O108" s="183">
        <f t="shared" si="2"/>
        <v>0</v>
      </c>
      <c r="P108" s="183">
        <f t="shared" si="2"/>
        <v>0.55916666666666648</v>
      </c>
      <c r="Q108" s="183">
        <f t="shared" si="2"/>
        <v>4.5209523809523802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3.729549500098412E-2</v>
      </c>
      <c r="C109" s="183">
        <f t="shared" ref="C109:Q109" si="3">STDEV(C9:C104)</f>
        <v>3.1395712915519056E-2</v>
      </c>
      <c r="D109" s="183">
        <f t="shared" si="3"/>
        <v>3.1592075122193621E-2</v>
      </c>
      <c r="E109" s="183">
        <f t="shared" si="3"/>
        <v>2.0377189878012518</v>
      </c>
      <c r="F109" s="183">
        <f t="shared" si="3"/>
        <v>9.5151392574002429</v>
      </c>
      <c r="G109" s="183">
        <f t="shared" si="3"/>
        <v>11.767835608187216</v>
      </c>
      <c r="H109" s="183">
        <f t="shared" si="3"/>
        <v>4.8797018711062483</v>
      </c>
      <c r="I109" s="183">
        <f t="shared" si="3"/>
        <v>2.0252680107459691</v>
      </c>
      <c r="J109" s="183">
        <f t="shared" si="3"/>
        <v>0.2611684062123687</v>
      </c>
      <c r="K109" s="183">
        <f t="shared" si="3"/>
        <v>49.708214738171087</v>
      </c>
      <c r="L109" s="183">
        <f t="shared" si="3"/>
        <v>1.6544016647783621</v>
      </c>
      <c r="M109" s="183">
        <f t="shared" si="3"/>
        <v>6.7077843419796439</v>
      </c>
      <c r="N109" s="183">
        <f t="shared" si="3"/>
        <v>119.21039421006584</v>
      </c>
      <c r="O109" s="183">
        <f t="shared" si="3"/>
        <v>0</v>
      </c>
      <c r="P109" s="183">
        <f t="shared" si="3"/>
        <v>0.13734065727362377</v>
      </c>
      <c r="Q109" s="183">
        <f t="shared" si="3"/>
        <v>0.69260487283316374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42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69" activePane="bottomRight" state="frozen"/>
      <selection activeCell="A9" sqref="A9"/>
      <selection pane="topRight" activeCell="A9" sqref="A9"/>
      <selection pane="bottomLeft" activeCell="A9" sqref="A9"/>
      <selection pane="bottomRight" activeCell="Q86" sqref="Q86:Q87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45430.010416666664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45430.010416666664</v>
      </c>
      <c r="B9" s="112">
        <v>11.26</v>
      </c>
      <c r="C9" s="112">
        <v>13.12</v>
      </c>
      <c r="D9" s="112">
        <v>25.03</v>
      </c>
      <c r="E9" s="112">
        <v>8.7899999999999991</v>
      </c>
      <c r="F9" s="112">
        <v>13.01</v>
      </c>
      <c r="G9" s="112">
        <v>24.7</v>
      </c>
      <c r="H9" s="112">
        <v>11.23</v>
      </c>
      <c r="I9" s="112">
        <v>4.8899999999999997</v>
      </c>
      <c r="J9" s="112">
        <v>0.28999999999999998</v>
      </c>
      <c r="K9" s="112">
        <v>217.33</v>
      </c>
      <c r="L9" s="112">
        <v>28.63</v>
      </c>
      <c r="M9" s="112">
        <v>64.09</v>
      </c>
      <c r="N9" s="112">
        <v>0</v>
      </c>
      <c r="O9" s="112">
        <v>0</v>
      </c>
      <c r="P9" s="112">
        <v>0.36</v>
      </c>
      <c r="Q9" s="112">
        <v>4.6399999999999997</v>
      </c>
    </row>
    <row r="10" spans="1:21" customFormat="1">
      <c r="A10" s="80">
        <v>45430.020833333336</v>
      </c>
      <c r="B10" s="112">
        <v>11.26</v>
      </c>
      <c r="C10" s="112">
        <v>13.07</v>
      </c>
      <c r="D10" s="112">
        <v>25</v>
      </c>
      <c r="E10" s="112">
        <v>9.35</v>
      </c>
      <c r="F10" s="112">
        <v>13.68</v>
      </c>
      <c r="G10" s="112">
        <v>24.38</v>
      </c>
      <c r="H10" s="112">
        <v>11.23</v>
      </c>
      <c r="I10" s="112">
        <v>4.7300000000000004</v>
      </c>
      <c r="J10" s="112">
        <v>0.33</v>
      </c>
      <c r="K10" s="112">
        <v>221.34</v>
      </c>
      <c r="L10" s="112">
        <v>28.46</v>
      </c>
      <c r="M10" s="112">
        <v>65.48</v>
      </c>
      <c r="N10" s="112">
        <v>0</v>
      </c>
      <c r="O10" s="112">
        <v>0</v>
      </c>
      <c r="P10" s="112">
        <v>0.35</v>
      </c>
      <c r="Q10" s="112">
        <v>4.6500000000000004</v>
      </c>
    </row>
    <row r="11" spans="1:21" customFormat="1">
      <c r="A11" s="80">
        <v>45430.03125</v>
      </c>
      <c r="B11" s="112">
        <v>11.25</v>
      </c>
      <c r="C11" s="112">
        <v>13.08</v>
      </c>
      <c r="D11" s="112">
        <v>25</v>
      </c>
      <c r="E11" s="112">
        <v>9.7200000000000006</v>
      </c>
      <c r="F11" s="112">
        <v>10.33</v>
      </c>
      <c r="G11" s="112">
        <v>24.38</v>
      </c>
      <c r="H11" s="112">
        <v>11.23</v>
      </c>
      <c r="I11" s="112">
        <v>4.6399999999999997</v>
      </c>
      <c r="J11" s="112">
        <v>0.63</v>
      </c>
      <c r="K11" s="112">
        <v>251.85</v>
      </c>
      <c r="L11" s="112">
        <v>28.35</v>
      </c>
      <c r="M11" s="112">
        <v>65.12</v>
      </c>
      <c r="N11" s="112">
        <v>0</v>
      </c>
      <c r="O11" s="112">
        <v>0</v>
      </c>
      <c r="P11" s="112">
        <v>0.36</v>
      </c>
      <c r="Q11" s="112">
        <v>4.6500000000000004</v>
      </c>
    </row>
    <row r="12" spans="1:21" customFormat="1">
      <c r="A12" s="80">
        <v>45430.041666666664</v>
      </c>
      <c r="B12" s="112">
        <v>11.24</v>
      </c>
      <c r="C12" s="112">
        <v>13.08</v>
      </c>
      <c r="D12" s="112">
        <v>24.99</v>
      </c>
      <c r="E12" s="112">
        <v>9.89</v>
      </c>
      <c r="F12" s="112">
        <v>8.52</v>
      </c>
      <c r="G12" s="112">
        <v>24.38</v>
      </c>
      <c r="H12" s="112">
        <v>11.23</v>
      </c>
      <c r="I12" s="112">
        <v>4.76</v>
      </c>
      <c r="J12" s="112">
        <v>0.89</v>
      </c>
      <c r="K12" s="112">
        <v>255.97</v>
      </c>
      <c r="L12" s="112">
        <v>28.08</v>
      </c>
      <c r="M12" s="112">
        <v>65.209999999999994</v>
      </c>
      <c r="N12" s="112">
        <v>0</v>
      </c>
      <c r="O12" s="112">
        <v>0</v>
      </c>
      <c r="P12" s="112">
        <v>0.36</v>
      </c>
      <c r="Q12" s="112">
        <v>4.6399999999999997</v>
      </c>
    </row>
    <row r="13" spans="1:21" customFormat="1">
      <c r="A13" s="80">
        <v>45430.052083333336</v>
      </c>
      <c r="B13" s="112">
        <v>11.26</v>
      </c>
      <c r="C13" s="112">
        <v>13.12</v>
      </c>
      <c r="D13" s="112">
        <v>25.03</v>
      </c>
      <c r="E13" s="112">
        <v>9.6199999999999992</v>
      </c>
      <c r="F13" s="112">
        <v>7.37</v>
      </c>
      <c r="G13" s="112">
        <v>20.11</v>
      </c>
      <c r="H13" s="112">
        <v>8.2100000000000009</v>
      </c>
      <c r="I13" s="112">
        <v>4.9400000000000004</v>
      </c>
      <c r="J13" s="112">
        <v>0.96</v>
      </c>
      <c r="K13" s="112">
        <v>254.45</v>
      </c>
      <c r="L13" s="112">
        <v>27.9</v>
      </c>
      <c r="M13" s="112">
        <v>66.25</v>
      </c>
      <c r="N13" s="112">
        <v>0</v>
      </c>
      <c r="O13" s="112">
        <v>0</v>
      </c>
      <c r="P13" s="112">
        <v>0.37</v>
      </c>
      <c r="Q13" s="112">
        <v>4.62</v>
      </c>
    </row>
    <row r="14" spans="1:21" customFormat="1">
      <c r="A14" s="80">
        <v>45430.0625</v>
      </c>
      <c r="B14" s="112">
        <v>11.27</v>
      </c>
      <c r="C14" s="112">
        <v>13.08</v>
      </c>
      <c r="D14" s="112">
        <v>25.02</v>
      </c>
      <c r="E14" s="112">
        <v>10.25</v>
      </c>
      <c r="F14" s="112">
        <v>7.16</v>
      </c>
      <c r="G14" s="112">
        <v>19.75</v>
      </c>
      <c r="H14" s="112">
        <v>8.2100000000000009</v>
      </c>
      <c r="I14" s="112">
        <v>4.95</v>
      </c>
      <c r="J14" s="112">
        <v>0.64</v>
      </c>
      <c r="K14" s="112">
        <v>246.67</v>
      </c>
      <c r="L14" s="112">
        <v>27.67</v>
      </c>
      <c r="M14" s="112">
        <v>67.81</v>
      </c>
      <c r="N14" s="112">
        <v>0</v>
      </c>
      <c r="O14" s="112">
        <v>0</v>
      </c>
      <c r="P14" s="112">
        <v>0.36</v>
      </c>
      <c r="Q14" s="112">
        <v>4.62</v>
      </c>
    </row>
    <row r="15" spans="1:21" customFormat="1">
      <c r="A15" s="80">
        <v>45430.072916666664</v>
      </c>
      <c r="B15" s="112">
        <v>11.27</v>
      </c>
      <c r="C15" s="112">
        <v>13.1</v>
      </c>
      <c r="D15" s="112">
        <v>25.02</v>
      </c>
      <c r="E15" s="112">
        <v>10.029999999999999</v>
      </c>
      <c r="F15" s="112">
        <v>6.84</v>
      </c>
      <c r="G15" s="112">
        <v>19.75</v>
      </c>
      <c r="H15" s="112">
        <v>8.2100000000000009</v>
      </c>
      <c r="I15" s="112">
        <v>4.93</v>
      </c>
      <c r="J15" s="112">
        <v>0.9</v>
      </c>
      <c r="K15" s="112">
        <v>254.95</v>
      </c>
      <c r="L15" s="112">
        <v>27.49</v>
      </c>
      <c r="M15" s="112">
        <v>68.84</v>
      </c>
      <c r="N15" s="112">
        <v>0</v>
      </c>
      <c r="O15" s="112">
        <v>0</v>
      </c>
      <c r="P15" s="112">
        <v>0.37</v>
      </c>
      <c r="Q15" s="112">
        <v>4.63</v>
      </c>
    </row>
    <row r="16" spans="1:21" customFormat="1">
      <c r="A16" s="80">
        <v>45430.083333333336</v>
      </c>
      <c r="B16" s="112">
        <v>11.28</v>
      </c>
      <c r="C16" s="112">
        <v>13.07</v>
      </c>
      <c r="D16" s="112">
        <v>25.01</v>
      </c>
      <c r="E16" s="112">
        <v>9.5299999999999994</v>
      </c>
      <c r="F16" s="112">
        <v>6.7</v>
      </c>
      <c r="G16" s="112">
        <v>19.75</v>
      </c>
      <c r="H16" s="112">
        <v>8.2100000000000009</v>
      </c>
      <c r="I16" s="112">
        <v>4.92</v>
      </c>
      <c r="J16" s="112">
        <v>0.67</v>
      </c>
      <c r="K16" s="112">
        <v>244.12</v>
      </c>
      <c r="L16" s="112">
        <v>27.39</v>
      </c>
      <c r="M16" s="112">
        <v>70.010000000000005</v>
      </c>
      <c r="N16" s="112">
        <v>0</v>
      </c>
      <c r="O16" s="112">
        <v>0</v>
      </c>
      <c r="P16" s="112">
        <v>0.35</v>
      </c>
      <c r="Q16" s="112">
        <v>4.63</v>
      </c>
    </row>
    <row r="17" spans="1:17" customFormat="1">
      <c r="A17" s="80">
        <v>45430.09375</v>
      </c>
      <c r="B17" s="112">
        <v>11.27</v>
      </c>
      <c r="C17" s="112">
        <v>13.09</v>
      </c>
      <c r="D17" s="112">
        <v>25.02</v>
      </c>
      <c r="E17" s="112">
        <v>9.1</v>
      </c>
      <c r="F17" s="112">
        <v>7.51</v>
      </c>
      <c r="G17" s="112">
        <v>17.5</v>
      </c>
      <c r="H17" s="112">
        <v>6.07</v>
      </c>
      <c r="I17" s="112">
        <v>4.9400000000000004</v>
      </c>
      <c r="J17" s="112">
        <v>0.56999999999999995</v>
      </c>
      <c r="K17" s="112">
        <v>263.60000000000002</v>
      </c>
      <c r="L17" s="112">
        <v>27.31</v>
      </c>
      <c r="M17" s="112">
        <v>69.84</v>
      </c>
      <c r="N17" s="112">
        <v>0</v>
      </c>
      <c r="O17" s="112">
        <v>0</v>
      </c>
      <c r="P17" s="112">
        <v>0.34</v>
      </c>
      <c r="Q17" s="112">
        <v>4.63</v>
      </c>
    </row>
    <row r="18" spans="1:17" customFormat="1">
      <c r="A18" s="80">
        <v>45430.104166666664</v>
      </c>
      <c r="B18" s="112">
        <v>11.27</v>
      </c>
      <c r="C18" s="112">
        <v>13.09</v>
      </c>
      <c r="D18" s="112">
        <v>25.02</v>
      </c>
      <c r="E18" s="112">
        <v>11.82</v>
      </c>
      <c r="F18" s="112">
        <v>7.53</v>
      </c>
      <c r="G18" s="112">
        <v>17.28</v>
      </c>
      <c r="H18" s="112">
        <v>6.07</v>
      </c>
      <c r="I18" s="112">
        <v>4.88</v>
      </c>
      <c r="J18" s="112">
        <v>0.62</v>
      </c>
      <c r="K18" s="112">
        <v>257.87</v>
      </c>
      <c r="L18" s="112">
        <v>27.26</v>
      </c>
      <c r="M18" s="112">
        <v>69.58</v>
      </c>
      <c r="N18" s="112">
        <v>0</v>
      </c>
      <c r="O18" s="112">
        <v>0</v>
      </c>
      <c r="P18" s="112">
        <v>0.33</v>
      </c>
      <c r="Q18" s="112">
        <v>4.6399999999999997</v>
      </c>
    </row>
    <row r="19" spans="1:17" customFormat="1">
      <c r="A19" s="80">
        <v>45430.114583333336</v>
      </c>
      <c r="B19" s="112">
        <v>11.25</v>
      </c>
      <c r="C19" s="112">
        <v>13.08</v>
      </c>
      <c r="D19" s="112">
        <v>25</v>
      </c>
      <c r="E19" s="112">
        <v>11.6</v>
      </c>
      <c r="F19" s="112">
        <v>6.88</v>
      </c>
      <c r="G19" s="112">
        <v>17.28</v>
      </c>
      <c r="H19" s="112">
        <v>6.07</v>
      </c>
      <c r="I19" s="112">
        <v>4.71</v>
      </c>
      <c r="J19" s="112">
        <v>0.43</v>
      </c>
      <c r="K19" s="112">
        <v>258.70999999999998</v>
      </c>
      <c r="L19" s="112">
        <v>27.3</v>
      </c>
      <c r="M19" s="112">
        <v>69.680000000000007</v>
      </c>
      <c r="N19" s="112">
        <v>0</v>
      </c>
      <c r="O19" s="112">
        <v>0</v>
      </c>
      <c r="P19" s="112">
        <v>0.33</v>
      </c>
      <c r="Q19" s="112">
        <v>4.63</v>
      </c>
    </row>
    <row r="20" spans="1:17" customFormat="1">
      <c r="A20" s="80">
        <v>45430.125</v>
      </c>
      <c r="B20" s="112">
        <v>11.24</v>
      </c>
      <c r="C20" s="112">
        <v>13.1</v>
      </c>
      <c r="D20" s="112">
        <v>25</v>
      </c>
      <c r="E20" s="112">
        <v>11.58</v>
      </c>
      <c r="F20" s="112">
        <v>6.75</v>
      </c>
      <c r="G20" s="112">
        <v>17.28</v>
      </c>
      <c r="H20" s="112">
        <v>6.07</v>
      </c>
      <c r="I20" s="112">
        <v>4.6900000000000004</v>
      </c>
      <c r="J20" s="112">
        <v>0.73</v>
      </c>
      <c r="K20" s="112">
        <v>287.77999999999997</v>
      </c>
      <c r="L20" s="112">
        <v>27.16</v>
      </c>
      <c r="M20" s="112">
        <v>69.33</v>
      </c>
      <c r="N20" s="112">
        <v>0</v>
      </c>
      <c r="O20" s="112">
        <v>0</v>
      </c>
      <c r="P20" s="112">
        <v>0.35</v>
      </c>
      <c r="Q20" s="112">
        <v>4.63</v>
      </c>
    </row>
    <row r="21" spans="1:17" customFormat="1">
      <c r="A21" s="80">
        <v>45430.135416666664</v>
      </c>
      <c r="B21" s="112">
        <v>11.24</v>
      </c>
      <c r="C21" s="112">
        <v>13.06</v>
      </c>
      <c r="D21" s="112">
        <v>24.98</v>
      </c>
      <c r="E21" s="112">
        <v>11.52</v>
      </c>
      <c r="F21" s="112">
        <v>6.37</v>
      </c>
      <c r="G21" s="112">
        <v>13.64</v>
      </c>
      <c r="H21" s="112">
        <v>5.74</v>
      </c>
      <c r="I21" s="112">
        <v>4.7</v>
      </c>
      <c r="J21" s="112">
        <v>0.76</v>
      </c>
      <c r="K21" s="112">
        <v>294.95</v>
      </c>
      <c r="L21" s="112">
        <v>27.3</v>
      </c>
      <c r="M21" s="112">
        <v>67.73</v>
      </c>
      <c r="N21" s="112">
        <v>0</v>
      </c>
      <c r="O21" s="112">
        <v>0</v>
      </c>
      <c r="P21" s="112">
        <v>0.34</v>
      </c>
      <c r="Q21" s="112">
        <v>4.6399999999999997</v>
      </c>
    </row>
    <row r="22" spans="1:17" customFormat="1">
      <c r="A22" s="80">
        <v>45430.145833333336</v>
      </c>
      <c r="B22" s="112">
        <v>11.24</v>
      </c>
      <c r="C22" s="112">
        <v>13.07</v>
      </c>
      <c r="D22" s="112">
        <v>24.98</v>
      </c>
      <c r="E22" s="112">
        <v>11.85</v>
      </c>
      <c r="F22" s="112">
        <v>5.66</v>
      </c>
      <c r="G22" s="112">
        <v>13.29</v>
      </c>
      <c r="H22" s="112">
        <v>5.74</v>
      </c>
      <c r="I22" s="112">
        <v>4.58</v>
      </c>
      <c r="J22" s="112">
        <v>0.72</v>
      </c>
      <c r="K22" s="112">
        <v>308.62</v>
      </c>
      <c r="L22" s="112">
        <v>27.53</v>
      </c>
      <c r="M22" s="112">
        <v>66.040000000000006</v>
      </c>
      <c r="N22" s="112">
        <v>0</v>
      </c>
      <c r="O22" s="112">
        <v>0</v>
      </c>
      <c r="P22" s="112">
        <v>0.34</v>
      </c>
      <c r="Q22" s="112">
        <v>4.63</v>
      </c>
    </row>
    <row r="23" spans="1:17" customFormat="1">
      <c r="A23" s="80">
        <v>45430.15625</v>
      </c>
      <c r="B23" s="112">
        <v>11.23</v>
      </c>
      <c r="C23" s="112">
        <v>13.05</v>
      </c>
      <c r="D23" s="112">
        <v>24.97</v>
      </c>
      <c r="E23" s="112">
        <v>12.16</v>
      </c>
      <c r="F23" s="112">
        <v>5.94</v>
      </c>
      <c r="G23" s="112">
        <v>13.29</v>
      </c>
      <c r="H23" s="112">
        <v>5.74</v>
      </c>
      <c r="I23" s="112">
        <v>4.51</v>
      </c>
      <c r="J23" s="112">
        <v>0.31</v>
      </c>
      <c r="K23" s="112">
        <v>248.64</v>
      </c>
      <c r="L23" s="112">
        <v>27.55</v>
      </c>
      <c r="M23" s="112">
        <v>66.569999999999993</v>
      </c>
      <c r="N23" s="112">
        <v>0</v>
      </c>
      <c r="O23" s="112">
        <v>0</v>
      </c>
      <c r="P23" s="112">
        <v>0.34</v>
      </c>
      <c r="Q23" s="112">
        <v>4.63</v>
      </c>
    </row>
    <row r="24" spans="1:17" customFormat="1">
      <c r="A24" s="80">
        <v>45430.166666666664</v>
      </c>
      <c r="B24" s="112">
        <v>11.21</v>
      </c>
      <c r="C24" s="112">
        <v>13.08</v>
      </c>
      <c r="D24" s="112">
        <v>24.96</v>
      </c>
      <c r="E24" s="112">
        <v>11.77</v>
      </c>
      <c r="F24" s="112">
        <v>5.85</v>
      </c>
      <c r="G24" s="112">
        <v>13.29</v>
      </c>
      <c r="H24" s="112">
        <v>5.74</v>
      </c>
      <c r="I24" s="112">
        <v>4.3899999999999997</v>
      </c>
      <c r="J24" s="112">
        <v>0.19</v>
      </c>
      <c r="K24" s="112">
        <v>224.42</v>
      </c>
      <c r="L24" s="112">
        <v>27.78</v>
      </c>
      <c r="M24" s="112">
        <v>65.63</v>
      </c>
      <c r="N24" s="112">
        <v>0</v>
      </c>
      <c r="O24" s="112">
        <v>0</v>
      </c>
      <c r="P24" s="112">
        <v>0.33</v>
      </c>
      <c r="Q24" s="112">
        <v>4.63</v>
      </c>
    </row>
    <row r="25" spans="1:17" customFormat="1">
      <c r="A25" s="80">
        <v>45430.177083333336</v>
      </c>
      <c r="B25" s="112">
        <v>11.2</v>
      </c>
      <c r="C25" s="112">
        <v>13.08</v>
      </c>
      <c r="D25" s="112">
        <v>24.96</v>
      </c>
      <c r="E25" s="112">
        <v>11.95</v>
      </c>
      <c r="F25" s="112">
        <v>7.17</v>
      </c>
      <c r="G25" s="112">
        <v>10.81</v>
      </c>
      <c r="H25" s="112">
        <v>4.05</v>
      </c>
      <c r="I25" s="112">
        <v>4.3099999999999996</v>
      </c>
      <c r="J25" s="112">
        <v>0.23</v>
      </c>
      <c r="K25" s="112">
        <v>200.05</v>
      </c>
      <c r="L25" s="112">
        <v>27.73</v>
      </c>
      <c r="M25" s="112">
        <v>66.239999999999995</v>
      </c>
      <c r="N25" s="112">
        <v>0</v>
      </c>
      <c r="O25" s="112">
        <v>0</v>
      </c>
      <c r="P25" s="112">
        <v>0.32</v>
      </c>
      <c r="Q25" s="112">
        <v>4.63</v>
      </c>
    </row>
    <row r="26" spans="1:17" customFormat="1">
      <c r="A26" s="80">
        <v>45430.1875</v>
      </c>
      <c r="B26" s="112">
        <v>11.22</v>
      </c>
      <c r="C26" s="112">
        <v>13.08</v>
      </c>
      <c r="D26" s="112">
        <v>24.98</v>
      </c>
      <c r="E26" s="112">
        <v>12.61</v>
      </c>
      <c r="F26" s="112">
        <v>6.11</v>
      </c>
      <c r="G26" s="112">
        <v>10.57</v>
      </c>
      <c r="H26" s="112">
        <v>4.05</v>
      </c>
      <c r="I26" s="112">
        <v>4.25</v>
      </c>
      <c r="J26" s="112">
        <v>0.14000000000000001</v>
      </c>
      <c r="K26" s="112">
        <v>182.21</v>
      </c>
      <c r="L26" s="112">
        <v>27.67</v>
      </c>
      <c r="M26" s="112">
        <v>66.260000000000005</v>
      </c>
      <c r="N26" s="112">
        <v>0</v>
      </c>
      <c r="O26" s="112">
        <v>0</v>
      </c>
      <c r="P26" s="112">
        <v>0.32</v>
      </c>
      <c r="Q26" s="112">
        <v>4.6399999999999997</v>
      </c>
    </row>
    <row r="27" spans="1:17" customFormat="1">
      <c r="A27" s="80">
        <v>45430.197916666664</v>
      </c>
      <c r="B27" s="112">
        <v>11.21</v>
      </c>
      <c r="C27" s="112">
        <v>13.08</v>
      </c>
      <c r="D27" s="112">
        <v>24.97</v>
      </c>
      <c r="E27" s="112">
        <v>12.5</v>
      </c>
      <c r="F27" s="112">
        <v>6.34</v>
      </c>
      <c r="G27" s="112">
        <v>10.57</v>
      </c>
      <c r="H27" s="112">
        <v>4.05</v>
      </c>
      <c r="I27" s="112">
        <v>4.1900000000000004</v>
      </c>
      <c r="J27" s="112">
        <v>0.18</v>
      </c>
      <c r="K27" s="112">
        <v>182.92</v>
      </c>
      <c r="L27" s="112">
        <v>27.49</v>
      </c>
      <c r="M27" s="112">
        <v>67.06</v>
      </c>
      <c r="N27" s="112">
        <v>0</v>
      </c>
      <c r="O27" s="112">
        <v>0</v>
      </c>
      <c r="P27" s="112">
        <v>0.31</v>
      </c>
      <c r="Q27" s="112">
        <v>4.6399999999999997</v>
      </c>
    </row>
    <row r="28" spans="1:17" customFormat="1">
      <c r="A28" s="80">
        <v>45430.208333333336</v>
      </c>
      <c r="B28" s="112">
        <v>11.21</v>
      </c>
      <c r="C28" s="112">
        <v>13.12</v>
      </c>
      <c r="D28" s="112">
        <v>24.99</v>
      </c>
      <c r="E28" s="112">
        <v>11.89</v>
      </c>
      <c r="F28" s="112">
        <v>5.75</v>
      </c>
      <c r="G28" s="112">
        <v>10.57</v>
      </c>
      <c r="H28" s="112">
        <v>4.05</v>
      </c>
      <c r="I28" s="112">
        <v>4.1399999999999997</v>
      </c>
      <c r="J28" s="112">
        <v>0.09</v>
      </c>
      <c r="K28" s="112">
        <v>217.28</v>
      </c>
      <c r="L28" s="112">
        <v>27.51</v>
      </c>
      <c r="M28" s="112">
        <v>67.569999999999993</v>
      </c>
      <c r="N28" s="112">
        <v>0</v>
      </c>
      <c r="O28" s="112">
        <v>0</v>
      </c>
      <c r="P28" s="112">
        <v>0.31</v>
      </c>
      <c r="Q28" s="112">
        <v>4.6500000000000004</v>
      </c>
    </row>
    <row r="29" spans="1:17" customFormat="1">
      <c r="A29" s="80">
        <v>45430.21875</v>
      </c>
      <c r="B29" s="112">
        <v>11.22</v>
      </c>
      <c r="C29" s="112">
        <v>13.15</v>
      </c>
      <c r="D29" s="112">
        <v>25.01</v>
      </c>
      <c r="E29" s="112">
        <v>12.51</v>
      </c>
      <c r="F29" s="112">
        <v>5.83</v>
      </c>
      <c r="G29" s="112">
        <v>13.21</v>
      </c>
      <c r="H29" s="112">
        <v>3.11</v>
      </c>
      <c r="I29" s="112">
        <v>4.13</v>
      </c>
      <c r="J29" s="112">
        <v>0.39</v>
      </c>
      <c r="K29" s="112">
        <v>36.01</v>
      </c>
      <c r="L29" s="112">
        <v>27.37</v>
      </c>
      <c r="M29" s="112">
        <v>67.95</v>
      </c>
      <c r="N29" s="112">
        <v>0</v>
      </c>
      <c r="O29" s="112">
        <v>0</v>
      </c>
      <c r="P29" s="112">
        <v>0.3</v>
      </c>
      <c r="Q29" s="112">
        <v>4.62</v>
      </c>
    </row>
    <row r="30" spans="1:17" customFormat="1">
      <c r="A30" s="80">
        <v>45430.229166666664</v>
      </c>
      <c r="B30" s="112">
        <v>11.23</v>
      </c>
      <c r="C30" s="112">
        <v>13.17</v>
      </c>
      <c r="D30" s="112">
        <v>25.03</v>
      </c>
      <c r="E30" s="112">
        <v>12.67</v>
      </c>
      <c r="F30" s="112">
        <v>5.0199999999999996</v>
      </c>
      <c r="G30" s="112">
        <v>13.46</v>
      </c>
      <c r="H30" s="112">
        <v>3.11</v>
      </c>
      <c r="I30" s="112">
        <v>4.1500000000000004</v>
      </c>
      <c r="J30" s="112">
        <v>0.23</v>
      </c>
      <c r="K30" s="112">
        <v>125.19</v>
      </c>
      <c r="L30" s="112">
        <v>27.56</v>
      </c>
      <c r="M30" s="112">
        <v>68.38</v>
      </c>
      <c r="N30" s="112">
        <v>0</v>
      </c>
      <c r="O30" s="112">
        <v>0</v>
      </c>
      <c r="P30" s="112">
        <v>0.3</v>
      </c>
      <c r="Q30" s="112">
        <v>4.63</v>
      </c>
    </row>
    <row r="31" spans="1:17" customFormat="1">
      <c r="A31" s="80">
        <v>45430.239583333336</v>
      </c>
      <c r="B31" s="112">
        <v>11.23</v>
      </c>
      <c r="C31" s="112">
        <v>13.12</v>
      </c>
      <c r="D31" s="112">
        <v>25.01</v>
      </c>
      <c r="E31" s="112">
        <v>12.87</v>
      </c>
      <c r="F31" s="112">
        <v>4.9000000000000004</v>
      </c>
      <c r="G31" s="112">
        <v>13.46</v>
      </c>
      <c r="H31" s="112">
        <v>3.11</v>
      </c>
      <c r="I31" s="112">
        <v>4.16</v>
      </c>
      <c r="J31" s="112">
        <v>0.17</v>
      </c>
      <c r="K31" s="112">
        <v>151.81</v>
      </c>
      <c r="L31" s="112">
        <v>27.65</v>
      </c>
      <c r="M31" s="112">
        <v>68.37</v>
      </c>
      <c r="N31" s="112">
        <v>3.3</v>
      </c>
      <c r="O31" s="112">
        <v>0</v>
      </c>
      <c r="P31" s="112">
        <v>0.3</v>
      </c>
      <c r="Q31" s="112">
        <v>4.6399999999999997</v>
      </c>
    </row>
    <row r="32" spans="1:17" customFormat="1">
      <c r="A32" s="80">
        <v>45430.25</v>
      </c>
      <c r="B32" s="112">
        <v>11.24</v>
      </c>
      <c r="C32" s="112">
        <v>13.07</v>
      </c>
      <c r="D32" s="112">
        <v>24.99</v>
      </c>
      <c r="E32" s="112">
        <v>12.99</v>
      </c>
      <c r="F32" s="112">
        <v>5.04</v>
      </c>
      <c r="G32" s="112">
        <v>13.46</v>
      </c>
      <c r="H32" s="112">
        <v>3.11</v>
      </c>
      <c r="I32" s="112">
        <v>4.17</v>
      </c>
      <c r="J32" s="112">
        <v>0.16</v>
      </c>
      <c r="K32" s="112">
        <v>174.9</v>
      </c>
      <c r="L32" s="112">
        <v>27.67</v>
      </c>
      <c r="M32" s="112">
        <v>68.790000000000006</v>
      </c>
      <c r="N32" s="112">
        <v>15.1</v>
      </c>
      <c r="O32" s="112">
        <v>0</v>
      </c>
      <c r="P32" s="112">
        <v>0.28999999999999998</v>
      </c>
      <c r="Q32" s="112">
        <v>4.62</v>
      </c>
    </row>
    <row r="33" spans="1:17" customFormat="1">
      <c r="A33" s="80">
        <v>45430.260416666664</v>
      </c>
      <c r="B33" s="112">
        <v>11.25</v>
      </c>
      <c r="C33" s="112">
        <v>13.06</v>
      </c>
      <c r="D33" s="112">
        <v>24.98</v>
      </c>
      <c r="E33" s="112">
        <v>12.87</v>
      </c>
      <c r="F33" s="112">
        <v>5.54</v>
      </c>
      <c r="G33" s="112">
        <v>10.78</v>
      </c>
      <c r="H33" s="112">
        <v>5.95</v>
      </c>
      <c r="I33" s="112">
        <v>4.1500000000000004</v>
      </c>
      <c r="J33" s="112">
        <v>0.19</v>
      </c>
      <c r="K33" s="112">
        <v>161.34</v>
      </c>
      <c r="L33" s="112">
        <v>27.77</v>
      </c>
      <c r="M33" s="112">
        <v>68.59</v>
      </c>
      <c r="N33" s="112">
        <v>12.3</v>
      </c>
      <c r="O33" s="112">
        <v>0</v>
      </c>
      <c r="P33" s="112">
        <v>0.28999999999999998</v>
      </c>
      <c r="Q33" s="112">
        <v>4.62</v>
      </c>
    </row>
    <row r="34" spans="1:17" customFormat="1">
      <c r="A34" s="80">
        <v>45430.270833333336</v>
      </c>
      <c r="B34" s="112">
        <v>11.23</v>
      </c>
      <c r="C34" s="112">
        <v>13.09</v>
      </c>
      <c r="D34" s="112">
        <v>24.99</v>
      </c>
      <c r="E34" s="112">
        <v>12.62</v>
      </c>
      <c r="F34" s="112">
        <v>5.16</v>
      </c>
      <c r="G34" s="112">
        <v>10.52</v>
      </c>
      <c r="H34" s="112">
        <v>5.95</v>
      </c>
      <c r="I34" s="112">
        <v>4.09</v>
      </c>
      <c r="J34" s="112">
        <v>0.11</v>
      </c>
      <c r="K34" s="112">
        <v>150.01</v>
      </c>
      <c r="L34" s="112">
        <v>27.69</v>
      </c>
      <c r="M34" s="112">
        <v>68.8</v>
      </c>
      <c r="N34" s="112">
        <v>13.9</v>
      </c>
      <c r="O34" s="112">
        <v>0</v>
      </c>
      <c r="P34" s="112">
        <v>0.28999999999999998</v>
      </c>
      <c r="Q34" s="112">
        <v>4.62</v>
      </c>
    </row>
    <row r="35" spans="1:17" customFormat="1">
      <c r="A35" s="80">
        <v>45430.28125</v>
      </c>
      <c r="B35" s="112">
        <v>11.24</v>
      </c>
      <c r="C35" s="112">
        <v>13.09</v>
      </c>
      <c r="D35" s="112">
        <v>25</v>
      </c>
      <c r="E35" s="112">
        <v>12.78</v>
      </c>
      <c r="F35" s="112">
        <v>5.16</v>
      </c>
      <c r="G35" s="112">
        <v>10.52</v>
      </c>
      <c r="H35" s="112">
        <v>5.95</v>
      </c>
      <c r="I35" s="112">
        <v>4.0199999999999996</v>
      </c>
      <c r="J35" s="112">
        <v>0.11</v>
      </c>
      <c r="K35" s="112">
        <v>199.65</v>
      </c>
      <c r="L35" s="112">
        <v>27.7</v>
      </c>
      <c r="M35" s="112">
        <v>69.31</v>
      </c>
      <c r="N35" s="112">
        <v>26</v>
      </c>
      <c r="O35" s="112">
        <v>0</v>
      </c>
      <c r="P35" s="112">
        <v>0.28999999999999998</v>
      </c>
      <c r="Q35" s="112">
        <v>4.63</v>
      </c>
    </row>
    <row r="36" spans="1:17" customFormat="1">
      <c r="A36" s="80">
        <v>45430.291666666664</v>
      </c>
      <c r="B36" s="112">
        <v>11.27</v>
      </c>
      <c r="C36" s="112">
        <v>13.1</v>
      </c>
      <c r="D36" s="112">
        <v>25.03</v>
      </c>
      <c r="E36" s="112">
        <v>12.6</v>
      </c>
      <c r="F36" s="112">
        <v>5.01</v>
      </c>
      <c r="G36" s="112">
        <v>10.52</v>
      </c>
      <c r="H36" s="112">
        <v>5.95</v>
      </c>
      <c r="I36" s="112">
        <v>4.03</v>
      </c>
      <c r="J36" s="112">
        <v>0.12</v>
      </c>
      <c r="K36" s="112">
        <v>236.67</v>
      </c>
      <c r="L36" s="112">
        <v>27.93</v>
      </c>
      <c r="M36" s="112">
        <v>68.53</v>
      </c>
      <c r="N36" s="112">
        <v>41.5</v>
      </c>
      <c r="O36" s="112">
        <v>0</v>
      </c>
      <c r="P36" s="112">
        <v>0.28999999999999998</v>
      </c>
      <c r="Q36" s="112">
        <v>4.62</v>
      </c>
    </row>
    <row r="37" spans="1:17" customFormat="1">
      <c r="A37" s="80">
        <v>45430.302083333336</v>
      </c>
      <c r="B37" s="112">
        <v>11.3</v>
      </c>
      <c r="C37" s="112">
        <v>13.05</v>
      </c>
      <c r="D37" s="112">
        <v>25.02</v>
      </c>
      <c r="E37" s="112">
        <v>12.9</v>
      </c>
      <c r="F37" s="112">
        <v>5.66</v>
      </c>
      <c r="G37" s="112">
        <v>10.77</v>
      </c>
      <c r="H37" s="112">
        <v>4.32</v>
      </c>
      <c r="I37" s="112">
        <v>4.0199999999999996</v>
      </c>
      <c r="J37" s="112">
        <v>0.11</v>
      </c>
      <c r="K37" s="112">
        <v>203.08</v>
      </c>
      <c r="L37" s="112">
        <v>28.25</v>
      </c>
      <c r="M37" s="112">
        <v>67.94</v>
      </c>
      <c r="N37" s="112">
        <v>69.7</v>
      </c>
      <c r="O37" s="112">
        <v>0</v>
      </c>
      <c r="P37" s="112">
        <v>0.3</v>
      </c>
      <c r="Q37" s="112">
        <v>4.62</v>
      </c>
    </row>
    <row r="38" spans="1:17" customFormat="1">
      <c r="A38" s="80">
        <v>45430.3125</v>
      </c>
      <c r="B38" s="112">
        <v>11.26</v>
      </c>
      <c r="C38" s="112">
        <v>13.08</v>
      </c>
      <c r="D38" s="112">
        <v>25.01</v>
      </c>
      <c r="E38" s="112">
        <v>12.86</v>
      </c>
      <c r="F38" s="112">
        <v>5.36</v>
      </c>
      <c r="G38" s="112">
        <v>10.8</v>
      </c>
      <c r="H38" s="112">
        <v>4.32</v>
      </c>
      <c r="I38" s="112">
        <v>4.08</v>
      </c>
      <c r="J38" s="112">
        <v>0.16</v>
      </c>
      <c r="K38" s="112">
        <v>266.52999999999997</v>
      </c>
      <c r="L38" s="112">
        <v>28.4</v>
      </c>
      <c r="M38" s="112">
        <v>66.98</v>
      </c>
      <c r="N38" s="112">
        <v>91.5</v>
      </c>
      <c r="O38" s="112">
        <v>0</v>
      </c>
      <c r="P38" s="112">
        <v>0.3</v>
      </c>
      <c r="Q38" s="112">
        <v>4.5999999999999996</v>
      </c>
    </row>
    <row r="39" spans="1:17" customFormat="1">
      <c r="A39" s="80">
        <v>45430.322916666664</v>
      </c>
      <c r="B39" s="112">
        <v>11.29</v>
      </c>
      <c r="C39" s="112">
        <v>13.11</v>
      </c>
      <c r="D39" s="112">
        <v>25.04</v>
      </c>
      <c r="E39" s="112">
        <v>12.76</v>
      </c>
      <c r="F39" s="112">
        <v>7.57</v>
      </c>
      <c r="G39" s="112">
        <v>10.8</v>
      </c>
      <c r="H39" s="112">
        <v>4.32</v>
      </c>
      <c r="I39" s="112">
        <v>4.1900000000000004</v>
      </c>
      <c r="J39" s="112">
        <v>0.08</v>
      </c>
      <c r="K39" s="112">
        <v>178.23</v>
      </c>
      <c r="L39" s="112">
        <v>28.71</v>
      </c>
      <c r="M39" s="112">
        <v>65.53</v>
      </c>
      <c r="N39" s="112">
        <v>103.8</v>
      </c>
      <c r="O39" s="112">
        <v>0</v>
      </c>
      <c r="P39" s="112">
        <v>0.31</v>
      </c>
      <c r="Q39" s="112">
        <v>4.6100000000000003</v>
      </c>
    </row>
    <row r="40" spans="1:17" customFormat="1">
      <c r="A40" s="80">
        <v>45430.333333333336</v>
      </c>
      <c r="B40" s="112">
        <v>11.31</v>
      </c>
      <c r="C40" s="112">
        <v>13.08</v>
      </c>
      <c r="D40" s="112">
        <v>25.04</v>
      </c>
      <c r="E40" s="112">
        <v>12.18</v>
      </c>
      <c r="F40" s="112">
        <v>10.130000000000001</v>
      </c>
      <c r="G40" s="112">
        <v>10.8</v>
      </c>
      <c r="H40" s="112">
        <v>4.32</v>
      </c>
      <c r="I40" s="112">
        <v>4.22</v>
      </c>
      <c r="J40" s="112">
        <v>0.08</v>
      </c>
      <c r="K40" s="112">
        <v>283.47000000000003</v>
      </c>
      <c r="L40" s="112">
        <v>28.86</v>
      </c>
      <c r="M40" s="112">
        <v>65.489999999999995</v>
      </c>
      <c r="N40" s="112">
        <v>105.3</v>
      </c>
      <c r="O40" s="112">
        <v>0</v>
      </c>
      <c r="P40" s="112">
        <v>0.28999999999999998</v>
      </c>
      <c r="Q40" s="112">
        <v>4.63</v>
      </c>
    </row>
    <row r="41" spans="1:17" customFormat="1">
      <c r="A41" s="80">
        <v>45430.34375</v>
      </c>
      <c r="B41" s="112">
        <v>11.3</v>
      </c>
      <c r="C41" s="112">
        <v>13.1</v>
      </c>
      <c r="D41" s="112">
        <v>25.05</v>
      </c>
      <c r="E41" s="112">
        <v>10.83</v>
      </c>
      <c r="F41" s="112">
        <v>11.59</v>
      </c>
      <c r="G41" s="112">
        <v>14.29</v>
      </c>
      <c r="H41" s="112">
        <v>3.18</v>
      </c>
      <c r="I41" s="112">
        <v>4.13</v>
      </c>
      <c r="J41" s="112">
        <v>0.06</v>
      </c>
      <c r="K41" s="112">
        <v>358.5</v>
      </c>
      <c r="L41" s="112">
        <v>29.1</v>
      </c>
      <c r="M41" s="112">
        <v>64.52</v>
      </c>
      <c r="N41" s="112">
        <v>130.80000000000001</v>
      </c>
      <c r="O41" s="112">
        <v>0</v>
      </c>
      <c r="P41" s="112">
        <v>0.27</v>
      </c>
      <c r="Q41" s="112">
        <v>4.6399999999999997</v>
      </c>
    </row>
    <row r="42" spans="1:17" customFormat="1">
      <c r="A42" s="80">
        <v>45430.354166666664</v>
      </c>
      <c r="B42" s="112">
        <v>11.35</v>
      </c>
      <c r="C42" s="112">
        <v>13.09</v>
      </c>
      <c r="D42" s="112">
        <v>25.09</v>
      </c>
      <c r="E42" s="112">
        <v>11.32</v>
      </c>
      <c r="F42" s="112">
        <v>12.82</v>
      </c>
      <c r="G42" s="112">
        <v>14.63</v>
      </c>
      <c r="H42" s="112">
        <v>3.18</v>
      </c>
      <c r="I42" s="112">
        <v>3.99</v>
      </c>
      <c r="J42" s="112">
        <v>0.14000000000000001</v>
      </c>
      <c r="K42" s="112">
        <v>221.72</v>
      </c>
      <c r="L42" s="112">
        <v>29.36</v>
      </c>
      <c r="M42" s="112">
        <v>63.04</v>
      </c>
      <c r="N42" s="112">
        <v>164.1</v>
      </c>
      <c r="O42" s="112">
        <v>0</v>
      </c>
      <c r="P42" s="112">
        <v>0.26</v>
      </c>
      <c r="Q42" s="112">
        <v>4.6500000000000004</v>
      </c>
    </row>
    <row r="43" spans="1:17" customFormat="1">
      <c r="A43" s="80">
        <v>45430.364583333336</v>
      </c>
      <c r="B43" s="112">
        <v>11.34</v>
      </c>
      <c r="C43" s="112">
        <v>13.08</v>
      </c>
      <c r="D43" s="112">
        <v>25.07</v>
      </c>
      <c r="E43" s="112">
        <v>11.45</v>
      </c>
      <c r="F43" s="112">
        <v>12.88</v>
      </c>
      <c r="G43" s="112">
        <v>14.63</v>
      </c>
      <c r="H43" s="112">
        <v>3.18</v>
      </c>
      <c r="I43" s="112">
        <v>3.95</v>
      </c>
      <c r="J43" s="112">
        <v>0.4</v>
      </c>
      <c r="K43" s="112">
        <v>82.03</v>
      </c>
      <c r="L43" s="112">
        <v>29.72</v>
      </c>
      <c r="M43" s="112">
        <v>61.65</v>
      </c>
      <c r="N43" s="112">
        <v>167.3</v>
      </c>
      <c r="O43" s="112">
        <v>0</v>
      </c>
      <c r="P43" s="112">
        <v>0.26</v>
      </c>
      <c r="Q43" s="112">
        <v>4.6500000000000004</v>
      </c>
    </row>
    <row r="44" spans="1:17" customFormat="1">
      <c r="A44" s="80">
        <v>45430.375</v>
      </c>
      <c r="B44" s="112">
        <v>11.3</v>
      </c>
      <c r="C44" s="112">
        <v>13.08</v>
      </c>
      <c r="D44" s="112">
        <v>25.04</v>
      </c>
      <c r="E44" s="112">
        <v>11.22</v>
      </c>
      <c r="F44" s="112">
        <v>13.22</v>
      </c>
      <c r="G44" s="112">
        <v>14.63</v>
      </c>
      <c r="H44" s="112">
        <v>3.18</v>
      </c>
      <c r="I44" s="112">
        <v>3.95</v>
      </c>
      <c r="J44" s="112">
        <v>0.26</v>
      </c>
      <c r="K44" s="112">
        <v>246.54</v>
      </c>
      <c r="L44" s="112">
        <v>29.71</v>
      </c>
      <c r="M44" s="112">
        <v>61.74</v>
      </c>
      <c r="N44" s="112">
        <v>176.2</v>
      </c>
      <c r="O44" s="112">
        <v>0</v>
      </c>
      <c r="P44" s="112">
        <v>0.26</v>
      </c>
      <c r="Q44" s="112">
        <v>4.63</v>
      </c>
    </row>
    <row r="45" spans="1:17" customFormat="1">
      <c r="A45" s="80">
        <v>45430.385416666664</v>
      </c>
      <c r="B45" s="112">
        <v>11.3</v>
      </c>
      <c r="C45" s="112">
        <v>13.11</v>
      </c>
      <c r="D45" s="112">
        <v>25.05</v>
      </c>
      <c r="E45" s="112">
        <v>10.89</v>
      </c>
      <c r="F45" s="112">
        <v>14.93</v>
      </c>
      <c r="G45" s="112">
        <v>11.91</v>
      </c>
      <c r="H45" s="112">
        <v>3.59</v>
      </c>
      <c r="I45" s="112">
        <v>3.96</v>
      </c>
      <c r="J45" s="112">
        <v>0.19</v>
      </c>
      <c r="K45" s="112">
        <v>188.21</v>
      </c>
      <c r="L45" s="112">
        <v>30.15</v>
      </c>
      <c r="M45" s="112">
        <v>60.1</v>
      </c>
      <c r="N45" s="112">
        <v>141.6</v>
      </c>
      <c r="O45" s="112">
        <v>0</v>
      </c>
      <c r="P45" s="112">
        <v>0.25</v>
      </c>
      <c r="Q45" s="112">
        <v>4.6399999999999997</v>
      </c>
    </row>
    <row r="46" spans="1:17" customFormat="1">
      <c r="A46" s="80">
        <v>45430.395833333336</v>
      </c>
      <c r="B46" s="112">
        <v>11.28</v>
      </c>
      <c r="C46" s="112">
        <v>13.14</v>
      </c>
      <c r="D46" s="112">
        <v>25.06</v>
      </c>
      <c r="E46" s="112">
        <v>10.85</v>
      </c>
      <c r="F46" s="112">
        <v>12.93</v>
      </c>
      <c r="G46" s="112">
        <v>11.68</v>
      </c>
      <c r="H46" s="112">
        <v>3.59</v>
      </c>
      <c r="I46" s="112">
        <v>3.94</v>
      </c>
      <c r="J46" s="112">
        <v>0.17</v>
      </c>
      <c r="K46" s="112">
        <v>185.05</v>
      </c>
      <c r="L46" s="112">
        <v>30.14</v>
      </c>
      <c r="M46" s="112">
        <v>60.38</v>
      </c>
      <c r="N46" s="112">
        <v>153.80000000000001</v>
      </c>
      <c r="O46" s="112">
        <v>0</v>
      </c>
      <c r="P46" s="112">
        <v>0.24</v>
      </c>
      <c r="Q46" s="112">
        <v>4.6399999999999997</v>
      </c>
    </row>
    <row r="47" spans="1:17" customFormat="1">
      <c r="A47" s="80">
        <v>45430.40625</v>
      </c>
      <c r="B47" s="112">
        <v>11.32</v>
      </c>
      <c r="C47" s="112">
        <v>13.12</v>
      </c>
      <c r="D47" s="112">
        <v>25.07</v>
      </c>
      <c r="E47" s="112">
        <v>10.99</v>
      </c>
      <c r="F47" s="112">
        <v>15.05</v>
      </c>
      <c r="G47" s="112">
        <v>11.68</v>
      </c>
      <c r="H47" s="112">
        <v>3.59</v>
      </c>
      <c r="I47" s="112">
        <v>3.93</v>
      </c>
      <c r="J47" s="112">
        <v>0.17</v>
      </c>
      <c r="K47" s="112">
        <v>167.02</v>
      </c>
      <c r="L47" s="112">
        <v>30.64</v>
      </c>
      <c r="M47" s="112">
        <v>58.85</v>
      </c>
      <c r="N47" s="112">
        <v>164.6</v>
      </c>
      <c r="O47" s="112">
        <v>0</v>
      </c>
      <c r="P47" s="112">
        <v>0.26</v>
      </c>
      <c r="Q47" s="112">
        <v>4.6500000000000004</v>
      </c>
    </row>
    <row r="48" spans="1:17" customFormat="1">
      <c r="A48" s="80">
        <v>45430.416666666664</v>
      </c>
      <c r="B48" s="112">
        <v>11.33</v>
      </c>
      <c r="C48" s="112">
        <v>13.08</v>
      </c>
      <c r="D48" s="112">
        <v>25.07</v>
      </c>
      <c r="E48" s="112">
        <v>11.14</v>
      </c>
      <c r="F48" s="112">
        <v>14.63</v>
      </c>
      <c r="G48" s="112">
        <v>11.68</v>
      </c>
      <c r="H48" s="112">
        <v>3.59</v>
      </c>
      <c r="I48" s="112">
        <v>3.97</v>
      </c>
      <c r="J48" s="112">
        <v>0.25</v>
      </c>
      <c r="K48" s="112">
        <v>142.80000000000001</v>
      </c>
      <c r="L48" s="112">
        <v>30.66</v>
      </c>
      <c r="M48" s="112">
        <v>58.12</v>
      </c>
      <c r="N48" s="112">
        <v>177.4</v>
      </c>
      <c r="O48" s="112">
        <v>0</v>
      </c>
      <c r="P48" s="112">
        <v>0.25</v>
      </c>
      <c r="Q48" s="112">
        <v>4.63</v>
      </c>
    </row>
    <row r="49" spans="1:17" customFormat="1">
      <c r="A49" s="80">
        <v>45430.427083333336</v>
      </c>
      <c r="B49" s="112">
        <v>11.33</v>
      </c>
      <c r="C49" s="112">
        <v>13.08</v>
      </c>
      <c r="D49" s="112">
        <v>25.07</v>
      </c>
      <c r="E49" s="112">
        <v>7.82</v>
      </c>
      <c r="F49" s="112">
        <v>11.87</v>
      </c>
      <c r="G49" s="112">
        <v>14.92</v>
      </c>
      <c r="H49" s="112">
        <v>6.04</v>
      </c>
      <c r="I49" s="112">
        <v>3.97</v>
      </c>
      <c r="J49" s="112">
        <v>0.24</v>
      </c>
      <c r="K49" s="112">
        <v>115.25</v>
      </c>
      <c r="L49" s="112">
        <v>30.96</v>
      </c>
      <c r="M49" s="112">
        <v>58.14</v>
      </c>
      <c r="N49" s="112">
        <v>213.3</v>
      </c>
      <c r="O49" s="112">
        <v>0</v>
      </c>
      <c r="P49" s="112">
        <v>0.25</v>
      </c>
      <c r="Q49" s="112">
        <v>0.19</v>
      </c>
    </row>
    <row r="50" spans="1:17" customFormat="1">
      <c r="A50" s="80">
        <v>45430.4375</v>
      </c>
      <c r="B50" s="112">
        <v>11.34</v>
      </c>
      <c r="C50" s="112">
        <v>13.1</v>
      </c>
      <c r="D50" s="112">
        <v>25.08</v>
      </c>
      <c r="E50" s="112">
        <v>9.32</v>
      </c>
      <c r="F50" s="112">
        <v>14.41</v>
      </c>
      <c r="G50" s="112">
        <v>15.19</v>
      </c>
      <c r="H50" s="112">
        <v>6.04</v>
      </c>
      <c r="I50" s="112">
        <v>3.98</v>
      </c>
      <c r="J50" s="112">
        <v>0.22</v>
      </c>
      <c r="K50" s="112">
        <v>241.59</v>
      </c>
      <c r="L50" s="112">
        <v>31.36</v>
      </c>
      <c r="M50" s="112">
        <v>56.75</v>
      </c>
      <c r="N50" s="112">
        <v>280.39999999999998</v>
      </c>
      <c r="O50" s="112">
        <v>0</v>
      </c>
      <c r="P50" s="112">
        <v>0.25</v>
      </c>
      <c r="Q50" s="112">
        <v>4.63</v>
      </c>
    </row>
    <row r="51" spans="1:17" customFormat="1">
      <c r="A51" s="80">
        <v>45430.447916666664</v>
      </c>
      <c r="B51" s="112">
        <v>11.32</v>
      </c>
      <c r="C51" s="112">
        <v>13.08</v>
      </c>
      <c r="D51" s="112">
        <v>25.05</v>
      </c>
      <c r="E51" s="112">
        <v>9.15</v>
      </c>
      <c r="F51" s="112">
        <v>14.08</v>
      </c>
      <c r="G51" s="112">
        <v>15.19</v>
      </c>
      <c r="H51" s="112">
        <v>6.04</v>
      </c>
      <c r="I51" s="112">
        <v>3.98</v>
      </c>
      <c r="J51" s="112">
        <v>0.46</v>
      </c>
      <c r="K51" s="112">
        <v>254.58</v>
      </c>
      <c r="L51" s="112">
        <v>31.4</v>
      </c>
      <c r="M51" s="112">
        <v>57.2</v>
      </c>
      <c r="N51" s="112">
        <v>349.2</v>
      </c>
      <c r="O51" s="112">
        <v>0</v>
      </c>
      <c r="P51" s="112">
        <v>0.25</v>
      </c>
      <c r="Q51" s="112">
        <v>4.6399999999999997</v>
      </c>
    </row>
    <row r="52" spans="1:17" customFormat="1">
      <c r="A52" s="80">
        <v>45430.458333333336</v>
      </c>
      <c r="B52" s="112">
        <v>11.31</v>
      </c>
      <c r="C52" s="112">
        <v>13.1</v>
      </c>
      <c r="D52" s="112">
        <v>25.05</v>
      </c>
      <c r="E52" s="112">
        <v>8.7799999999999994</v>
      </c>
      <c r="F52" s="112">
        <v>15.88</v>
      </c>
      <c r="G52" s="112">
        <v>15.19</v>
      </c>
      <c r="H52" s="112">
        <v>6.04</v>
      </c>
      <c r="I52" s="112">
        <v>3.93</v>
      </c>
      <c r="J52" s="112">
        <v>0.63</v>
      </c>
      <c r="K52" s="112">
        <v>276.10000000000002</v>
      </c>
      <c r="L52" s="112">
        <v>31.92</v>
      </c>
      <c r="M52" s="112">
        <v>55.94</v>
      </c>
      <c r="N52" s="112">
        <v>345.2</v>
      </c>
      <c r="O52" s="112">
        <v>0</v>
      </c>
      <c r="P52" s="112">
        <v>0.26</v>
      </c>
      <c r="Q52" s="112">
        <v>4.63</v>
      </c>
    </row>
    <row r="53" spans="1:17" customFormat="1">
      <c r="A53" s="80">
        <v>45430.46875</v>
      </c>
      <c r="B53" s="112">
        <v>11.31</v>
      </c>
      <c r="C53" s="112">
        <v>13.1</v>
      </c>
      <c r="D53" s="112">
        <v>25.05</v>
      </c>
      <c r="E53" s="112">
        <v>8.4</v>
      </c>
      <c r="F53" s="112">
        <v>15.45</v>
      </c>
      <c r="G53" s="112">
        <v>14.77</v>
      </c>
      <c r="H53" s="112">
        <v>4.38</v>
      </c>
      <c r="I53" s="112">
        <v>3.93</v>
      </c>
      <c r="J53" s="112">
        <v>0.63</v>
      </c>
      <c r="K53" s="112">
        <v>265.70999999999998</v>
      </c>
      <c r="L53" s="112">
        <v>32.049999999999997</v>
      </c>
      <c r="M53" s="112">
        <v>55.9</v>
      </c>
      <c r="N53" s="112">
        <v>304.39999999999998</v>
      </c>
      <c r="O53" s="112">
        <v>0</v>
      </c>
      <c r="P53" s="112">
        <v>0.26</v>
      </c>
      <c r="Q53" s="112">
        <v>4.6399999999999997</v>
      </c>
    </row>
    <row r="54" spans="1:17" customFormat="1">
      <c r="A54" s="80">
        <v>45430.479166666664</v>
      </c>
      <c r="B54" s="112">
        <v>11.32</v>
      </c>
      <c r="C54" s="112">
        <v>13.11</v>
      </c>
      <c r="D54" s="112">
        <v>25.07</v>
      </c>
      <c r="E54" s="112">
        <v>9.1</v>
      </c>
      <c r="F54" s="112">
        <v>16.649999999999999</v>
      </c>
      <c r="G54" s="112">
        <v>14.74</v>
      </c>
      <c r="H54" s="112">
        <v>4.38</v>
      </c>
      <c r="I54" s="112">
        <v>4.0199999999999996</v>
      </c>
      <c r="J54" s="112">
        <v>-0.57999999999999996</v>
      </c>
      <c r="K54" s="112">
        <v>-0.02</v>
      </c>
      <c r="L54" s="112">
        <v>31.79</v>
      </c>
      <c r="M54" s="112">
        <v>56.92</v>
      </c>
      <c r="N54" s="112">
        <v>214.7</v>
      </c>
      <c r="O54" s="112">
        <v>0</v>
      </c>
      <c r="P54" s="112">
        <v>0.26</v>
      </c>
      <c r="Q54" s="112">
        <v>4.62</v>
      </c>
    </row>
    <row r="55" spans="1:17" customFormat="1">
      <c r="A55" s="80">
        <v>45430.489583333336</v>
      </c>
      <c r="B55" s="173" t="s">
        <v>15</v>
      </c>
      <c r="C55" s="173" t="s">
        <v>15</v>
      </c>
      <c r="D55" s="173" t="s">
        <v>15</v>
      </c>
      <c r="E55" s="173" t="s">
        <v>15</v>
      </c>
      <c r="F55" s="112">
        <v>27.19</v>
      </c>
      <c r="G55" s="112">
        <v>14.74</v>
      </c>
      <c r="H55" s="112">
        <v>4.38</v>
      </c>
      <c r="I55" s="173" t="s">
        <v>15</v>
      </c>
      <c r="J55" s="112">
        <v>0.47</v>
      </c>
      <c r="K55" s="112">
        <v>239.2</v>
      </c>
      <c r="L55" s="112">
        <v>31.59</v>
      </c>
      <c r="M55" s="112">
        <v>58.07</v>
      </c>
      <c r="N55" s="112">
        <v>199.6</v>
      </c>
      <c r="O55" s="112">
        <v>0</v>
      </c>
      <c r="P55" s="112">
        <v>0.27</v>
      </c>
      <c r="Q55" s="167" t="s">
        <v>14</v>
      </c>
    </row>
    <row r="56" spans="1:17" customFormat="1">
      <c r="A56" s="80">
        <v>45430.5</v>
      </c>
      <c r="B56" s="112">
        <v>11.32</v>
      </c>
      <c r="C56" s="112">
        <v>12.97</v>
      </c>
      <c r="D56" s="112">
        <v>25</v>
      </c>
      <c r="E56" s="112">
        <v>12.29</v>
      </c>
      <c r="F56" s="112">
        <v>12.57</v>
      </c>
      <c r="G56" s="112">
        <v>14.74</v>
      </c>
      <c r="H56" s="112">
        <v>4.38</v>
      </c>
      <c r="I56" s="173" t="s">
        <v>15</v>
      </c>
      <c r="J56" s="112">
        <v>0.41</v>
      </c>
      <c r="K56" s="112">
        <v>239.4</v>
      </c>
      <c r="L56" s="112">
        <v>32</v>
      </c>
      <c r="M56" s="112">
        <v>56.5</v>
      </c>
      <c r="N56" s="112">
        <v>225.8</v>
      </c>
      <c r="O56" s="112">
        <v>0</v>
      </c>
      <c r="P56" s="112">
        <v>0.4</v>
      </c>
      <c r="Q56" s="112">
        <v>4.71</v>
      </c>
    </row>
    <row r="57" spans="1:17" customFormat="1">
      <c r="A57" s="80">
        <v>45430.510416666664</v>
      </c>
      <c r="B57" s="112">
        <v>11.06</v>
      </c>
      <c r="C57" s="112">
        <v>13.03</v>
      </c>
      <c r="D57" s="112">
        <v>24.82</v>
      </c>
      <c r="E57" s="112">
        <v>11.17</v>
      </c>
      <c r="F57" s="112">
        <v>11.76</v>
      </c>
      <c r="G57" s="112">
        <v>18.16</v>
      </c>
      <c r="H57" s="112">
        <v>6.19</v>
      </c>
      <c r="I57" s="112">
        <v>2.34</v>
      </c>
      <c r="J57" s="112">
        <v>0.71</v>
      </c>
      <c r="K57" s="112">
        <v>258.2</v>
      </c>
      <c r="L57" s="112">
        <v>31.91</v>
      </c>
      <c r="M57" s="112">
        <v>56.32</v>
      </c>
      <c r="N57" s="112">
        <v>402.1</v>
      </c>
      <c r="O57" s="112">
        <v>0</v>
      </c>
      <c r="P57" s="112">
        <v>0.43</v>
      </c>
      <c r="Q57" s="112">
        <v>4.9400000000000004</v>
      </c>
    </row>
    <row r="58" spans="1:17" customFormat="1">
      <c r="A58" s="80">
        <v>45430.520833333336</v>
      </c>
      <c r="B58" s="112">
        <v>11</v>
      </c>
      <c r="C58" s="112">
        <v>13.02</v>
      </c>
      <c r="D58" s="112">
        <v>24.76</v>
      </c>
      <c r="E58" s="112">
        <v>11.16</v>
      </c>
      <c r="F58" s="112">
        <v>25.02</v>
      </c>
      <c r="G58" s="112">
        <v>18.489999999999998</v>
      </c>
      <c r="H58" s="112">
        <v>6.19</v>
      </c>
      <c r="I58" s="112">
        <v>4.1500000000000004</v>
      </c>
      <c r="J58" s="112">
        <v>0.7</v>
      </c>
      <c r="K58" s="112">
        <v>260.12</v>
      </c>
      <c r="L58" s="112">
        <v>32.4</v>
      </c>
      <c r="M58" s="112">
        <v>54.31</v>
      </c>
      <c r="N58" s="112">
        <v>464</v>
      </c>
      <c r="O58" s="112">
        <v>0</v>
      </c>
      <c r="P58" s="112">
        <v>0.43</v>
      </c>
      <c r="Q58" s="112">
        <v>4.96</v>
      </c>
    </row>
    <row r="59" spans="1:17" customFormat="1">
      <c r="A59" s="80">
        <v>45430.53125</v>
      </c>
      <c r="B59" s="112">
        <v>10.99</v>
      </c>
      <c r="C59" s="112">
        <v>13.02</v>
      </c>
      <c r="D59" s="112">
        <v>24.76</v>
      </c>
      <c r="E59" s="112">
        <v>10.8</v>
      </c>
      <c r="F59" s="112">
        <v>33.119999999999997</v>
      </c>
      <c r="G59" s="112">
        <v>18.489999999999998</v>
      </c>
      <c r="H59" s="112">
        <v>6.19</v>
      </c>
      <c r="I59" s="112">
        <v>4.1100000000000003</v>
      </c>
      <c r="J59" s="112">
        <v>0.73</v>
      </c>
      <c r="K59" s="112">
        <v>263.81</v>
      </c>
      <c r="L59" s="112">
        <v>32.86</v>
      </c>
      <c r="M59" s="112">
        <v>52.64</v>
      </c>
      <c r="N59" s="112">
        <v>364.5</v>
      </c>
      <c r="O59" s="112">
        <v>0</v>
      </c>
      <c r="P59" s="112">
        <v>0.43</v>
      </c>
      <c r="Q59" s="172" t="s">
        <v>8</v>
      </c>
    </row>
    <row r="60" spans="1:17" customFormat="1">
      <c r="A60" s="80">
        <v>45430.541666666664</v>
      </c>
      <c r="B60" s="172" t="s">
        <v>8</v>
      </c>
      <c r="C60" s="172" t="s">
        <v>8</v>
      </c>
      <c r="D60" s="172" t="s">
        <v>8</v>
      </c>
      <c r="E60" s="112">
        <v>10.18</v>
      </c>
      <c r="F60" s="112">
        <v>33.020000000000003</v>
      </c>
      <c r="G60" s="172" t="s">
        <v>8</v>
      </c>
      <c r="H60" s="172" t="s">
        <v>8</v>
      </c>
      <c r="I60" s="112">
        <v>3.73</v>
      </c>
      <c r="J60" s="112">
        <v>0.81</v>
      </c>
      <c r="K60" s="112">
        <v>278.83999999999997</v>
      </c>
      <c r="L60" s="112">
        <v>33.07</v>
      </c>
      <c r="M60" s="112">
        <v>50.98</v>
      </c>
      <c r="N60" s="112">
        <v>428.2</v>
      </c>
      <c r="O60" s="112">
        <v>0</v>
      </c>
      <c r="P60" s="112">
        <v>0.43</v>
      </c>
      <c r="Q60" s="172" t="s">
        <v>8</v>
      </c>
    </row>
    <row r="61" spans="1:17" customFormat="1">
      <c r="A61" s="80">
        <v>45430.552083333336</v>
      </c>
      <c r="B61" s="172" t="s">
        <v>8</v>
      </c>
      <c r="C61" s="172" t="s">
        <v>8</v>
      </c>
      <c r="D61" s="172" t="s">
        <v>8</v>
      </c>
      <c r="E61" s="112">
        <v>9.5399999999999991</v>
      </c>
      <c r="F61" s="112">
        <v>36.93</v>
      </c>
      <c r="G61" s="172" t="s">
        <v>8</v>
      </c>
      <c r="H61" s="172" t="s">
        <v>8</v>
      </c>
      <c r="I61" s="112">
        <v>3.23</v>
      </c>
      <c r="J61" s="112">
        <v>0.47</v>
      </c>
      <c r="K61" s="112">
        <v>278.61</v>
      </c>
      <c r="L61" s="112">
        <v>33.76</v>
      </c>
      <c r="M61" s="112">
        <v>49.11</v>
      </c>
      <c r="N61" s="112">
        <v>465.7</v>
      </c>
      <c r="O61" s="112">
        <v>0</v>
      </c>
      <c r="P61" s="112">
        <v>0.42</v>
      </c>
      <c r="Q61" s="172" t="s">
        <v>8</v>
      </c>
    </row>
    <row r="62" spans="1:17" customFormat="1">
      <c r="A62" s="80">
        <v>45430.5625</v>
      </c>
      <c r="B62" s="172" t="s">
        <v>8</v>
      </c>
      <c r="C62" s="172" t="s">
        <v>8</v>
      </c>
      <c r="D62" s="172" t="s">
        <v>8</v>
      </c>
      <c r="E62" s="112">
        <v>10.4</v>
      </c>
      <c r="F62" s="112">
        <v>44.25</v>
      </c>
      <c r="G62" s="172" t="s">
        <v>8</v>
      </c>
      <c r="H62" s="172" t="s">
        <v>8</v>
      </c>
      <c r="I62" s="112">
        <v>3.1</v>
      </c>
      <c r="J62" s="112">
        <v>0.56999999999999995</v>
      </c>
      <c r="K62" s="112">
        <v>274.58999999999997</v>
      </c>
      <c r="L62" s="112">
        <v>33.979999999999997</v>
      </c>
      <c r="M62" s="112">
        <v>48.79</v>
      </c>
      <c r="N62" s="112">
        <v>413.8</v>
      </c>
      <c r="O62" s="112">
        <v>0</v>
      </c>
      <c r="P62" s="112">
        <v>0.39</v>
      </c>
      <c r="Q62" s="172" t="s">
        <v>8</v>
      </c>
    </row>
    <row r="63" spans="1:17" customFormat="1">
      <c r="A63" s="80">
        <v>45430.572916666664</v>
      </c>
      <c r="B63" s="172" t="s">
        <v>8</v>
      </c>
      <c r="C63" s="172" t="s">
        <v>8</v>
      </c>
      <c r="D63" s="172" t="s">
        <v>8</v>
      </c>
      <c r="E63" s="112">
        <v>9.99</v>
      </c>
      <c r="F63" s="112">
        <v>42.77</v>
      </c>
      <c r="G63" s="172" t="s">
        <v>8</v>
      </c>
      <c r="H63" s="172" t="s">
        <v>8</v>
      </c>
      <c r="I63" s="112">
        <v>2.97</v>
      </c>
      <c r="J63" s="112">
        <v>0.08</v>
      </c>
      <c r="K63" s="112">
        <v>230.95</v>
      </c>
      <c r="L63" s="112">
        <v>34.21</v>
      </c>
      <c r="M63" s="112">
        <v>48.13</v>
      </c>
      <c r="N63" s="112">
        <v>446.9</v>
      </c>
      <c r="O63" s="112">
        <v>0</v>
      </c>
      <c r="P63" s="112">
        <v>0.42</v>
      </c>
      <c r="Q63" s="172" t="s">
        <v>8</v>
      </c>
    </row>
    <row r="64" spans="1:17" customFormat="1">
      <c r="A64" s="80">
        <v>45430.583333333336</v>
      </c>
      <c r="B64" s="172" t="s">
        <v>8</v>
      </c>
      <c r="C64" s="172" t="s">
        <v>8</v>
      </c>
      <c r="D64" s="172" t="s">
        <v>8</v>
      </c>
      <c r="E64" s="112">
        <v>10.82</v>
      </c>
      <c r="F64" s="112">
        <v>52.52</v>
      </c>
      <c r="G64" s="172" t="s">
        <v>8</v>
      </c>
      <c r="H64" s="172" t="s">
        <v>8</v>
      </c>
      <c r="I64" s="112">
        <v>2.83</v>
      </c>
      <c r="J64" s="112">
        <v>0.71</v>
      </c>
      <c r="K64" s="112">
        <v>299.31</v>
      </c>
      <c r="L64" s="112">
        <v>34.99</v>
      </c>
      <c r="M64" s="112">
        <v>46.09</v>
      </c>
      <c r="N64" s="112">
        <v>785.4</v>
      </c>
      <c r="O64" s="112">
        <v>0</v>
      </c>
      <c r="P64" s="112">
        <v>0.45</v>
      </c>
      <c r="Q64" s="172" t="s">
        <v>8</v>
      </c>
    </row>
    <row r="65" spans="1:17" customFormat="1">
      <c r="A65" s="80">
        <v>45430.59375</v>
      </c>
      <c r="B65" s="172" t="s">
        <v>8</v>
      </c>
      <c r="C65" s="172" t="s">
        <v>8</v>
      </c>
      <c r="D65" s="172" t="s">
        <v>8</v>
      </c>
      <c r="E65" s="112">
        <v>10.99</v>
      </c>
      <c r="F65" s="112">
        <v>52.73</v>
      </c>
      <c r="G65" s="172" t="s">
        <v>8</v>
      </c>
      <c r="H65" s="172" t="s">
        <v>8</v>
      </c>
      <c r="I65" s="112">
        <v>2.85</v>
      </c>
      <c r="J65" s="112">
        <v>0.67</v>
      </c>
      <c r="K65" s="112">
        <v>296.89</v>
      </c>
      <c r="L65" s="112">
        <v>35.97</v>
      </c>
      <c r="M65" s="112">
        <v>42.65</v>
      </c>
      <c r="N65" s="112">
        <v>781</v>
      </c>
      <c r="O65" s="112">
        <v>0</v>
      </c>
      <c r="P65" s="112">
        <v>0.43</v>
      </c>
      <c r="Q65" s="172" t="s">
        <v>8</v>
      </c>
    </row>
    <row r="66" spans="1:17" customFormat="1">
      <c r="A66" s="80">
        <v>45430.604166666664</v>
      </c>
      <c r="B66" s="172" t="s">
        <v>8</v>
      </c>
      <c r="C66" s="172" t="s">
        <v>8</v>
      </c>
      <c r="D66" s="172" t="s">
        <v>8</v>
      </c>
      <c r="E66" s="112">
        <v>11.53</v>
      </c>
      <c r="F66" s="112">
        <v>56.9</v>
      </c>
      <c r="G66" s="172" t="s">
        <v>8</v>
      </c>
      <c r="H66" s="172" t="s">
        <v>8</v>
      </c>
      <c r="I66" s="112">
        <v>2.95</v>
      </c>
      <c r="J66" s="112">
        <v>0.27</v>
      </c>
      <c r="K66" s="112">
        <v>277.67</v>
      </c>
      <c r="L66" s="112">
        <v>36.090000000000003</v>
      </c>
      <c r="M66" s="112">
        <v>40.14</v>
      </c>
      <c r="N66" s="112">
        <v>717.6</v>
      </c>
      <c r="O66" s="112">
        <v>0</v>
      </c>
      <c r="P66" s="112">
        <v>0.41</v>
      </c>
      <c r="Q66" s="172" t="s">
        <v>8</v>
      </c>
    </row>
    <row r="67" spans="1:17" customFormat="1">
      <c r="A67" s="80">
        <v>45430.614583333336</v>
      </c>
      <c r="B67" s="172" t="s">
        <v>8</v>
      </c>
      <c r="C67" s="172" t="s">
        <v>8</v>
      </c>
      <c r="D67" s="172" t="s">
        <v>8</v>
      </c>
      <c r="E67" s="112">
        <v>10.28</v>
      </c>
      <c r="F67" s="112">
        <v>51.28</v>
      </c>
      <c r="G67" s="172" t="s">
        <v>8</v>
      </c>
      <c r="H67" s="172" t="s">
        <v>8</v>
      </c>
      <c r="I67" s="112">
        <v>2.91</v>
      </c>
      <c r="J67" s="112">
        <v>0.12</v>
      </c>
      <c r="K67" s="112">
        <v>228.45</v>
      </c>
      <c r="L67" s="112">
        <v>37.200000000000003</v>
      </c>
      <c r="M67" s="112">
        <v>37.700000000000003</v>
      </c>
      <c r="N67" s="112">
        <v>583.1</v>
      </c>
      <c r="O67" s="112">
        <v>0</v>
      </c>
      <c r="P67" s="112">
        <v>0.41</v>
      </c>
      <c r="Q67" s="172" t="s">
        <v>8</v>
      </c>
    </row>
    <row r="68" spans="1:17" customFormat="1">
      <c r="A68" s="80">
        <v>45430.625</v>
      </c>
      <c r="B68" s="172" t="s">
        <v>8</v>
      </c>
      <c r="C68" s="172" t="s">
        <v>8</v>
      </c>
      <c r="D68" s="172" t="s">
        <v>8</v>
      </c>
      <c r="E68" s="112">
        <v>10.92</v>
      </c>
      <c r="F68" s="112">
        <v>61.43</v>
      </c>
      <c r="G68" s="172" t="s">
        <v>8</v>
      </c>
      <c r="H68" s="172" t="s">
        <v>8</v>
      </c>
      <c r="I68" s="112">
        <v>2.74</v>
      </c>
      <c r="J68" s="112">
        <v>0.54</v>
      </c>
      <c r="K68" s="112">
        <v>302.75</v>
      </c>
      <c r="L68" s="112">
        <v>36.29</v>
      </c>
      <c r="M68" s="112">
        <v>39.83</v>
      </c>
      <c r="N68" s="112">
        <v>619.6</v>
      </c>
      <c r="O68" s="112">
        <v>0</v>
      </c>
      <c r="P68" s="112">
        <v>0.42</v>
      </c>
      <c r="Q68" s="172" t="s">
        <v>8</v>
      </c>
    </row>
    <row r="69" spans="1:17" customFormat="1">
      <c r="A69" s="80">
        <v>45430.635416666664</v>
      </c>
      <c r="B69" s="172" t="s">
        <v>8</v>
      </c>
      <c r="C69" s="172" t="s">
        <v>8</v>
      </c>
      <c r="D69" s="172" t="s">
        <v>8</v>
      </c>
      <c r="E69" s="112">
        <v>10.76</v>
      </c>
      <c r="F69" s="112">
        <v>45.11</v>
      </c>
      <c r="G69" s="172" t="s">
        <v>8</v>
      </c>
      <c r="H69" s="172" t="s">
        <v>8</v>
      </c>
      <c r="I69" s="112">
        <v>2.78</v>
      </c>
      <c r="J69" s="112">
        <v>0.61</v>
      </c>
      <c r="K69" s="112">
        <v>58.34</v>
      </c>
      <c r="L69" s="112">
        <v>36.75</v>
      </c>
      <c r="M69" s="112">
        <v>37.840000000000003</v>
      </c>
      <c r="N69" s="112">
        <v>607.20000000000005</v>
      </c>
      <c r="O69" s="112">
        <v>0</v>
      </c>
      <c r="P69" s="112">
        <v>0.42</v>
      </c>
      <c r="Q69" s="172" t="s">
        <v>8</v>
      </c>
    </row>
    <row r="70" spans="1:17" customFormat="1">
      <c r="A70" s="80">
        <v>45430.645833333336</v>
      </c>
      <c r="B70" s="172" t="s">
        <v>8</v>
      </c>
      <c r="C70" s="172" t="s">
        <v>8</v>
      </c>
      <c r="D70" s="172" t="s">
        <v>8</v>
      </c>
      <c r="E70" s="112">
        <v>11.65</v>
      </c>
      <c r="F70" s="112">
        <v>51.39</v>
      </c>
      <c r="G70" s="172" t="s">
        <v>8</v>
      </c>
      <c r="H70" s="172" t="s">
        <v>8</v>
      </c>
      <c r="I70" s="112">
        <v>2.89</v>
      </c>
      <c r="J70" s="112">
        <v>0.45</v>
      </c>
      <c r="K70" s="112">
        <v>13.04</v>
      </c>
      <c r="L70" s="112">
        <v>36.78</v>
      </c>
      <c r="M70" s="112">
        <v>37.01</v>
      </c>
      <c r="N70" s="112">
        <v>517</v>
      </c>
      <c r="O70" s="112">
        <v>0</v>
      </c>
      <c r="P70" s="112">
        <v>0.43</v>
      </c>
      <c r="Q70" s="172" t="s">
        <v>8</v>
      </c>
    </row>
    <row r="71" spans="1:17" customFormat="1">
      <c r="A71" s="80">
        <v>45430.65625</v>
      </c>
      <c r="B71" s="172" t="s">
        <v>8</v>
      </c>
      <c r="C71" s="172" t="s">
        <v>8</v>
      </c>
      <c r="D71" s="172" t="s">
        <v>8</v>
      </c>
      <c r="E71" s="112">
        <v>11.57</v>
      </c>
      <c r="F71" s="112">
        <v>56.51</v>
      </c>
      <c r="G71" s="172" t="s">
        <v>8</v>
      </c>
      <c r="H71" s="172" t="s">
        <v>8</v>
      </c>
      <c r="I71" s="112">
        <v>3.06</v>
      </c>
      <c r="J71" s="112">
        <v>0.27</v>
      </c>
      <c r="K71" s="112">
        <v>344.99</v>
      </c>
      <c r="L71" s="112">
        <v>36.700000000000003</v>
      </c>
      <c r="M71" s="112">
        <v>37.24</v>
      </c>
      <c r="N71" s="112">
        <v>340.1</v>
      </c>
      <c r="O71" s="112">
        <v>0</v>
      </c>
      <c r="P71" s="112">
        <v>0.44</v>
      </c>
      <c r="Q71" s="172" t="s">
        <v>8</v>
      </c>
    </row>
    <row r="72" spans="1:17" customFormat="1">
      <c r="A72" s="80">
        <v>45430.666666666664</v>
      </c>
      <c r="B72" s="172" t="s">
        <v>8</v>
      </c>
      <c r="C72" s="172" t="s">
        <v>8</v>
      </c>
      <c r="D72" s="172" t="s">
        <v>8</v>
      </c>
      <c r="E72" s="112">
        <v>11.56</v>
      </c>
      <c r="F72" s="112">
        <v>42.49</v>
      </c>
      <c r="G72" s="172" t="s">
        <v>8</v>
      </c>
      <c r="H72" s="172" t="s">
        <v>8</v>
      </c>
      <c r="I72" s="112">
        <v>2.8</v>
      </c>
      <c r="J72" s="112">
        <v>1.07</v>
      </c>
      <c r="K72" s="112">
        <v>48.8</v>
      </c>
      <c r="L72" s="112">
        <v>36.36</v>
      </c>
      <c r="M72" s="112">
        <v>34.61</v>
      </c>
      <c r="N72" s="112">
        <v>427.7</v>
      </c>
      <c r="O72" s="112">
        <v>0</v>
      </c>
      <c r="P72" s="112">
        <v>0.44</v>
      </c>
      <c r="Q72" s="172" t="s">
        <v>8</v>
      </c>
    </row>
    <row r="73" spans="1:17" customFormat="1">
      <c r="A73" s="80">
        <v>45430.677083333336</v>
      </c>
      <c r="B73" s="172" t="s">
        <v>8</v>
      </c>
      <c r="C73" s="172" t="s">
        <v>8</v>
      </c>
      <c r="D73" s="172" t="s">
        <v>8</v>
      </c>
      <c r="E73" s="112">
        <v>12.67</v>
      </c>
      <c r="F73" s="112">
        <v>62.72</v>
      </c>
      <c r="G73" s="112">
        <v>14</v>
      </c>
      <c r="H73" s="112">
        <v>11.67</v>
      </c>
      <c r="I73" s="112">
        <v>2.88</v>
      </c>
      <c r="J73" s="112">
        <v>0.38</v>
      </c>
      <c r="K73" s="112">
        <v>27.42</v>
      </c>
      <c r="L73" s="112">
        <v>36.590000000000003</v>
      </c>
      <c r="M73" s="112">
        <v>34.35</v>
      </c>
      <c r="N73" s="112">
        <v>334.6</v>
      </c>
      <c r="O73" s="112">
        <v>0</v>
      </c>
      <c r="P73" s="112">
        <v>0.4</v>
      </c>
      <c r="Q73" s="112">
        <v>1.43</v>
      </c>
    </row>
    <row r="74" spans="1:17" customFormat="1">
      <c r="A74" s="80">
        <v>45430.6875</v>
      </c>
      <c r="B74" s="172" t="s">
        <v>8</v>
      </c>
      <c r="C74" s="172" t="s">
        <v>8</v>
      </c>
      <c r="D74" s="172" t="s">
        <v>8</v>
      </c>
      <c r="E74" s="112">
        <v>12.48</v>
      </c>
      <c r="F74" s="112">
        <v>56.07</v>
      </c>
      <c r="G74" s="151" t="s">
        <v>12</v>
      </c>
      <c r="H74" s="151" t="s">
        <v>12</v>
      </c>
      <c r="I74" s="112">
        <v>2.74</v>
      </c>
      <c r="J74" s="112">
        <v>0.68</v>
      </c>
      <c r="K74" s="112">
        <v>39.549999999999997</v>
      </c>
      <c r="L74" s="112">
        <v>36.130000000000003</v>
      </c>
      <c r="M74" s="112">
        <v>35.24</v>
      </c>
      <c r="N74" s="112">
        <v>180.4</v>
      </c>
      <c r="O74" s="112">
        <v>0</v>
      </c>
      <c r="P74" s="112">
        <v>0.45</v>
      </c>
      <c r="Q74" s="112">
        <v>3.91</v>
      </c>
    </row>
    <row r="75" spans="1:17" customFormat="1">
      <c r="A75" s="80">
        <v>45430.697916666664</v>
      </c>
      <c r="B75" s="172" t="s">
        <v>8</v>
      </c>
      <c r="C75" s="172" t="s">
        <v>8</v>
      </c>
      <c r="D75" s="172" t="s">
        <v>8</v>
      </c>
      <c r="E75" s="112">
        <v>13.53</v>
      </c>
      <c r="F75" s="112">
        <v>64.05</v>
      </c>
      <c r="G75" s="151" t="s">
        <v>12</v>
      </c>
      <c r="H75" s="151" t="s">
        <v>12</v>
      </c>
      <c r="I75" s="112">
        <v>2.5499999999999998</v>
      </c>
      <c r="J75" s="112">
        <v>0.12</v>
      </c>
      <c r="K75" s="112">
        <v>344.28</v>
      </c>
      <c r="L75" s="112">
        <v>36.07</v>
      </c>
      <c r="M75" s="112">
        <v>36.96</v>
      </c>
      <c r="N75" s="112">
        <v>107.3</v>
      </c>
      <c r="O75" s="112">
        <v>0</v>
      </c>
      <c r="P75" s="112">
        <v>0.45</v>
      </c>
      <c r="Q75" s="112">
        <v>3.48</v>
      </c>
    </row>
    <row r="76" spans="1:17" customFormat="1">
      <c r="A76" s="80">
        <v>45430.708333333336</v>
      </c>
      <c r="B76" s="172" t="s">
        <v>8</v>
      </c>
      <c r="C76" s="172" t="s">
        <v>8</v>
      </c>
      <c r="D76" s="172" t="s">
        <v>8</v>
      </c>
      <c r="E76" s="112">
        <v>15.4</v>
      </c>
      <c r="F76" s="112">
        <v>65.680000000000007</v>
      </c>
      <c r="G76" s="151" t="s">
        <v>12</v>
      </c>
      <c r="H76" s="151" t="s">
        <v>12</v>
      </c>
      <c r="I76" s="112">
        <v>2.74</v>
      </c>
      <c r="J76" s="112">
        <v>0.45</v>
      </c>
      <c r="K76" s="112">
        <v>258.98</v>
      </c>
      <c r="L76" s="112">
        <v>35.25</v>
      </c>
      <c r="M76" s="112">
        <v>38.229999999999997</v>
      </c>
      <c r="N76" s="112">
        <v>77</v>
      </c>
      <c r="O76" s="112">
        <v>0</v>
      </c>
      <c r="P76" s="112">
        <v>0.4</v>
      </c>
      <c r="Q76" s="112">
        <v>4.7</v>
      </c>
    </row>
    <row r="77" spans="1:17" customFormat="1">
      <c r="A77" s="80">
        <v>45430.71875</v>
      </c>
      <c r="B77" s="172" t="s">
        <v>8</v>
      </c>
      <c r="C77" s="172" t="s">
        <v>8</v>
      </c>
      <c r="D77" s="172" t="s">
        <v>8</v>
      </c>
      <c r="E77" s="112">
        <v>17.440000000000001</v>
      </c>
      <c r="F77" s="112">
        <v>67.510000000000005</v>
      </c>
      <c r="G77" s="151" t="s">
        <v>12</v>
      </c>
      <c r="H77" s="151" t="s">
        <v>12</v>
      </c>
      <c r="I77" s="112">
        <v>2.2000000000000002</v>
      </c>
      <c r="J77" s="112">
        <v>0.23</v>
      </c>
      <c r="K77" s="112">
        <v>223.86</v>
      </c>
      <c r="L77" s="112">
        <v>35.25</v>
      </c>
      <c r="M77" s="112">
        <v>38.61</v>
      </c>
      <c r="N77" s="112">
        <v>54.9</v>
      </c>
      <c r="O77" s="112">
        <v>0</v>
      </c>
      <c r="P77" s="112">
        <v>0.39</v>
      </c>
      <c r="Q77" s="167" t="s">
        <v>14</v>
      </c>
    </row>
    <row r="78" spans="1:17" customFormat="1">
      <c r="A78" s="80">
        <v>45430.729166666664</v>
      </c>
      <c r="B78" s="172" t="s">
        <v>8</v>
      </c>
      <c r="C78" s="172" t="s">
        <v>8</v>
      </c>
      <c r="D78" s="172" t="s">
        <v>8</v>
      </c>
      <c r="E78" s="112">
        <v>16.18</v>
      </c>
      <c r="F78" s="112">
        <v>76.209999999999994</v>
      </c>
      <c r="G78" s="151" t="s">
        <v>12</v>
      </c>
      <c r="H78" s="151" t="s">
        <v>12</v>
      </c>
      <c r="I78" s="112">
        <v>2.38</v>
      </c>
      <c r="J78" s="112">
        <v>0.23</v>
      </c>
      <c r="K78" s="112">
        <v>201.26</v>
      </c>
      <c r="L78" s="112">
        <v>35.450000000000003</v>
      </c>
      <c r="M78" s="112">
        <v>38.299999999999997</v>
      </c>
      <c r="N78" s="112">
        <v>64</v>
      </c>
      <c r="O78" s="112">
        <v>0</v>
      </c>
      <c r="P78" s="112">
        <v>0.37</v>
      </c>
      <c r="Q78" s="167" t="s">
        <v>14</v>
      </c>
    </row>
    <row r="79" spans="1:17" customFormat="1">
      <c r="A79" s="80">
        <v>45430.739583333336</v>
      </c>
      <c r="B79" s="172" t="s">
        <v>8</v>
      </c>
      <c r="C79" s="172" t="s">
        <v>8</v>
      </c>
      <c r="D79" s="172" t="s">
        <v>8</v>
      </c>
      <c r="E79" s="112">
        <v>15.5</v>
      </c>
      <c r="F79" s="112">
        <v>67.209999999999994</v>
      </c>
      <c r="G79" s="151" t="s">
        <v>12</v>
      </c>
      <c r="H79" s="151" t="s">
        <v>12</v>
      </c>
      <c r="I79" s="112">
        <v>2.2799999999999998</v>
      </c>
      <c r="J79" s="112">
        <v>0.15</v>
      </c>
      <c r="K79" s="112">
        <v>186.88</v>
      </c>
      <c r="L79" s="112">
        <v>35.32</v>
      </c>
      <c r="M79" s="112">
        <v>38.65</v>
      </c>
      <c r="N79" s="112">
        <v>50.6</v>
      </c>
      <c r="O79" s="112">
        <v>0</v>
      </c>
      <c r="P79" s="112">
        <v>0.38</v>
      </c>
      <c r="Q79" s="167" t="s">
        <v>14</v>
      </c>
    </row>
    <row r="80" spans="1:17" customFormat="1">
      <c r="A80" s="80">
        <v>45430.75</v>
      </c>
      <c r="B80" s="172" t="s">
        <v>8</v>
      </c>
      <c r="C80" s="172" t="s">
        <v>8</v>
      </c>
      <c r="D80" s="172" t="s">
        <v>8</v>
      </c>
      <c r="E80" s="112">
        <v>16.2</v>
      </c>
      <c r="F80" s="112">
        <v>62.05</v>
      </c>
      <c r="G80" s="151" t="s">
        <v>12</v>
      </c>
      <c r="H80" s="151" t="s">
        <v>12</v>
      </c>
      <c r="I80" s="112">
        <v>2.13</v>
      </c>
      <c r="J80" s="112">
        <v>0.24</v>
      </c>
      <c r="K80" s="112">
        <v>172.76</v>
      </c>
      <c r="L80" s="112">
        <v>35.01</v>
      </c>
      <c r="M80" s="112">
        <v>41.03</v>
      </c>
      <c r="N80" s="112">
        <v>13.7</v>
      </c>
      <c r="O80" s="112">
        <v>0</v>
      </c>
      <c r="P80" s="112">
        <v>0.4</v>
      </c>
      <c r="Q80" s="167" t="s">
        <v>14</v>
      </c>
    </row>
    <row r="81" spans="1:17" customFormat="1">
      <c r="A81" s="80">
        <v>45430.760416666664</v>
      </c>
      <c r="B81" s="172" t="s">
        <v>8</v>
      </c>
      <c r="C81" s="172" t="s">
        <v>8</v>
      </c>
      <c r="D81" s="172" t="s">
        <v>8</v>
      </c>
      <c r="E81" s="112">
        <v>8.66</v>
      </c>
      <c r="F81" s="112">
        <v>51.39</v>
      </c>
      <c r="G81" s="112">
        <v>30.15</v>
      </c>
      <c r="H81" s="112">
        <v>18.13</v>
      </c>
      <c r="I81" s="112">
        <v>2.15</v>
      </c>
      <c r="J81" s="112">
        <v>0.18</v>
      </c>
      <c r="K81" s="112">
        <v>192.29</v>
      </c>
      <c r="L81" s="112">
        <v>34.61</v>
      </c>
      <c r="M81" s="112">
        <v>42.16</v>
      </c>
      <c r="N81" s="112">
        <v>0.7</v>
      </c>
      <c r="O81" s="112">
        <v>0</v>
      </c>
      <c r="P81" s="112">
        <v>0.4</v>
      </c>
      <c r="Q81" s="167" t="s">
        <v>14</v>
      </c>
    </row>
    <row r="82" spans="1:17" customFormat="1">
      <c r="A82" s="80">
        <v>45430.770833333336</v>
      </c>
      <c r="B82" s="172" t="s">
        <v>8</v>
      </c>
      <c r="C82" s="172" t="s">
        <v>8</v>
      </c>
      <c r="D82" s="172" t="s">
        <v>8</v>
      </c>
      <c r="E82" s="112">
        <v>8.85</v>
      </c>
      <c r="F82" s="112">
        <v>52.12</v>
      </c>
      <c r="G82" s="112">
        <v>37.17</v>
      </c>
      <c r="H82" s="112">
        <v>18.13</v>
      </c>
      <c r="I82" s="112">
        <v>2.35</v>
      </c>
      <c r="J82" s="112">
        <v>0.17</v>
      </c>
      <c r="K82" s="112">
        <v>196.56</v>
      </c>
      <c r="L82" s="112">
        <v>33.950000000000003</v>
      </c>
      <c r="M82" s="112">
        <v>43.92</v>
      </c>
      <c r="N82" s="112">
        <v>0</v>
      </c>
      <c r="O82" s="112">
        <v>0</v>
      </c>
      <c r="P82" s="112">
        <v>0.41</v>
      </c>
      <c r="Q82" s="167" t="s">
        <v>14</v>
      </c>
    </row>
    <row r="83" spans="1:17" customFormat="1">
      <c r="A83" s="80">
        <v>45430.78125</v>
      </c>
      <c r="B83" s="172" t="s">
        <v>8</v>
      </c>
      <c r="C83" s="172" t="s">
        <v>8</v>
      </c>
      <c r="D83" s="172" t="s">
        <v>8</v>
      </c>
      <c r="E83" s="112">
        <v>10.8</v>
      </c>
      <c r="F83" s="112">
        <v>57.16</v>
      </c>
      <c r="G83" s="112">
        <v>37.17</v>
      </c>
      <c r="H83" s="112">
        <v>18.13</v>
      </c>
      <c r="I83" s="112">
        <v>2.4700000000000002</v>
      </c>
      <c r="J83" s="112">
        <v>0.14000000000000001</v>
      </c>
      <c r="K83" s="112">
        <v>241.57</v>
      </c>
      <c r="L83" s="112">
        <v>33.81</v>
      </c>
      <c r="M83" s="112">
        <v>44.27</v>
      </c>
      <c r="N83" s="112">
        <v>0</v>
      </c>
      <c r="O83" s="112">
        <v>0</v>
      </c>
      <c r="P83" s="112">
        <v>0.4</v>
      </c>
      <c r="Q83" s="167" t="s">
        <v>14</v>
      </c>
    </row>
    <row r="84" spans="1:17" customFormat="1">
      <c r="A84" s="80">
        <v>45430.791666666664</v>
      </c>
      <c r="B84" s="172" t="s">
        <v>8</v>
      </c>
      <c r="C84" s="172" t="s">
        <v>8</v>
      </c>
      <c r="D84" s="172" t="s">
        <v>8</v>
      </c>
      <c r="E84" s="112">
        <v>11.38</v>
      </c>
      <c r="F84" s="112">
        <v>47.7</v>
      </c>
      <c r="G84" s="112">
        <v>37.17</v>
      </c>
      <c r="H84" s="112">
        <v>18.13</v>
      </c>
      <c r="I84" s="112">
        <v>2.4900000000000002</v>
      </c>
      <c r="J84" s="112">
        <v>0.11</v>
      </c>
      <c r="K84" s="112">
        <v>237.05</v>
      </c>
      <c r="L84" s="112">
        <v>33.46</v>
      </c>
      <c r="M84" s="112">
        <v>45.42</v>
      </c>
      <c r="N84" s="112">
        <v>0</v>
      </c>
      <c r="O84" s="112">
        <v>0</v>
      </c>
      <c r="P84" s="112">
        <v>0.41</v>
      </c>
      <c r="Q84" s="112">
        <v>4.93</v>
      </c>
    </row>
    <row r="85" spans="1:17" customFormat="1">
      <c r="A85" s="80">
        <v>45430.802083333336</v>
      </c>
      <c r="B85" s="172" t="s">
        <v>8</v>
      </c>
      <c r="C85" s="172" t="s">
        <v>8</v>
      </c>
      <c r="D85" s="172" t="s">
        <v>8</v>
      </c>
      <c r="E85" s="112">
        <v>8.3000000000000007</v>
      </c>
      <c r="F85" s="112">
        <v>20.86</v>
      </c>
      <c r="G85" s="112">
        <v>32.56</v>
      </c>
      <c r="H85" s="112">
        <v>16.03</v>
      </c>
      <c r="I85" s="112">
        <v>2.42</v>
      </c>
      <c r="J85" s="112">
        <v>0.1</v>
      </c>
      <c r="K85" s="112">
        <v>213.23</v>
      </c>
      <c r="L85" s="112">
        <v>33.11</v>
      </c>
      <c r="M85" s="112">
        <v>46.17</v>
      </c>
      <c r="N85" s="112">
        <v>0</v>
      </c>
      <c r="O85" s="112">
        <v>0</v>
      </c>
      <c r="P85" s="112">
        <v>0.43</v>
      </c>
      <c r="Q85" s="112">
        <v>4.91</v>
      </c>
    </row>
    <row r="86" spans="1:17" customFormat="1">
      <c r="A86" s="80">
        <v>45430.8125</v>
      </c>
      <c r="B86" s="172" t="s">
        <v>8</v>
      </c>
      <c r="C86" s="172" t="s">
        <v>8</v>
      </c>
      <c r="D86" s="172" t="s">
        <v>8</v>
      </c>
      <c r="E86" s="112">
        <v>9.1300000000000008</v>
      </c>
      <c r="F86" s="112">
        <v>22.47</v>
      </c>
      <c r="G86" s="112">
        <v>31.49</v>
      </c>
      <c r="H86" s="112">
        <v>16.03</v>
      </c>
      <c r="I86" s="112">
        <v>2.56</v>
      </c>
      <c r="J86" s="112">
        <v>0.12</v>
      </c>
      <c r="K86" s="112">
        <v>220.27</v>
      </c>
      <c r="L86" s="112">
        <v>32.799999999999997</v>
      </c>
      <c r="M86" s="112">
        <v>47.27</v>
      </c>
      <c r="N86" s="112">
        <v>0</v>
      </c>
      <c r="O86" s="112">
        <v>0</v>
      </c>
      <c r="P86" s="112">
        <v>0.46</v>
      </c>
      <c r="Q86" s="167" t="s">
        <v>14</v>
      </c>
    </row>
    <row r="87" spans="1:17" customFormat="1">
      <c r="A87" s="80">
        <v>45430.822916666664</v>
      </c>
      <c r="B87" s="172" t="s">
        <v>8</v>
      </c>
      <c r="C87" s="172" t="s">
        <v>8</v>
      </c>
      <c r="D87" s="172" t="s">
        <v>8</v>
      </c>
      <c r="E87" s="112">
        <v>8.35</v>
      </c>
      <c r="F87" s="112">
        <v>16.91</v>
      </c>
      <c r="G87" s="112">
        <v>31.49</v>
      </c>
      <c r="H87" s="112">
        <v>16.03</v>
      </c>
      <c r="I87" s="112">
        <v>2.96</v>
      </c>
      <c r="J87" s="112">
        <v>0.11</v>
      </c>
      <c r="K87" s="112">
        <v>251.01</v>
      </c>
      <c r="L87" s="112">
        <v>32.6</v>
      </c>
      <c r="M87" s="112">
        <v>48.1</v>
      </c>
      <c r="N87" s="112">
        <v>0</v>
      </c>
      <c r="O87" s="112">
        <v>0</v>
      </c>
      <c r="P87" s="112">
        <v>0.45</v>
      </c>
      <c r="Q87" s="167" t="s">
        <v>14</v>
      </c>
    </row>
    <row r="88" spans="1:17" customFormat="1">
      <c r="A88" s="80">
        <v>45430.833333333336</v>
      </c>
      <c r="B88" s="172" t="s">
        <v>8</v>
      </c>
      <c r="C88" s="172" t="s">
        <v>8</v>
      </c>
      <c r="D88" s="172" t="s">
        <v>8</v>
      </c>
      <c r="E88" s="112">
        <v>8.5</v>
      </c>
      <c r="F88" s="112">
        <v>13.32</v>
      </c>
      <c r="G88" s="112">
        <v>31.49</v>
      </c>
      <c r="H88" s="112">
        <v>16.03</v>
      </c>
      <c r="I88" s="112">
        <v>3.28</v>
      </c>
      <c r="J88" s="112">
        <v>0.27</v>
      </c>
      <c r="K88" s="112">
        <v>250.66</v>
      </c>
      <c r="L88" s="112">
        <v>31.6</v>
      </c>
      <c r="M88" s="112">
        <v>55.38</v>
      </c>
      <c r="N88" s="112">
        <v>0</v>
      </c>
      <c r="O88" s="112">
        <v>0</v>
      </c>
      <c r="P88" s="112">
        <v>0.45</v>
      </c>
      <c r="Q88" s="112">
        <v>4.92</v>
      </c>
    </row>
    <row r="89" spans="1:17" customFormat="1">
      <c r="A89" s="80">
        <v>45430.84375</v>
      </c>
      <c r="B89" s="172" t="s">
        <v>8</v>
      </c>
      <c r="C89" s="172" t="s">
        <v>8</v>
      </c>
      <c r="D89" s="172" t="s">
        <v>8</v>
      </c>
      <c r="E89" s="112">
        <v>8.1</v>
      </c>
      <c r="F89" s="112">
        <v>9.11</v>
      </c>
      <c r="G89" s="112">
        <v>35.86</v>
      </c>
      <c r="H89" s="112">
        <v>13.36</v>
      </c>
      <c r="I89" s="112">
        <v>3.27</v>
      </c>
      <c r="J89" s="112">
        <v>0.4</v>
      </c>
      <c r="K89" s="112">
        <v>266.95</v>
      </c>
      <c r="L89" s="112">
        <v>30.28</v>
      </c>
      <c r="M89" s="112">
        <v>64.260000000000005</v>
      </c>
      <c r="N89" s="112">
        <v>0</v>
      </c>
      <c r="O89" s="112">
        <v>0</v>
      </c>
      <c r="P89" s="112">
        <v>0.43</v>
      </c>
      <c r="Q89" s="167" t="s">
        <v>14</v>
      </c>
    </row>
    <row r="90" spans="1:17" customFormat="1">
      <c r="A90" s="80">
        <v>45430.854166666664</v>
      </c>
      <c r="B90" s="172" t="s">
        <v>8</v>
      </c>
      <c r="C90" s="172" t="s">
        <v>8</v>
      </c>
      <c r="D90" s="172" t="s">
        <v>8</v>
      </c>
      <c r="E90" s="112">
        <v>7.89</v>
      </c>
      <c r="F90" s="112">
        <v>8.2200000000000006</v>
      </c>
      <c r="G90" s="112">
        <v>36.880000000000003</v>
      </c>
      <c r="H90" s="112">
        <v>13.36</v>
      </c>
      <c r="I90" s="112">
        <v>3.29</v>
      </c>
      <c r="J90" s="112">
        <v>0.34</v>
      </c>
      <c r="K90" s="112">
        <v>261.08999999999997</v>
      </c>
      <c r="L90" s="112">
        <v>29.62</v>
      </c>
      <c r="M90" s="112">
        <v>66.650000000000006</v>
      </c>
      <c r="N90" s="112">
        <v>0</v>
      </c>
      <c r="O90" s="112">
        <v>0</v>
      </c>
      <c r="P90" s="112">
        <v>0.44</v>
      </c>
      <c r="Q90" s="167" t="s">
        <v>14</v>
      </c>
    </row>
    <row r="91" spans="1:17" customFormat="1">
      <c r="A91" s="80">
        <v>45430.864583333336</v>
      </c>
      <c r="B91" s="112">
        <v>9.9700000000000006</v>
      </c>
      <c r="C91" s="112">
        <v>11.27</v>
      </c>
      <c r="D91" s="112">
        <v>22.66</v>
      </c>
      <c r="E91" s="112">
        <v>8.1</v>
      </c>
      <c r="F91" s="112">
        <v>7.73</v>
      </c>
      <c r="G91" s="112">
        <v>36.880000000000003</v>
      </c>
      <c r="H91" s="112">
        <v>13.36</v>
      </c>
      <c r="I91" s="112">
        <v>3.24</v>
      </c>
      <c r="J91" s="112">
        <v>0.35</v>
      </c>
      <c r="K91" s="112">
        <v>247.14</v>
      </c>
      <c r="L91" s="112">
        <v>29.31</v>
      </c>
      <c r="M91" s="112">
        <v>69.040000000000006</v>
      </c>
      <c r="N91" s="112">
        <v>0</v>
      </c>
      <c r="O91" s="112">
        <v>0</v>
      </c>
      <c r="P91" s="112">
        <v>0.43</v>
      </c>
      <c r="Q91" s="167" t="s">
        <v>14</v>
      </c>
    </row>
    <row r="92" spans="1:17" customFormat="1">
      <c r="A92" s="80">
        <v>45430.875</v>
      </c>
      <c r="B92" s="112">
        <v>11.36</v>
      </c>
      <c r="C92" s="112">
        <v>13.07</v>
      </c>
      <c r="D92" s="112">
        <v>25.08</v>
      </c>
      <c r="E92" s="112">
        <v>7.97</v>
      </c>
      <c r="F92" s="112">
        <v>7.16</v>
      </c>
      <c r="G92" s="112">
        <v>36.880000000000003</v>
      </c>
      <c r="H92" s="112">
        <v>13.36</v>
      </c>
      <c r="I92" s="112">
        <v>3.22</v>
      </c>
      <c r="J92" s="112">
        <v>0.31</v>
      </c>
      <c r="K92" s="112">
        <v>254.46</v>
      </c>
      <c r="L92" s="112">
        <v>29.06</v>
      </c>
      <c r="M92" s="112">
        <v>69.95</v>
      </c>
      <c r="N92" s="112">
        <v>0</v>
      </c>
      <c r="O92" s="112">
        <v>0</v>
      </c>
      <c r="P92" s="112">
        <v>0.42</v>
      </c>
      <c r="Q92" s="112">
        <v>4.92</v>
      </c>
    </row>
    <row r="93" spans="1:17" customFormat="1">
      <c r="A93" s="80">
        <v>45430.885416666664</v>
      </c>
      <c r="B93" s="112">
        <v>11.33</v>
      </c>
      <c r="C93" s="112">
        <v>13.11</v>
      </c>
      <c r="D93" s="112">
        <v>25.08</v>
      </c>
      <c r="E93" s="112">
        <v>8.06</v>
      </c>
      <c r="F93" s="112">
        <v>7.21</v>
      </c>
      <c r="G93" s="112">
        <v>30.11</v>
      </c>
      <c r="H93" s="112">
        <v>10.36</v>
      </c>
      <c r="I93" s="112">
        <v>3.21</v>
      </c>
      <c r="J93" s="112">
        <v>0.28999999999999998</v>
      </c>
      <c r="K93" s="112">
        <v>273.23</v>
      </c>
      <c r="L93" s="112">
        <v>28.76</v>
      </c>
      <c r="M93" s="112">
        <v>70.319999999999993</v>
      </c>
      <c r="N93" s="112">
        <v>0</v>
      </c>
      <c r="O93" s="112">
        <v>0</v>
      </c>
      <c r="P93" s="112">
        <v>0.43</v>
      </c>
      <c r="Q93" s="112">
        <v>4.91</v>
      </c>
    </row>
    <row r="94" spans="1:17" customFormat="1">
      <c r="A94" s="80">
        <v>45430.895833333336</v>
      </c>
      <c r="B94" s="112">
        <v>11.31</v>
      </c>
      <c r="C94" s="112">
        <v>13.08</v>
      </c>
      <c r="D94" s="112">
        <v>25.05</v>
      </c>
      <c r="E94" s="112">
        <v>8.5399999999999991</v>
      </c>
      <c r="F94" s="112">
        <v>7.85</v>
      </c>
      <c r="G94" s="112">
        <v>28.53</v>
      </c>
      <c r="H94" s="112">
        <v>10.36</v>
      </c>
      <c r="I94" s="112">
        <v>3.26</v>
      </c>
      <c r="J94" s="112">
        <v>0.36</v>
      </c>
      <c r="K94" s="112">
        <v>263.42</v>
      </c>
      <c r="L94" s="112">
        <v>28.44</v>
      </c>
      <c r="M94" s="112">
        <v>69.95</v>
      </c>
      <c r="N94" s="112">
        <v>0</v>
      </c>
      <c r="O94" s="112">
        <v>0</v>
      </c>
      <c r="P94" s="112">
        <v>0.42</v>
      </c>
      <c r="Q94" s="167" t="s">
        <v>14</v>
      </c>
    </row>
    <row r="95" spans="1:17" customFormat="1">
      <c r="A95" s="80">
        <v>45430.90625</v>
      </c>
      <c r="B95" s="112">
        <v>11.35</v>
      </c>
      <c r="C95" s="112">
        <v>13.08</v>
      </c>
      <c r="D95" s="112">
        <v>25.08</v>
      </c>
      <c r="E95" s="112">
        <v>7.85</v>
      </c>
      <c r="F95" s="112">
        <v>8.9499999999999993</v>
      </c>
      <c r="G95" s="112">
        <v>28.53</v>
      </c>
      <c r="H95" s="112">
        <v>10.36</v>
      </c>
      <c r="I95" s="112">
        <v>3.23</v>
      </c>
      <c r="J95" s="112">
        <v>0.32</v>
      </c>
      <c r="K95" s="112">
        <v>245.55</v>
      </c>
      <c r="L95" s="112">
        <v>28.26</v>
      </c>
      <c r="M95" s="112">
        <v>69.84</v>
      </c>
      <c r="N95" s="112">
        <v>0</v>
      </c>
      <c r="O95" s="112">
        <v>0</v>
      </c>
      <c r="P95" s="112">
        <v>0.42</v>
      </c>
      <c r="Q95" s="112">
        <v>4.88</v>
      </c>
    </row>
    <row r="96" spans="1:17" customFormat="1">
      <c r="A96" s="80">
        <v>45430.916666666664</v>
      </c>
      <c r="B96" s="112">
        <v>11.33</v>
      </c>
      <c r="C96" s="112">
        <v>13.07</v>
      </c>
      <c r="D96" s="112">
        <v>25.06</v>
      </c>
      <c r="E96" s="112">
        <v>7.46</v>
      </c>
      <c r="F96" s="112">
        <v>11.11</v>
      </c>
      <c r="G96" s="112">
        <v>28.53</v>
      </c>
      <c r="H96" s="112">
        <v>10.36</v>
      </c>
      <c r="I96" s="112">
        <v>3.16</v>
      </c>
      <c r="J96" s="112">
        <v>0.16</v>
      </c>
      <c r="K96" s="112">
        <v>254.1</v>
      </c>
      <c r="L96" s="112">
        <v>27.95</v>
      </c>
      <c r="M96" s="112">
        <v>71.260000000000005</v>
      </c>
      <c r="N96" s="112">
        <v>0</v>
      </c>
      <c r="O96" s="112">
        <v>0</v>
      </c>
      <c r="P96" s="112">
        <v>0.4</v>
      </c>
      <c r="Q96" s="112">
        <v>4.8600000000000003</v>
      </c>
    </row>
    <row r="97" spans="1:22" customFormat="1">
      <c r="A97" s="80">
        <v>45430.927083333336</v>
      </c>
      <c r="B97" s="112">
        <v>11.32</v>
      </c>
      <c r="C97" s="112">
        <v>13.07</v>
      </c>
      <c r="D97" s="112">
        <v>25.05</v>
      </c>
      <c r="E97" s="112">
        <v>6.54</v>
      </c>
      <c r="F97" s="112">
        <v>12.82</v>
      </c>
      <c r="G97" s="112">
        <v>20.309999999999999</v>
      </c>
      <c r="H97" s="112">
        <v>9.64</v>
      </c>
      <c r="I97" s="112">
        <v>3.29</v>
      </c>
      <c r="J97" s="112">
        <v>0.28999999999999998</v>
      </c>
      <c r="K97" s="112">
        <v>269.38</v>
      </c>
      <c r="L97" s="112">
        <v>27.84</v>
      </c>
      <c r="M97" s="112">
        <v>71.53</v>
      </c>
      <c r="N97" s="112">
        <v>0</v>
      </c>
      <c r="O97" s="112">
        <v>0</v>
      </c>
      <c r="P97" s="112">
        <v>0.38</v>
      </c>
      <c r="Q97" s="112">
        <v>4.88</v>
      </c>
    </row>
    <row r="98" spans="1:22" customFormat="1">
      <c r="A98" s="80">
        <v>45430.9375</v>
      </c>
      <c r="B98" s="112">
        <v>11.31</v>
      </c>
      <c r="C98" s="112">
        <v>13.08</v>
      </c>
      <c r="D98" s="112">
        <v>25.05</v>
      </c>
      <c r="E98" s="112">
        <v>6.08</v>
      </c>
      <c r="F98" s="112">
        <v>11.93</v>
      </c>
      <c r="G98" s="112">
        <v>18.39</v>
      </c>
      <c r="H98" s="112">
        <v>9.64</v>
      </c>
      <c r="I98" s="112">
        <v>3.37</v>
      </c>
      <c r="J98" s="112">
        <v>0.24</v>
      </c>
      <c r="K98" s="112">
        <v>247.07</v>
      </c>
      <c r="L98" s="112">
        <v>27.64</v>
      </c>
      <c r="M98" s="112">
        <v>72.319999999999993</v>
      </c>
      <c r="N98" s="112">
        <v>0</v>
      </c>
      <c r="O98" s="112">
        <v>0</v>
      </c>
      <c r="P98" s="112">
        <v>0.37</v>
      </c>
      <c r="Q98" s="112">
        <v>4.87</v>
      </c>
    </row>
    <row r="99" spans="1:22" customFormat="1">
      <c r="A99" s="80">
        <v>45430.947916666664</v>
      </c>
      <c r="B99" s="112">
        <v>11.3</v>
      </c>
      <c r="C99" s="112">
        <v>13.08</v>
      </c>
      <c r="D99" s="112">
        <v>25.04</v>
      </c>
      <c r="E99" s="112">
        <v>5.75</v>
      </c>
      <c r="F99" s="112">
        <v>11.43</v>
      </c>
      <c r="G99" s="112">
        <v>18.39</v>
      </c>
      <c r="H99" s="112">
        <v>9.64</v>
      </c>
      <c r="I99" s="112">
        <v>3.03</v>
      </c>
      <c r="J99" s="112">
        <v>0.28000000000000003</v>
      </c>
      <c r="K99" s="112">
        <v>241</v>
      </c>
      <c r="L99" s="112">
        <v>27.56</v>
      </c>
      <c r="M99" s="112">
        <v>72.180000000000007</v>
      </c>
      <c r="N99" s="112">
        <v>0</v>
      </c>
      <c r="O99" s="112">
        <v>0</v>
      </c>
      <c r="P99" s="112">
        <v>0.36</v>
      </c>
      <c r="Q99" s="167" t="s">
        <v>14</v>
      </c>
    </row>
    <row r="100" spans="1:22" customFormat="1">
      <c r="A100" s="80">
        <v>45430.958333333336</v>
      </c>
      <c r="B100" s="112">
        <v>11.29</v>
      </c>
      <c r="C100" s="112">
        <v>13.09</v>
      </c>
      <c r="D100" s="112">
        <v>25.04</v>
      </c>
      <c r="E100" s="112">
        <v>5.24</v>
      </c>
      <c r="F100" s="112">
        <v>11.43</v>
      </c>
      <c r="G100" s="112">
        <v>18.39</v>
      </c>
      <c r="H100" s="112">
        <v>9.64</v>
      </c>
      <c r="I100" s="112">
        <v>3.08</v>
      </c>
      <c r="J100" s="112">
        <v>0.22</v>
      </c>
      <c r="K100" s="112">
        <v>241.45</v>
      </c>
      <c r="L100" s="112">
        <v>27.45</v>
      </c>
      <c r="M100" s="112">
        <v>72.62</v>
      </c>
      <c r="N100" s="112">
        <v>0</v>
      </c>
      <c r="O100" s="112">
        <v>0</v>
      </c>
      <c r="P100" s="112">
        <v>0.35</v>
      </c>
      <c r="Q100" s="167" t="s">
        <v>14</v>
      </c>
    </row>
    <row r="101" spans="1:22" customFormat="1">
      <c r="A101" s="80">
        <v>45430.96875</v>
      </c>
      <c r="B101" s="112">
        <v>11.31</v>
      </c>
      <c r="C101" s="112">
        <v>13.09</v>
      </c>
      <c r="D101" s="112">
        <v>25.06</v>
      </c>
      <c r="E101" s="112">
        <v>5.96</v>
      </c>
      <c r="F101" s="112">
        <v>10.1</v>
      </c>
      <c r="G101" s="112">
        <v>15.76</v>
      </c>
      <c r="H101" s="112">
        <v>6.77</v>
      </c>
      <c r="I101" s="112">
        <v>3.13</v>
      </c>
      <c r="J101" s="112">
        <v>0.2</v>
      </c>
      <c r="K101" s="112">
        <v>226.76</v>
      </c>
      <c r="L101" s="112">
        <v>27.27</v>
      </c>
      <c r="M101" s="112">
        <v>74.069999999999993</v>
      </c>
      <c r="N101" s="112">
        <v>0</v>
      </c>
      <c r="O101" s="112">
        <v>0</v>
      </c>
      <c r="P101" s="112">
        <v>0.38</v>
      </c>
      <c r="Q101" s="167" t="s">
        <v>14</v>
      </c>
    </row>
    <row r="102" spans="1:22" customFormat="1">
      <c r="A102" s="80">
        <v>45430.979166666664</v>
      </c>
      <c r="B102" s="112">
        <v>11.31</v>
      </c>
      <c r="C102" s="112">
        <v>13.09</v>
      </c>
      <c r="D102" s="112">
        <v>25.06</v>
      </c>
      <c r="E102" s="112">
        <v>6.06</v>
      </c>
      <c r="F102" s="112">
        <v>9.16</v>
      </c>
      <c r="G102" s="112">
        <v>15.15</v>
      </c>
      <c r="H102" s="112">
        <v>6.77</v>
      </c>
      <c r="I102" s="112">
        <v>3.28</v>
      </c>
      <c r="J102" s="112">
        <v>0.23</v>
      </c>
      <c r="K102" s="112">
        <v>243.07</v>
      </c>
      <c r="L102" s="112">
        <v>27.21</v>
      </c>
      <c r="M102" s="112">
        <v>74.010000000000005</v>
      </c>
      <c r="N102" s="112">
        <v>0</v>
      </c>
      <c r="O102" s="112">
        <v>0</v>
      </c>
      <c r="P102" s="112">
        <v>0.39</v>
      </c>
      <c r="Q102" s="167" t="s">
        <v>14</v>
      </c>
    </row>
    <row r="103" spans="1:22" customFormat="1">
      <c r="A103" s="80">
        <v>45430.989583333336</v>
      </c>
      <c r="B103" s="112">
        <v>11.3</v>
      </c>
      <c r="C103" s="112">
        <v>13.09</v>
      </c>
      <c r="D103" s="112">
        <v>25.04</v>
      </c>
      <c r="E103" s="112">
        <v>5.94</v>
      </c>
      <c r="F103" s="112">
        <v>10.210000000000001</v>
      </c>
      <c r="G103" s="112">
        <v>15.15</v>
      </c>
      <c r="H103" s="112">
        <v>6.77</v>
      </c>
      <c r="I103" s="112">
        <v>3.73</v>
      </c>
      <c r="J103" s="112">
        <v>0.23</v>
      </c>
      <c r="K103" s="112">
        <v>245.34</v>
      </c>
      <c r="L103" s="112">
        <v>27.09</v>
      </c>
      <c r="M103" s="112">
        <v>73.5</v>
      </c>
      <c r="N103" s="112">
        <v>0</v>
      </c>
      <c r="O103" s="112">
        <v>0</v>
      </c>
      <c r="P103" s="112">
        <v>0.38</v>
      </c>
      <c r="Q103" s="167" t="s">
        <v>14</v>
      </c>
    </row>
    <row r="104" spans="1:22" customFormat="1">
      <c r="A104" s="80">
        <v>45431</v>
      </c>
      <c r="B104" s="112">
        <v>11.29</v>
      </c>
      <c r="C104" s="112">
        <v>13.08</v>
      </c>
      <c r="D104" s="112">
        <v>25.03</v>
      </c>
      <c r="E104" s="112">
        <v>6.39</v>
      </c>
      <c r="F104" s="112">
        <v>11.29</v>
      </c>
      <c r="G104" s="112">
        <v>15.15</v>
      </c>
      <c r="H104" s="112">
        <v>6.77</v>
      </c>
      <c r="I104" s="112">
        <v>3.81</v>
      </c>
      <c r="J104" s="112">
        <v>0.2</v>
      </c>
      <c r="K104" s="112">
        <v>223.87</v>
      </c>
      <c r="L104" s="112">
        <v>27.01</v>
      </c>
      <c r="M104" s="112">
        <v>73.87</v>
      </c>
      <c r="N104" s="112">
        <v>0</v>
      </c>
      <c r="O104" s="112">
        <v>0</v>
      </c>
      <c r="P104" s="112">
        <v>0.38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9.9700000000000006</v>
      </c>
      <c r="C106" s="183">
        <f>MIN(C9:C104)</f>
        <v>11.27</v>
      </c>
      <c r="D106" s="183">
        <f t="shared" ref="D106:Q106" si="0">MIN(D9:D104)</f>
        <v>22.66</v>
      </c>
      <c r="E106" s="183">
        <f t="shared" si="0"/>
        <v>5.24</v>
      </c>
      <c r="F106" s="183">
        <f t="shared" si="0"/>
        <v>4.9000000000000004</v>
      </c>
      <c r="G106" s="183">
        <f t="shared" si="0"/>
        <v>10.52</v>
      </c>
      <c r="H106" s="183">
        <f t="shared" si="0"/>
        <v>3.11</v>
      </c>
      <c r="I106" s="183">
        <f t="shared" si="0"/>
        <v>2.13</v>
      </c>
      <c r="J106" s="183">
        <f t="shared" si="0"/>
        <v>-0.57999999999999996</v>
      </c>
      <c r="K106" s="183">
        <f t="shared" si="0"/>
        <v>-0.02</v>
      </c>
      <c r="L106" s="183">
        <f t="shared" si="0"/>
        <v>27.01</v>
      </c>
      <c r="M106" s="183">
        <f t="shared" si="0"/>
        <v>34.35</v>
      </c>
      <c r="N106" s="183">
        <f t="shared" si="0"/>
        <v>0</v>
      </c>
      <c r="O106" s="183">
        <f t="shared" si="0"/>
        <v>0</v>
      </c>
      <c r="P106" s="183">
        <f t="shared" si="0"/>
        <v>0.24</v>
      </c>
      <c r="Q106" s="183">
        <f t="shared" si="0"/>
        <v>0.19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11.36</v>
      </c>
      <c r="C107" s="184">
        <f t="shared" ref="C107:Q107" si="1">MAX(C9:C104)</f>
        <v>13.17</v>
      </c>
      <c r="D107" s="184">
        <f t="shared" si="1"/>
        <v>25.09</v>
      </c>
      <c r="E107" s="184">
        <f t="shared" si="1"/>
        <v>17.440000000000001</v>
      </c>
      <c r="F107" s="184">
        <f t="shared" si="1"/>
        <v>76.209999999999994</v>
      </c>
      <c r="G107" s="184">
        <f t="shared" si="1"/>
        <v>37.17</v>
      </c>
      <c r="H107" s="184">
        <f t="shared" si="1"/>
        <v>18.13</v>
      </c>
      <c r="I107" s="184">
        <f t="shared" si="1"/>
        <v>4.95</v>
      </c>
      <c r="J107" s="184">
        <f t="shared" si="1"/>
        <v>1.07</v>
      </c>
      <c r="K107" s="184">
        <f t="shared" si="1"/>
        <v>358.5</v>
      </c>
      <c r="L107" s="184">
        <f t="shared" si="1"/>
        <v>37.200000000000003</v>
      </c>
      <c r="M107" s="184">
        <f t="shared" si="1"/>
        <v>74.069999999999993</v>
      </c>
      <c r="N107" s="184">
        <f t="shared" si="1"/>
        <v>785.4</v>
      </c>
      <c r="O107" s="184">
        <f t="shared" si="1"/>
        <v>0</v>
      </c>
      <c r="P107" s="184">
        <f t="shared" si="1"/>
        <v>0.46</v>
      </c>
      <c r="Q107" s="184">
        <f t="shared" si="1"/>
        <v>4.96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11.247656249999997</v>
      </c>
      <c r="C108" s="183">
        <f t="shared" ref="C108:Q108" si="2">AVERAGE(C9:C104)</f>
        <v>13.056718750000009</v>
      </c>
      <c r="D108" s="183">
        <f t="shared" si="2"/>
        <v>24.979218749999983</v>
      </c>
      <c r="E108" s="183">
        <f t="shared" si="2"/>
        <v>10.550631578947364</v>
      </c>
      <c r="F108" s="183">
        <f t="shared" si="2"/>
        <v>22.024687499999988</v>
      </c>
      <c r="G108" s="183">
        <f t="shared" si="2"/>
        <v>18.986842105263161</v>
      </c>
      <c r="H108" s="183">
        <f t="shared" si="2"/>
        <v>7.7747368421052618</v>
      </c>
      <c r="I108" s="183">
        <f t="shared" si="2"/>
        <v>3.6245744680851066</v>
      </c>
      <c r="J108" s="183">
        <f t="shared" si="2"/>
        <v>0.34572916666666659</v>
      </c>
      <c r="K108" s="183">
        <f t="shared" si="2"/>
        <v>221.2621874999999</v>
      </c>
      <c r="L108" s="183">
        <f t="shared" si="2"/>
        <v>30.653645833333343</v>
      </c>
      <c r="M108" s="183">
        <f t="shared" si="2"/>
        <v>58.600416666666668</v>
      </c>
      <c r="N108" s="183">
        <f t="shared" si="2"/>
        <v>136.85312500000001</v>
      </c>
      <c r="O108" s="183">
        <f t="shared" si="2"/>
        <v>0</v>
      </c>
      <c r="P108" s="183">
        <f t="shared" si="2"/>
        <v>0.35906250000000006</v>
      </c>
      <c r="Q108" s="183">
        <f t="shared" si="2"/>
        <v>4.5298387096774189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0.17652503026366617</v>
      </c>
      <c r="C109" s="183">
        <f t="shared" ref="C109:Q109" si="3">STDEV(C9:C104)</f>
        <v>0.22881374339479196</v>
      </c>
      <c r="D109" s="183">
        <f t="shared" si="3"/>
        <v>0.30110012408321329</v>
      </c>
      <c r="E109" s="183">
        <f t="shared" si="3"/>
        <v>2.4017625666688605</v>
      </c>
      <c r="F109" s="183">
        <f t="shared" si="3"/>
        <v>20.480241926671674</v>
      </c>
      <c r="G109" s="183">
        <f t="shared" si="3"/>
        <v>8.2715927060473984</v>
      </c>
      <c r="H109" s="183">
        <f t="shared" si="3"/>
        <v>4.299799522050372</v>
      </c>
      <c r="I109" s="183">
        <f t="shared" si="3"/>
        <v>0.79249254925925461</v>
      </c>
      <c r="J109" s="183">
        <f t="shared" si="3"/>
        <v>0.25662073096576521</v>
      </c>
      <c r="K109" s="183">
        <f t="shared" si="3"/>
        <v>71.071611227922261</v>
      </c>
      <c r="L109" s="183">
        <f t="shared" si="3"/>
        <v>3.247674510457697</v>
      </c>
      <c r="M109" s="183">
        <f t="shared" si="3"/>
        <v>12.117613532346116</v>
      </c>
      <c r="N109" s="183">
        <f t="shared" si="3"/>
        <v>202.4412678716966</v>
      </c>
      <c r="O109" s="183">
        <f t="shared" si="3"/>
        <v>0</v>
      </c>
      <c r="P109" s="183">
        <f t="shared" si="3"/>
        <v>6.4401342336451214E-2</v>
      </c>
      <c r="Q109" s="183">
        <f t="shared" si="3"/>
        <v>0.7247961656601718</v>
      </c>
      <c r="R109" s="187"/>
      <c r="S109" s="187"/>
      <c r="T109" s="187"/>
      <c r="U109" s="187"/>
    </row>
    <row r="110" spans="1:22">
      <c r="A110" s="182" t="s">
        <v>52</v>
      </c>
      <c r="B110" s="184">
        <v>95</v>
      </c>
      <c r="C110" s="184">
        <v>95</v>
      </c>
      <c r="D110" s="184">
        <v>95</v>
      </c>
      <c r="E110" s="184">
        <v>95</v>
      </c>
      <c r="F110" s="184">
        <v>96</v>
      </c>
      <c r="G110" s="184">
        <v>96</v>
      </c>
      <c r="H110" s="184">
        <v>96</v>
      </c>
      <c r="I110" s="184">
        <v>93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14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86" activePane="bottomRight" state="frozen"/>
      <selection activeCell="A9" sqref="A9"/>
      <selection pane="topRight" activeCell="A9" sqref="A9"/>
      <selection pane="bottomLeft" activeCell="A9" sqref="A9"/>
      <selection pane="bottomRight" activeCell="Q103" sqref="Q92:Q103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45431.010416666664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45431.010416666664</v>
      </c>
      <c r="B9" s="112">
        <v>11.29</v>
      </c>
      <c r="C9" s="112">
        <v>13.13</v>
      </c>
      <c r="D9" s="112">
        <v>25.06</v>
      </c>
      <c r="E9" s="112">
        <v>5.49</v>
      </c>
      <c r="F9" s="112">
        <v>14.63</v>
      </c>
      <c r="G9" s="112">
        <v>10.89</v>
      </c>
      <c r="H9" s="112">
        <v>4.9400000000000004</v>
      </c>
      <c r="I9" s="112">
        <v>3.81</v>
      </c>
      <c r="J9" s="112">
        <v>0.18</v>
      </c>
      <c r="K9" s="112">
        <v>252.64</v>
      </c>
      <c r="L9" s="112">
        <v>26.79</v>
      </c>
      <c r="M9" s="112">
        <v>74.94</v>
      </c>
      <c r="N9" s="112">
        <v>0</v>
      </c>
      <c r="O9" s="112">
        <v>0</v>
      </c>
      <c r="P9" s="112">
        <v>0.36</v>
      </c>
      <c r="Q9" s="167" t="s">
        <v>14</v>
      </c>
    </row>
    <row r="10" spans="1:21" customFormat="1">
      <c r="A10" s="80">
        <v>45431.020833333336</v>
      </c>
      <c r="B10" s="112">
        <v>11.34</v>
      </c>
      <c r="C10" s="112">
        <v>13.03</v>
      </c>
      <c r="D10" s="112">
        <v>25.04</v>
      </c>
      <c r="E10" s="112">
        <v>4.96</v>
      </c>
      <c r="F10" s="112">
        <v>12.32</v>
      </c>
      <c r="G10" s="112">
        <v>9.9</v>
      </c>
      <c r="H10" s="112">
        <v>4.9400000000000004</v>
      </c>
      <c r="I10" s="112">
        <v>4</v>
      </c>
      <c r="J10" s="112">
        <v>0.13</v>
      </c>
      <c r="K10" s="112">
        <v>228.94</v>
      </c>
      <c r="L10" s="112">
        <v>26.82</v>
      </c>
      <c r="M10" s="112">
        <v>74.64</v>
      </c>
      <c r="N10" s="112">
        <v>0</v>
      </c>
      <c r="O10" s="112">
        <v>0</v>
      </c>
      <c r="P10" s="112">
        <v>0.35</v>
      </c>
      <c r="Q10" s="167" t="s">
        <v>14</v>
      </c>
    </row>
    <row r="11" spans="1:21" customFormat="1">
      <c r="A11" s="80">
        <v>45431.03125</v>
      </c>
      <c r="B11" s="112">
        <v>11.32</v>
      </c>
      <c r="C11" s="112">
        <v>13.07</v>
      </c>
      <c r="D11" s="112">
        <v>25.05</v>
      </c>
      <c r="E11" s="112">
        <v>5.53</v>
      </c>
      <c r="F11" s="112">
        <v>9.5399999999999991</v>
      </c>
      <c r="G11" s="112">
        <v>9.9</v>
      </c>
      <c r="H11" s="112">
        <v>4.9400000000000004</v>
      </c>
      <c r="I11" s="112">
        <v>3.71</v>
      </c>
      <c r="J11" s="112">
        <v>0.2</v>
      </c>
      <c r="K11" s="112">
        <v>263.47000000000003</v>
      </c>
      <c r="L11" s="112">
        <v>26.72</v>
      </c>
      <c r="M11" s="112">
        <v>74.81</v>
      </c>
      <c r="N11" s="112">
        <v>0</v>
      </c>
      <c r="O11" s="112">
        <v>0</v>
      </c>
      <c r="P11" s="112">
        <v>0.38</v>
      </c>
      <c r="Q11" s="167" t="s">
        <v>14</v>
      </c>
    </row>
    <row r="12" spans="1:21" customFormat="1">
      <c r="A12" s="80">
        <v>45431.041666666664</v>
      </c>
      <c r="B12" s="112">
        <v>11.29</v>
      </c>
      <c r="C12" s="112">
        <v>13.1</v>
      </c>
      <c r="D12" s="112">
        <v>25.04</v>
      </c>
      <c r="E12" s="112">
        <v>6.05</v>
      </c>
      <c r="F12" s="112">
        <v>10.4</v>
      </c>
      <c r="G12" s="112">
        <v>9.9</v>
      </c>
      <c r="H12" s="112">
        <v>4.9400000000000004</v>
      </c>
      <c r="I12" s="112">
        <v>4.0199999999999996</v>
      </c>
      <c r="J12" s="112">
        <v>0.11</v>
      </c>
      <c r="K12" s="112">
        <v>266.27999999999997</v>
      </c>
      <c r="L12" s="112">
        <v>26.72</v>
      </c>
      <c r="M12" s="112">
        <v>74.66</v>
      </c>
      <c r="N12" s="112">
        <v>0</v>
      </c>
      <c r="O12" s="112">
        <v>0</v>
      </c>
      <c r="P12" s="112">
        <v>0.38</v>
      </c>
      <c r="Q12" s="167" t="s">
        <v>14</v>
      </c>
    </row>
    <row r="13" spans="1:21" customFormat="1">
      <c r="A13" s="80">
        <v>45431.052083333336</v>
      </c>
      <c r="B13" s="112">
        <v>11.32</v>
      </c>
      <c r="C13" s="112">
        <v>13.07</v>
      </c>
      <c r="D13" s="112">
        <v>25.06</v>
      </c>
      <c r="E13" s="112">
        <v>5.56</v>
      </c>
      <c r="F13" s="112">
        <v>13.5</v>
      </c>
      <c r="G13" s="112">
        <v>7.68</v>
      </c>
      <c r="H13" s="112">
        <v>5.72</v>
      </c>
      <c r="I13" s="112">
        <v>3.74</v>
      </c>
      <c r="J13" s="112">
        <v>0.18</v>
      </c>
      <c r="K13" s="112">
        <v>231.73</v>
      </c>
      <c r="L13" s="112">
        <v>26.58</v>
      </c>
      <c r="M13" s="112">
        <v>75.39</v>
      </c>
      <c r="N13" s="112">
        <v>0</v>
      </c>
      <c r="O13" s="112">
        <v>0</v>
      </c>
      <c r="P13" s="112">
        <v>0.38</v>
      </c>
      <c r="Q13" s="112">
        <v>4.8899999999999997</v>
      </c>
    </row>
    <row r="14" spans="1:21" customFormat="1">
      <c r="A14" s="80">
        <v>45431.0625</v>
      </c>
      <c r="B14" s="112">
        <v>11.35</v>
      </c>
      <c r="C14" s="112">
        <v>13.05</v>
      </c>
      <c r="D14" s="112">
        <v>25.06</v>
      </c>
      <c r="E14" s="112">
        <v>5.16</v>
      </c>
      <c r="F14" s="112">
        <v>11.35</v>
      </c>
      <c r="G14" s="112">
        <v>7.16</v>
      </c>
      <c r="H14" s="112">
        <v>5.72</v>
      </c>
      <c r="I14" s="112">
        <v>3.64</v>
      </c>
      <c r="J14" s="112">
        <v>0.24</v>
      </c>
      <c r="K14" s="112">
        <v>249.22</v>
      </c>
      <c r="L14" s="112">
        <v>26.62</v>
      </c>
      <c r="M14" s="112">
        <v>74.41</v>
      </c>
      <c r="N14" s="112">
        <v>0</v>
      </c>
      <c r="O14" s="112">
        <v>0</v>
      </c>
      <c r="P14" s="112">
        <v>0.36</v>
      </c>
      <c r="Q14" s="112">
        <v>4.8899999999999997</v>
      </c>
    </row>
    <row r="15" spans="1:21" customFormat="1">
      <c r="A15" s="80">
        <v>45431.072916666664</v>
      </c>
      <c r="B15" s="112">
        <v>11.32</v>
      </c>
      <c r="C15" s="112">
        <v>13.07</v>
      </c>
      <c r="D15" s="112">
        <v>25.05</v>
      </c>
      <c r="E15" s="112">
        <v>5.81</v>
      </c>
      <c r="F15" s="112">
        <v>8.94</v>
      </c>
      <c r="G15" s="112">
        <v>7.16</v>
      </c>
      <c r="H15" s="112">
        <v>5.72</v>
      </c>
      <c r="I15" s="112">
        <v>3.5</v>
      </c>
      <c r="J15" s="112">
        <v>0.28999999999999998</v>
      </c>
      <c r="K15" s="112">
        <v>244.52</v>
      </c>
      <c r="L15" s="112">
        <v>26.55</v>
      </c>
      <c r="M15" s="112">
        <v>74.95</v>
      </c>
      <c r="N15" s="112">
        <v>0</v>
      </c>
      <c r="O15" s="112">
        <v>0</v>
      </c>
      <c r="P15" s="112">
        <v>0.38</v>
      </c>
      <c r="Q15" s="167" t="s">
        <v>14</v>
      </c>
    </row>
    <row r="16" spans="1:21" customFormat="1">
      <c r="A16" s="80">
        <v>45431.083333333336</v>
      </c>
      <c r="B16" s="112">
        <v>11.3</v>
      </c>
      <c r="C16" s="112">
        <v>13.09</v>
      </c>
      <c r="D16" s="112">
        <v>25.04</v>
      </c>
      <c r="E16" s="112">
        <v>6.97</v>
      </c>
      <c r="F16" s="112">
        <v>6.69</v>
      </c>
      <c r="G16" s="112">
        <v>7.16</v>
      </c>
      <c r="H16" s="112">
        <v>5.72</v>
      </c>
      <c r="I16" s="112">
        <v>3.69</v>
      </c>
      <c r="J16" s="112">
        <v>0.21</v>
      </c>
      <c r="K16" s="112">
        <v>235.09</v>
      </c>
      <c r="L16" s="112">
        <v>26.57</v>
      </c>
      <c r="M16" s="112">
        <v>74.760000000000005</v>
      </c>
      <c r="N16" s="112">
        <v>0</v>
      </c>
      <c r="O16" s="112">
        <v>0</v>
      </c>
      <c r="P16" s="112">
        <v>0.4</v>
      </c>
      <c r="Q16" s="167" t="s">
        <v>14</v>
      </c>
    </row>
    <row r="17" spans="1:17" customFormat="1">
      <c r="A17" s="80">
        <v>45431.09375</v>
      </c>
      <c r="B17" s="112">
        <v>11.31</v>
      </c>
      <c r="C17" s="112">
        <v>13.13</v>
      </c>
      <c r="D17" s="112">
        <v>25.07</v>
      </c>
      <c r="E17" s="112">
        <v>9.84</v>
      </c>
      <c r="F17" s="112">
        <v>5.66</v>
      </c>
      <c r="G17" s="112">
        <v>26.01</v>
      </c>
      <c r="H17" s="112">
        <v>4.25</v>
      </c>
      <c r="I17" s="112">
        <v>3.99</v>
      </c>
      <c r="J17" s="112">
        <v>0.21</v>
      </c>
      <c r="K17" s="112">
        <v>216.61</v>
      </c>
      <c r="L17" s="112">
        <v>26.46</v>
      </c>
      <c r="M17" s="112">
        <v>74.83</v>
      </c>
      <c r="N17" s="112">
        <v>0</v>
      </c>
      <c r="O17" s="112">
        <v>0</v>
      </c>
      <c r="P17" s="112">
        <v>0.42</v>
      </c>
      <c r="Q17" s="167" t="s">
        <v>14</v>
      </c>
    </row>
    <row r="18" spans="1:17" customFormat="1">
      <c r="A18" s="80">
        <v>45431.104166666664</v>
      </c>
      <c r="B18" s="112">
        <v>11.33</v>
      </c>
      <c r="C18" s="112">
        <v>13.1</v>
      </c>
      <c r="D18" s="112">
        <v>25.07</v>
      </c>
      <c r="E18" s="112">
        <v>11.81</v>
      </c>
      <c r="F18" s="112">
        <v>5.7</v>
      </c>
      <c r="G18" s="112">
        <v>30.4</v>
      </c>
      <c r="H18" s="112">
        <v>4.25</v>
      </c>
      <c r="I18" s="112">
        <v>4.22</v>
      </c>
      <c r="J18" s="112">
        <v>0.2</v>
      </c>
      <c r="K18" s="112">
        <v>231.71</v>
      </c>
      <c r="L18" s="112">
        <v>26.42</v>
      </c>
      <c r="M18" s="112">
        <v>75.319999999999993</v>
      </c>
      <c r="N18" s="112">
        <v>0</v>
      </c>
      <c r="O18" s="112">
        <v>0</v>
      </c>
      <c r="P18" s="112">
        <v>0.41</v>
      </c>
      <c r="Q18" s="167" t="s">
        <v>14</v>
      </c>
    </row>
    <row r="19" spans="1:17" customFormat="1">
      <c r="A19" s="80">
        <v>45431.114583333336</v>
      </c>
      <c r="B19" s="112">
        <v>11.32</v>
      </c>
      <c r="C19" s="112">
        <v>13.1</v>
      </c>
      <c r="D19" s="112">
        <v>25.06</v>
      </c>
      <c r="E19" s="112">
        <v>13.05</v>
      </c>
      <c r="F19" s="112">
        <v>5.35</v>
      </c>
      <c r="G19" s="112">
        <v>30.4</v>
      </c>
      <c r="H19" s="112">
        <v>4.25</v>
      </c>
      <c r="I19" s="112">
        <v>4.2699999999999996</v>
      </c>
      <c r="J19" s="112">
        <v>0.25</v>
      </c>
      <c r="K19" s="112">
        <v>237.51</v>
      </c>
      <c r="L19" s="112">
        <v>26.34</v>
      </c>
      <c r="M19" s="112">
        <v>75.989999999999995</v>
      </c>
      <c r="N19" s="112">
        <v>0</v>
      </c>
      <c r="O19" s="112">
        <v>0</v>
      </c>
      <c r="P19" s="112">
        <v>0.41</v>
      </c>
      <c r="Q19" s="167" t="s">
        <v>14</v>
      </c>
    </row>
    <row r="20" spans="1:17" customFormat="1">
      <c r="A20" s="80">
        <v>45431.125</v>
      </c>
      <c r="B20" s="112">
        <v>11.32</v>
      </c>
      <c r="C20" s="112">
        <v>13.08</v>
      </c>
      <c r="D20" s="112">
        <v>25.06</v>
      </c>
      <c r="E20" s="112">
        <v>11.87</v>
      </c>
      <c r="F20" s="112">
        <v>5.29</v>
      </c>
      <c r="G20" s="112">
        <v>30.4</v>
      </c>
      <c r="H20" s="112">
        <v>4.25</v>
      </c>
      <c r="I20" s="112">
        <v>4.3</v>
      </c>
      <c r="J20" s="112">
        <v>0.18</v>
      </c>
      <c r="K20" s="112">
        <v>223.63</v>
      </c>
      <c r="L20" s="112">
        <v>26.26</v>
      </c>
      <c r="M20" s="112">
        <v>76.5</v>
      </c>
      <c r="N20" s="112">
        <v>0</v>
      </c>
      <c r="O20" s="112">
        <v>0</v>
      </c>
      <c r="P20" s="112">
        <v>0.41</v>
      </c>
      <c r="Q20" s="167" t="s">
        <v>14</v>
      </c>
    </row>
    <row r="21" spans="1:17" customFormat="1">
      <c r="A21" s="80">
        <v>45431.135416666664</v>
      </c>
      <c r="B21" s="112">
        <v>11.3</v>
      </c>
      <c r="C21" s="112">
        <v>13.08</v>
      </c>
      <c r="D21" s="112">
        <v>25.04</v>
      </c>
      <c r="E21" s="112">
        <v>12.47</v>
      </c>
      <c r="F21" s="112">
        <v>5.09</v>
      </c>
      <c r="G21" s="112">
        <v>26.86</v>
      </c>
      <c r="H21" s="112">
        <v>3.13</v>
      </c>
      <c r="I21" s="112">
        <v>4.33</v>
      </c>
      <c r="J21" s="112">
        <v>0.25</v>
      </c>
      <c r="K21" s="112">
        <v>251.25</v>
      </c>
      <c r="L21" s="112">
        <v>26.38</v>
      </c>
      <c r="M21" s="112">
        <v>74.8</v>
      </c>
      <c r="N21" s="112">
        <v>0</v>
      </c>
      <c r="O21" s="112">
        <v>0</v>
      </c>
      <c r="P21" s="112">
        <v>0.41</v>
      </c>
      <c r="Q21" s="167" t="s">
        <v>14</v>
      </c>
    </row>
    <row r="22" spans="1:17" customFormat="1">
      <c r="A22" s="80">
        <v>45431.145833333336</v>
      </c>
      <c r="B22" s="112">
        <v>11.29</v>
      </c>
      <c r="C22" s="112">
        <v>13.06</v>
      </c>
      <c r="D22" s="112">
        <v>25.02</v>
      </c>
      <c r="E22" s="112">
        <v>12.29</v>
      </c>
      <c r="F22" s="112">
        <v>5.2</v>
      </c>
      <c r="G22" s="112">
        <v>26.04</v>
      </c>
      <c r="H22" s="112">
        <v>3.13</v>
      </c>
      <c r="I22" s="112">
        <v>4.3099999999999996</v>
      </c>
      <c r="J22" s="112">
        <v>0.22</v>
      </c>
      <c r="K22" s="112">
        <v>226.74</v>
      </c>
      <c r="L22" s="112">
        <v>26.29</v>
      </c>
      <c r="M22" s="112">
        <v>75.03</v>
      </c>
      <c r="N22" s="112">
        <v>0</v>
      </c>
      <c r="O22" s="112">
        <v>0</v>
      </c>
      <c r="P22" s="112">
        <v>0.41</v>
      </c>
      <c r="Q22" s="112">
        <v>4.87</v>
      </c>
    </row>
    <row r="23" spans="1:17" customFormat="1">
      <c r="A23" s="80">
        <v>45431.15625</v>
      </c>
      <c r="B23" s="112">
        <v>11.28</v>
      </c>
      <c r="C23" s="112">
        <v>13.1</v>
      </c>
      <c r="D23" s="112">
        <v>25.04</v>
      </c>
      <c r="E23" s="112">
        <v>12.06</v>
      </c>
      <c r="F23" s="112">
        <v>4.9800000000000004</v>
      </c>
      <c r="G23" s="112">
        <v>26.04</v>
      </c>
      <c r="H23" s="112">
        <v>3.13</v>
      </c>
      <c r="I23" s="112">
        <v>4.28</v>
      </c>
      <c r="J23" s="112">
        <v>0.23</v>
      </c>
      <c r="K23" s="112">
        <v>232.34</v>
      </c>
      <c r="L23" s="112">
        <v>26.28</v>
      </c>
      <c r="M23" s="112">
        <v>76.099999999999994</v>
      </c>
      <c r="N23" s="112">
        <v>0</v>
      </c>
      <c r="O23" s="112">
        <v>0</v>
      </c>
      <c r="P23" s="112">
        <v>0.41</v>
      </c>
      <c r="Q23" s="167" t="s">
        <v>14</v>
      </c>
    </row>
    <row r="24" spans="1:17" customFormat="1">
      <c r="A24" s="80">
        <v>45431.166666666664</v>
      </c>
      <c r="B24" s="112">
        <v>11.27</v>
      </c>
      <c r="C24" s="112">
        <v>13.11</v>
      </c>
      <c r="D24" s="112">
        <v>25.03</v>
      </c>
      <c r="E24" s="112">
        <v>12.57</v>
      </c>
      <c r="F24" s="112">
        <v>4.99</v>
      </c>
      <c r="G24" s="112">
        <v>26.04</v>
      </c>
      <c r="H24" s="112">
        <v>3.13</v>
      </c>
      <c r="I24" s="112">
        <v>4.24</v>
      </c>
      <c r="J24" s="112">
        <v>0.19</v>
      </c>
      <c r="K24" s="112">
        <v>217.26</v>
      </c>
      <c r="L24" s="112">
        <v>26.09</v>
      </c>
      <c r="M24" s="112">
        <v>76.52</v>
      </c>
      <c r="N24" s="112">
        <v>0</v>
      </c>
      <c r="O24" s="112">
        <v>0</v>
      </c>
      <c r="P24" s="112">
        <v>0.41</v>
      </c>
      <c r="Q24" s="167" t="s">
        <v>14</v>
      </c>
    </row>
    <row r="25" spans="1:17" customFormat="1">
      <c r="A25" s="80">
        <v>45431.177083333336</v>
      </c>
      <c r="B25" s="112">
        <v>11.29</v>
      </c>
      <c r="C25" s="112">
        <v>13.1</v>
      </c>
      <c r="D25" s="112">
        <v>25.05</v>
      </c>
      <c r="E25" s="112">
        <v>12.63</v>
      </c>
      <c r="F25" s="112">
        <v>4.82</v>
      </c>
      <c r="G25" s="112">
        <v>21.26</v>
      </c>
      <c r="H25" s="112">
        <v>2.36</v>
      </c>
      <c r="I25" s="112">
        <v>4.18</v>
      </c>
      <c r="J25" s="112">
        <v>0.23</v>
      </c>
      <c r="K25" s="112">
        <v>259.32</v>
      </c>
      <c r="L25" s="112">
        <v>25.9</v>
      </c>
      <c r="M25" s="112">
        <v>77.819999999999993</v>
      </c>
      <c r="N25" s="112">
        <v>0</v>
      </c>
      <c r="O25" s="112">
        <v>0</v>
      </c>
      <c r="P25" s="112">
        <v>0.41</v>
      </c>
      <c r="Q25" s="167" t="s">
        <v>14</v>
      </c>
    </row>
    <row r="26" spans="1:17" customFormat="1">
      <c r="A26" s="80">
        <v>45431.1875</v>
      </c>
      <c r="B26" s="112">
        <v>11.31</v>
      </c>
      <c r="C26" s="112">
        <v>13.1</v>
      </c>
      <c r="D26" s="112">
        <v>25.06</v>
      </c>
      <c r="E26" s="112">
        <v>12.56</v>
      </c>
      <c r="F26" s="112">
        <v>4.7300000000000004</v>
      </c>
      <c r="G26" s="112">
        <v>20.14</v>
      </c>
      <c r="H26" s="112">
        <v>2.36</v>
      </c>
      <c r="I26" s="112">
        <v>4.1399999999999997</v>
      </c>
      <c r="J26" s="112">
        <v>0.17</v>
      </c>
      <c r="K26" s="112">
        <v>211.72</v>
      </c>
      <c r="L26" s="112">
        <v>25.81</v>
      </c>
      <c r="M26" s="112">
        <v>77.959999999999994</v>
      </c>
      <c r="N26" s="112">
        <v>0</v>
      </c>
      <c r="O26" s="112">
        <v>0</v>
      </c>
      <c r="P26" s="112">
        <v>0.41</v>
      </c>
      <c r="Q26" s="167" t="s">
        <v>14</v>
      </c>
    </row>
    <row r="27" spans="1:17" customFormat="1">
      <c r="A27" s="80">
        <v>45431.197916666664</v>
      </c>
      <c r="B27" s="112">
        <v>11.31</v>
      </c>
      <c r="C27" s="112">
        <v>13.11</v>
      </c>
      <c r="D27" s="112">
        <v>25.06</v>
      </c>
      <c r="E27" s="112">
        <v>12.02</v>
      </c>
      <c r="F27" s="112">
        <v>4.8</v>
      </c>
      <c r="G27" s="112">
        <v>20.14</v>
      </c>
      <c r="H27" s="112">
        <v>2.36</v>
      </c>
      <c r="I27" s="112">
        <v>4.08</v>
      </c>
      <c r="J27" s="112">
        <v>0.17</v>
      </c>
      <c r="K27" s="112">
        <v>227.97</v>
      </c>
      <c r="L27" s="112">
        <v>25.77</v>
      </c>
      <c r="M27" s="112">
        <v>77.86</v>
      </c>
      <c r="N27" s="112">
        <v>0</v>
      </c>
      <c r="O27" s="112">
        <v>0</v>
      </c>
      <c r="P27" s="112">
        <v>0.41</v>
      </c>
      <c r="Q27" s="167" t="s">
        <v>14</v>
      </c>
    </row>
    <row r="28" spans="1:17" customFormat="1">
      <c r="A28" s="80">
        <v>45431.208333333336</v>
      </c>
      <c r="B28" s="112">
        <v>11.33</v>
      </c>
      <c r="C28" s="112">
        <v>13.07</v>
      </c>
      <c r="D28" s="112">
        <v>25.05</v>
      </c>
      <c r="E28" s="112">
        <v>12.6</v>
      </c>
      <c r="F28" s="112">
        <v>4.8099999999999996</v>
      </c>
      <c r="G28" s="112">
        <v>20.14</v>
      </c>
      <c r="H28" s="112">
        <v>2.36</v>
      </c>
      <c r="I28" s="112">
        <v>4.03</v>
      </c>
      <c r="J28" s="112">
        <v>0.15</v>
      </c>
      <c r="K28" s="112">
        <v>248.72</v>
      </c>
      <c r="L28" s="112">
        <v>25.61</v>
      </c>
      <c r="M28" s="112">
        <v>80.11</v>
      </c>
      <c r="N28" s="112">
        <v>0</v>
      </c>
      <c r="O28" s="112">
        <v>0</v>
      </c>
      <c r="P28" s="112">
        <v>0.41</v>
      </c>
      <c r="Q28" s="167" t="s">
        <v>14</v>
      </c>
    </row>
    <row r="29" spans="1:17" customFormat="1">
      <c r="A29" s="80">
        <v>45431.21875</v>
      </c>
      <c r="B29" s="112">
        <v>11.32</v>
      </c>
      <c r="C29" s="112">
        <v>13.08</v>
      </c>
      <c r="D29" s="112">
        <v>25.06</v>
      </c>
      <c r="E29" s="112">
        <v>12.39</v>
      </c>
      <c r="F29" s="112">
        <v>4.8600000000000003</v>
      </c>
      <c r="G29" s="112">
        <v>19.329999999999998</v>
      </c>
      <c r="H29" s="112">
        <v>3.45</v>
      </c>
      <c r="I29" s="112">
        <v>4.03</v>
      </c>
      <c r="J29" s="112">
        <v>0.3</v>
      </c>
      <c r="K29" s="112">
        <v>257.76</v>
      </c>
      <c r="L29" s="112">
        <v>25.39</v>
      </c>
      <c r="M29" s="112">
        <v>79.22</v>
      </c>
      <c r="N29" s="112">
        <v>0</v>
      </c>
      <c r="O29" s="112">
        <v>0</v>
      </c>
      <c r="P29" s="112">
        <v>0.42</v>
      </c>
      <c r="Q29" s="167" t="s">
        <v>14</v>
      </c>
    </row>
    <row r="30" spans="1:17" customFormat="1">
      <c r="A30" s="80">
        <v>45431.229166666664</v>
      </c>
      <c r="B30" s="112">
        <v>11.28</v>
      </c>
      <c r="C30" s="112">
        <v>13.12</v>
      </c>
      <c r="D30" s="112">
        <v>25.05</v>
      </c>
      <c r="E30" s="112">
        <v>12.7</v>
      </c>
      <c r="F30" s="112">
        <v>4.76</v>
      </c>
      <c r="G30" s="112">
        <v>19.149999999999999</v>
      </c>
      <c r="H30" s="112">
        <v>3.45</v>
      </c>
      <c r="I30" s="112">
        <v>3.96</v>
      </c>
      <c r="J30" s="112">
        <v>0.15</v>
      </c>
      <c r="K30" s="112">
        <v>229.19</v>
      </c>
      <c r="L30" s="112">
        <v>25.58</v>
      </c>
      <c r="M30" s="112">
        <v>77.73</v>
      </c>
      <c r="N30" s="112">
        <v>1</v>
      </c>
      <c r="O30" s="112">
        <v>0</v>
      </c>
      <c r="P30" s="112">
        <v>0.41</v>
      </c>
      <c r="Q30" s="167" t="s">
        <v>14</v>
      </c>
    </row>
    <row r="31" spans="1:17" customFormat="1">
      <c r="A31" s="80">
        <v>45431.239583333336</v>
      </c>
      <c r="B31" s="112">
        <v>11.28</v>
      </c>
      <c r="C31" s="112">
        <v>13.09</v>
      </c>
      <c r="D31" s="112">
        <v>25.03</v>
      </c>
      <c r="E31" s="112">
        <v>12.84</v>
      </c>
      <c r="F31" s="112">
        <v>4.88</v>
      </c>
      <c r="G31" s="112">
        <v>19.149999999999999</v>
      </c>
      <c r="H31" s="112">
        <v>3.45</v>
      </c>
      <c r="I31" s="112">
        <v>3.95</v>
      </c>
      <c r="J31" s="112">
        <v>0.27</v>
      </c>
      <c r="K31" s="112">
        <v>224.75</v>
      </c>
      <c r="L31" s="112">
        <v>25.74</v>
      </c>
      <c r="M31" s="112">
        <v>77.64</v>
      </c>
      <c r="N31" s="112">
        <v>14.2</v>
      </c>
      <c r="O31" s="112">
        <v>0</v>
      </c>
      <c r="P31" s="112">
        <v>0.41</v>
      </c>
      <c r="Q31" s="167" t="s">
        <v>14</v>
      </c>
    </row>
    <row r="32" spans="1:17" customFormat="1">
      <c r="A32" s="80">
        <v>45431.25</v>
      </c>
      <c r="B32" s="112">
        <v>11.26</v>
      </c>
      <c r="C32" s="112">
        <v>13.1</v>
      </c>
      <c r="D32" s="112">
        <v>25.02</v>
      </c>
      <c r="E32" s="112">
        <v>12.43</v>
      </c>
      <c r="F32" s="112">
        <v>4.8600000000000003</v>
      </c>
      <c r="G32" s="112">
        <v>19.149999999999999</v>
      </c>
      <c r="H32" s="112">
        <v>3.45</v>
      </c>
      <c r="I32" s="112">
        <v>3.93</v>
      </c>
      <c r="J32" s="112">
        <v>0.32</v>
      </c>
      <c r="K32" s="112">
        <v>236.25</v>
      </c>
      <c r="L32" s="112">
        <v>26.24</v>
      </c>
      <c r="M32" s="112">
        <v>76.17</v>
      </c>
      <c r="N32" s="112">
        <v>26.6</v>
      </c>
      <c r="O32" s="112">
        <v>0</v>
      </c>
      <c r="P32" s="112">
        <v>0.41</v>
      </c>
      <c r="Q32" s="167" t="s">
        <v>14</v>
      </c>
    </row>
    <row r="33" spans="1:17" customFormat="1">
      <c r="A33" s="80">
        <v>45431.260416666664</v>
      </c>
      <c r="B33" s="112">
        <v>11.26</v>
      </c>
      <c r="C33" s="112">
        <v>13.1</v>
      </c>
      <c r="D33" s="112">
        <v>25.02</v>
      </c>
      <c r="E33" s="112">
        <v>12.56</v>
      </c>
      <c r="F33" s="112">
        <v>4.8099999999999996</v>
      </c>
      <c r="G33" s="112">
        <v>15.29</v>
      </c>
      <c r="H33" s="112">
        <v>2.66</v>
      </c>
      <c r="I33" s="112">
        <v>3.93</v>
      </c>
      <c r="J33" s="112">
        <v>0.48</v>
      </c>
      <c r="K33" s="112">
        <v>254.76</v>
      </c>
      <c r="L33" s="112">
        <v>26.5</v>
      </c>
      <c r="M33" s="112">
        <v>75.3</v>
      </c>
      <c r="N33" s="112">
        <v>33.9</v>
      </c>
      <c r="O33" s="112">
        <v>0</v>
      </c>
      <c r="P33" s="112">
        <v>0.42</v>
      </c>
      <c r="Q33" s="167" t="s">
        <v>14</v>
      </c>
    </row>
    <row r="34" spans="1:17" customFormat="1">
      <c r="A34" s="80">
        <v>45431.270833333336</v>
      </c>
      <c r="B34" s="112">
        <v>11.28</v>
      </c>
      <c r="C34" s="112">
        <v>13.08</v>
      </c>
      <c r="D34" s="112">
        <v>25.03</v>
      </c>
      <c r="E34" s="112">
        <v>12.38</v>
      </c>
      <c r="F34" s="112">
        <v>4.6900000000000004</v>
      </c>
      <c r="G34" s="112">
        <v>14.39</v>
      </c>
      <c r="H34" s="112">
        <v>2.66</v>
      </c>
      <c r="I34" s="112">
        <v>3.96</v>
      </c>
      <c r="J34" s="112">
        <v>0.32</v>
      </c>
      <c r="K34" s="112">
        <v>237.24</v>
      </c>
      <c r="L34" s="112">
        <v>26.99</v>
      </c>
      <c r="M34" s="112">
        <v>73.63</v>
      </c>
      <c r="N34" s="112">
        <v>35.4</v>
      </c>
      <c r="O34" s="112">
        <v>0</v>
      </c>
      <c r="P34" s="112">
        <v>0.41</v>
      </c>
      <c r="Q34" s="167" t="s">
        <v>14</v>
      </c>
    </row>
    <row r="35" spans="1:17" customFormat="1">
      <c r="A35" s="80">
        <v>45431.28125</v>
      </c>
      <c r="B35" s="112">
        <v>11.28</v>
      </c>
      <c r="C35" s="112">
        <v>13.06</v>
      </c>
      <c r="D35" s="112">
        <v>25.01</v>
      </c>
      <c r="E35" s="112">
        <v>12.55</v>
      </c>
      <c r="F35" s="112">
        <v>4.6500000000000004</v>
      </c>
      <c r="G35" s="112">
        <v>14.39</v>
      </c>
      <c r="H35" s="112">
        <v>2.66</v>
      </c>
      <c r="I35" s="112">
        <v>3.96</v>
      </c>
      <c r="J35" s="112">
        <v>0.46</v>
      </c>
      <c r="K35" s="112">
        <v>257.8</v>
      </c>
      <c r="L35" s="112">
        <v>27.05</v>
      </c>
      <c r="M35" s="112">
        <v>73.849999999999994</v>
      </c>
      <c r="N35" s="112">
        <v>51.1</v>
      </c>
      <c r="O35" s="112">
        <v>0</v>
      </c>
      <c r="P35" s="112">
        <v>0.42</v>
      </c>
      <c r="Q35" s="167" t="s">
        <v>14</v>
      </c>
    </row>
    <row r="36" spans="1:17" customFormat="1">
      <c r="A36" s="80">
        <v>45431.291666666664</v>
      </c>
      <c r="B36" s="112">
        <v>11.28</v>
      </c>
      <c r="C36" s="112">
        <v>13.11</v>
      </c>
      <c r="D36" s="112">
        <v>25.04</v>
      </c>
      <c r="E36" s="112">
        <v>12.62</v>
      </c>
      <c r="F36" s="112">
        <v>5.33</v>
      </c>
      <c r="G36" s="112">
        <v>14.39</v>
      </c>
      <c r="H36" s="112">
        <v>2.66</v>
      </c>
      <c r="I36" s="112">
        <v>4.0199999999999996</v>
      </c>
      <c r="J36" s="112">
        <v>0.54</v>
      </c>
      <c r="K36" s="112">
        <v>269.95</v>
      </c>
      <c r="L36" s="112">
        <v>27.3</v>
      </c>
      <c r="M36" s="112">
        <v>73.349999999999994</v>
      </c>
      <c r="N36" s="112">
        <v>62.1</v>
      </c>
      <c r="O36" s="112">
        <v>0</v>
      </c>
      <c r="P36" s="112">
        <v>0.42</v>
      </c>
      <c r="Q36" s="167" t="s">
        <v>14</v>
      </c>
    </row>
    <row r="37" spans="1:17" customFormat="1">
      <c r="A37" s="80">
        <v>45431.302083333336</v>
      </c>
      <c r="B37" s="112">
        <v>11.37</v>
      </c>
      <c r="C37" s="112">
        <v>13.11</v>
      </c>
      <c r="D37" s="112">
        <v>25.11</v>
      </c>
      <c r="E37" s="112">
        <v>11.98</v>
      </c>
      <c r="F37" s="112">
        <v>6.44</v>
      </c>
      <c r="G37" s="112">
        <v>15.22</v>
      </c>
      <c r="H37" s="112">
        <v>4.62</v>
      </c>
      <c r="I37" s="112">
        <v>4.01</v>
      </c>
      <c r="J37" s="112">
        <v>0.57999999999999996</v>
      </c>
      <c r="K37" s="112">
        <v>277.16000000000003</v>
      </c>
      <c r="L37" s="112">
        <v>27.79</v>
      </c>
      <c r="M37" s="112">
        <v>71.209999999999994</v>
      </c>
      <c r="N37" s="112">
        <v>76</v>
      </c>
      <c r="O37" s="112">
        <v>0</v>
      </c>
      <c r="P37" s="112">
        <v>0.42</v>
      </c>
      <c r="Q37" s="167" t="s">
        <v>14</v>
      </c>
    </row>
    <row r="38" spans="1:17" customFormat="1">
      <c r="A38" s="80">
        <v>45431.3125</v>
      </c>
      <c r="B38" s="112">
        <v>11.37</v>
      </c>
      <c r="C38" s="112">
        <v>13.12</v>
      </c>
      <c r="D38" s="112">
        <v>25.12</v>
      </c>
      <c r="E38" s="112">
        <v>11.31</v>
      </c>
      <c r="F38" s="112">
        <v>6.1</v>
      </c>
      <c r="G38" s="112">
        <v>15.41</v>
      </c>
      <c r="H38" s="112">
        <v>4.62</v>
      </c>
      <c r="I38" s="112">
        <v>3.98</v>
      </c>
      <c r="J38" s="112">
        <v>0.73</v>
      </c>
      <c r="K38" s="112">
        <v>265.44</v>
      </c>
      <c r="L38" s="112">
        <v>28.51</v>
      </c>
      <c r="M38" s="112">
        <v>67.69</v>
      </c>
      <c r="N38" s="112">
        <v>81.7</v>
      </c>
      <c r="O38" s="112">
        <v>0</v>
      </c>
      <c r="P38" s="112">
        <v>0.4</v>
      </c>
      <c r="Q38" s="167" t="s">
        <v>14</v>
      </c>
    </row>
    <row r="39" spans="1:17" customFormat="1">
      <c r="A39" s="80">
        <v>45431.322916666664</v>
      </c>
      <c r="B39" s="112">
        <v>11.36</v>
      </c>
      <c r="C39" s="112">
        <v>13.08</v>
      </c>
      <c r="D39" s="112">
        <v>25.09</v>
      </c>
      <c r="E39" s="112">
        <v>10.44</v>
      </c>
      <c r="F39" s="112">
        <v>6.45</v>
      </c>
      <c r="G39" s="112">
        <v>15.41</v>
      </c>
      <c r="H39" s="112">
        <v>4.62</v>
      </c>
      <c r="I39" s="112">
        <v>4</v>
      </c>
      <c r="J39" s="112">
        <v>0.91</v>
      </c>
      <c r="K39" s="112">
        <v>284.3</v>
      </c>
      <c r="L39" s="112">
        <v>29.06</v>
      </c>
      <c r="M39" s="112">
        <v>65.59</v>
      </c>
      <c r="N39" s="112">
        <v>87.7</v>
      </c>
      <c r="O39" s="112">
        <v>0</v>
      </c>
      <c r="P39" s="112">
        <v>0.39</v>
      </c>
      <c r="Q39" s="167" t="s">
        <v>14</v>
      </c>
    </row>
    <row r="40" spans="1:17" customFormat="1">
      <c r="A40" s="80">
        <v>45431.333333333336</v>
      </c>
      <c r="B40" s="112">
        <v>11.36</v>
      </c>
      <c r="C40" s="112">
        <v>13.09</v>
      </c>
      <c r="D40" s="112">
        <v>25.1</v>
      </c>
      <c r="E40" s="112">
        <v>10.43</v>
      </c>
      <c r="F40" s="112">
        <v>6.44</v>
      </c>
      <c r="G40" s="112">
        <v>15.41</v>
      </c>
      <c r="H40" s="112">
        <v>4.62</v>
      </c>
      <c r="I40" s="112">
        <v>4.05</v>
      </c>
      <c r="J40" s="112">
        <v>1.02</v>
      </c>
      <c r="K40" s="112">
        <v>260.33999999999997</v>
      </c>
      <c r="L40" s="112">
        <v>29.41</v>
      </c>
      <c r="M40" s="112">
        <v>64.28</v>
      </c>
      <c r="N40" s="112">
        <v>95.2</v>
      </c>
      <c r="O40" s="112">
        <v>0</v>
      </c>
      <c r="P40" s="112">
        <v>0.39</v>
      </c>
      <c r="Q40" s="167" t="s">
        <v>14</v>
      </c>
    </row>
    <row r="41" spans="1:17" customFormat="1">
      <c r="A41" s="80">
        <v>45431.34375</v>
      </c>
      <c r="B41" s="112">
        <v>11.36</v>
      </c>
      <c r="C41" s="112">
        <v>13.11</v>
      </c>
      <c r="D41" s="112">
        <v>25.11</v>
      </c>
      <c r="E41" s="112">
        <v>10.119999999999999</v>
      </c>
      <c r="F41" s="112">
        <v>7.7</v>
      </c>
      <c r="G41" s="112">
        <v>14.71</v>
      </c>
      <c r="H41" s="112">
        <v>3.35</v>
      </c>
      <c r="I41" s="112">
        <v>4.04</v>
      </c>
      <c r="J41" s="112">
        <v>1.21</v>
      </c>
      <c r="K41" s="112">
        <v>267.49</v>
      </c>
      <c r="L41" s="112">
        <v>29.76</v>
      </c>
      <c r="M41" s="112">
        <v>62.72</v>
      </c>
      <c r="N41" s="112">
        <v>103.6</v>
      </c>
      <c r="O41" s="112">
        <v>0</v>
      </c>
      <c r="P41" s="112">
        <v>0.39</v>
      </c>
      <c r="Q41" s="167" t="s">
        <v>14</v>
      </c>
    </row>
    <row r="42" spans="1:17" customFormat="1">
      <c r="A42" s="80">
        <v>45431.354166666664</v>
      </c>
      <c r="B42" s="112">
        <v>11.37</v>
      </c>
      <c r="C42" s="112">
        <v>13.1</v>
      </c>
      <c r="D42" s="112">
        <v>25.11</v>
      </c>
      <c r="E42" s="112">
        <v>10.56</v>
      </c>
      <c r="F42" s="112">
        <v>7.51</v>
      </c>
      <c r="G42" s="112">
        <v>14.54</v>
      </c>
      <c r="H42" s="112">
        <v>3.35</v>
      </c>
      <c r="I42" s="112">
        <v>4.05</v>
      </c>
      <c r="J42" s="112">
        <v>1.2</v>
      </c>
      <c r="K42" s="112">
        <v>265</v>
      </c>
      <c r="L42" s="112">
        <v>30.44</v>
      </c>
      <c r="M42" s="112">
        <v>61.01</v>
      </c>
      <c r="N42" s="112">
        <v>133.5</v>
      </c>
      <c r="O42" s="112">
        <v>0</v>
      </c>
      <c r="P42" s="112">
        <v>0.38</v>
      </c>
      <c r="Q42" s="167" t="s">
        <v>14</v>
      </c>
    </row>
    <row r="43" spans="1:17" customFormat="1">
      <c r="A43" s="80">
        <v>45431.364583333336</v>
      </c>
      <c r="B43" s="112">
        <v>11.38</v>
      </c>
      <c r="C43" s="112">
        <v>13.06</v>
      </c>
      <c r="D43" s="112">
        <v>25.09</v>
      </c>
      <c r="E43" s="112">
        <v>10.1</v>
      </c>
      <c r="F43" s="112">
        <v>9.1</v>
      </c>
      <c r="G43" s="112">
        <v>14.54</v>
      </c>
      <c r="H43" s="112">
        <v>3.35</v>
      </c>
      <c r="I43" s="112">
        <v>4.0199999999999996</v>
      </c>
      <c r="J43" s="112">
        <v>1.0900000000000001</v>
      </c>
      <c r="K43" s="112">
        <v>292.58999999999997</v>
      </c>
      <c r="L43" s="112">
        <v>31.31</v>
      </c>
      <c r="M43" s="112">
        <v>58.58</v>
      </c>
      <c r="N43" s="112">
        <v>132.6</v>
      </c>
      <c r="O43" s="112">
        <v>0</v>
      </c>
      <c r="P43" s="112">
        <v>0.38</v>
      </c>
      <c r="Q43" s="167" t="s">
        <v>14</v>
      </c>
    </row>
    <row r="44" spans="1:17" customFormat="1">
      <c r="A44" s="80">
        <v>45431.375</v>
      </c>
      <c r="B44" s="112">
        <v>11.37</v>
      </c>
      <c r="C44" s="112">
        <v>13.05</v>
      </c>
      <c r="D44" s="112">
        <v>25.08</v>
      </c>
      <c r="E44" s="112">
        <v>9.9499999999999993</v>
      </c>
      <c r="F44" s="112">
        <v>8.98</v>
      </c>
      <c r="G44" s="112">
        <v>14.54</v>
      </c>
      <c r="H44" s="112">
        <v>3.35</v>
      </c>
      <c r="I44" s="112">
        <v>4</v>
      </c>
      <c r="J44" s="112">
        <v>1.0900000000000001</v>
      </c>
      <c r="K44" s="112">
        <v>274.43</v>
      </c>
      <c r="L44" s="112">
        <v>31.74</v>
      </c>
      <c r="M44" s="112">
        <v>56.82</v>
      </c>
      <c r="N44" s="112">
        <v>139.80000000000001</v>
      </c>
      <c r="O44" s="112">
        <v>0</v>
      </c>
      <c r="P44" s="112">
        <v>0.39</v>
      </c>
      <c r="Q44" s="167" t="s">
        <v>14</v>
      </c>
    </row>
    <row r="45" spans="1:17" customFormat="1">
      <c r="A45" s="80">
        <v>45431.385416666664</v>
      </c>
      <c r="B45" s="112">
        <v>11.37</v>
      </c>
      <c r="C45" s="112">
        <v>13.09</v>
      </c>
      <c r="D45" s="112">
        <v>25.1</v>
      </c>
      <c r="E45" s="112">
        <v>9.5</v>
      </c>
      <c r="F45" s="112">
        <v>10.09</v>
      </c>
      <c r="G45" s="112">
        <v>16.149999999999999</v>
      </c>
      <c r="H45" s="112">
        <v>5.85</v>
      </c>
      <c r="I45" s="112">
        <v>3.94</v>
      </c>
      <c r="J45" s="112">
        <v>1.28</v>
      </c>
      <c r="K45" s="112">
        <v>283.31</v>
      </c>
      <c r="L45" s="112">
        <v>32.11</v>
      </c>
      <c r="M45" s="112">
        <v>55.62</v>
      </c>
      <c r="N45" s="112">
        <v>148.6</v>
      </c>
      <c r="O45" s="112">
        <v>0</v>
      </c>
      <c r="P45" s="112">
        <v>0.4</v>
      </c>
      <c r="Q45" s="167" t="s">
        <v>14</v>
      </c>
    </row>
    <row r="46" spans="1:17" customFormat="1">
      <c r="A46" s="80">
        <v>45431.395833333336</v>
      </c>
      <c r="B46" s="112">
        <v>11.38</v>
      </c>
      <c r="C46" s="112">
        <v>13.1</v>
      </c>
      <c r="D46" s="112">
        <v>25.12</v>
      </c>
      <c r="E46" s="112">
        <v>8.98</v>
      </c>
      <c r="F46" s="112">
        <v>10.74</v>
      </c>
      <c r="G46" s="112">
        <v>16.53</v>
      </c>
      <c r="H46" s="112">
        <v>5.85</v>
      </c>
      <c r="I46" s="112">
        <v>3.93</v>
      </c>
      <c r="J46" s="112">
        <v>0.88</v>
      </c>
      <c r="K46" s="112">
        <v>266.36</v>
      </c>
      <c r="L46" s="112">
        <v>32.880000000000003</v>
      </c>
      <c r="M46" s="112">
        <v>54.33</v>
      </c>
      <c r="N46" s="112">
        <v>140</v>
      </c>
      <c r="O46" s="112">
        <v>0</v>
      </c>
      <c r="P46" s="112">
        <v>0.39</v>
      </c>
      <c r="Q46" s="167" t="s">
        <v>14</v>
      </c>
    </row>
    <row r="47" spans="1:17" customFormat="1">
      <c r="A47" s="80">
        <v>45431.40625</v>
      </c>
      <c r="B47" s="112">
        <v>11.38</v>
      </c>
      <c r="C47" s="112">
        <v>13.09</v>
      </c>
      <c r="D47" s="112">
        <v>25.11</v>
      </c>
      <c r="E47" s="112">
        <v>8.83</v>
      </c>
      <c r="F47" s="112">
        <v>11.4</v>
      </c>
      <c r="G47" s="112">
        <v>16.53</v>
      </c>
      <c r="H47" s="112">
        <v>5.85</v>
      </c>
      <c r="I47" s="112">
        <v>3.9</v>
      </c>
      <c r="J47" s="112">
        <v>1.01</v>
      </c>
      <c r="K47" s="112">
        <v>283.86</v>
      </c>
      <c r="L47" s="112">
        <v>33.39</v>
      </c>
      <c r="M47" s="112">
        <v>52.98</v>
      </c>
      <c r="N47" s="112">
        <v>143.1</v>
      </c>
      <c r="O47" s="112">
        <v>0</v>
      </c>
      <c r="P47" s="112">
        <v>0.39</v>
      </c>
      <c r="Q47" s="167" t="s">
        <v>14</v>
      </c>
    </row>
    <row r="48" spans="1:17" customFormat="1">
      <c r="A48" s="80">
        <v>45431.416666666664</v>
      </c>
      <c r="B48" s="112">
        <v>11.37</v>
      </c>
      <c r="C48" s="112">
        <v>13.08</v>
      </c>
      <c r="D48" s="112">
        <v>25.1</v>
      </c>
      <c r="E48" s="112">
        <v>10.48</v>
      </c>
      <c r="F48" s="112">
        <v>9.9</v>
      </c>
      <c r="G48" s="112">
        <v>16.53</v>
      </c>
      <c r="H48" s="112">
        <v>5.85</v>
      </c>
      <c r="I48" s="112">
        <v>3.87</v>
      </c>
      <c r="J48" s="112">
        <v>1.33</v>
      </c>
      <c r="K48" s="112">
        <v>275.14999999999998</v>
      </c>
      <c r="L48" s="112">
        <v>33.57</v>
      </c>
      <c r="M48" s="112">
        <v>52.11</v>
      </c>
      <c r="N48" s="112">
        <v>152.4</v>
      </c>
      <c r="O48" s="112">
        <v>0</v>
      </c>
      <c r="P48" s="112">
        <v>0.41</v>
      </c>
      <c r="Q48" s="167" t="s">
        <v>14</v>
      </c>
    </row>
    <row r="49" spans="1:17" customFormat="1">
      <c r="A49" s="80">
        <v>45431.427083333336</v>
      </c>
      <c r="B49" s="112">
        <v>11.4</v>
      </c>
      <c r="C49" s="112">
        <v>13.07</v>
      </c>
      <c r="D49" s="112">
        <v>25.11</v>
      </c>
      <c r="E49" s="112">
        <v>12.82</v>
      </c>
      <c r="F49" s="112">
        <v>12.83</v>
      </c>
      <c r="G49" s="112">
        <v>18.100000000000001</v>
      </c>
      <c r="H49" s="112">
        <v>6.77</v>
      </c>
      <c r="I49" s="112">
        <v>3.91</v>
      </c>
      <c r="J49" s="112">
        <v>1.35</v>
      </c>
      <c r="K49" s="112">
        <v>288.62</v>
      </c>
      <c r="L49" s="112">
        <v>34.08</v>
      </c>
      <c r="M49" s="112">
        <v>50.55</v>
      </c>
      <c r="N49" s="112">
        <v>167.6</v>
      </c>
      <c r="O49" s="112">
        <v>0</v>
      </c>
      <c r="P49" s="112">
        <v>0.43</v>
      </c>
      <c r="Q49" s="167" t="s">
        <v>14</v>
      </c>
    </row>
    <row r="50" spans="1:17" customFormat="1">
      <c r="A50" s="80">
        <v>45431.4375</v>
      </c>
      <c r="B50" s="112">
        <v>11.4</v>
      </c>
      <c r="C50" s="112">
        <v>13.08</v>
      </c>
      <c r="D50" s="112">
        <v>25.12</v>
      </c>
      <c r="E50" s="112">
        <v>22.85</v>
      </c>
      <c r="F50" s="112">
        <v>11.86</v>
      </c>
      <c r="G50" s="112">
        <v>18.46</v>
      </c>
      <c r="H50" s="112">
        <v>6.77</v>
      </c>
      <c r="I50" s="112">
        <v>4.04</v>
      </c>
      <c r="J50" s="112">
        <v>1.24</v>
      </c>
      <c r="K50" s="112">
        <v>290.18</v>
      </c>
      <c r="L50" s="112">
        <v>34.14</v>
      </c>
      <c r="M50" s="112">
        <v>50.25</v>
      </c>
      <c r="N50" s="112">
        <v>192.7</v>
      </c>
      <c r="O50" s="112">
        <v>0</v>
      </c>
      <c r="P50" s="112">
        <v>0.51</v>
      </c>
      <c r="Q50" s="167" t="s">
        <v>14</v>
      </c>
    </row>
    <row r="51" spans="1:17" customFormat="1">
      <c r="A51" s="80">
        <v>45431.447916666664</v>
      </c>
      <c r="B51" s="112">
        <v>11.38</v>
      </c>
      <c r="C51" s="112">
        <v>13.1</v>
      </c>
      <c r="D51" s="112">
        <v>25.12</v>
      </c>
      <c r="E51" s="112">
        <v>27.59</v>
      </c>
      <c r="F51" s="112">
        <v>15.44</v>
      </c>
      <c r="G51" s="112">
        <v>18.46</v>
      </c>
      <c r="H51" s="112">
        <v>6.77</v>
      </c>
      <c r="I51" s="112">
        <v>4.3499999999999996</v>
      </c>
      <c r="J51" s="112">
        <v>0.94</v>
      </c>
      <c r="K51" s="112">
        <v>286.45999999999998</v>
      </c>
      <c r="L51" s="112">
        <v>34.79</v>
      </c>
      <c r="M51" s="112">
        <v>48.66</v>
      </c>
      <c r="N51" s="112">
        <v>262.5</v>
      </c>
      <c r="O51" s="112">
        <v>0</v>
      </c>
      <c r="P51" s="112">
        <v>0.57999999999999996</v>
      </c>
      <c r="Q51" s="167" t="s">
        <v>14</v>
      </c>
    </row>
    <row r="52" spans="1:17" customFormat="1">
      <c r="A52" s="80">
        <v>45431.458333333336</v>
      </c>
      <c r="B52" s="112">
        <v>11.38</v>
      </c>
      <c r="C52" s="112">
        <v>13.09</v>
      </c>
      <c r="D52" s="112">
        <v>25.11</v>
      </c>
      <c r="E52" s="112">
        <v>26.64</v>
      </c>
      <c r="F52" s="112">
        <v>18.010000000000002</v>
      </c>
      <c r="G52" s="112">
        <v>18.46</v>
      </c>
      <c r="H52" s="112">
        <v>6.77</v>
      </c>
      <c r="I52" s="112">
        <v>5.14</v>
      </c>
      <c r="J52" s="112">
        <v>1.1599999999999999</v>
      </c>
      <c r="K52" s="112">
        <v>285.88</v>
      </c>
      <c r="L52" s="112">
        <v>35.43</v>
      </c>
      <c r="M52" s="112">
        <v>46.58</v>
      </c>
      <c r="N52" s="112">
        <v>306.7</v>
      </c>
      <c r="O52" s="112">
        <v>0</v>
      </c>
      <c r="P52" s="112">
        <v>0.56999999999999995</v>
      </c>
      <c r="Q52" s="167" t="s">
        <v>14</v>
      </c>
    </row>
    <row r="53" spans="1:17" customFormat="1">
      <c r="A53" s="80">
        <v>45431.46875</v>
      </c>
      <c r="B53" s="112">
        <v>11.36</v>
      </c>
      <c r="C53" s="112">
        <v>13.15</v>
      </c>
      <c r="D53" s="112">
        <v>25.13</v>
      </c>
      <c r="E53" s="112">
        <v>19.63</v>
      </c>
      <c r="F53" s="112">
        <v>28.06</v>
      </c>
      <c r="G53" s="112">
        <v>25.76</v>
      </c>
      <c r="H53" s="112">
        <v>7.27</v>
      </c>
      <c r="I53" s="112">
        <v>5.67</v>
      </c>
      <c r="J53" s="112">
        <v>0.99</v>
      </c>
      <c r="K53" s="112">
        <v>286.27999999999997</v>
      </c>
      <c r="L53" s="112">
        <v>35.81</v>
      </c>
      <c r="M53" s="112">
        <v>44.63</v>
      </c>
      <c r="N53" s="112">
        <v>440.7</v>
      </c>
      <c r="O53" s="112">
        <v>0</v>
      </c>
      <c r="P53" s="112">
        <v>0.53</v>
      </c>
      <c r="Q53" s="167" t="s">
        <v>14</v>
      </c>
    </row>
    <row r="54" spans="1:17" customFormat="1">
      <c r="A54" s="80">
        <v>45431.479166666664</v>
      </c>
      <c r="B54" s="112">
        <v>11.35</v>
      </c>
      <c r="C54" s="112">
        <v>13.14</v>
      </c>
      <c r="D54" s="112">
        <v>25.11</v>
      </c>
      <c r="E54" s="112">
        <v>15.89</v>
      </c>
      <c r="F54" s="112">
        <v>16.75</v>
      </c>
      <c r="G54" s="112">
        <v>27.45</v>
      </c>
      <c r="H54" s="112">
        <v>7.27</v>
      </c>
      <c r="I54" s="112">
        <v>5.63</v>
      </c>
      <c r="J54" s="112">
        <v>0.96</v>
      </c>
      <c r="K54" s="112">
        <v>309.07</v>
      </c>
      <c r="L54" s="112">
        <v>36.18</v>
      </c>
      <c r="M54" s="112">
        <v>42.92</v>
      </c>
      <c r="N54" s="112">
        <v>438.6</v>
      </c>
      <c r="O54" s="112">
        <v>0</v>
      </c>
      <c r="P54" s="112">
        <v>0.54</v>
      </c>
      <c r="Q54" s="167" t="s">
        <v>14</v>
      </c>
    </row>
    <row r="55" spans="1:17" customFormat="1">
      <c r="A55" s="80">
        <v>45431.489583333336</v>
      </c>
      <c r="B55" s="112">
        <v>11.35</v>
      </c>
      <c r="C55" s="112">
        <v>13.12</v>
      </c>
      <c r="D55" s="112">
        <v>25.1</v>
      </c>
      <c r="E55" s="112">
        <v>14.27</v>
      </c>
      <c r="F55" s="112">
        <v>14.21</v>
      </c>
      <c r="G55" s="112">
        <v>27.45</v>
      </c>
      <c r="H55" s="112">
        <v>7.27</v>
      </c>
      <c r="I55" s="112">
        <v>5.19</v>
      </c>
      <c r="J55" s="112">
        <v>1.5</v>
      </c>
      <c r="K55" s="112">
        <v>303.11</v>
      </c>
      <c r="L55" s="112">
        <v>36.159999999999997</v>
      </c>
      <c r="M55" s="112">
        <v>42.2</v>
      </c>
      <c r="N55" s="112">
        <v>570.29999999999995</v>
      </c>
      <c r="O55" s="112">
        <v>0</v>
      </c>
      <c r="P55" s="112">
        <v>0.53</v>
      </c>
      <c r="Q55" s="167" t="s">
        <v>14</v>
      </c>
    </row>
    <row r="56" spans="1:17" customFormat="1">
      <c r="A56" s="80">
        <v>45431.5</v>
      </c>
      <c r="B56" s="112">
        <v>11.35</v>
      </c>
      <c r="C56" s="112">
        <v>13.13</v>
      </c>
      <c r="D56" s="112">
        <v>25.1</v>
      </c>
      <c r="E56" s="112">
        <v>13.84</v>
      </c>
      <c r="F56" s="112">
        <v>17.63</v>
      </c>
      <c r="G56" s="112">
        <v>27.45</v>
      </c>
      <c r="H56" s="112">
        <v>7.27</v>
      </c>
      <c r="I56" s="112">
        <v>5.23</v>
      </c>
      <c r="J56" s="112">
        <v>0.49</v>
      </c>
      <c r="K56" s="112">
        <v>294.81</v>
      </c>
      <c r="L56" s="112">
        <v>36.56</v>
      </c>
      <c r="M56" s="112">
        <v>41.01</v>
      </c>
      <c r="N56" s="112">
        <v>471.2</v>
      </c>
      <c r="O56" s="112">
        <v>0</v>
      </c>
      <c r="P56" s="112">
        <v>0.53</v>
      </c>
      <c r="Q56" s="167" t="s">
        <v>14</v>
      </c>
    </row>
    <row r="57" spans="1:17" customFormat="1">
      <c r="A57" s="80">
        <v>45431.510416666664</v>
      </c>
      <c r="B57" s="112">
        <v>11.27</v>
      </c>
      <c r="C57" s="112">
        <v>13.12</v>
      </c>
      <c r="D57" s="112">
        <v>25.04</v>
      </c>
      <c r="E57" s="112">
        <v>16.75</v>
      </c>
      <c r="F57" s="112">
        <v>24.39</v>
      </c>
      <c r="G57" s="112">
        <v>28.49</v>
      </c>
      <c r="H57" s="112">
        <v>5.44</v>
      </c>
      <c r="I57" s="112">
        <v>5.19</v>
      </c>
      <c r="J57" s="112">
        <v>1.58</v>
      </c>
      <c r="K57" s="112">
        <v>31.71</v>
      </c>
      <c r="L57" s="112">
        <v>36.69</v>
      </c>
      <c r="M57" s="112">
        <v>39.590000000000003</v>
      </c>
      <c r="N57" s="112">
        <v>748.1</v>
      </c>
      <c r="O57" s="112">
        <v>0</v>
      </c>
      <c r="P57" s="112">
        <v>0.53</v>
      </c>
      <c r="Q57" s="167" t="s">
        <v>14</v>
      </c>
    </row>
    <row r="58" spans="1:17" customFormat="1">
      <c r="A58" s="80">
        <v>45431.520833333336</v>
      </c>
      <c r="B58" s="112">
        <v>11.25</v>
      </c>
      <c r="C58" s="112">
        <v>13.12</v>
      </c>
      <c r="D58" s="112">
        <v>25.02</v>
      </c>
      <c r="E58" s="112">
        <v>16.38</v>
      </c>
      <c r="F58" s="112">
        <v>19.45</v>
      </c>
      <c r="G58" s="112">
        <v>28.73</v>
      </c>
      <c r="H58" s="112">
        <v>5.44</v>
      </c>
      <c r="I58" s="112">
        <v>5.0199999999999996</v>
      </c>
      <c r="J58" s="112">
        <v>1.28</v>
      </c>
      <c r="K58" s="112">
        <v>37.61</v>
      </c>
      <c r="L58" s="112">
        <v>36.78</v>
      </c>
      <c r="M58" s="112">
        <v>39.700000000000003</v>
      </c>
      <c r="N58" s="112">
        <v>789.2</v>
      </c>
      <c r="O58" s="112">
        <v>0</v>
      </c>
      <c r="P58" s="112">
        <v>0.53</v>
      </c>
      <c r="Q58" s="167" t="s">
        <v>14</v>
      </c>
    </row>
    <row r="59" spans="1:17" customFormat="1">
      <c r="A59" s="80">
        <v>45431.53125</v>
      </c>
      <c r="B59" s="112">
        <v>11.22</v>
      </c>
      <c r="C59" s="112">
        <v>13.11</v>
      </c>
      <c r="D59" s="112">
        <v>24.99</v>
      </c>
      <c r="E59" s="112">
        <v>16.399999999999999</v>
      </c>
      <c r="F59" s="112">
        <v>19.71</v>
      </c>
      <c r="G59" s="112">
        <v>28.73</v>
      </c>
      <c r="H59" s="112">
        <v>5.44</v>
      </c>
      <c r="I59" s="112">
        <v>4.8</v>
      </c>
      <c r="J59" s="112">
        <v>0.63</v>
      </c>
      <c r="K59" s="112">
        <v>339.63</v>
      </c>
      <c r="L59" s="112">
        <v>37.49</v>
      </c>
      <c r="M59" s="112">
        <v>36.83</v>
      </c>
      <c r="N59" s="112">
        <v>775.6</v>
      </c>
      <c r="O59" s="112">
        <v>0</v>
      </c>
      <c r="P59" s="112">
        <v>0.51</v>
      </c>
      <c r="Q59" s="167" t="s">
        <v>14</v>
      </c>
    </row>
    <row r="60" spans="1:17" customFormat="1">
      <c r="A60" s="80">
        <v>45431.541666666664</v>
      </c>
      <c r="B60" s="112">
        <v>11.26</v>
      </c>
      <c r="C60" s="112">
        <v>13.1</v>
      </c>
      <c r="D60" s="112">
        <v>25.02</v>
      </c>
      <c r="E60" s="112">
        <v>17.510000000000002</v>
      </c>
      <c r="F60" s="112">
        <v>24.88</v>
      </c>
      <c r="G60" s="112">
        <v>28.73</v>
      </c>
      <c r="H60" s="112">
        <v>5.44</v>
      </c>
      <c r="I60" s="112">
        <v>4.79</v>
      </c>
      <c r="J60" s="112">
        <v>1.2</v>
      </c>
      <c r="K60" s="112">
        <v>42.57</v>
      </c>
      <c r="L60" s="112">
        <v>37.79</v>
      </c>
      <c r="M60" s="112">
        <v>34.42</v>
      </c>
      <c r="N60" s="112">
        <v>781.4</v>
      </c>
      <c r="O60" s="112">
        <v>0</v>
      </c>
      <c r="P60" s="112">
        <v>0.5</v>
      </c>
      <c r="Q60" s="167" t="s">
        <v>14</v>
      </c>
    </row>
    <row r="61" spans="1:17" customFormat="1">
      <c r="A61" s="80">
        <v>45431.552083333336</v>
      </c>
      <c r="B61" s="112">
        <v>11.26</v>
      </c>
      <c r="C61" s="112">
        <v>13.07</v>
      </c>
      <c r="D61" s="112">
        <v>25</v>
      </c>
      <c r="E61" s="112">
        <v>17.68</v>
      </c>
      <c r="F61" s="112">
        <v>23.57</v>
      </c>
      <c r="G61" s="112">
        <v>29.47</v>
      </c>
      <c r="H61" s="112">
        <v>6.63</v>
      </c>
      <c r="I61" s="112">
        <v>4.67</v>
      </c>
      <c r="J61" s="112">
        <v>0.75</v>
      </c>
      <c r="K61" s="112">
        <v>36.299999999999997</v>
      </c>
      <c r="L61" s="112">
        <v>38.54</v>
      </c>
      <c r="M61" s="112">
        <v>33.840000000000003</v>
      </c>
      <c r="N61" s="112">
        <v>749.1</v>
      </c>
      <c r="O61" s="112">
        <v>0</v>
      </c>
      <c r="P61" s="112">
        <v>0.52</v>
      </c>
      <c r="Q61" s="167" t="s">
        <v>14</v>
      </c>
    </row>
    <row r="62" spans="1:17" customFormat="1">
      <c r="A62" s="80">
        <v>45431.5625</v>
      </c>
      <c r="B62" s="112">
        <v>11.26</v>
      </c>
      <c r="C62" s="112">
        <v>13.08</v>
      </c>
      <c r="D62" s="112">
        <v>25.01</v>
      </c>
      <c r="E62" s="112">
        <v>18.29</v>
      </c>
      <c r="F62" s="112">
        <v>23.17</v>
      </c>
      <c r="G62" s="112">
        <v>29.65</v>
      </c>
      <c r="H62" s="112">
        <v>6.63</v>
      </c>
      <c r="I62" s="112">
        <v>4.47</v>
      </c>
      <c r="J62" s="112">
        <v>1.1000000000000001</v>
      </c>
      <c r="K62" s="112">
        <v>39.159999999999997</v>
      </c>
      <c r="L62" s="112">
        <v>38.4</v>
      </c>
      <c r="M62" s="112">
        <v>32.450000000000003</v>
      </c>
      <c r="N62" s="112">
        <v>586.1</v>
      </c>
      <c r="O62" s="112">
        <v>0</v>
      </c>
      <c r="P62" s="112">
        <v>0.51</v>
      </c>
      <c r="Q62" s="167" t="s">
        <v>14</v>
      </c>
    </row>
    <row r="63" spans="1:17" customFormat="1">
      <c r="A63" s="80">
        <v>45431.572916666664</v>
      </c>
      <c r="B63" s="112">
        <v>11.23</v>
      </c>
      <c r="C63" s="112">
        <v>13.1</v>
      </c>
      <c r="D63" s="112">
        <v>24.99</v>
      </c>
      <c r="E63" s="112">
        <v>16.22</v>
      </c>
      <c r="F63" s="112">
        <v>18.88</v>
      </c>
      <c r="G63" s="112">
        <v>29.65</v>
      </c>
      <c r="H63" s="112">
        <v>6.63</v>
      </c>
      <c r="I63" s="112">
        <v>4.5599999999999996</v>
      </c>
      <c r="J63" s="112">
        <v>0.92</v>
      </c>
      <c r="K63" s="112">
        <v>283.89</v>
      </c>
      <c r="L63" s="112">
        <v>38.65</v>
      </c>
      <c r="M63" s="112">
        <v>32.33</v>
      </c>
      <c r="N63" s="112">
        <v>585.5</v>
      </c>
      <c r="O63" s="112">
        <v>0</v>
      </c>
      <c r="P63" s="112">
        <v>0.51</v>
      </c>
      <c r="Q63" s="167" t="s">
        <v>14</v>
      </c>
    </row>
    <row r="64" spans="1:17" customFormat="1">
      <c r="A64" s="80">
        <v>45431.583333333336</v>
      </c>
      <c r="B64" s="112">
        <v>11.21</v>
      </c>
      <c r="C64" s="112">
        <v>13.09</v>
      </c>
      <c r="D64" s="112">
        <v>24.97</v>
      </c>
      <c r="E64" s="112">
        <v>16.78</v>
      </c>
      <c r="F64" s="112">
        <v>21.21</v>
      </c>
      <c r="G64" s="112">
        <v>29.65</v>
      </c>
      <c r="H64" s="112">
        <v>6.63</v>
      </c>
      <c r="I64" s="112">
        <v>4.49</v>
      </c>
      <c r="J64" s="112">
        <v>0.68</v>
      </c>
      <c r="K64" s="112">
        <v>293.33999999999997</v>
      </c>
      <c r="L64" s="112">
        <v>38.32</v>
      </c>
      <c r="M64" s="112">
        <v>32.950000000000003</v>
      </c>
      <c r="N64" s="112">
        <v>428.2</v>
      </c>
      <c r="O64" s="112">
        <v>0</v>
      </c>
      <c r="P64" s="112">
        <v>0.5</v>
      </c>
      <c r="Q64" s="167" t="s">
        <v>14</v>
      </c>
    </row>
    <row r="65" spans="1:17" customFormat="1">
      <c r="A65" s="80">
        <v>45431.59375</v>
      </c>
      <c r="B65" s="112">
        <v>11.22</v>
      </c>
      <c r="C65" s="112">
        <v>13.12</v>
      </c>
      <c r="D65" s="112">
        <v>24.99</v>
      </c>
      <c r="E65" s="112">
        <v>18.34</v>
      </c>
      <c r="F65" s="112">
        <v>27.1</v>
      </c>
      <c r="G65" s="112">
        <v>30.82</v>
      </c>
      <c r="H65" s="112">
        <v>9.31</v>
      </c>
      <c r="I65" s="112">
        <v>4.5599999999999996</v>
      </c>
      <c r="J65" s="112">
        <v>0.28000000000000003</v>
      </c>
      <c r="K65" s="112">
        <v>233.89</v>
      </c>
      <c r="L65" s="112">
        <v>39.71</v>
      </c>
      <c r="M65" s="112">
        <v>31.59</v>
      </c>
      <c r="N65" s="112">
        <v>490.1</v>
      </c>
      <c r="O65" s="112">
        <v>0</v>
      </c>
      <c r="P65" s="112">
        <v>0.4</v>
      </c>
      <c r="Q65" s="167" t="s">
        <v>14</v>
      </c>
    </row>
    <row r="66" spans="1:17" customFormat="1">
      <c r="A66" s="80">
        <v>45431.604166666664</v>
      </c>
      <c r="B66" s="112">
        <v>11.22</v>
      </c>
      <c r="C66" s="112">
        <v>13.08</v>
      </c>
      <c r="D66" s="112">
        <v>24.98</v>
      </c>
      <c r="E66" s="112">
        <v>17.27</v>
      </c>
      <c r="F66" s="112">
        <v>17.96</v>
      </c>
      <c r="G66" s="112">
        <v>31.09</v>
      </c>
      <c r="H66" s="112">
        <v>9.31</v>
      </c>
      <c r="I66" s="112">
        <v>4.38</v>
      </c>
      <c r="J66" s="112">
        <v>0.85</v>
      </c>
      <c r="K66" s="112">
        <v>322.58999999999997</v>
      </c>
      <c r="L66" s="112">
        <v>39.07</v>
      </c>
      <c r="M66" s="112">
        <v>33.07</v>
      </c>
      <c r="N66" s="112">
        <v>527.20000000000005</v>
      </c>
      <c r="O66" s="112">
        <v>0</v>
      </c>
      <c r="P66" s="112">
        <v>0.44</v>
      </c>
      <c r="Q66" s="167" t="s">
        <v>14</v>
      </c>
    </row>
    <row r="67" spans="1:17" customFormat="1">
      <c r="A67" s="80">
        <v>45431.614583333336</v>
      </c>
      <c r="B67" s="112">
        <v>11.24</v>
      </c>
      <c r="C67" s="112">
        <v>13.09</v>
      </c>
      <c r="D67" s="112">
        <v>24.99</v>
      </c>
      <c r="E67" s="112">
        <v>18.59</v>
      </c>
      <c r="F67" s="112">
        <v>23.37</v>
      </c>
      <c r="G67" s="112">
        <v>31.09</v>
      </c>
      <c r="H67" s="112">
        <v>9.31</v>
      </c>
      <c r="I67" s="112">
        <v>4.26</v>
      </c>
      <c r="J67" s="112">
        <v>0.42</v>
      </c>
      <c r="K67" s="112">
        <v>244.49</v>
      </c>
      <c r="L67" s="112">
        <v>40.15</v>
      </c>
      <c r="M67" s="112">
        <v>31.22</v>
      </c>
      <c r="N67" s="112">
        <v>533</v>
      </c>
      <c r="O67" s="112">
        <v>0</v>
      </c>
      <c r="P67" s="112">
        <v>0.44</v>
      </c>
      <c r="Q67" s="167" t="s">
        <v>14</v>
      </c>
    </row>
    <row r="68" spans="1:17" customFormat="1">
      <c r="A68" s="80">
        <v>45431.625</v>
      </c>
      <c r="B68" s="112">
        <v>11.24</v>
      </c>
      <c r="C68" s="112">
        <v>13.12</v>
      </c>
      <c r="D68" s="112">
        <v>25.01</v>
      </c>
      <c r="E68" s="112">
        <v>17.04</v>
      </c>
      <c r="F68" s="112">
        <v>22.41</v>
      </c>
      <c r="G68" s="112">
        <v>31.09</v>
      </c>
      <c r="H68" s="112">
        <v>9.31</v>
      </c>
      <c r="I68" s="112">
        <v>4.33</v>
      </c>
      <c r="J68" s="112">
        <v>0.63</v>
      </c>
      <c r="K68" s="112">
        <v>251.7</v>
      </c>
      <c r="L68" s="112">
        <v>39.5</v>
      </c>
      <c r="M68" s="112">
        <v>32.04</v>
      </c>
      <c r="N68" s="112">
        <v>550.1</v>
      </c>
      <c r="O68" s="112">
        <v>0</v>
      </c>
      <c r="P68" s="112">
        <v>0.44</v>
      </c>
      <c r="Q68" s="167" t="s">
        <v>14</v>
      </c>
    </row>
    <row r="69" spans="1:17" customFormat="1">
      <c r="A69" s="80">
        <v>45431.635416666664</v>
      </c>
      <c r="B69" s="112">
        <v>11.27</v>
      </c>
      <c r="C69" s="112">
        <v>13.07</v>
      </c>
      <c r="D69" s="112">
        <v>25.01</v>
      </c>
      <c r="E69" s="112">
        <v>19.190000000000001</v>
      </c>
      <c r="F69" s="112">
        <v>33.86</v>
      </c>
      <c r="G69" s="112">
        <v>32.020000000000003</v>
      </c>
      <c r="H69" s="112">
        <v>9.9700000000000006</v>
      </c>
      <c r="I69" s="112">
        <v>4.26</v>
      </c>
      <c r="J69" s="112">
        <v>0.45</v>
      </c>
      <c r="K69" s="112">
        <v>270.42</v>
      </c>
      <c r="L69" s="112">
        <v>40.049999999999997</v>
      </c>
      <c r="M69" s="112">
        <v>31.21</v>
      </c>
      <c r="N69" s="112">
        <v>479.2</v>
      </c>
      <c r="O69" s="112">
        <v>0</v>
      </c>
      <c r="P69" s="112">
        <v>0.42</v>
      </c>
      <c r="Q69" s="167" t="s">
        <v>14</v>
      </c>
    </row>
    <row r="70" spans="1:17" customFormat="1">
      <c r="A70" s="80">
        <v>45431.645833333336</v>
      </c>
      <c r="B70" s="112">
        <v>11.29</v>
      </c>
      <c r="C70" s="112">
        <v>13.07</v>
      </c>
      <c r="D70" s="112">
        <v>25.02</v>
      </c>
      <c r="E70" s="112">
        <v>18.64</v>
      </c>
      <c r="F70" s="112">
        <v>27.26</v>
      </c>
      <c r="G70" s="112">
        <v>32.24</v>
      </c>
      <c r="H70" s="112">
        <v>9.9700000000000006</v>
      </c>
      <c r="I70" s="112">
        <v>4.22</v>
      </c>
      <c r="J70" s="112">
        <v>0.71</v>
      </c>
      <c r="K70" s="112">
        <v>270.94</v>
      </c>
      <c r="L70" s="112">
        <v>39.1</v>
      </c>
      <c r="M70" s="112">
        <v>32.33</v>
      </c>
      <c r="N70" s="112">
        <v>460.7</v>
      </c>
      <c r="O70" s="112">
        <v>0</v>
      </c>
      <c r="P70" s="112">
        <v>0.42</v>
      </c>
      <c r="Q70" s="167" t="s">
        <v>14</v>
      </c>
    </row>
    <row r="71" spans="1:17" customFormat="1">
      <c r="A71" s="80">
        <v>45431.65625</v>
      </c>
      <c r="B71" s="112">
        <v>11.27</v>
      </c>
      <c r="C71" s="112">
        <v>13.09</v>
      </c>
      <c r="D71" s="112">
        <v>25.02</v>
      </c>
      <c r="E71" s="112">
        <v>17.93</v>
      </c>
      <c r="F71" s="112">
        <v>23.37</v>
      </c>
      <c r="G71" s="112">
        <v>32.24</v>
      </c>
      <c r="H71" s="112">
        <v>9.9700000000000006</v>
      </c>
      <c r="I71" s="112">
        <v>3.96</v>
      </c>
      <c r="J71" s="112">
        <v>0.9</v>
      </c>
      <c r="K71" s="112">
        <v>273.33</v>
      </c>
      <c r="L71" s="112">
        <v>39.270000000000003</v>
      </c>
      <c r="M71" s="112">
        <v>31.86</v>
      </c>
      <c r="N71" s="112">
        <v>442.5</v>
      </c>
      <c r="O71" s="112">
        <v>0</v>
      </c>
      <c r="P71" s="112">
        <v>0.41</v>
      </c>
      <c r="Q71" s="167" t="s">
        <v>14</v>
      </c>
    </row>
    <row r="72" spans="1:17" customFormat="1">
      <c r="A72" s="80">
        <v>45431.666666666664</v>
      </c>
      <c r="B72" s="112">
        <v>11.25</v>
      </c>
      <c r="C72" s="112">
        <v>13.1</v>
      </c>
      <c r="D72" s="112">
        <v>25.01</v>
      </c>
      <c r="E72" s="112">
        <v>16.989999999999998</v>
      </c>
      <c r="F72" s="112">
        <v>29.9</v>
      </c>
      <c r="G72" s="112">
        <v>32.24</v>
      </c>
      <c r="H72" s="112">
        <v>9.9700000000000006</v>
      </c>
      <c r="I72" s="112">
        <v>4.1100000000000003</v>
      </c>
      <c r="J72" s="112">
        <v>0.41</v>
      </c>
      <c r="K72" s="112">
        <v>284.58</v>
      </c>
      <c r="L72" s="112">
        <v>39.619999999999997</v>
      </c>
      <c r="M72" s="112">
        <v>30.82</v>
      </c>
      <c r="N72" s="112">
        <v>389.3</v>
      </c>
      <c r="O72" s="112">
        <v>0</v>
      </c>
      <c r="P72" s="112">
        <v>0.4</v>
      </c>
      <c r="Q72" s="167" t="s">
        <v>14</v>
      </c>
    </row>
    <row r="73" spans="1:17" customFormat="1">
      <c r="A73" s="80">
        <v>45431.677083333336</v>
      </c>
      <c r="B73" s="112">
        <v>11.26</v>
      </c>
      <c r="C73" s="112">
        <v>13.08</v>
      </c>
      <c r="D73" s="112">
        <v>25.01</v>
      </c>
      <c r="E73" s="112">
        <v>18.72</v>
      </c>
      <c r="F73" s="112">
        <v>35.46</v>
      </c>
      <c r="G73" s="112">
        <v>27.09</v>
      </c>
      <c r="H73" s="112">
        <v>9.94</v>
      </c>
      <c r="I73" s="112">
        <v>4.0599999999999996</v>
      </c>
      <c r="J73" s="112">
        <v>0.55000000000000004</v>
      </c>
      <c r="K73" s="112">
        <v>273.33999999999997</v>
      </c>
      <c r="L73" s="112">
        <v>39.51</v>
      </c>
      <c r="M73" s="112">
        <v>30.63</v>
      </c>
      <c r="N73" s="112">
        <v>333.2</v>
      </c>
      <c r="O73" s="112">
        <v>0</v>
      </c>
      <c r="P73" s="112">
        <v>0.4</v>
      </c>
      <c r="Q73" s="167" t="s">
        <v>14</v>
      </c>
    </row>
    <row r="74" spans="1:17" customFormat="1">
      <c r="A74" s="80">
        <v>45431.6875</v>
      </c>
      <c r="B74" s="112">
        <v>11.3</v>
      </c>
      <c r="C74" s="112">
        <v>13.08</v>
      </c>
      <c r="D74" s="112">
        <v>25.04</v>
      </c>
      <c r="E74" s="112">
        <v>19.38</v>
      </c>
      <c r="F74" s="112">
        <v>46.39</v>
      </c>
      <c r="G74" s="112">
        <v>25.9</v>
      </c>
      <c r="H74" s="112">
        <v>9.94</v>
      </c>
      <c r="I74" s="112">
        <v>3.89</v>
      </c>
      <c r="J74" s="112">
        <v>0.42</v>
      </c>
      <c r="K74" s="112">
        <v>240.97</v>
      </c>
      <c r="L74" s="112">
        <v>38.74</v>
      </c>
      <c r="M74" s="112">
        <v>31.66</v>
      </c>
      <c r="N74" s="112">
        <v>252</v>
      </c>
      <c r="O74" s="112">
        <v>0</v>
      </c>
      <c r="P74" s="112">
        <v>0.41</v>
      </c>
      <c r="Q74" s="167" t="s">
        <v>14</v>
      </c>
    </row>
    <row r="75" spans="1:17" customFormat="1">
      <c r="A75" s="80">
        <v>45431.697916666664</v>
      </c>
      <c r="B75" s="112">
        <v>11.35</v>
      </c>
      <c r="C75" s="112">
        <v>13.11</v>
      </c>
      <c r="D75" s="112">
        <v>25.09</v>
      </c>
      <c r="E75" s="112">
        <v>19.43</v>
      </c>
      <c r="F75" s="112">
        <v>52.62</v>
      </c>
      <c r="G75" s="112">
        <v>25.9</v>
      </c>
      <c r="H75" s="112">
        <v>9.94</v>
      </c>
      <c r="I75" s="112">
        <v>3.6</v>
      </c>
      <c r="J75" s="112">
        <v>0.27</v>
      </c>
      <c r="K75" s="112">
        <v>222.65</v>
      </c>
      <c r="L75" s="112">
        <v>38.799999999999997</v>
      </c>
      <c r="M75" s="112">
        <v>31.47</v>
      </c>
      <c r="N75" s="112">
        <v>131.69999999999999</v>
      </c>
      <c r="O75" s="112">
        <v>0</v>
      </c>
      <c r="P75" s="112">
        <v>0.4</v>
      </c>
      <c r="Q75" s="167" t="s">
        <v>14</v>
      </c>
    </row>
    <row r="76" spans="1:17" customFormat="1">
      <c r="A76" s="80">
        <v>45431.708333333336</v>
      </c>
      <c r="B76" s="112">
        <v>11.35</v>
      </c>
      <c r="C76" s="112">
        <v>13.12</v>
      </c>
      <c r="D76" s="112">
        <v>25.1</v>
      </c>
      <c r="E76" s="112">
        <v>18.809999999999999</v>
      </c>
      <c r="F76" s="112">
        <v>52.22</v>
      </c>
      <c r="G76" s="112">
        <v>25.9</v>
      </c>
      <c r="H76" s="112">
        <v>9.94</v>
      </c>
      <c r="I76" s="112">
        <v>3.46</v>
      </c>
      <c r="J76" s="112">
        <v>0.48</v>
      </c>
      <c r="K76" s="112">
        <v>249.48</v>
      </c>
      <c r="L76" s="112">
        <v>38.42</v>
      </c>
      <c r="M76" s="112">
        <v>32.44</v>
      </c>
      <c r="N76" s="112">
        <v>104.1</v>
      </c>
      <c r="O76" s="112">
        <v>0</v>
      </c>
      <c r="P76" s="112">
        <v>0.39</v>
      </c>
      <c r="Q76" s="167" t="s">
        <v>14</v>
      </c>
    </row>
    <row r="77" spans="1:17" customFormat="1">
      <c r="A77" s="80">
        <v>45431.71875</v>
      </c>
      <c r="B77" s="112">
        <v>11.35</v>
      </c>
      <c r="C77" s="112">
        <v>13.06</v>
      </c>
      <c r="D77" s="112">
        <v>25.07</v>
      </c>
      <c r="E77" s="112">
        <v>20.16</v>
      </c>
      <c r="F77" s="112">
        <v>68.02</v>
      </c>
      <c r="G77" s="112">
        <v>25.1</v>
      </c>
      <c r="H77" s="112">
        <v>11.88</v>
      </c>
      <c r="I77" s="112">
        <v>3.18</v>
      </c>
      <c r="J77" s="112">
        <v>0.26</v>
      </c>
      <c r="K77" s="112">
        <v>185.57</v>
      </c>
      <c r="L77" s="112">
        <v>38.28</v>
      </c>
      <c r="M77" s="112">
        <v>32.9</v>
      </c>
      <c r="N77" s="112">
        <v>100</v>
      </c>
      <c r="O77" s="112">
        <v>0</v>
      </c>
      <c r="P77" s="112">
        <v>0.38</v>
      </c>
      <c r="Q77" s="167" t="s">
        <v>14</v>
      </c>
    </row>
    <row r="78" spans="1:17" customFormat="1">
      <c r="A78" s="80">
        <v>45431.729166666664</v>
      </c>
      <c r="B78" s="112">
        <v>11.35</v>
      </c>
      <c r="C78" s="112">
        <v>13.09</v>
      </c>
      <c r="D78" s="112">
        <v>25.08</v>
      </c>
      <c r="E78" s="112">
        <v>21.18</v>
      </c>
      <c r="F78" s="112">
        <v>61.72</v>
      </c>
      <c r="G78" s="112">
        <v>24.91</v>
      </c>
      <c r="H78" s="112">
        <v>11.88</v>
      </c>
      <c r="I78" s="112">
        <v>2.92</v>
      </c>
      <c r="J78" s="112">
        <v>0.2</v>
      </c>
      <c r="K78" s="112">
        <v>177.24</v>
      </c>
      <c r="L78" s="112">
        <v>38.229999999999997</v>
      </c>
      <c r="M78" s="112">
        <v>33.25</v>
      </c>
      <c r="N78" s="112">
        <v>83.6</v>
      </c>
      <c r="O78" s="112">
        <v>0</v>
      </c>
      <c r="P78" s="112">
        <v>0.37</v>
      </c>
      <c r="Q78" s="167" t="s">
        <v>14</v>
      </c>
    </row>
    <row r="79" spans="1:17" customFormat="1">
      <c r="A79" s="80">
        <v>45431.739583333336</v>
      </c>
      <c r="B79" s="112">
        <v>11.35</v>
      </c>
      <c r="C79" s="112">
        <v>13.11</v>
      </c>
      <c r="D79" s="112">
        <v>25.09</v>
      </c>
      <c r="E79" s="112">
        <v>19.170000000000002</v>
      </c>
      <c r="F79" s="112">
        <v>63.05</v>
      </c>
      <c r="G79" s="112">
        <v>24.91</v>
      </c>
      <c r="H79" s="112">
        <v>11.88</v>
      </c>
      <c r="I79" s="112">
        <v>2.76</v>
      </c>
      <c r="J79" s="112">
        <v>0.2</v>
      </c>
      <c r="K79" s="112">
        <v>184.4</v>
      </c>
      <c r="L79" s="112">
        <v>37.61</v>
      </c>
      <c r="M79" s="112">
        <v>34.380000000000003</v>
      </c>
      <c r="N79" s="112">
        <v>49.9</v>
      </c>
      <c r="O79" s="112">
        <v>0</v>
      </c>
      <c r="P79" s="112">
        <v>0.37</v>
      </c>
      <c r="Q79" s="167" t="s">
        <v>14</v>
      </c>
    </row>
    <row r="80" spans="1:17" customFormat="1">
      <c r="A80" s="80">
        <v>45431.75</v>
      </c>
      <c r="B80" s="112">
        <v>11.38</v>
      </c>
      <c r="C80" s="112">
        <v>13.06</v>
      </c>
      <c r="D80" s="112">
        <v>25.09</v>
      </c>
      <c r="E80" s="112">
        <v>18.600000000000001</v>
      </c>
      <c r="F80" s="112">
        <v>65.95</v>
      </c>
      <c r="G80" s="112">
        <v>24.91</v>
      </c>
      <c r="H80" s="112">
        <v>11.88</v>
      </c>
      <c r="I80" s="112">
        <v>2.75</v>
      </c>
      <c r="J80" s="112">
        <v>0.23</v>
      </c>
      <c r="K80" s="112">
        <v>162.18</v>
      </c>
      <c r="L80" s="112">
        <v>37.340000000000003</v>
      </c>
      <c r="M80" s="112">
        <v>34.85</v>
      </c>
      <c r="N80" s="112">
        <v>20.6</v>
      </c>
      <c r="O80" s="112">
        <v>0</v>
      </c>
      <c r="P80" s="112">
        <v>0.36</v>
      </c>
      <c r="Q80" s="167" t="s">
        <v>14</v>
      </c>
    </row>
    <row r="81" spans="1:17" customFormat="1">
      <c r="A81" s="80">
        <v>45431.760416666664</v>
      </c>
      <c r="B81" s="112">
        <v>11.39</v>
      </c>
      <c r="C81" s="112">
        <v>13.03</v>
      </c>
      <c r="D81" s="112">
        <v>25.09</v>
      </c>
      <c r="E81" s="112">
        <v>10.99</v>
      </c>
      <c r="F81" s="112">
        <v>67.680000000000007</v>
      </c>
      <c r="G81" s="112">
        <v>22.7</v>
      </c>
      <c r="H81" s="112">
        <v>8.6300000000000008</v>
      </c>
      <c r="I81" s="112">
        <v>2.59</v>
      </c>
      <c r="J81" s="112">
        <v>0.2</v>
      </c>
      <c r="K81" s="112">
        <v>160.16999999999999</v>
      </c>
      <c r="L81" s="112">
        <v>36.799999999999997</v>
      </c>
      <c r="M81" s="112">
        <v>35.72</v>
      </c>
      <c r="N81" s="112">
        <v>3.1</v>
      </c>
      <c r="O81" s="112">
        <v>0</v>
      </c>
      <c r="P81" s="112">
        <v>0.35</v>
      </c>
      <c r="Q81" s="167" t="s">
        <v>14</v>
      </c>
    </row>
    <row r="82" spans="1:17" customFormat="1">
      <c r="A82" s="80">
        <v>45431.770833333336</v>
      </c>
      <c r="B82" s="112">
        <v>11.37</v>
      </c>
      <c r="C82" s="112">
        <v>13.07</v>
      </c>
      <c r="D82" s="112">
        <v>25.09</v>
      </c>
      <c r="E82" s="112">
        <v>12.38</v>
      </c>
      <c r="F82" s="112">
        <v>61.44</v>
      </c>
      <c r="G82" s="112">
        <v>22.18</v>
      </c>
      <c r="H82" s="112">
        <v>8.6300000000000008</v>
      </c>
      <c r="I82" s="112">
        <v>2.4900000000000002</v>
      </c>
      <c r="J82" s="112">
        <v>0.21</v>
      </c>
      <c r="K82" s="112">
        <v>162.52000000000001</v>
      </c>
      <c r="L82" s="112">
        <v>35.840000000000003</v>
      </c>
      <c r="M82" s="112">
        <v>38.25</v>
      </c>
      <c r="N82" s="112">
        <v>0</v>
      </c>
      <c r="O82" s="112">
        <v>0</v>
      </c>
      <c r="P82" s="112">
        <v>0.36</v>
      </c>
      <c r="Q82" s="167" t="s">
        <v>14</v>
      </c>
    </row>
    <row r="83" spans="1:17" customFormat="1">
      <c r="A83" s="80">
        <v>45431.78125</v>
      </c>
      <c r="B83" s="112">
        <v>11.37</v>
      </c>
      <c r="C83" s="112">
        <v>13.12</v>
      </c>
      <c r="D83" s="112">
        <v>25.11</v>
      </c>
      <c r="E83" s="112">
        <v>11.3</v>
      </c>
      <c r="F83" s="112">
        <v>53.53</v>
      </c>
      <c r="G83" s="112">
        <v>22.18</v>
      </c>
      <c r="H83" s="112">
        <v>8.6300000000000008</v>
      </c>
      <c r="I83" s="112">
        <v>2.5099999999999998</v>
      </c>
      <c r="J83" s="112">
        <v>0.16</v>
      </c>
      <c r="K83" s="112">
        <v>165.39</v>
      </c>
      <c r="L83" s="112">
        <v>35.4</v>
      </c>
      <c r="M83" s="112">
        <v>40.22</v>
      </c>
      <c r="N83" s="112">
        <v>0</v>
      </c>
      <c r="O83" s="112">
        <v>0</v>
      </c>
      <c r="P83" s="112">
        <v>0.4</v>
      </c>
      <c r="Q83" s="167" t="s">
        <v>14</v>
      </c>
    </row>
    <row r="84" spans="1:17" customFormat="1">
      <c r="A84" s="80">
        <v>45431.791666666664</v>
      </c>
      <c r="B84" s="112">
        <v>11.38</v>
      </c>
      <c r="C84" s="112">
        <v>13.1</v>
      </c>
      <c r="D84" s="112">
        <v>25.11</v>
      </c>
      <c r="E84" s="112">
        <v>11.65</v>
      </c>
      <c r="F84" s="112">
        <v>56.8</v>
      </c>
      <c r="G84" s="112">
        <v>22.18</v>
      </c>
      <c r="H84" s="112">
        <v>8.6300000000000008</v>
      </c>
      <c r="I84" s="112">
        <v>3.16</v>
      </c>
      <c r="J84" s="112">
        <v>0.14000000000000001</v>
      </c>
      <c r="K84" s="112">
        <v>188</v>
      </c>
      <c r="L84" s="112">
        <v>34.47</v>
      </c>
      <c r="M84" s="112">
        <v>41.69</v>
      </c>
      <c r="N84" s="112">
        <v>0</v>
      </c>
      <c r="O84" s="112">
        <v>0</v>
      </c>
      <c r="P84" s="112">
        <v>0.39</v>
      </c>
      <c r="Q84" s="167" t="s">
        <v>14</v>
      </c>
    </row>
    <row r="85" spans="1:17" customFormat="1">
      <c r="A85" s="80">
        <v>45431.802083333336</v>
      </c>
      <c r="B85" s="112">
        <v>11.36</v>
      </c>
      <c r="C85" s="112">
        <v>13.07</v>
      </c>
      <c r="D85" s="112">
        <v>25.08</v>
      </c>
      <c r="E85" s="112">
        <v>12.31</v>
      </c>
      <c r="F85" s="112">
        <v>56.71</v>
      </c>
      <c r="G85" s="112">
        <v>23.14</v>
      </c>
      <c r="H85" s="112">
        <v>10.56</v>
      </c>
      <c r="I85" s="112">
        <v>4.08</v>
      </c>
      <c r="J85" s="112">
        <v>0.14000000000000001</v>
      </c>
      <c r="K85" s="112">
        <v>181.28</v>
      </c>
      <c r="L85" s="112">
        <v>34.229999999999997</v>
      </c>
      <c r="M85" s="112">
        <v>42.09</v>
      </c>
      <c r="N85" s="112">
        <v>0</v>
      </c>
      <c r="O85" s="112">
        <v>0</v>
      </c>
      <c r="P85" s="112">
        <v>0.41</v>
      </c>
      <c r="Q85" s="167" t="s">
        <v>14</v>
      </c>
    </row>
    <row r="86" spans="1:17" customFormat="1">
      <c r="A86" s="80">
        <v>45431.8125</v>
      </c>
      <c r="B86" s="112">
        <v>11.32</v>
      </c>
      <c r="C86" s="112">
        <v>13.13</v>
      </c>
      <c r="D86" s="112">
        <v>25.08</v>
      </c>
      <c r="E86" s="112">
        <v>13.83</v>
      </c>
      <c r="F86" s="112">
        <v>59.15</v>
      </c>
      <c r="G86" s="112">
        <v>23.36</v>
      </c>
      <c r="H86" s="112">
        <v>10.56</v>
      </c>
      <c r="I86" s="112">
        <v>3.59</v>
      </c>
      <c r="J86" s="112">
        <v>0.1</v>
      </c>
      <c r="K86" s="112">
        <v>175.71</v>
      </c>
      <c r="L86" s="112">
        <v>34.1</v>
      </c>
      <c r="M86" s="112">
        <v>42.54</v>
      </c>
      <c r="N86" s="112">
        <v>0</v>
      </c>
      <c r="O86" s="112">
        <v>0</v>
      </c>
      <c r="P86" s="112">
        <v>0.42</v>
      </c>
      <c r="Q86" s="167" t="s">
        <v>14</v>
      </c>
    </row>
    <row r="87" spans="1:17" customFormat="1">
      <c r="A87" s="80">
        <v>45431.822916666664</v>
      </c>
      <c r="B87" s="112">
        <v>11.33</v>
      </c>
      <c r="C87" s="112">
        <v>13.1</v>
      </c>
      <c r="D87" s="112">
        <v>25.08</v>
      </c>
      <c r="E87" s="112">
        <v>15.89</v>
      </c>
      <c r="F87" s="112">
        <v>63.38</v>
      </c>
      <c r="G87" s="112">
        <v>23.36</v>
      </c>
      <c r="H87" s="112">
        <v>10.56</v>
      </c>
      <c r="I87" s="112">
        <v>3.45</v>
      </c>
      <c r="J87" s="112">
        <v>0.17</v>
      </c>
      <c r="K87" s="112">
        <v>163.13</v>
      </c>
      <c r="L87" s="112">
        <v>34.270000000000003</v>
      </c>
      <c r="M87" s="112">
        <v>42.39</v>
      </c>
      <c r="N87" s="112">
        <v>0</v>
      </c>
      <c r="O87" s="112">
        <v>0</v>
      </c>
      <c r="P87" s="112">
        <v>0.44</v>
      </c>
      <c r="Q87" s="167" t="s">
        <v>14</v>
      </c>
    </row>
    <row r="88" spans="1:17" customFormat="1">
      <c r="A88" s="80">
        <v>45431.833333333336</v>
      </c>
      <c r="B88" s="112">
        <v>11.37</v>
      </c>
      <c r="C88" s="112">
        <v>13.08</v>
      </c>
      <c r="D88" s="112">
        <v>25.09</v>
      </c>
      <c r="E88" s="112">
        <v>16.62</v>
      </c>
      <c r="F88" s="112">
        <v>60.58</v>
      </c>
      <c r="G88" s="112">
        <v>23.36</v>
      </c>
      <c r="H88" s="112">
        <v>10.56</v>
      </c>
      <c r="I88" s="112">
        <v>3.64</v>
      </c>
      <c r="J88" s="112">
        <v>0.18</v>
      </c>
      <c r="K88" s="112">
        <v>164.34</v>
      </c>
      <c r="L88" s="112">
        <v>33.94</v>
      </c>
      <c r="M88" s="112">
        <v>43.78</v>
      </c>
      <c r="N88" s="112">
        <v>0</v>
      </c>
      <c r="O88" s="112">
        <v>0</v>
      </c>
      <c r="P88" s="112">
        <v>0.48</v>
      </c>
      <c r="Q88" s="167" t="s">
        <v>14</v>
      </c>
    </row>
    <row r="89" spans="1:17" customFormat="1">
      <c r="A89" s="80">
        <v>45431.84375</v>
      </c>
      <c r="B89" s="112">
        <v>11.39</v>
      </c>
      <c r="C89" s="112">
        <v>13.11</v>
      </c>
      <c r="D89" s="112">
        <v>25.13</v>
      </c>
      <c r="E89" s="112">
        <v>16.920000000000002</v>
      </c>
      <c r="F89" s="112">
        <v>54.35</v>
      </c>
      <c r="G89" s="112">
        <v>27.15</v>
      </c>
      <c r="H89" s="112">
        <v>11.73</v>
      </c>
      <c r="I89" s="112">
        <v>3.88</v>
      </c>
      <c r="J89" s="112">
        <v>0.23</v>
      </c>
      <c r="K89" s="112">
        <v>178.64</v>
      </c>
      <c r="L89" s="112">
        <v>33.58</v>
      </c>
      <c r="M89" s="112">
        <v>46.01</v>
      </c>
      <c r="N89" s="112">
        <v>0</v>
      </c>
      <c r="O89" s="112">
        <v>0</v>
      </c>
      <c r="P89" s="112">
        <v>0.54</v>
      </c>
      <c r="Q89" s="112">
        <v>4.8899999999999997</v>
      </c>
    </row>
    <row r="90" spans="1:17" customFormat="1">
      <c r="A90" s="80">
        <v>45431.854166666664</v>
      </c>
      <c r="B90" s="112">
        <v>11.42</v>
      </c>
      <c r="C90" s="112">
        <v>13.08</v>
      </c>
      <c r="D90" s="112">
        <v>25.13</v>
      </c>
      <c r="E90" s="112">
        <v>16.43</v>
      </c>
      <c r="F90" s="112">
        <v>43.27</v>
      </c>
      <c r="G90" s="112">
        <v>28.03</v>
      </c>
      <c r="H90" s="112">
        <v>11.73</v>
      </c>
      <c r="I90" s="112">
        <v>4.2699999999999996</v>
      </c>
      <c r="J90" s="112">
        <v>0.08</v>
      </c>
      <c r="K90" s="112">
        <v>69.010000000000005</v>
      </c>
      <c r="L90" s="112">
        <v>33.229999999999997</v>
      </c>
      <c r="M90" s="112">
        <v>46.15</v>
      </c>
      <c r="N90" s="112">
        <v>0</v>
      </c>
      <c r="O90" s="112">
        <v>0</v>
      </c>
      <c r="P90" s="112">
        <v>0.52</v>
      </c>
      <c r="Q90" s="112">
        <v>4.8899999999999997</v>
      </c>
    </row>
    <row r="91" spans="1:17" customFormat="1">
      <c r="A91" s="80">
        <v>45431.864583333336</v>
      </c>
      <c r="B91" s="112">
        <v>11.4</v>
      </c>
      <c r="C91" s="112">
        <v>13.08</v>
      </c>
      <c r="D91" s="112">
        <v>25.12</v>
      </c>
      <c r="E91" s="112">
        <v>14.98</v>
      </c>
      <c r="F91" s="112">
        <v>19.670000000000002</v>
      </c>
      <c r="G91" s="112">
        <v>28.03</v>
      </c>
      <c r="H91" s="112">
        <v>11.73</v>
      </c>
      <c r="I91" s="112">
        <v>4.6500000000000004</v>
      </c>
      <c r="J91" s="112">
        <v>2.34</v>
      </c>
      <c r="K91" s="112">
        <v>45.22</v>
      </c>
      <c r="L91" s="112">
        <v>34</v>
      </c>
      <c r="M91" s="112">
        <v>39.6</v>
      </c>
      <c r="N91" s="112">
        <v>0</v>
      </c>
      <c r="O91" s="112">
        <v>0</v>
      </c>
      <c r="P91" s="112">
        <v>0.54</v>
      </c>
      <c r="Q91" s="112">
        <v>4.88</v>
      </c>
    </row>
    <row r="92" spans="1:17" customFormat="1">
      <c r="A92" s="80">
        <v>45431.875</v>
      </c>
      <c r="B92" s="112">
        <v>11.37</v>
      </c>
      <c r="C92" s="112">
        <v>13.06</v>
      </c>
      <c r="D92" s="112">
        <v>25.09</v>
      </c>
      <c r="E92" s="112">
        <v>11.56</v>
      </c>
      <c r="F92" s="112">
        <v>13.75</v>
      </c>
      <c r="G92" s="112">
        <v>28.03</v>
      </c>
      <c r="H92" s="112">
        <v>11.73</v>
      </c>
      <c r="I92" s="112">
        <v>5.07</v>
      </c>
      <c r="J92" s="112">
        <v>1.94</v>
      </c>
      <c r="K92" s="112">
        <v>61.75</v>
      </c>
      <c r="L92" s="112">
        <v>34.04</v>
      </c>
      <c r="M92" s="112">
        <v>31.88</v>
      </c>
      <c r="N92" s="112">
        <v>0</v>
      </c>
      <c r="O92" s="112">
        <v>0</v>
      </c>
      <c r="P92" s="112">
        <v>0.46</v>
      </c>
      <c r="Q92" s="167" t="s">
        <v>14</v>
      </c>
    </row>
    <row r="93" spans="1:17" customFormat="1">
      <c r="A93" s="80">
        <v>45431.885416666664</v>
      </c>
      <c r="B93" s="112">
        <v>11.36</v>
      </c>
      <c r="C93" s="112">
        <v>13.09</v>
      </c>
      <c r="D93" s="112">
        <v>25.1</v>
      </c>
      <c r="E93" s="112">
        <v>11.09</v>
      </c>
      <c r="F93" s="112">
        <v>15.17</v>
      </c>
      <c r="G93" s="112">
        <v>37.729999999999997</v>
      </c>
      <c r="H93" s="112">
        <v>8.77</v>
      </c>
      <c r="I93" s="112">
        <v>5.57</v>
      </c>
      <c r="J93" s="112">
        <v>2.36</v>
      </c>
      <c r="K93" s="112">
        <v>54.88</v>
      </c>
      <c r="L93" s="112">
        <v>33.29</v>
      </c>
      <c r="M93" s="112">
        <v>34.01</v>
      </c>
      <c r="N93" s="112">
        <v>0</v>
      </c>
      <c r="O93" s="112">
        <v>0</v>
      </c>
      <c r="P93" s="112">
        <v>0.47</v>
      </c>
      <c r="Q93" s="167" t="s">
        <v>14</v>
      </c>
    </row>
    <row r="94" spans="1:17" customFormat="1">
      <c r="A94" s="80">
        <v>45431.895833333336</v>
      </c>
      <c r="B94" s="112">
        <v>11.35</v>
      </c>
      <c r="C94" s="112">
        <v>13.1</v>
      </c>
      <c r="D94" s="112">
        <v>25.09</v>
      </c>
      <c r="E94" s="112">
        <v>11.2</v>
      </c>
      <c r="F94" s="112">
        <v>18.63</v>
      </c>
      <c r="G94" s="112">
        <v>39.99</v>
      </c>
      <c r="H94" s="112">
        <v>8.77</v>
      </c>
      <c r="I94" s="112">
        <v>4.5999999999999996</v>
      </c>
      <c r="J94" s="112">
        <v>1.31</v>
      </c>
      <c r="K94" s="112">
        <v>54.96</v>
      </c>
      <c r="L94" s="112">
        <v>32.869999999999997</v>
      </c>
      <c r="M94" s="112">
        <v>34.78</v>
      </c>
      <c r="N94" s="112">
        <v>0</v>
      </c>
      <c r="O94" s="112">
        <v>0</v>
      </c>
      <c r="P94" s="112">
        <v>0.48</v>
      </c>
      <c r="Q94" s="167" t="s">
        <v>14</v>
      </c>
    </row>
    <row r="95" spans="1:17" customFormat="1">
      <c r="A95" s="80">
        <v>45431.90625</v>
      </c>
      <c r="B95" s="112">
        <v>11.31</v>
      </c>
      <c r="C95" s="112">
        <v>13.15</v>
      </c>
      <c r="D95" s="112">
        <v>25.08</v>
      </c>
      <c r="E95" s="112">
        <v>10.58</v>
      </c>
      <c r="F95" s="112">
        <v>17.53</v>
      </c>
      <c r="G95" s="112">
        <v>39.99</v>
      </c>
      <c r="H95" s="112">
        <v>8.77</v>
      </c>
      <c r="I95" s="112">
        <v>4.4800000000000004</v>
      </c>
      <c r="J95" s="112">
        <v>0.93</v>
      </c>
      <c r="K95" s="112">
        <v>63.25</v>
      </c>
      <c r="L95" s="112">
        <v>32.53</v>
      </c>
      <c r="M95" s="112">
        <v>37.799999999999997</v>
      </c>
      <c r="N95" s="112">
        <v>0</v>
      </c>
      <c r="O95" s="112">
        <v>0</v>
      </c>
      <c r="P95" s="112">
        <v>0.47</v>
      </c>
      <c r="Q95" s="167" t="s">
        <v>14</v>
      </c>
    </row>
    <row r="96" spans="1:17" customFormat="1">
      <c r="A96" s="80">
        <v>45431.916666666664</v>
      </c>
      <c r="B96" s="112">
        <v>11.3</v>
      </c>
      <c r="C96" s="112">
        <v>13.12</v>
      </c>
      <c r="D96" s="112">
        <v>25.06</v>
      </c>
      <c r="E96" s="112">
        <v>10.56</v>
      </c>
      <c r="F96" s="112">
        <v>19.54</v>
      </c>
      <c r="G96" s="112">
        <v>39.99</v>
      </c>
      <c r="H96" s="112">
        <v>8.77</v>
      </c>
      <c r="I96" s="112">
        <v>4.38</v>
      </c>
      <c r="J96" s="112">
        <v>0.64</v>
      </c>
      <c r="K96" s="112">
        <v>51.13</v>
      </c>
      <c r="L96" s="112">
        <v>32.22</v>
      </c>
      <c r="M96" s="112">
        <v>40.26</v>
      </c>
      <c r="N96" s="112">
        <v>0</v>
      </c>
      <c r="O96" s="112">
        <v>0</v>
      </c>
      <c r="P96" s="112">
        <v>0.48</v>
      </c>
      <c r="Q96" s="167" t="s">
        <v>14</v>
      </c>
    </row>
    <row r="97" spans="1:22" customFormat="1">
      <c r="A97" s="80">
        <v>45431.927083333336</v>
      </c>
      <c r="B97" s="112">
        <v>11.29</v>
      </c>
      <c r="C97" s="112">
        <v>13.12</v>
      </c>
      <c r="D97" s="112">
        <v>25.05</v>
      </c>
      <c r="E97" s="112">
        <v>10.4</v>
      </c>
      <c r="F97" s="112">
        <v>17.89</v>
      </c>
      <c r="G97" s="112">
        <v>41.6</v>
      </c>
      <c r="H97" s="112">
        <v>11.53</v>
      </c>
      <c r="I97" s="112">
        <v>4.2300000000000004</v>
      </c>
      <c r="J97" s="112">
        <v>0.33</v>
      </c>
      <c r="K97" s="112">
        <v>321.39</v>
      </c>
      <c r="L97" s="112">
        <v>31.95</v>
      </c>
      <c r="M97" s="112">
        <v>41.97</v>
      </c>
      <c r="N97" s="112">
        <v>0</v>
      </c>
      <c r="O97" s="112">
        <v>0</v>
      </c>
      <c r="P97" s="112">
        <v>0.49</v>
      </c>
      <c r="Q97" s="167" t="s">
        <v>14</v>
      </c>
    </row>
    <row r="98" spans="1:22" customFormat="1">
      <c r="A98" s="80">
        <v>45431.9375</v>
      </c>
      <c r="B98" s="112">
        <v>11.29</v>
      </c>
      <c r="C98" s="112">
        <v>13.13</v>
      </c>
      <c r="D98" s="112">
        <v>25.06</v>
      </c>
      <c r="E98" s="112">
        <v>10.91</v>
      </c>
      <c r="F98" s="112">
        <v>15.06</v>
      </c>
      <c r="G98" s="112">
        <v>41.97</v>
      </c>
      <c r="H98" s="112">
        <v>11.53</v>
      </c>
      <c r="I98" s="112">
        <v>4.3</v>
      </c>
      <c r="J98" s="112">
        <v>0.34</v>
      </c>
      <c r="K98" s="112">
        <v>312.02</v>
      </c>
      <c r="L98" s="112">
        <v>31.74</v>
      </c>
      <c r="M98" s="112">
        <v>43.49</v>
      </c>
      <c r="N98" s="112">
        <v>0</v>
      </c>
      <c r="O98" s="112">
        <v>0</v>
      </c>
      <c r="P98" s="112">
        <v>0.48</v>
      </c>
      <c r="Q98" s="167" t="s">
        <v>14</v>
      </c>
    </row>
    <row r="99" spans="1:22" customFormat="1">
      <c r="A99" s="80">
        <v>45431.947916666664</v>
      </c>
      <c r="B99" s="112">
        <v>11.31</v>
      </c>
      <c r="C99" s="112">
        <v>13.08</v>
      </c>
      <c r="D99" s="112">
        <v>25.05</v>
      </c>
      <c r="E99" s="112">
        <v>12.21</v>
      </c>
      <c r="F99" s="112">
        <v>15.79</v>
      </c>
      <c r="G99" s="112">
        <v>41.97</v>
      </c>
      <c r="H99" s="112">
        <v>11.53</v>
      </c>
      <c r="I99" s="112">
        <v>4.29</v>
      </c>
      <c r="J99" s="112">
        <v>0.4</v>
      </c>
      <c r="K99" s="112">
        <v>238.82</v>
      </c>
      <c r="L99" s="112">
        <v>31.67</v>
      </c>
      <c r="M99" s="112">
        <v>44.42</v>
      </c>
      <c r="N99" s="112">
        <v>0</v>
      </c>
      <c r="O99" s="112">
        <v>0</v>
      </c>
      <c r="P99" s="112">
        <v>0.49</v>
      </c>
      <c r="Q99" s="167" t="s">
        <v>14</v>
      </c>
    </row>
    <row r="100" spans="1:22" customFormat="1">
      <c r="A100" s="80">
        <v>45431.958333333336</v>
      </c>
      <c r="B100" s="112">
        <v>11.29</v>
      </c>
      <c r="C100" s="112">
        <v>13.09</v>
      </c>
      <c r="D100" s="112">
        <v>25.03</v>
      </c>
      <c r="E100" s="112">
        <v>14.12</v>
      </c>
      <c r="F100" s="112">
        <v>22.58</v>
      </c>
      <c r="G100" s="112">
        <v>41.97</v>
      </c>
      <c r="H100" s="112">
        <v>11.53</v>
      </c>
      <c r="I100" s="112">
        <v>4.37</v>
      </c>
      <c r="J100" s="112">
        <v>0.15</v>
      </c>
      <c r="K100" s="112">
        <v>238.32</v>
      </c>
      <c r="L100" s="112">
        <v>31.3</v>
      </c>
      <c r="M100" s="112">
        <v>46.12</v>
      </c>
      <c r="N100" s="112">
        <v>0</v>
      </c>
      <c r="O100" s="112">
        <v>0</v>
      </c>
      <c r="P100" s="112">
        <v>0.47</v>
      </c>
      <c r="Q100" s="167" t="s">
        <v>14</v>
      </c>
    </row>
    <row r="101" spans="1:22" customFormat="1">
      <c r="A101" s="80">
        <v>45431.96875</v>
      </c>
      <c r="B101" s="112">
        <v>11.3</v>
      </c>
      <c r="C101" s="112">
        <v>13.09</v>
      </c>
      <c r="D101" s="112">
        <v>25.04</v>
      </c>
      <c r="E101" s="112">
        <v>13.21</v>
      </c>
      <c r="F101" s="112">
        <v>20.61</v>
      </c>
      <c r="G101" s="112">
        <v>40.71</v>
      </c>
      <c r="H101" s="112">
        <v>12.1</v>
      </c>
      <c r="I101" s="112">
        <v>4.2</v>
      </c>
      <c r="J101" s="112">
        <v>0.15</v>
      </c>
      <c r="K101" s="112">
        <v>183.73</v>
      </c>
      <c r="L101" s="112">
        <v>31.23</v>
      </c>
      <c r="M101" s="112">
        <v>47.29</v>
      </c>
      <c r="N101" s="112">
        <v>0</v>
      </c>
      <c r="O101" s="112">
        <v>0</v>
      </c>
      <c r="P101" s="112">
        <v>0.48</v>
      </c>
      <c r="Q101" s="167" t="s">
        <v>14</v>
      </c>
    </row>
    <row r="102" spans="1:22" customFormat="1">
      <c r="A102" s="80">
        <v>45431.979166666664</v>
      </c>
      <c r="B102" s="112">
        <v>11.27</v>
      </c>
      <c r="C102" s="112">
        <v>13.12</v>
      </c>
      <c r="D102" s="112">
        <v>25.04</v>
      </c>
      <c r="E102" s="112">
        <v>13.08</v>
      </c>
      <c r="F102" s="112">
        <v>17.11</v>
      </c>
      <c r="G102" s="112">
        <v>40.42</v>
      </c>
      <c r="H102" s="112">
        <v>12.1</v>
      </c>
      <c r="I102" s="112">
        <v>4.13</v>
      </c>
      <c r="J102" s="112">
        <v>0.13</v>
      </c>
      <c r="K102" s="112">
        <v>188.17</v>
      </c>
      <c r="L102" s="112">
        <v>31.06</v>
      </c>
      <c r="M102" s="112">
        <v>47.34</v>
      </c>
      <c r="N102" s="112">
        <v>0</v>
      </c>
      <c r="O102" s="112">
        <v>0</v>
      </c>
      <c r="P102" s="112">
        <v>0.47</v>
      </c>
      <c r="Q102" s="167" t="s">
        <v>14</v>
      </c>
    </row>
    <row r="103" spans="1:22" customFormat="1">
      <c r="A103" s="80">
        <v>45431.989583333336</v>
      </c>
      <c r="B103" s="112">
        <v>11.28</v>
      </c>
      <c r="C103" s="112">
        <v>13.14</v>
      </c>
      <c r="D103" s="112">
        <v>25.05</v>
      </c>
      <c r="E103" s="112">
        <v>12.93</v>
      </c>
      <c r="F103" s="112">
        <v>18.899999999999999</v>
      </c>
      <c r="G103" s="112">
        <v>40.42</v>
      </c>
      <c r="H103" s="112">
        <v>12.1</v>
      </c>
      <c r="I103" s="112">
        <v>4.22</v>
      </c>
      <c r="J103" s="112">
        <v>0.24</v>
      </c>
      <c r="K103" s="112">
        <v>228.38</v>
      </c>
      <c r="L103" s="112">
        <v>31.04</v>
      </c>
      <c r="M103" s="112">
        <v>47.56</v>
      </c>
      <c r="N103" s="112">
        <v>0</v>
      </c>
      <c r="O103" s="112">
        <v>0</v>
      </c>
      <c r="P103" s="112">
        <v>0.48</v>
      </c>
      <c r="Q103" s="167" t="s">
        <v>14</v>
      </c>
    </row>
    <row r="104" spans="1:22" customFormat="1">
      <c r="A104" s="80">
        <v>45432</v>
      </c>
      <c r="B104" s="112">
        <v>11.29</v>
      </c>
      <c r="C104" s="112">
        <v>13.11</v>
      </c>
      <c r="D104" s="112">
        <v>25.05</v>
      </c>
      <c r="E104" s="112">
        <v>12.51</v>
      </c>
      <c r="F104" s="112">
        <v>14.11</v>
      </c>
      <c r="G104" s="112">
        <v>40.42</v>
      </c>
      <c r="H104" s="112">
        <v>12.1</v>
      </c>
      <c r="I104" s="112">
        <v>4.33</v>
      </c>
      <c r="J104" s="112">
        <v>0.21</v>
      </c>
      <c r="K104" s="112">
        <v>270.43</v>
      </c>
      <c r="L104" s="112">
        <v>31.08</v>
      </c>
      <c r="M104" s="112">
        <v>46.87</v>
      </c>
      <c r="N104" s="112">
        <v>0</v>
      </c>
      <c r="O104" s="112">
        <v>0</v>
      </c>
      <c r="P104" s="112">
        <v>0.48</v>
      </c>
      <c r="Q104" s="112">
        <v>4.9000000000000004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11.21</v>
      </c>
      <c r="C106" s="183">
        <f>MIN(C9:C104)</f>
        <v>13.03</v>
      </c>
      <c r="D106" s="183">
        <f t="shared" ref="D106:Q106" si="0">MIN(D9:D104)</f>
        <v>24.97</v>
      </c>
      <c r="E106" s="183">
        <f t="shared" si="0"/>
        <v>4.96</v>
      </c>
      <c r="F106" s="183">
        <f t="shared" si="0"/>
        <v>4.6500000000000004</v>
      </c>
      <c r="G106" s="183">
        <f t="shared" si="0"/>
        <v>7.16</v>
      </c>
      <c r="H106" s="183">
        <f t="shared" si="0"/>
        <v>2.36</v>
      </c>
      <c r="I106" s="183">
        <f t="shared" si="0"/>
        <v>2.4900000000000002</v>
      </c>
      <c r="J106" s="183">
        <f t="shared" si="0"/>
        <v>0.08</v>
      </c>
      <c r="K106" s="183">
        <f t="shared" si="0"/>
        <v>31.71</v>
      </c>
      <c r="L106" s="183">
        <f t="shared" si="0"/>
        <v>25.39</v>
      </c>
      <c r="M106" s="183">
        <f t="shared" si="0"/>
        <v>30.63</v>
      </c>
      <c r="N106" s="183">
        <f t="shared" si="0"/>
        <v>0</v>
      </c>
      <c r="O106" s="183">
        <f t="shared" si="0"/>
        <v>0</v>
      </c>
      <c r="P106" s="183">
        <f t="shared" si="0"/>
        <v>0.35</v>
      </c>
      <c r="Q106" s="183">
        <f t="shared" si="0"/>
        <v>4.87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11.42</v>
      </c>
      <c r="C107" s="184">
        <f t="shared" ref="C107:Q107" si="1">MAX(C9:C104)</f>
        <v>13.15</v>
      </c>
      <c r="D107" s="184">
        <f t="shared" si="1"/>
        <v>25.13</v>
      </c>
      <c r="E107" s="184">
        <f t="shared" si="1"/>
        <v>27.59</v>
      </c>
      <c r="F107" s="184">
        <f t="shared" si="1"/>
        <v>68.02</v>
      </c>
      <c r="G107" s="184">
        <f t="shared" si="1"/>
        <v>41.97</v>
      </c>
      <c r="H107" s="184">
        <f t="shared" si="1"/>
        <v>12.1</v>
      </c>
      <c r="I107" s="184">
        <f t="shared" si="1"/>
        <v>5.67</v>
      </c>
      <c r="J107" s="184">
        <f t="shared" si="1"/>
        <v>2.36</v>
      </c>
      <c r="K107" s="184">
        <f t="shared" si="1"/>
        <v>339.63</v>
      </c>
      <c r="L107" s="184">
        <f t="shared" si="1"/>
        <v>40.15</v>
      </c>
      <c r="M107" s="184">
        <f t="shared" si="1"/>
        <v>80.11</v>
      </c>
      <c r="N107" s="184">
        <f t="shared" si="1"/>
        <v>789.2</v>
      </c>
      <c r="O107" s="184">
        <f t="shared" si="1"/>
        <v>0</v>
      </c>
      <c r="P107" s="184">
        <f t="shared" si="1"/>
        <v>0.57999999999999996</v>
      </c>
      <c r="Q107" s="184">
        <f t="shared" si="1"/>
        <v>4.9000000000000004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11.318749999999996</v>
      </c>
      <c r="C108" s="183">
        <f t="shared" ref="C108:Q108" si="2">AVERAGE(C9:C104)</f>
        <v>13.094374999999998</v>
      </c>
      <c r="D108" s="183">
        <f t="shared" si="2"/>
        <v>25.061979166666656</v>
      </c>
      <c r="E108" s="183">
        <f t="shared" si="2"/>
        <v>13.657187499999999</v>
      </c>
      <c r="F108" s="183">
        <f t="shared" si="2"/>
        <v>21.587708333333335</v>
      </c>
      <c r="G108" s="183">
        <f t="shared" si="2"/>
        <v>24.452083333333334</v>
      </c>
      <c r="H108" s="183">
        <f t="shared" si="2"/>
        <v>7.1191666666666675</v>
      </c>
      <c r="I108" s="183">
        <f t="shared" si="2"/>
        <v>4.1077083333333331</v>
      </c>
      <c r="J108" s="183">
        <f t="shared" si="2"/>
        <v>0.58614583333333348</v>
      </c>
      <c r="K108" s="183">
        <f t="shared" si="2"/>
        <v>221.21697916666665</v>
      </c>
      <c r="L108" s="183">
        <f t="shared" si="2"/>
        <v>32.425312499999997</v>
      </c>
      <c r="M108" s="183">
        <f t="shared" si="2"/>
        <v>52.230104166666678</v>
      </c>
      <c r="N108" s="183">
        <f t="shared" si="2"/>
        <v>155.23229166666673</v>
      </c>
      <c r="O108" s="183">
        <f t="shared" si="2"/>
        <v>0</v>
      </c>
      <c r="P108" s="183">
        <f t="shared" si="2"/>
        <v>0.43541666666666662</v>
      </c>
      <c r="Q108" s="183">
        <f t="shared" si="2"/>
        <v>4.887142857142857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4.9952609119992275E-2</v>
      </c>
      <c r="C109" s="183">
        <f t="shared" ref="C109:Q109" si="3">STDEV(C9:C104)</f>
        <v>2.4314279971372987E-2</v>
      </c>
      <c r="D109" s="183">
        <f t="shared" si="3"/>
        <v>3.9752386003640838E-2</v>
      </c>
      <c r="E109" s="183">
        <f t="shared" si="3"/>
        <v>4.3861762997962908</v>
      </c>
      <c r="F109" s="183">
        <f t="shared" si="3"/>
        <v>18.688258372806487</v>
      </c>
      <c r="G109" s="183">
        <f t="shared" si="3"/>
        <v>8.9769147104836797</v>
      </c>
      <c r="H109" s="183">
        <f t="shared" si="3"/>
        <v>3.1658452489581435</v>
      </c>
      <c r="I109" s="183">
        <f t="shared" si="3"/>
        <v>0.60155321620770374</v>
      </c>
      <c r="J109" s="183">
        <f t="shared" si="3"/>
        <v>0.50153106592485286</v>
      </c>
      <c r="K109" s="183">
        <f t="shared" si="3"/>
        <v>76.624319186394629</v>
      </c>
      <c r="L109" s="183">
        <f t="shared" si="3"/>
        <v>4.8063847784127773</v>
      </c>
      <c r="M109" s="183">
        <f t="shared" si="3"/>
        <v>17.539429414880068</v>
      </c>
      <c r="N109" s="183">
        <f t="shared" si="3"/>
        <v>228.9781288083814</v>
      </c>
      <c r="O109" s="183">
        <f t="shared" si="3"/>
        <v>0</v>
      </c>
      <c r="P109" s="183">
        <f t="shared" si="3"/>
        <v>5.5742201090881065E-2</v>
      </c>
      <c r="Q109" s="183">
        <f t="shared" si="3"/>
        <v>9.511897312113415E-3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7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85" activePane="bottomRight" state="frozen"/>
      <selection activeCell="A9" sqref="A9"/>
      <selection pane="topRight" activeCell="A9" sqref="A9"/>
      <selection pane="bottomLeft" activeCell="A9" sqref="A9"/>
      <selection pane="bottomRight" activeCell="Q102" sqref="Q102:Q103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45432.010416666664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45432.010416666664</v>
      </c>
      <c r="B9" s="112">
        <v>11.21</v>
      </c>
      <c r="C9" s="112">
        <v>13.19</v>
      </c>
      <c r="D9" s="112">
        <v>25.02</v>
      </c>
      <c r="E9" s="112">
        <v>12.8</v>
      </c>
      <c r="F9" s="112">
        <v>20.22</v>
      </c>
      <c r="G9" s="112">
        <v>37.89</v>
      </c>
      <c r="H9" s="112">
        <v>9.82</v>
      </c>
      <c r="I9" s="112">
        <v>4.28</v>
      </c>
      <c r="J9" s="112">
        <v>0.25</v>
      </c>
      <c r="K9" s="112">
        <v>219.45</v>
      </c>
      <c r="L9" s="112">
        <v>31.21</v>
      </c>
      <c r="M9" s="112">
        <v>46.08</v>
      </c>
      <c r="N9" s="112">
        <v>0</v>
      </c>
      <c r="O9" s="112">
        <v>0</v>
      </c>
      <c r="P9" s="112">
        <v>0.48</v>
      </c>
      <c r="Q9" s="112">
        <v>4.91</v>
      </c>
    </row>
    <row r="10" spans="1:21" customFormat="1">
      <c r="A10" s="80">
        <v>45432.020833333336</v>
      </c>
      <c r="B10" s="112">
        <v>11.18</v>
      </c>
      <c r="C10" s="112">
        <v>13.09</v>
      </c>
      <c r="D10" s="112">
        <v>24.95</v>
      </c>
      <c r="E10" s="112">
        <v>11.68</v>
      </c>
      <c r="F10" s="112">
        <v>16.73</v>
      </c>
      <c r="G10" s="112">
        <v>37.299999999999997</v>
      </c>
      <c r="H10" s="112">
        <v>9.82</v>
      </c>
      <c r="I10" s="112">
        <v>4.26</v>
      </c>
      <c r="J10" s="112">
        <v>0.05</v>
      </c>
      <c r="K10" s="112">
        <v>49.24</v>
      </c>
      <c r="L10" s="112">
        <v>31.23</v>
      </c>
      <c r="M10" s="112">
        <v>45.78</v>
      </c>
      <c r="N10" s="112">
        <v>0</v>
      </c>
      <c r="O10" s="112">
        <v>0</v>
      </c>
      <c r="P10" s="112">
        <v>0.48</v>
      </c>
      <c r="Q10" s="112">
        <v>4.93</v>
      </c>
    </row>
    <row r="11" spans="1:21" customFormat="1">
      <c r="A11" s="80">
        <v>45432.03125</v>
      </c>
      <c r="B11" s="112">
        <v>11.19</v>
      </c>
      <c r="C11" s="112">
        <v>13.09</v>
      </c>
      <c r="D11" s="112">
        <v>24.95</v>
      </c>
      <c r="E11" s="112">
        <v>15.87</v>
      </c>
      <c r="F11" s="112">
        <v>10.19</v>
      </c>
      <c r="G11" s="112">
        <v>37.299999999999997</v>
      </c>
      <c r="H11" s="112">
        <v>9.82</v>
      </c>
      <c r="I11" s="112">
        <v>4.26</v>
      </c>
      <c r="J11" s="112">
        <v>0.95</v>
      </c>
      <c r="K11" s="112">
        <v>17.37</v>
      </c>
      <c r="L11" s="112">
        <v>31.19</v>
      </c>
      <c r="M11" s="112">
        <v>47.3</v>
      </c>
      <c r="N11" s="112">
        <v>0</v>
      </c>
      <c r="O11" s="112">
        <v>0</v>
      </c>
      <c r="P11" s="112">
        <v>0.5</v>
      </c>
      <c r="Q11" s="167" t="s">
        <v>14</v>
      </c>
    </row>
    <row r="12" spans="1:21" customFormat="1">
      <c r="A12" s="80">
        <v>45432.041666666664</v>
      </c>
      <c r="B12" s="112">
        <v>11.18</v>
      </c>
      <c r="C12" s="112">
        <v>13.1</v>
      </c>
      <c r="D12" s="112">
        <v>24.95</v>
      </c>
      <c r="E12" s="112">
        <v>16.440000000000001</v>
      </c>
      <c r="F12" s="112">
        <v>10.039999999999999</v>
      </c>
      <c r="G12" s="112">
        <v>37.299999999999997</v>
      </c>
      <c r="H12" s="112">
        <v>9.82</v>
      </c>
      <c r="I12" s="112">
        <v>4.3</v>
      </c>
      <c r="J12" s="112">
        <v>1.69</v>
      </c>
      <c r="K12" s="112">
        <v>313.63</v>
      </c>
      <c r="L12" s="112">
        <v>31.04</v>
      </c>
      <c r="M12" s="112">
        <v>49.62</v>
      </c>
      <c r="N12" s="112">
        <v>0</v>
      </c>
      <c r="O12" s="112">
        <v>0</v>
      </c>
      <c r="P12" s="112">
        <v>0.52</v>
      </c>
      <c r="Q12" s="167" t="s">
        <v>14</v>
      </c>
    </row>
    <row r="13" spans="1:21" customFormat="1">
      <c r="A13" s="80">
        <v>45432.052083333336</v>
      </c>
      <c r="B13" s="112">
        <v>11.2</v>
      </c>
      <c r="C13" s="112">
        <v>13.1</v>
      </c>
      <c r="D13" s="112">
        <v>24.97</v>
      </c>
      <c r="E13" s="112">
        <v>13.94</v>
      </c>
      <c r="F13" s="112">
        <v>11.15</v>
      </c>
      <c r="G13" s="112">
        <v>46.27</v>
      </c>
      <c r="H13" s="112">
        <v>17.010000000000002</v>
      </c>
      <c r="I13" s="112">
        <v>4.57</v>
      </c>
      <c r="J13" s="112">
        <v>1.28</v>
      </c>
      <c r="K13" s="112">
        <v>318.66000000000003</v>
      </c>
      <c r="L13" s="112">
        <v>30.56</v>
      </c>
      <c r="M13" s="112">
        <v>46.89</v>
      </c>
      <c r="N13" s="112">
        <v>0</v>
      </c>
      <c r="O13" s="112">
        <v>0</v>
      </c>
      <c r="P13" s="112">
        <v>0.5</v>
      </c>
      <c r="Q13" s="167" t="s">
        <v>14</v>
      </c>
    </row>
    <row r="14" spans="1:21" customFormat="1">
      <c r="A14" s="80">
        <v>45432.0625</v>
      </c>
      <c r="B14" s="112">
        <v>11.18</v>
      </c>
      <c r="C14" s="112">
        <v>13.09</v>
      </c>
      <c r="D14" s="112">
        <v>24.95</v>
      </c>
      <c r="E14" s="112">
        <v>11.89</v>
      </c>
      <c r="F14" s="112">
        <v>11.54</v>
      </c>
      <c r="G14" s="112">
        <v>48.36</v>
      </c>
      <c r="H14" s="112">
        <v>17.010000000000002</v>
      </c>
      <c r="I14" s="112">
        <v>4.7300000000000004</v>
      </c>
      <c r="J14" s="112">
        <v>1.24</v>
      </c>
      <c r="K14" s="112">
        <v>322.29000000000002</v>
      </c>
      <c r="L14" s="112">
        <v>29.95</v>
      </c>
      <c r="M14" s="112">
        <v>48.89</v>
      </c>
      <c r="N14" s="112">
        <v>0</v>
      </c>
      <c r="O14" s="112">
        <v>0</v>
      </c>
      <c r="P14" s="112">
        <v>0.5</v>
      </c>
      <c r="Q14" s="112">
        <v>4.8899999999999997</v>
      </c>
    </row>
    <row r="15" spans="1:21" customFormat="1">
      <c r="A15" s="80">
        <v>45432.072916666664</v>
      </c>
      <c r="B15" s="112">
        <v>11.18</v>
      </c>
      <c r="C15" s="112">
        <v>13.15</v>
      </c>
      <c r="D15" s="112">
        <v>24.98</v>
      </c>
      <c r="E15" s="112">
        <v>12.15</v>
      </c>
      <c r="F15" s="112">
        <v>9.52</v>
      </c>
      <c r="G15" s="112">
        <v>48.36</v>
      </c>
      <c r="H15" s="112">
        <v>17.010000000000002</v>
      </c>
      <c r="I15" s="112">
        <v>4.6100000000000003</v>
      </c>
      <c r="J15" s="112">
        <v>1.17</v>
      </c>
      <c r="K15" s="112">
        <v>309</v>
      </c>
      <c r="L15" s="112">
        <v>29.28</v>
      </c>
      <c r="M15" s="112">
        <v>51.24</v>
      </c>
      <c r="N15" s="112">
        <v>0</v>
      </c>
      <c r="O15" s="112">
        <v>0</v>
      </c>
      <c r="P15" s="112">
        <v>0.51</v>
      </c>
      <c r="Q15" s="112">
        <v>4.8899999999999997</v>
      </c>
    </row>
    <row r="16" spans="1:21" customFormat="1">
      <c r="A16" s="80">
        <v>45432.083333333336</v>
      </c>
      <c r="B16" s="112">
        <v>11.19</v>
      </c>
      <c r="C16" s="112">
        <v>13.09</v>
      </c>
      <c r="D16" s="112">
        <v>24.96</v>
      </c>
      <c r="E16" s="112">
        <v>11.64</v>
      </c>
      <c r="F16" s="112">
        <v>11.43</v>
      </c>
      <c r="G16" s="112">
        <v>48.36</v>
      </c>
      <c r="H16" s="112">
        <v>17.010000000000002</v>
      </c>
      <c r="I16" s="112">
        <v>4.58</v>
      </c>
      <c r="J16" s="112">
        <v>0.55000000000000004</v>
      </c>
      <c r="K16" s="112">
        <v>276.13</v>
      </c>
      <c r="L16" s="112">
        <v>28.96</v>
      </c>
      <c r="M16" s="112">
        <v>52.22</v>
      </c>
      <c r="N16" s="112">
        <v>0</v>
      </c>
      <c r="O16" s="112">
        <v>0</v>
      </c>
      <c r="P16" s="112">
        <v>0.51</v>
      </c>
      <c r="Q16" s="112">
        <v>4.8899999999999997</v>
      </c>
    </row>
    <row r="17" spans="1:17" customFormat="1">
      <c r="A17" s="80">
        <v>45432.09375</v>
      </c>
      <c r="B17" s="112">
        <v>11.21</v>
      </c>
      <c r="C17" s="112">
        <v>13.14</v>
      </c>
      <c r="D17" s="112">
        <v>25</v>
      </c>
      <c r="E17" s="112">
        <v>9.16</v>
      </c>
      <c r="F17" s="112">
        <v>16.260000000000002</v>
      </c>
      <c r="G17" s="112">
        <v>42.58</v>
      </c>
      <c r="H17" s="112">
        <v>13.88</v>
      </c>
      <c r="I17" s="112">
        <v>4.54</v>
      </c>
      <c r="J17" s="112">
        <v>0.27</v>
      </c>
      <c r="K17" s="112">
        <v>213.6</v>
      </c>
      <c r="L17" s="112">
        <v>28.71</v>
      </c>
      <c r="M17" s="112">
        <v>53.07</v>
      </c>
      <c r="N17" s="112">
        <v>0</v>
      </c>
      <c r="O17" s="112">
        <v>0</v>
      </c>
      <c r="P17" s="112">
        <v>0.49</v>
      </c>
      <c r="Q17" s="112">
        <v>4.88</v>
      </c>
    </row>
    <row r="18" spans="1:17" customFormat="1">
      <c r="A18" s="80">
        <v>45432.104166666664</v>
      </c>
      <c r="B18" s="112">
        <v>11.23</v>
      </c>
      <c r="C18" s="112">
        <v>13.11</v>
      </c>
      <c r="D18" s="112">
        <v>25</v>
      </c>
      <c r="E18" s="112">
        <v>10.41</v>
      </c>
      <c r="F18" s="112">
        <v>15.29</v>
      </c>
      <c r="G18" s="112">
        <v>41.24</v>
      </c>
      <c r="H18" s="112">
        <v>13.88</v>
      </c>
      <c r="I18" s="112">
        <v>4.3600000000000003</v>
      </c>
      <c r="J18" s="112">
        <v>0.2</v>
      </c>
      <c r="K18" s="112">
        <v>190.67</v>
      </c>
      <c r="L18" s="112">
        <v>28.32</v>
      </c>
      <c r="M18" s="112">
        <v>54.68</v>
      </c>
      <c r="N18" s="112">
        <v>0</v>
      </c>
      <c r="O18" s="112">
        <v>0</v>
      </c>
      <c r="P18" s="112">
        <v>0.47</v>
      </c>
      <c r="Q18" s="167" t="s">
        <v>14</v>
      </c>
    </row>
    <row r="19" spans="1:17" customFormat="1">
      <c r="A19" s="80">
        <v>45432.114583333336</v>
      </c>
      <c r="B19" s="112">
        <v>11.24</v>
      </c>
      <c r="C19" s="112">
        <v>13.14</v>
      </c>
      <c r="D19" s="112">
        <v>25.02</v>
      </c>
      <c r="E19" s="112">
        <v>9.4</v>
      </c>
      <c r="F19" s="112">
        <v>17.88</v>
      </c>
      <c r="G19" s="112">
        <v>41.24</v>
      </c>
      <c r="H19" s="112">
        <v>13.88</v>
      </c>
      <c r="I19" s="112">
        <v>4.26</v>
      </c>
      <c r="J19" s="112">
        <v>0.19</v>
      </c>
      <c r="K19" s="112">
        <v>209.25</v>
      </c>
      <c r="L19" s="112">
        <v>28.06</v>
      </c>
      <c r="M19" s="112">
        <v>54.97</v>
      </c>
      <c r="N19" s="112">
        <v>0</v>
      </c>
      <c r="O19" s="112">
        <v>0</v>
      </c>
      <c r="P19" s="112">
        <v>0.47</v>
      </c>
      <c r="Q19" s="112">
        <v>4.8899999999999997</v>
      </c>
    </row>
    <row r="20" spans="1:17" customFormat="1">
      <c r="A20" s="80">
        <v>45432.125</v>
      </c>
      <c r="B20" s="112">
        <v>11.24</v>
      </c>
      <c r="C20" s="112">
        <v>13.12</v>
      </c>
      <c r="D20" s="112">
        <v>25.01</v>
      </c>
      <c r="E20" s="112">
        <v>9.1199999999999992</v>
      </c>
      <c r="F20" s="112">
        <v>22.9</v>
      </c>
      <c r="G20" s="112">
        <v>41.24</v>
      </c>
      <c r="H20" s="112">
        <v>13.88</v>
      </c>
      <c r="I20" s="112">
        <v>4.2</v>
      </c>
      <c r="J20" s="112">
        <v>0.2</v>
      </c>
      <c r="K20" s="112">
        <v>217.98</v>
      </c>
      <c r="L20" s="112">
        <v>27.97</v>
      </c>
      <c r="M20" s="112">
        <v>54.15</v>
      </c>
      <c r="N20" s="112">
        <v>0</v>
      </c>
      <c r="O20" s="112">
        <v>0</v>
      </c>
      <c r="P20" s="112">
        <v>0.44</v>
      </c>
      <c r="Q20" s="167" t="s">
        <v>14</v>
      </c>
    </row>
    <row r="21" spans="1:17" customFormat="1">
      <c r="A21" s="80">
        <v>45432.135416666664</v>
      </c>
      <c r="B21" s="112">
        <v>11.26</v>
      </c>
      <c r="C21" s="112">
        <v>13.11</v>
      </c>
      <c r="D21" s="112">
        <v>25.02</v>
      </c>
      <c r="E21" s="112">
        <v>8.16</v>
      </c>
      <c r="F21" s="112">
        <v>25.66</v>
      </c>
      <c r="G21" s="112">
        <v>38.03</v>
      </c>
      <c r="H21" s="112">
        <v>11.11</v>
      </c>
      <c r="I21" s="112">
        <v>4.09</v>
      </c>
      <c r="J21" s="112">
        <v>0.16</v>
      </c>
      <c r="K21" s="112">
        <v>243.11</v>
      </c>
      <c r="L21" s="112">
        <v>28.1</v>
      </c>
      <c r="M21" s="112">
        <v>53.64</v>
      </c>
      <c r="N21" s="112">
        <v>0</v>
      </c>
      <c r="O21" s="112">
        <v>0</v>
      </c>
      <c r="P21" s="112">
        <v>0.42</v>
      </c>
      <c r="Q21" s="167" t="s">
        <v>14</v>
      </c>
    </row>
    <row r="22" spans="1:17" customFormat="1">
      <c r="A22" s="80">
        <v>45432.145833333336</v>
      </c>
      <c r="B22" s="112">
        <v>11.26</v>
      </c>
      <c r="C22" s="112">
        <v>13.11</v>
      </c>
      <c r="D22" s="112">
        <v>25.02</v>
      </c>
      <c r="E22" s="112">
        <v>8.85</v>
      </c>
      <c r="F22" s="112">
        <v>22.46</v>
      </c>
      <c r="G22" s="112">
        <v>37.29</v>
      </c>
      <c r="H22" s="112">
        <v>11.11</v>
      </c>
      <c r="I22" s="112">
        <v>3.81</v>
      </c>
      <c r="J22" s="112">
        <v>0.19</v>
      </c>
      <c r="K22" s="112">
        <v>200.86</v>
      </c>
      <c r="L22" s="112">
        <v>28.02</v>
      </c>
      <c r="M22" s="112">
        <v>54.43</v>
      </c>
      <c r="N22" s="112">
        <v>0</v>
      </c>
      <c r="O22" s="112">
        <v>0</v>
      </c>
      <c r="P22" s="112">
        <v>0.41</v>
      </c>
      <c r="Q22" s="167" t="s">
        <v>14</v>
      </c>
    </row>
    <row r="23" spans="1:17" customFormat="1">
      <c r="A23" s="80">
        <v>45432.15625</v>
      </c>
      <c r="B23" s="112">
        <v>11.29</v>
      </c>
      <c r="C23" s="112">
        <v>13.1</v>
      </c>
      <c r="D23" s="112">
        <v>25.04</v>
      </c>
      <c r="E23" s="112">
        <v>8.67</v>
      </c>
      <c r="F23" s="112">
        <v>18.62</v>
      </c>
      <c r="G23" s="112">
        <v>37.29</v>
      </c>
      <c r="H23" s="112">
        <v>11.11</v>
      </c>
      <c r="I23" s="112">
        <v>3.73</v>
      </c>
      <c r="J23" s="112">
        <v>0.12</v>
      </c>
      <c r="K23" s="112">
        <v>145.07</v>
      </c>
      <c r="L23" s="112">
        <v>28.15</v>
      </c>
      <c r="M23" s="112">
        <v>54.07</v>
      </c>
      <c r="N23" s="112">
        <v>0</v>
      </c>
      <c r="O23" s="112">
        <v>0</v>
      </c>
      <c r="P23" s="112">
        <v>0.41</v>
      </c>
      <c r="Q23" s="167" t="s">
        <v>14</v>
      </c>
    </row>
    <row r="24" spans="1:17" customFormat="1">
      <c r="A24" s="80">
        <v>45432.166666666664</v>
      </c>
      <c r="B24" s="112">
        <v>11.29</v>
      </c>
      <c r="C24" s="112">
        <v>13.1</v>
      </c>
      <c r="D24" s="112">
        <v>25.04</v>
      </c>
      <c r="E24" s="112">
        <v>9.48</v>
      </c>
      <c r="F24" s="112">
        <v>24.58</v>
      </c>
      <c r="G24" s="112">
        <v>37.29</v>
      </c>
      <c r="H24" s="112">
        <v>11.11</v>
      </c>
      <c r="I24" s="112">
        <v>3.84</v>
      </c>
      <c r="J24" s="112">
        <v>0.15</v>
      </c>
      <c r="K24" s="112">
        <v>224.01</v>
      </c>
      <c r="L24" s="112">
        <v>27.87</v>
      </c>
      <c r="M24" s="112">
        <v>54.97</v>
      </c>
      <c r="N24" s="112">
        <v>0</v>
      </c>
      <c r="O24" s="112">
        <v>0</v>
      </c>
      <c r="P24" s="112">
        <v>0.39</v>
      </c>
      <c r="Q24" s="112">
        <v>4.8899999999999997</v>
      </c>
    </row>
    <row r="25" spans="1:17" customFormat="1">
      <c r="A25" s="80">
        <v>45432.177083333336</v>
      </c>
      <c r="B25" s="112">
        <v>11.27</v>
      </c>
      <c r="C25" s="112">
        <v>13.14</v>
      </c>
      <c r="D25" s="112">
        <v>25.04</v>
      </c>
      <c r="E25" s="112">
        <v>9.02</v>
      </c>
      <c r="F25" s="112">
        <v>15.36</v>
      </c>
      <c r="G25" s="112">
        <v>34.380000000000003</v>
      </c>
      <c r="H25" s="112">
        <v>10.95</v>
      </c>
      <c r="I25" s="112">
        <v>3.92</v>
      </c>
      <c r="J25" s="112">
        <v>0.33</v>
      </c>
      <c r="K25" s="112">
        <v>231.27</v>
      </c>
      <c r="L25" s="112">
        <v>27.67</v>
      </c>
      <c r="M25" s="112">
        <v>56.07</v>
      </c>
      <c r="N25" s="112">
        <v>0</v>
      </c>
      <c r="O25" s="112">
        <v>0</v>
      </c>
      <c r="P25" s="112">
        <v>0.42</v>
      </c>
      <c r="Q25" s="112">
        <v>4.88</v>
      </c>
    </row>
    <row r="26" spans="1:17" customFormat="1">
      <c r="A26" s="80">
        <v>45432.1875</v>
      </c>
      <c r="B26" s="112">
        <v>11.24</v>
      </c>
      <c r="C26" s="112">
        <v>13.1</v>
      </c>
      <c r="D26" s="112">
        <v>25</v>
      </c>
      <c r="E26" s="112">
        <v>9.25</v>
      </c>
      <c r="F26" s="112">
        <v>13.48</v>
      </c>
      <c r="G26" s="112">
        <v>33.700000000000003</v>
      </c>
      <c r="H26" s="112">
        <v>10.95</v>
      </c>
      <c r="I26" s="112">
        <v>3.63</v>
      </c>
      <c r="J26" s="112">
        <v>0.24</v>
      </c>
      <c r="K26" s="112">
        <v>235.48</v>
      </c>
      <c r="L26" s="112">
        <v>27.57</v>
      </c>
      <c r="M26" s="112">
        <v>56.47</v>
      </c>
      <c r="N26" s="112">
        <v>0</v>
      </c>
      <c r="O26" s="112">
        <v>0</v>
      </c>
      <c r="P26" s="112">
        <v>0.43</v>
      </c>
      <c r="Q26" s="167" t="s">
        <v>14</v>
      </c>
    </row>
    <row r="27" spans="1:17" customFormat="1">
      <c r="A27" s="80">
        <v>45432.197916666664</v>
      </c>
      <c r="B27" s="112">
        <v>11.24</v>
      </c>
      <c r="C27" s="112">
        <v>13.09</v>
      </c>
      <c r="D27" s="112">
        <v>25</v>
      </c>
      <c r="E27" s="112">
        <v>8.7799999999999994</v>
      </c>
      <c r="F27" s="112">
        <v>18.399999999999999</v>
      </c>
      <c r="G27" s="112">
        <v>33.700000000000003</v>
      </c>
      <c r="H27" s="112">
        <v>10.95</v>
      </c>
      <c r="I27" s="112">
        <v>3.93</v>
      </c>
      <c r="J27" s="112">
        <v>0.2</v>
      </c>
      <c r="K27" s="112">
        <v>223.68</v>
      </c>
      <c r="L27" s="112">
        <v>27.39</v>
      </c>
      <c r="M27" s="112">
        <v>57.14</v>
      </c>
      <c r="N27" s="112">
        <v>0</v>
      </c>
      <c r="O27" s="112">
        <v>0</v>
      </c>
      <c r="P27" s="112">
        <v>0.41</v>
      </c>
      <c r="Q27" s="167" t="s">
        <v>14</v>
      </c>
    </row>
    <row r="28" spans="1:17" customFormat="1">
      <c r="A28" s="80">
        <v>45432.208333333336</v>
      </c>
      <c r="B28" s="112">
        <v>11.25</v>
      </c>
      <c r="C28" s="112">
        <v>13.06</v>
      </c>
      <c r="D28" s="112">
        <v>24.99</v>
      </c>
      <c r="E28" s="112">
        <v>8.83</v>
      </c>
      <c r="F28" s="112">
        <v>17.13</v>
      </c>
      <c r="G28" s="112">
        <v>33.700000000000003</v>
      </c>
      <c r="H28" s="112">
        <v>10.95</v>
      </c>
      <c r="I28" s="112">
        <v>4.0999999999999996</v>
      </c>
      <c r="J28" s="112">
        <v>0.14000000000000001</v>
      </c>
      <c r="K28" s="112">
        <v>232.89</v>
      </c>
      <c r="L28" s="112">
        <v>27.53</v>
      </c>
      <c r="M28" s="112">
        <v>57.19</v>
      </c>
      <c r="N28" s="112">
        <v>0</v>
      </c>
      <c r="O28" s="112">
        <v>0</v>
      </c>
      <c r="P28" s="112">
        <v>0.41</v>
      </c>
      <c r="Q28" s="167" t="s">
        <v>14</v>
      </c>
    </row>
    <row r="29" spans="1:17" customFormat="1">
      <c r="A29" s="80">
        <v>45432.21875</v>
      </c>
      <c r="B29" s="112">
        <v>11.25</v>
      </c>
      <c r="C29" s="112">
        <v>13.08</v>
      </c>
      <c r="D29" s="112">
        <v>25</v>
      </c>
      <c r="E29" s="112">
        <v>9.2100000000000009</v>
      </c>
      <c r="F29" s="112">
        <v>13.43</v>
      </c>
      <c r="G29" s="112">
        <v>31.51</v>
      </c>
      <c r="H29" s="112">
        <v>10.63</v>
      </c>
      <c r="I29" s="112">
        <v>4.01</v>
      </c>
      <c r="J29" s="112">
        <v>0.36</v>
      </c>
      <c r="K29" s="112">
        <v>245.9</v>
      </c>
      <c r="L29" s="112">
        <v>27.73</v>
      </c>
      <c r="M29" s="112">
        <v>57.22</v>
      </c>
      <c r="N29" s="112">
        <v>0</v>
      </c>
      <c r="O29" s="112">
        <v>0</v>
      </c>
      <c r="P29" s="112">
        <v>0.42</v>
      </c>
      <c r="Q29" s="167" t="s">
        <v>14</v>
      </c>
    </row>
    <row r="30" spans="1:17" customFormat="1">
      <c r="A30" s="80">
        <v>45432.229166666664</v>
      </c>
      <c r="B30" s="112">
        <v>11.25</v>
      </c>
      <c r="C30" s="112">
        <v>13.09</v>
      </c>
      <c r="D30" s="112">
        <v>25</v>
      </c>
      <c r="E30" s="112">
        <v>9.93</v>
      </c>
      <c r="F30" s="112">
        <v>11.11</v>
      </c>
      <c r="G30" s="112">
        <v>31</v>
      </c>
      <c r="H30" s="112">
        <v>10.63</v>
      </c>
      <c r="I30" s="112">
        <v>4.09</v>
      </c>
      <c r="J30" s="112">
        <v>0.31</v>
      </c>
      <c r="K30" s="112">
        <v>251.85</v>
      </c>
      <c r="L30" s="112">
        <v>27.79</v>
      </c>
      <c r="M30" s="112">
        <v>58.07</v>
      </c>
      <c r="N30" s="112">
        <v>0.3</v>
      </c>
      <c r="O30" s="112">
        <v>0</v>
      </c>
      <c r="P30" s="112">
        <v>0.43</v>
      </c>
      <c r="Q30" s="167" t="s">
        <v>14</v>
      </c>
    </row>
    <row r="31" spans="1:17" customFormat="1">
      <c r="A31" s="80">
        <v>45432.239583333336</v>
      </c>
      <c r="B31" s="112">
        <v>11.25</v>
      </c>
      <c r="C31" s="112">
        <v>13.08</v>
      </c>
      <c r="D31" s="112">
        <v>25</v>
      </c>
      <c r="E31" s="112">
        <v>11.16</v>
      </c>
      <c r="F31" s="112">
        <v>12.37</v>
      </c>
      <c r="G31" s="112">
        <v>31</v>
      </c>
      <c r="H31" s="112">
        <v>10.63</v>
      </c>
      <c r="I31" s="112">
        <v>4.18</v>
      </c>
      <c r="J31" s="112">
        <v>0.28999999999999998</v>
      </c>
      <c r="K31" s="112">
        <v>253.42</v>
      </c>
      <c r="L31" s="112">
        <v>27.8</v>
      </c>
      <c r="M31" s="112">
        <v>58.8</v>
      </c>
      <c r="N31" s="112">
        <v>7.1</v>
      </c>
      <c r="O31" s="112">
        <v>0</v>
      </c>
      <c r="P31" s="112">
        <v>0.43</v>
      </c>
      <c r="Q31" s="112">
        <v>4.88</v>
      </c>
    </row>
    <row r="32" spans="1:17" customFormat="1">
      <c r="A32" s="80">
        <v>45432.25</v>
      </c>
      <c r="B32" s="112">
        <v>11.26</v>
      </c>
      <c r="C32" s="112">
        <v>13.08</v>
      </c>
      <c r="D32" s="112">
        <v>25.01</v>
      </c>
      <c r="E32" s="112">
        <v>11.58</v>
      </c>
      <c r="F32" s="112">
        <v>11.98</v>
      </c>
      <c r="G32" s="112">
        <v>31</v>
      </c>
      <c r="H32" s="112">
        <v>10.63</v>
      </c>
      <c r="I32" s="112">
        <v>4.38</v>
      </c>
      <c r="J32" s="112">
        <v>0.34</v>
      </c>
      <c r="K32" s="112">
        <v>261.29000000000002</v>
      </c>
      <c r="L32" s="112">
        <v>27.82</v>
      </c>
      <c r="M32" s="112">
        <v>58.64</v>
      </c>
      <c r="N32" s="112">
        <v>21.1</v>
      </c>
      <c r="O32" s="112">
        <v>0</v>
      </c>
      <c r="P32" s="112">
        <v>0.42</v>
      </c>
      <c r="Q32" s="167" t="s">
        <v>14</v>
      </c>
    </row>
    <row r="33" spans="1:17" customFormat="1">
      <c r="A33" s="80">
        <v>45432.260416666664</v>
      </c>
      <c r="B33" s="112">
        <v>11.27</v>
      </c>
      <c r="C33" s="112">
        <v>13.07</v>
      </c>
      <c r="D33" s="112">
        <v>25.01</v>
      </c>
      <c r="E33" s="112">
        <v>11.5</v>
      </c>
      <c r="F33" s="112">
        <v>9.75</v>
      </c>
      <c r="G33" s="112">
        <v>30.34</v>
      </c>
      <c r="H33" s="112">
        <v>9.5399999999999991</v>
      </c>
      <c r="I33" s="112">
        <v>4.55</v>
      </c>
      <c r="J33" s="112">
        <v>0.42</v>
      </c>
      <c r="K33" s="112">
        <v>265.7</v>
      </c>
      <c r="L33" s="112">
        <v>27.96</v>
      </c>
      <c r="M33" s="112">
        <v>57.47</v>
      </c>
      <c r="N33" s="112">
        <v>34.1</v>
      </c>
      <c r="O33" s="112">
        <v>0</v>
      </c>
      <c r="P33" s="112">
        <v>0.45</v>
      </c>
      <c r="Q33" s="167" t="s">
        <v>14</v>
      </c>
    </row>
    <row r="34" spans="1:17" customFormat="1">
      <c r="A34" s="80">
        <v>45432.270833333336</v>
      </c>
      <c r="B34" s="112">
        <v>11.26</v>
      </c>
      <c r="C34" s="112">
        <v>13.12</v>
      </c>
      <c r="D34" s="112">
        <v>25.03</v>
      </c>
      <c r="E34" s="112">
        <v>10.14</v>
      </c>
      <c r="F34" s="112">
        <v>6.72</v>
      </c>
      <c r="G34" s="112">
        <v>30.19</v>
      </c>
      <c r="H34" s="112">
        <v>9.5399999999999991</v>
      </c>
      <c r="I34" s="112">
        <v>4.66</v>
      </c>
      <c r="J34" s="112">
        <v>0.45</v>
      </c>
      <c r="K34" s="112">
        <v>283.83999999999997</v>
      </c>
      <c r="L34" s="112">
        <v>28.37</v>
      </c>
      <c r="M34" s="112">
        <v>55.58</v>
      </c>
      <c r="N34" s="112">
        <v>46.1</v>
      </c>
      <c r="O34" s="112">
        <v>0</v>
      </c>
      <c r="P34" s="112">
        <v>0.47</v>
      </c>
      <c r="Q34" s="167" t="s">
        <v>14</v>
      </c>
    </row>
    <row r="35" spans="1:17" customFormat="1">
      <c r="A35" s="80">
        <v>45432.28125</v>
      </c>
      <c r="B35" s="112">
        <v>11.26</v>
      </c>
      <c r="C35" s="112">
        <v>13.17</v>
      </c>
      <c r="D35" s="112">
        <v>25.05</v>
      </c>
      <c r="E35" s="112">
        <v>9.86</v>
      </c>
      <c r="F35" s="112">
        <v>8.27</v>
      </c>
      <c r="G35" s="112">
        <v>30.19</v>
      </c>
      <c r="H35" s="112">
        <v>9.5399999999999991</v>
      </c>
      <c r="I35" s="112">
        <v>4.75</v>
      </c>
      <c r="J35" s="112">
        <v>0.76</v>
      </c>
      <c r="K35" s="112">
        <v>301.02999999999997</v>
      </c>
      <c r="L35" s="112">
        <v>28.75</v>
      </c>
      <c r="M35" s="112">
        <v>53.1</v>
      </c>
      <c r="N35" s="112">
        <v>56.7</v>
      </c>
      <c r="O35" s="112">
        <v>0</v>
      </c>
      <c r="P35" s="112">
        <v>0.47</v>
      </c>
      <c r="Q35" s="167" t="s">
        <v>14</v>
      </c>
    </row>
    <row r="36" spans="1:17" customFormat="1">
      <c r="A36" s="80">
        <v>45432.291666666664</v>
      </c>
      <c r="B36" s="112">
        <v>11.25</v>
      </c>
      <c r="C36" s="112">
        <v>13.12</v>
      </c>
      <c r="D36" s="112">
        <v>25.02</v>
      </c>
      <c r="E36" s="112">
        <v>9.8699999999999992</v>
      </c>
      <c r="F36" s="112">
        <v>10.88</v>
      </c>
      <c r="G36" s="112">
        <v>30.19</v>
      </c>
      <c r="H36" s="112">
        <v>9.5399999999999991</v>
      </c>
      <c r="I36" s="112">
        <v>4.76</v>
      </c>
      <c r="J36" s="112">
        <v>0.44</v>
      </c>
      <c r="K36" s="112">
        <v>352.74</v>
      </c>
      <c r="L36" s="112">
        <v>29.34</v>
      </c>
      <c r="M36" s="112">
        <v>50.65</v>
      </c>
      <c r="N36" s="112">
        <v>66.099999999999994</v>
      </c>
      <c r="O36" s="112">
        <v>0</v>
      </c>
      <c r="P36" s="112">
        <v>0.48</v>
      </c>
      <c r="Q36" s="167" t="s">
        <v>14</v>
      </c>
    </row>
    <row r="37" spans="1:17" customFormat="1">
      <c r="A37" s="80">
        <v>45432.302083333336</v>
      </c>
      <c r="B37" s="112">
        <v>11.25</v>
      </c>
      <c r="C37" s="112">
        <v>13.1</v>
      </c>
      <c r="D37" s="112">
        <v>25.01</v>
      </c>
      <c r="E37" s="112">
        <v>10.17</v>
      </c>
      <c r="F37" s="112">
        <v>8.6999999999999993</v>
      </c>
      <c r="G37" s="112">
        <v>32.549999999999997</v>
      </c>
      <c r="H37" s="112">
        <v>9.56</v>
      </c>
      <c r="I37" s="112">
        <v>4.74</v>
      </c>
      <c r="J37" s="112">
        <v>0.92</v>
      </c>
      <c r="K37" s="112">
        <v>39.18</v>
      </c>
      <c r="L37" s="112">
        <v>29.9</v>
      </c>
      <c r="M37" s="112">
        <v>49.54</v>
      </c>
      <c r="N37" s="112">
        <v>74.5</v>
      </c>
      <c r="O37" s="112">
        <v>0</v>
      </c>
      <c r="P37" s="112">
        <v>0.49</v>
      </c>
      <c r="Q37" s="167" t="s">
        <v>14</v>
      </c>
    </row>
    <row r="38" spans="1:17" customFormat="1">
      <c r="A38" s="80">
        <v>45432.3125</v>
      </c>
      <c r="B38" s="112">
        <v>11.24</v>
      </c>
      <c r="C38" s="112">
        <v>13.09</v>
      </c>
      <c r="D38" s="112">
        <v>25</v>
      </c>
      <c r="E38" s="112">
        <v>9.98</v>
      </c>
      <c r="F38" s="112">
        <v>9.6999999999999993</v>
      </c>
      <c r="G38" s="112">
        <v>33.1</v>
      </c>
      <c r="H38" s="112">
        <v>9.56</v>
      </c>
      <c r="I38" s="112">
        <v>4.75</v>
      </c>
      <c r="J38" s="112">
        <v>0.65</v>
      </c>
      <c r="K38" s="112">
        <v>281.5</v>
      </c>
      <c r="L38" s="112">
        <v>30.62</v>
      </c>
      <c r="M38" s="112">
        <v>50.47</v>
      </c>
      <c r="N38" s="112">
        <v>79.3</v>
      </c>
      <c r="O38" s="112">
        <v>0</v>
      </c>
      <c r="P38" s="112">
        <v>0.49</v>
      </c>
      <c r="Q38" s="167" t="s">
        <v>14</v>
      </c>
    </row>
    <row r="39" spans="1:17" customFormat="1">
      <c r="A39" s="80">
        <v>45432.322916666664</v>
      </c>
      <c r="B39" s="112">
        <v>11.23</v>
      </c>
      <c r="C39" s="112">
        <v>13.11</v>
      </c>
      <c r="D39" s="112">
        <v>25</v>
      </c>
      <c r="E39" s="112">
        <v>9.48</v>
      </c>
      <c r="F39" s="112">
        <v>8.02</v>
      </c>
      <c r="G39" s="112">
        <v>33.1</v>
      </c>
      <c r="H39" s="112">
        <v>9.56</v>
      </c>
      <c r="I39" s="112">
        <v>4.83</v>
      </c>
      <c r="J39" s="112">
        <v>0.84</v>
      </c>
      <c r="K39" s="112">
        <v>272.68</v>
      </c>
      <c r="L39" s="112">
        <v>31.25</v>
      </c>
      <c r="M39" s="112">
        <v>51.45</v>
      </c>
      <c r="N39" s="112">
        <v>84.9</v>
      </c>
      <c r="O39" s="112">
        <v>0</v>
      </c>
      <c r="P39" s="112">
        <v>0.49</v>
      </c>
      <c r="Q39" s="112">
        <v>4.8899999999999997</v>
      </c>
    </row>
    <row r="40" spans="1:17" customFormat="1">
      <c r="A40" s="80">
        <v>45432.333333333336</v>
      </c>
      <c r="B40" s="112">
        <v>11.22</v>
      </c>
      <c r="C40" s="112">
        <v>13.13</v>
      </c>
      <c r="D40" s="112">
        <v>25</v>
      </c>
      <c r="E40" s="112">
        <v>10.56</v>
      </c>
      <c r="F40" s="112">
        <v>8.69</v>
      </c>
      <c r="G40" s="112">
        <v>33.1</v>
      </c>
      <c r="H40" s="112">
        <v>9.56</v>
      </c>
      <c r="I40" s="112">
        <v>4.84</v>
      </c>
      <c r="J40" s="112">
        <v>0.79</v>
      </c>
      <c r="K40" s="112">
        <v>278.49</v>
      </c>
      <c r="L40" s="112">
        <v>31.93</v>
      </c>
      <c r="M40" s="112">
        <v>50.23</v>
      </c>
      <c r="N40" s="112">
        <v>91.6</v>
      </c>
      <c r="O40" s="112">
        <v>0</v>
      </c>
      <c r="P40" s="112">
        <v>0.49</v>
      </c>
      <c r="Q40" s="167" t="s">
        <v>14</v>
      </c>
    </row>
    <row r="41" spans="1:17" customFormat="1">
      <c r="A41" s="80">
        <v>45432.34375</v>
      </c>
      <c r="B41" s="112">
        <v>11.22</v>
      </c>
      <c r="C41" s="112">
        <v>13.13</v>
      </c>
      <c r="D41" s="112">
        <v>25</v>
      </c>
      <c r="E41" s="112">
        <v>11.06</v>
      </c>
      <c r="F41" s="112">
        <v>7.96</v>
      </c>
      <c r="G41" s="112">
        <v>33.82</v>
      </c>
      <c r="H41" s="112">
        <v>13.03</v>
      </c>
      <c r="I41" s="112">
        <v>4.78</v>
      </c>
      <c r="J41" s="112">
        <v>1.2</v>
      </c>
      <c r="K41" s="112">
        <v>289.60000000000002</v>
      </c>
      <c r="L41" s="112">
        <v>32.01</v>
      </c>
      <c r="M41" s="112">
        <v>50.95</v>
      </c>
      <c r="N41" s="112">
        <v>98.8</v>
      </c>
      <c r="O41" s="112">
        <v>0</v>
      </c>
      <c r="P41" s="112">
        <v>0.5</v>
      </c>
      <c r="Q41" s="112">
        <v>4.91</v>
      </c>
    </row>
    <row r="42" spans="1:17" customFormat="1">
      <c r="A42" s="80">
        <v>45432.354166666664</v>
      </c>
      <c r="B42" s="112">
        <v>11.22</v>
      </c>
      <c r="C42" s="112">
        <v>13.11</v>
      </c>
      <c r="D42" s="112">
        <v>24.99</v>
      </c>
      <c r="E42" s="112">
        <v>11.38</v>
      </c>
      <c r="F42" s="112">
        <v>8.5299999999999994</v>
      </c>
      <c r="G42" s="112">
        <v>33.99</v>
      </c>
      <c r="H42" s="112">
        <v>13.03</v>
      </c>
      <c r="I42" s="112">
        <v>4.79</v>
      </c>
      <c r="J42" s="112">
        <v>1.34</v>
      </c>
      <c r="K42" s="112">
        <v>269.88</v>
      </c>
      <c r="L42" s="112">
        <v>32.799999999999997</v>
      </c>
      <c r="M42" s="112">
        <v>51.35</v>
      </c>
      <c r="N42" s="112">
        <v>104.9</v>
      </c>
      <c r="O42" s="112">
        <v>0</v>
      </c>
      <c r="P42" s="112">
        <v>0.5</v>
      </c>
      <c r="Q42" s="112">
        <v>4.9000000000000004</v>
      </c>
    </row>
    <row r="43" spans="1:17" customFormat="1">
      <c r="A43" s="80">
        <v>45432.364583333336</v>
      </c>
      <c r="B43" s="112">
        <v>11.21</v>
      </c>
      <c r="C43" s="112">
        <v>13.09</v>
      </c>
      <c r="D43" s="112">
        <v>24.98</v>
      </c>
      <c r="E43" s="112">
        <v>14.34</v>
      </c>
      <c r="F43" s="112">
        <v>9.2200000000000006</v>
      </c>
      <c r="G43" s="112">
        <v>33.99</v>
      </c>
      <c r="H43" s="112">
        <v>13.03</v>
      </c>
      <c r="I43" s="112">
        <v>4.87</v>
      </c>
      <c r="J43" s="112">
        <v>1.7</v>
      </c>
      <c r="K43" s="112">
        <v>313.60000000000002</v>
      </c>
      <c r="L43" s="112">
        <v>32.86</v>
      </c>
      <c r="M43" s="112">
        <v>50.61</v>
      </c>
      <c r="N43" s="112">
        <v>118.4</v>
      </c>
      <c r="O43" s="112">
        <v>0</v>
      </c>
      <c r="P43" s="112">
        <v>0.54</v>
      </c>
      <c r="Q43" s="112">
        <v>4.8899999999999997</v>
      </c>
    </row>
    <row r="44" spans="1:17" customFormat="1">
      <c r="A44" s="80">
        <v>45432.375</v>
      </c>
      <c r="B44" s="112">
        <v>11.21</v>
      </c>
      <c r="C44" s="112">
        <v>13.13</v>
      </c>
      <c r="D44" s="112">
        <v>25</v>
      </c>
      <c r="E44" s="112">
        <v>11.66</v>
      </c>
      <c r="F44" s="112">
        <v>9.0299999999999994</v>
      </c>
      <c r="G44" s="112">
        <v>33.99</v>
      </c>
      <c r="H44" s="112">
        <v>13.03</v>
      </c>
      <c r="I44" s="112">
        <v>5.15</v>
      </c>
      <c r="J44" s="112">
        <v>1.75</v>
      </c>
      <c r="K44" s="112">
        <v>298.88</v>
      </c>
      <c r="L44" s="112">
        <v>33.17</v>
      </c>
      <c r="M44" s="112">
        <v>50.48</v>
      </c>
      <c r="N44" s="112">
        <v>120.7</v>
      </c>
      <c r="O44" s="112">
        <v>0</v>
      </c>
      <c r="P44" s="112">
        <v>0.56999999999999995</v>
      </c>
      <c r="Q44" s="112">
        <v>4.91</v>
      </c>
    </row>
    <row r="45" spans="1:17" customFormat="1">
      <c r="A45" s="80">
        <v>45432.385416666664</v>
      </c>
      <c r="B45" s="112">
        <v>11.21</v>
      </c>
      <c r="C45" s="112">
        <v>13.11</v>
      </c>
      <c r="D45" s="112">
        <v>24.99</v>
      </c>
      <c r="E45" s="112">
        <v>11.42</v>
      </c>
      <c r="F45" s="112">
        <v>8.5299999999999994</v>
      </c>
      <c r="G45" s="112">
        <v>42.27</v>
      </c>
      <c r="H45" s="112">
        <v>13.88</v>
      </c>
      <c r="I45" s="112">
        <v>5.96</v>
      </c>
      <c r="J45" s="112">
        <v>1.63</v>
      </c>
      <c r="K45" s="112">
        <v>284.95</v>
      </c>
      <c r="L45" s="112">
        <v>33.54</v>
      </c>
      <c r="M45" s="112">
        <v>48.61</v>
      </c>
      <c r="N45" s="112">
        <v>125.6</v>
      </c>
      <c r="O45" s="112">
        <v>0</v>
      </c>
      <c r="P45" s="112">
        <v>0.56000000000000005</v>
      </c>
      <c r="Q45" s="167" t="s">
        <v>14</v>
      </c>
    </row>
    <row r="46" spans="1:17" customFormat="1">
      <c r="A46" s="80">
        <v>45432.395833333336</v>
      </c>
      <c r="B46" s="112">
        <v>11.23</v>
      </c>
      <c r="C46" s="112">
        <v>13.15</v>
      </c>
      <c r="D46" s="112">
        <v>25.02</v>
      </c>
      <c r="E46" s="112">
        <v>9.74</v>
      </c>
      <c r="F46" s="112">
        <v>8.25</v>
      </c>
      <c r="G46" s="112">
        <v>44.2</v>
      </c>
      <c r="H46" s="112">
        <v>13.88</v>
      </c>
      <c r="I46" s="112">
        <v>6.21</v>
      </c>
      <c r="J46" s="112">
        <v>1.57</v>
      </c>
      <c r="K46" s="112">
        <v>284.95</v>
      </c>
      <c r="L46" s="112">
        <v>34.03</v>
      </c>
      <c r="M46" s="112">
        <v>46.06</v>
      </c>
      <c r="N46" s="112">
        <v>129.69999999999999</v>
      </c>
      <c r="O46" s="112">
        <v>0</v>
      </c>
      <c r="P46" s="112">
        <v>0.56000000000000005</v>
      </c>
      <c r="Q46" s="112">
        <v>4.91</v>
      </c>
    </row>
    <row r="47" spans="1:17" customFormat="1">
      <c r="A47" s="80">
        <v>45432.40625</v>
      </c>
      <c r="B47" s="112">
        <v>11.23</v>
      </c>
      <c r="C47" s="112">
        <v>13.12</v>
      </c>
      <c r="D47" s="112">
        <v>25</v>
      </c>
      <c r="E47" s="112">
        <v>9.8699999999999992</v>
      </c>
      <c r="F47" s="112">
        <v>7.67</v>
      </c>
      <c r="G47" s="112">
        <v>44.2</v>
      </c>
      <c r="H47" s="112">
        <v>13.88</v>
      </c>
      <c r="I47" s="112">
        <v>6.36</v>
      </c>
      <c r="J47" s="112">
        <v>1.5</v>
      </c>
      <c r="K47" s="112">
        <v>288.62</v>
      </c>
      <c r="L47" s="112">
        <v>34.6</v>
      </c>
      <c r="M47" s="112">
        <v>43.58</v>
      </c>
      <c r="N47" s="112">
        <v>133.30000000000001</v>
      </c>
      <c r="O47" s="112">
        <v>0</v>
      </c>
      <c r="P47" s="112">
        <v>0.55000000000000004</v>
      </c>
      <c r="Q47" s="167" t="s">
        <v>14</v>
      </c>
    </row>
    <row r="48" spans="1:17" customFormat="1">
      <c r="A48" s="80">
        <v>45432.416666666664</v>
      </c>
      <c r="B48" s="112">
        <v>11.2</v>
      </c>
      <c r="C48" s="112">
        <v>13.12</v>
      </c>
      <c r="D48" s="112">
        <v>24.98</v>
      </c>
      <c r="E48" s="112">
        <v>9.77</v>
      </c>
      <c r="F48" s="112">
        <v>10.029999999999999</v>
      </c>
      <c r="G48" s="112">
        <v>44.2</v>
      </c>
      <c r="H48" s="112">
        <v>13.88</v>
      </c>
      <c r="I48" s="112">
        <v>6.29</v>
      </c>
      <c r="J48" s="112">
        <v>1.59</v>
      </c>
      <c r="K48" s="112">
        <v>285.45999999999998</v>
      </c>
      <c r="L48" s="112">
        <v>35.19</v>
      </c>
      <c r="M48" s="112">
        <v>41.61</v>
      </c>
      <c r="N48" s="112">
        <v>137.19999999999999</v>
      </c>
      <c r="O48" s="112">
        <v>0</v>
      </c>
      <c r="P48" s="112">
        <v>0.56000000000000005</v>
      </c>
      <c r="Q48" s="112">
        <v>4.9000000000000004</v>
      </c>
    </row>
    <row r="49" spans="1:17" customFormat="1">
      <c r="A49" s="80">
        <v>45432.427083333336</v>
      </c>
      <c r="B49" s="112">
        <v>11.18</v>
      </c>
      <c r="C49" s="112">
        <v>13.14</v>
      </c>
      <c r="D49" s="112">
        <v>24.97</v>
      </c>
      <c r="E49" s="112">
        <v>11.45</v>
      </c>
      <c r="F49" s="112">
        <v>10.74</v>
      </c>
      <c r="G49" s="112">
        <v>40.229999999999997</v>
      </c>
      <c r="H49" s="112">
        <v>11.79</v>
      </c>
      <c r="I49" s="112">
        <v>6.18</v>
      </c>
      <c r="J49" s="112">
        <v>1.9</v>
      </c>
      <c r="K49" s="112">
        <v>293.88</v>
      </c>
      <c r="L49" s="112">
        <v>35.54</v>
      </c>
      <c r="M49" s="112">
        <v>34.72</v>
      </c>
      <c r="N49" s="112">
        <v>136.6</v>
      </c>
      <c r="O49" s="112">
        <v>0</v>
      </c>
      <c r="P49" s="112">
        <v>0.56000000000000005</v>
      </c>
      <c r="Q49" s="167" t="s">
        <v>14</v>
      </c>
    </row>
    <row r="50" spans="1:17" customFormat="1">
      <c r="A50" s="80">
        <v>45432.4375</v>
      </c>
      <c r="B50" s="112">
        <v>11.19</v>
      </c>
      <c r="C50" s="112">
        <v>13.13</v>
      </c>
      <c r="D50" s="112">
        <v>24.97</v>
      </c>
      <c r="E50" s="112">
        <v>13.61</v>
      </c>
      <c r="F50" s="112">
        <v>13.14</v>
      </c>
      <c r="G50" s="112">
        <v>39.31</v>
      </c>
      <c r="H50" s="112">
        <v>11.79</v>
      </c>
      <c r="I50" s="112">
        <v>6.04</v>
      </c>
      <c r="J50" s="112">
        <v>1.68</v>
      </c>
      <c r="K50" s="112">
        <v>306.29000000000002</v>
      </c>
      <c r="L50" s="112">
        <v>36.270000000000003</v>
      </c>
      <c r="M50" s="112">
        <v>29.11</v>
      </c>
      <c r="N50" s="112">
        <v>142.69999999999999</v>
      </c>
      <c r="O50" s="112">
        <v>0</v>
      </c>
      <c r="P50" s="112">
        <v>0.54</v>
      </c>
      <c r="Q50" s="167" t="s">
        <v>14</v>
      </c>
    </row>
    <row r="51" spans="1:17" customFormat="1">
      <c r="A51" s="80">
        <v>45432.447916666664</v>
      </c>
      <c r="B51" s="112">
        <v>11.18</v>
      </c>
      <c r="C51" s="112">
        <v>13.16</v>
      </c>
      <c r="D51" s="112">
        <v>24.98</v>
      </c>
      <c r="E51" s="112">
        <v>13.59</v>
      </c>
      <c r="F51" s="112">
        <v>12.16</v>
      </c>
      <c r="G51" s="112">
        <v>39.31</v>
      </c>
      <c r="H51" s="112">
        <v>11.79</v>
      </c>
      <c r="I51" s="112">
        <v>5.86</v>
      </c>
      <c r="J51" s="112">
        <v>1.72</v>
      </c>
      <c r="K51" s="112">
        <v>306.76</v>
      </c>
      <c r="L51" s="112">
        <v>36.14</v>
      </c>
      <c r="M51" s="112">
        <v>30.94</v>
      </c>
      <c r="N51" s="112">
        <v>157</v>
      </c>
      <c r="O51" s="112">
        <v>0</v>
      </c>
      <c r="P51" s="112">
        <v>0.53</v>
      </c>
      <c r="Q51" s="112">
        <v>4.9000000000000004</v>
      </c>
    </row>
    <row r="52" spans="1:17" customFormat="1">
      <c r="A52" s="80">
        <v>45432.458333333336</v>
      </c>
      <c r="B52" s="112">
        <v>11.2</v>
      </c>
      <c r="C52" s="112">
        <v>13.11</v>
      </c>
      <c r="D52" s="112">
        <v>24.97</v>
      </c>
      <c r="E52" s="112">
        <v>14.13</v>
      </c>
      <c r="F52" s="112">
        <v>13.47</v>
      </c>
      <c r="G52" s="112">
        <v>39.31</v>
      </c>
      <c r="H52" s="112">
        <v>11.79</v>
      </c>
      <c r="I52" s="112">
        <v>5.67</v>
      </c>
      <c r="J52" s="112">
        <v>1.58</v>
      </c>
      <c r="K52" s="112">
        <v>297.67</v>
      </c>
      <c r="L52" s="112">
        <v>36.08</v>
      </c>
      <c r="M52" s="112">
        <v>34.31</v>
      </c>
      <c r="N52" s="112">
        <v>191.7</v>
      </c>
      <c r="O52" s="112">
        <v>0</v>
      </c>
      <c r="P52" s="112">
        <v>0.52</v>
      </c>
      <c r="Q52" s="112">
        <v>4.9000000000000004</v>
      </c>
    </row>
    <row r="53" spans="1:17" customFormat="1">
      <c r="A53" s="80">
        <v>45432.46875</v>
      </c>
      <c r="B53" s="112">
        <v>11.17</v>
      </c>
      <c r="C53" s="112">
        <v>13.1</v>
      </c>
      <c r="D53" s="112">
        <v>24.95</v>
      </c>
      <c r="E53" s="112">
        <v>14.38</v>
      </c>
      <c r="F53" s="112">
        <v>21.69</v>
      </c>
      <c r="G53" s="112">
        <v>38.130000000000003</v>
      </c>
      <c r="H53" s="112">
        <v>11.7</v>
      </c>
      <c r="I53" s="112">
        <v>5.52</v>
      </c>
      <c r="J53" s="112">
        <v>1.29</v>
      </c>
      <c r="K53" s="112">
        <v>309.83999999999997</v>
      </c>
      <c r="L53" s="112">
        <v>36.43</v>
      </c>
      <c r="M53" s="112">
        <v>35.24</v>
      </c>
      <c r="N53" s="112">
        <v>299.60000000000002</v>
      </c>
      <c r="O53" s="112">
        <v>0</v>
      </c>
      <c r="P53" s="112">
        <v>0.52</v>
      </c>
      <c r="Q53" s="167" t="s">
        <v>14</v>
      </c>
    </row>
    <row r="54" spans="1:17" customFormat="1">
      <c r="A54" s="80">
        <v>45432.479166666664</v>
      </c>
      <c r="B54" s="112">
        <v>11.14</v>
      </c>
      <c r="C54" s="112">
        <v>13.12</v>
      </c>
      <c r="D54" s="112">
        <v>24.93</v>
      </c>
      <c r="E54" s="112">
        <v>13.47</v>
      </c>
      <c r="F54" s="112">
        <v>19.53</v>
      </c>
      <c r="G54" s="112">
        <v>37.85</v>
      </c>
      <c r="H54" s="112">
        <v>11.7</v>
      </c>
      <c r="I54" s="112">
        <v>5.26</v>
      </c>
      <c r="J54" s="112">
        <v>1.34</v>
      </c>
      <c r="K54" s="112">
        <v>288.31</v>
      </c>
      <c r="L54" s="112">
        <v>37.07</v>
      </c>
      <c r="M54" s="112">
        <v>33.880000000000003</v>
      </c>
      <c r="N54" s="112">
        <v>373.2</v>
      </c>
      <c r="O54" s="112">
        <v>0</v>
      </c>
      <c r="P54" s="112">
        <v>0.52</v>
      </c>
      <c r="Q54" s="167" t="s">
        <v>14</v>
      </c>
    </row>
    <row r="55" spans="1:17" customFormat="1">
      <c r="A55" s="80">
        <v>45432.489583333336</v>
      </c>
      <c r="B55" s="112">
        <v>11.24</v>
      </c>
      <c r="C55" s="112">
        <v>13.12</v>
      </c>
      <c r="D55" s="112">
        <v>25.01</v>
      </c>
      <c r="E55" s="112">
        <v>11.83</v>
      </c>
      <c r="F55" s="112">
        <v>22.28</v>
      </c>
      <c r="G55" s="112">
        <v>37.85</v>
      </c>
      <c r="H55" s="112">
        <v>11.7</v>
      </c>
      <c r="I55" s="112">
        <v>4.99</v>
      </c>
      <c r="J55" s="112">
        <v>1.07</v>
      </c>
      <c r="K55" s="112">
        <v>288.68</v>
      </c>
      <c r="L55" s="112">
        <v>37.28</v>
      </c>
      <c r="M55" s="112">
        <v>33.54</v>
      </c>
      <c r="N55" s="112">
        <v>682.2</v>
      </c>
      <c r="O55" s="112">
        <v>0</v>
      </c>
      <c r="P55" s="112">
        <v>0.52</v>
      </c>
      <c r="Q55" s="112">
        <v>5.22</v>
      </c>
    </row>
    <row r="56" spans="1:17" customFormat="1">
      <c r="A56" s="80">
        <v>45432.5</v>
      </c>
      <c r="B56" s="112">
        <v>11.27</v>
      </c>
      <c r="C56" s="112">
        <v>13.16</v>
      </c>
      <c r="D56" s="112">
        <v>25.05</v>
      </c>
      <c r="E56" s="112">
        <v>11.76</v>
      </c>
      <c r="F56" s="112">
        <v>24.44</v>
      </c>
      <c r="G56" s="112">
        <v>37.85</v>
      </c>
      <c r="H56" s="112">
        <v>11.7</v>
      </c>
      <c r="I56" s="112">
        <v>4.9400000000000004</v>
      </c>
      <c r="J56" s="112">
        <v>1.39</v>
      </c>
      <c r="K56" s="112">
        <v>292.77</v>
      </c>
      <c r="L56" s="112">
        <v>37.61</v>
      </c>
      <c r="M56" s="112">
        <v>32.770000000000003</v>
      </c>
      <c r="N56" s="112">
        <v>766.6</v>
      </c>
      <c r="O56" s="112">
        <v>0</v>
      </c>
      <c r="P56" s="112">
        <v>0.51</v>
      </c>
      <c r="Q56" s="112">
        <v>5.27</v>
      </c>
    </row>
    <row r="57" spans="1:17" customFormat="1">
      <c r="A57" s="80">
        <v>45432.510416666664</v>
      </c>
      <c r="B57" s="112">
        <v>11.29</v>
      </c>
      <c r="C57" s="112">
        <v>13.12</v>
      </c>
      <c r="D57" s="112">
        <v>25.05</v>
      </c>
      <c r="E57" s="112">
        <v>10.73</v>
      </c>
      <c r="F57" s="112">
        <v>29.5</v>
      </c>
      <c r="G57" s="112">
        <v>33.35</v>
      </c>
      <c r="H57" s="112">
        <v>10.19</v>
      </c>
      <c r="I57" s="112">
        <v>4.8499999999999996</v>
      </c>
      <c r="J57" s="112">
        <v>1.07</v>
      </c>
      <c r="K57" s="112">
        <v>283.8</v>
      </c>
      <c r="L57" s="112">
        <v>38.200000000000003</v>
      </c>
      <c r="M57" s="112">
        <v>31.51</v>
      </c>
      <c r="N57" s="112">
        <v>838.9</v>
      </c>
      <c r="O57" s="112">
        <v>0</v>
      </c>
      <c r="P57" s="112">
        <v>0.5</v>
      </c>
      <c r="Q57" s="167" t="s">
        <v>14</v>
      </c>
    </row>
    <row r="58" spans="1:17" customFormat="1">
      <c r="A58" s="80">
        <v>45432.520833333336</v>
      </c>
      <c r="B58" s="112">
        <v>11.27</v>
      </c>
      <c r="C58" s="112">
        <v>13.08</v>
      </c>
      <c r="D58" s="112">
        <v>25.01</v>
      </c>
      <c r="E58" s="112">
        <v>11.09</v>
      </c>
      <c r="F58" s="112">
        <v>26.8</v>
      </c>
      <c r="G58" s="112">
        <v>32.299999999999997</v>
      </c>
      <c r="H58" s="112">
        <v>10.19</v>
      </c>
      <c r="I58" s="112">
        <v>4.7300000000000004</v>
      </c>
      <c r="J58" s="112">
        <v>1.04</v>
      </c>
      <c r="K58" s="112">
        <v>274.04000000000002</v>
      </c>
      <c r="L58" s="112">
        <v>38.71</v>
      </c>
      <c r="M58" s="112">
        <v>30.7</v>
      </c>
      <c r="N58" s="112">
        <v>838.1</v>
      </c>
      <c r="O58" s="112">
        <v>0</v>
      </c>
      <c r="P58" s="112">
        <v>0.49</v>
      </c>
      <c r="Q58" s="167" t="s">
        <v>14</v>
      </c>
    </row>
    <row r="59" spans="1:17" customFormat="1">
      <c r="A59" s="80">
        <v>45432.53125</v>
      </c>
      <c r="B59" s="112">
        <v>11.24</v>
      </c>
      <c r="C59" s="112">
        <v>13.1</v>
      </c>
      <c r="D59" s="112">
        <v>25</v>
      </c>
      <c r="E59" s="112">
        <v>11.74</v>
      </c>
      <c r="F59" s="112">
        <v>25.14</v>
      </c>
      <c r="G59" s="112">
        <v>32.299999999999997</v>
      </c>
      <c r="H59" s="112">
        <v>10.19</v>
      </c>
      <c r="I59" s="112">
        <v>4.6500000000000004</v>
      </c>
      <c r="J59" s="112">
        <v>1.34</v>
      </c>
      <c r="K59" s="112">
        <v>293.08</v>
      </c>
      <c r="L59" s="112">
        <v>38.630000000000003</v>
      </c>
      <c r="M59" s="112">
        <v>30.4</v>
      </c>
      <c r="N59" s="112">
        <v>827.4</v>
      </c>
      <c r="O59" s="112">
        <v>0</v>
      </c>
      <c r="P59" s="112">
        <v>0.49</v>
      </c>
      <c r="Q59" s="167" t="s">
        <v>14</v>
      </c>
    </row>
    <row r="60" spans="1:17" customFormat="1">
      <c r="A60" s="80">
        <v>45432.541666666664</v>
      </c>
      <c r="B60" s="112">
        <v>11.22</v>
      </c>
      <c r="C60" s="112">
        <v>13.13</v>
      </c>
      <c r="D60" s="112">
        <v>25</v>
      </c>
      <c r="E60" s="112">
        <v>11.76</v>
      </c>
      <c r="F60" s="112">
        <v>30.04</v>
      </c>
      <c r="G60" s="112">
        <v>32.299999999999997</v>
      </c>
      <c r="H60" s="112">
        <v>10.19</v>
      </c>
      <c r="I60" s="112">
        <v>4.76</v>
      </c>
      <c r="J60" s="112">
        <v>1.08</v>
      </c>
      <c r="K60" s="112">
        <v>287.95999999999998</v>
      </c>
      <c r="L60" s="112">
        <v>39.159999999999997</v>
      </c>
      <c r="M60" s="112">
        <v>29.8</v>
      </c>
      <c r="N60" s="112">
        <v>816.1</v>
      </c>
      <c r="O60" s="112">
        <v>0</v>
      </c>
      <c r="P60" s="112">
        <v>0.49</v>
      </c>
      <c r="Q60" s="167" t="s">
        <v>14</v>
      </c>
    </row>
    <row r="61" spans="1:17" customFormat="1">
      <c r="A61" s="80">
        <v>45432.552083333336</v>
      </c>
      <c r="B61" s="112">
        <v>11.19</v>
      </c>
      <c r="C61" s="112">
        <v>13.12</v>
      </c>
      <c r="D61" s="112">
        <v>24.97</v>
      </c>
      <c r="E61" s="112">
        <v>13.54</v>
      </c>
      <c r="F61" s="112">
        <v>32.68</v>
      </c>
      <c r="G61" s="112">
        <v>30.5</v>
      </c>
      <c r="H61" s="112">
        <v>9.58</v>
      </c>
      <c r="I61" s="112">
        <v>4.6399999999999997</v>
      </c>
      <c r="J61" s="112">
        <v>0.65</v>
      </c>
      <c r="K61" s="112">
        <v>277.25</v>
      </c>
      <c r="L61" s="112">
        <v>39.520000000000003</v>
      </c>
      <c r="M61" s="112">
        <v>30.42</v>
      </c>
      <c r="N61" s="112">
        <v>762.2</v>
      </c>
      <c r="O61" s="112">
        <v>0</v>
      </c>
      <c r="P61" s="112">
        <v>0.5</v>
      </c>
      <c r="Q61" s="167" t="s">
        <v>14</v>
      </c>
    </row>
    <row r="62" spans="1:17" customFormat="1">
      <c r="A62" s="80">
        <v>45432.5625</v>
      </c>
      <c r="B62" s="112">
        <v>11.14</v>
      </c>
      <c r="C62" s="112">
        <v>13.11</v>
      </c>
      <c r="D62" s="112">
        <v>24.92</v>
      </c>
      <c r="E62" s="112">
        <v>13.33</v>
      </c>
      <c r="F62" s="112">
        <v>38.270000000000003</v>
      </c>
      <c r="G62" s="112">
        <v>30.08</v>
      </c>
      <c r="H62" s="112">
        <v>9.58</v>
      </c>
      <c r="I62" s="112">
        <v>4.6900000000000004</v>
      </c>
      <c r="J62" s="112">
        <v>0.98</v>
      </c>
      <c r="K62" s="112">
        <v>306.48</v>
      </c>
      <c r="L62" s="112">
        <v>39.65</v>
      </c>
      <c r="M62" s="112">
        <v>29.69</v>
      </c>
      <c r="N62" s="112">
        <v>626.79999999999995</v>
      </c>
      <c r="O62" s="112">
        <v>0</v>
      </c>
      <c r="P62" s="112">
        <v>0.5</v>
      </c>
      <c r="Q62" s="167" t="s">
        <v>14</v>
      </c>
    </row>
    <row r="63" spans="1:17" customFormat="1">
      <c r="A63" s="80">
        <v>45432.572916666664</v>
      </c>
      <c r="B63" s="112">
        <v>11.12</v>
      </c>
      <c r="C63" s="112">
        <v>13.09</v>
      </c>
      <c r="D63" s="112">
        <v>24.9</v>
      </c>
      <c r="E63" s="112">
        <v>15.7</v>
      </c>
      <c r="F63" s="112">
        <v>41.42</v>
      </c>
      <c r="G63" s="112">
        <v>30.08</v>
      </c>
      <c r="H63" s="112">
        <v>9.58</v>
      </c>
      <c r="I63" s="112">
        <v>4.63</v>
      </c>
      <c r="J63" s="112">
        <v>0.51</v>
      </c>
      <c r="K63" s="112">
        <v>26.27</v>
      </c>
      <c r="L63" s="112">
        <v>39.49</v>
      </c>
      <c r="M63" s="112">
        <v>30.05</v>
      </c>
      <c r="N63" s="112">
        <v>568.70000000000005</v>
      </c>
      <c r="O63" s="112">
        <v>0</v>
      </c>
      <c r="P63" s="112">
        <v>0.5</v>
      </c>
      <c r="Q63" s="167" t="s">
        <v>14</v>
      </c>
    </row>
    <row r="64" spans="1:17" customFormat="1">
      <c r="A64" s="80">
        <v>45432.583333333336</v>
      </c>
      <c r="B64" s="112">
        <v>11.11</v>
      </c>
      <c r="C64" s="112">
        <v>13.1</v>
      </c>
      <c r="D64" s="112">
        <v>24.89</v>
      </c>
      <c r="E64" s="112">
        <v>13.99</v>
      </c>
      <c r="F64" s="112">
        <v>29.03</v>
      </c>
      <c r="G64" s="112">
        <v>30.08</v>
      </c>
      <c r="H64" s="112">
        <v>9.58</v>
      </c>
      <c r="I64" s="112">
        <v>4.7699999999999996</v>
      </c>
      <c r="J64" s="112">
        <v>0.87</v>
      </c>
      <c r="K64" s="112">
        <v>270.45999999999998</v>
      </c>
      <c r="L64" s="112">
        <v>40.020000000000003</v>
      </c>
      <c r="M64" s="112">
        <v>29.06</v>
      </c>
      <c r="N64" s="112">
        <v>696.8</v>
      </c>
      <c r="O64" s="112">
        <v>0</v>
      </c>
      <c r="P64" s="112">
        <v>0.51</v>
      </c>
      <c r="Q64" s="167" t="s">
        <v>14</v>
      </c>
    </row>
    <row r="65" spans="1:17" customFormat="1">
      <c r="A65" s="80">
        <v>45432.59375</v>
      </c>
      <c r="B65" s="112">
        <v>11.09</v>
      </c>
      <c r="C65" s="112">
        <v>13.08</v>
      </c>
      <c r="D65" s="112">
        <v>24.87</v>
      </c>
      <c r="E65" s="112">
        <v>20.25</v>
      </c>
      <c r="F65" s="112">
        <v>50.97</v>
      </c>
      <c r="G65" s="112">
        <v>32.46</v>
      </c>
      <c r="H65" s="112">
        <v>12.18</v>
      </c>
      <c r="I65" s="112">
        <v>4.7699999999999996</v>
      </c>
      <c r="J65" s="112">
        <v>0.47</v>
      </c>
      <c r="K65" s="112">
        <v>287.42</v>
      </c>
      <c r="L65" s="112">
        <v>40.299999999999997</v>
      </c>
      <c r="M65" s="112">
        <v>29.52</v>
      </c>
      <c r="N65" s="112">
        <v>682.2</v>
      </c>
      <c r="O65" s="112">
        <v>0</v>
      </c>
      <c r="P65" s="112">
        <v>0.56000000000000005</v>
      </c>
      <c r="Q65" s="167" t="s">
        <v>14</v>
      </c>
    </row>
    <row r="66" spans="1:17" customFormat="1">
      <c r="A66" s="80">
        <v>45432.604166666664</v>
      </c>
      <c r="B66" s="112">
        <v>11.09</v>
      </c>
      <c r="C66" s="112">
        <v>13.07</v>
      </c>
      <c r="D66" s="112">
        <v>24.87</v>
      </c>
      <c r="E66" s="112">
        <v>16.73</v>
      </c>
      <c r="F66" s="112">
        <v>34.799999999999997</v>
      </c>
      <c r="G66" s="112">
        <v>33.020000000000003</v>
      </c>
      <c r="H66" s="112">
        <v>12.18</v>
      </c>
      <c r="I66" s="112">
        <v>5.09</v>
      </c>
      <c r="J66" s="112">
        <v>0.87</v>
      </c>
      <c r="K66" s="112">
        <v>293.72000000000003</v>
      </c>
      <c r="L66" s="112">
        <v>40.22</v>
      </c>
      <c r="M66" s="112">
        <v>28.18</v>
      </c>
      <c r="N66" s="112">
        <v>655.9</v>
      </c>
      <c r="O66" s="112">
        <v>0</v>
      </c>
      <c r="P66" s="112">
        <v>0.52</v>
      </c>
      <c r="Q66" s="167" t="s">
        <v>14</v>
      </c>
    </row>
    <row r="67" spans="1:17" customFormat="1">
      <c r="A67" s="80">
        <v>45432.614583333336</v>
      </c>
      <c r="B67" s="112">
        <v>11.09</v>
      </c>
      <c r="C67" s="112">
        <v>13.1</v>
      </c>
      <c r="D67" s="112">
        <v>24.88</v>
      </c>
      <c r="E67" s="112">
        <v>16.63</v>
      </c>
      <c r="F67" s="112">
        <v>39.43</v>
      </c>
      <c r="G67" s="112">
        <v>33.020000000000003</v>
      </c>
      <c r="H67" s="112">
        <v>12.18</v>
      </c>
      <c r="I67" s="112">
        <v>5.32</v>
      </c>
      <c r="J67" s="112">
        <v>0.74</v>
      </c>
      <c r="K67" s="112">
        <v>307.16000000000003</v>
      </c>
      <c r="L67" s="112">
        <v>40.98</v>
      </c>
      <c r="M67" s="112">
        <v>26.92</v>
      </c>
      <c r="N67" s="112">
        <v>609.5</v>
      </c>
      <c r="O67" s="112">
        <v>0</v>
      </c>
      <c r="P67" s="112">
        <v>0.5</v>
      </c>
      <c r="Q67" s="167" t="s">
        <v>14</v>
      </c>
    </row>
    <row r="68" spans="1:17" customFormat="1">
      <c r="A68" s="80">
        <v>45432.625</v>
      </c>
      <c r="B68" s="112">
        <v>11.08</v>
      </c>
      <c r="C68" s="112">
        <v>13.12</v>
      </c>
      <c r="D68" s="112">
        <v>24.88</v>
      </c>
      <c r="E68" s="112">
        <v>16.29</v>
      </c>
      <c r="F68" s="112">
        <v>38.799999999999997</v>
      </c>
      <c r="G68" s="112">
        <v>33.020000000000003</v>
      </c>
      <c r="H68" s="112">
        <v>12.18</v>
      </c>
      <c r="I68" s="112">
        <v>5.05</v>
      </c>
      <c r="J68" s="112">
        <v>0.96</v>
      </c>
      <c r="K68" s="112">
        <v>315.11</v>
      </c>
      <c r="L68" s="112">
        <v>40.28</v>
      </c>
      <c r="M68" s="112">
        <v>28.58</v>
      </c>
      <c r="N68" s="112">
        <v>559.29999999999995</v>
      </c>
      <c r="O68" s="112">
        <v>0</v>
      </c>
      <c r="P68" s="112">
        <v>0.52</v>
      </c>
      <c r="Q68" s="167" t="s">
        <v>14</v>
      </c>
    </row>
    <row r="69" spans="1:17" customFormat="1">
      <c r="A69" s="80">
        <v>45432.635416666664</v>
      </c>
      <c r="B69" s="112">
        <v>11.08</v>
      </c>
      <c r="C69" s="112">
        <v>13.1</v>
      </c>
      <c r="D69" s="112">
        <v>24.88</v>
      </c>
      <c r="E69" s="112">
        <v>18.05</v>
      </c>
      <c r="F69" s="112">
        <v>40.92</v>
      </c>
      <c r="G69" s="112">
        <v>30.42</v>
      </c>
      <c r="H69" s="112">
        <v>11.56</v>
      </c>
      <c r="I69" s="112">
        <v>4.6900000000000004</v>
      </c>
      <c r="J69" s="112">
        <v>0.47</v>
      </c>
      <c r="K69" s="112">
        <v>255.48</v>
      </c>
      <c r="L69" s="112">
        <v>41.02</v>
      </c>
      <c r="M69" s="112">
        <v>27.34</v>
      </c>
      <c r="N69" s="112">
        <v>539.6</v>
      </c>
      <c r="O69" s="112">
        <v>0</v>
      </c>
      <c r="P69" s="112">
        <v>0.51</v>
      </c>
      <c r="Q69" s="167" t="s">
        <v>14</v>
      </c>
    </row>
    <row r="70" spans="1:17" customFormat="1">
      <c r="A70" s="80">
        <v>45432.645833333336</v>
      </c>
      <c r="B70" s="112">
        <v>11.1</v>
      </c>
      <c r="C70" s="112">
        <v>13.11</v>
      </c>
      <c r="D70" s="112">
        <v>24.89</v>
      </c>
      <c r="E70" s="112">
        <v>14.53</v>
      </c>
      <c r="F70" s="112">
        <v>32.35</v>
      </c>
      <c r="G70" s="112">
        <v>29.81</v>
      </c>
      <c r="H70" s="112">
        <v>11.56</v>
      </c>
      <c r="I70" s="112">
        <v>4.83</v>
      </c>
      <c r="J70" s="112">
        <v>0.96</v>
      </c>
      <c r="K70" s="112">
        <v>284.20999999999998</v>
      </c>
      <c r="L70" s="112">
        <v>40.229999999999997</v>
      </c>
      <c r="M70" s="112">
        <v>28.53</v>
      </c>
      <c r="N70" s="112">
        <v>482.1</v>
      </c>
      <c r="O70" s="112">
        <v>0</v>
      </c>
      <c r="P70" s="112">
        <v>0.52</v>
      </c>
      <c r="Q70" s="167" t="s">
        <v>14</v>
      </c>
    </row>
    <row r="71" spans="1:17" customFormat="1">
      <c r="A71" s="80">
        <v>45432.65625</v>
      </c>
      <c r="B71" s="112">
        <v>11.09</v>
      </c>
      <c r="C71" s="112">
        <v>13.08</v>
      </c>
      <c r="D71" s="112">
        <v>24.88</v>
      </c>
      <c r="E71" s="112">
        <v>14.01</v>
      </c>
      <c r="F71" s="112">
        <v>37.65</v>
      </c>
      <c r="G71" s="112">
        <v>29.81</v>
      </c>
      <c r="H71" s="112">
        <v>11.56</v>
      </c>
      <c r="I71" s="112">
        <v>4.7</v>
      </c>
      <c r="J71" s="112">
        <v>0.78</v>
      </c>
      <c r="K71" s="112">
        <v>318.74</v>
      </c>
      <c r="L71" s="112">
        <v>40.36</v>
      </c>
      <c r="M71" s="112">
        <v>28.55</v>
      </c>
      <c r="N71" s="112">
        <v>443</v>
      </c>
      <c r="O71" s="112">
        <v>0</v>
      </c>
      <c r="P71" s="112">
        <v>0.51</v>
      </c>
      <c r="Q71" s="167" t="s">
        <v>14</v>
      </c>
    </row>
    <row r="72" spans="1:17" customFormat="1">
      <c r="A72" s="80">
        <v>45432.666666666664</v>
      </c>
      <c r="B72" s="112">
        <v>11.09</v>
      </c>
      <c r="C72" s="112">
        <v>13.1</v>
      </c>
      <c r="D72" s="112">
        <v>24.88</v>
      </c>
      <c r="E72" s="112">
        <v>13.89</v>
      </c>
      <c r="F72" s="112">
        <v>25.74</v>
      </c>
      <c r="G72" s="112">
        <v>29.81</v>
      </c>
      <c r="H72" s="112">
        <v>11.56</v>
      </c>
      <c r="I72" s="112">
        <v>5.0199999999999996</v>
      </c>
      <c r="J72" s="112">
        <v>0.85</v>
      </c>
      <c r="K72" s="112">
        <v>290.39999999999998</v>
      </c>
      <c r="L72" s="112">
        <v>40.57</v>
      </c>
      <c r="M72" s="112">
        <v>28.25</v>
      </c>
      <c r="N72" s="112">
        <v>377</v>
      </c>
      <c r="O72" s="112">
        <v>0</v>
      </c>
      <c r="P72" s="112">
        <v>0.51</v>
      </c>
      <c r="Q72" s="167" t="s">
        <v>14</v>
      </c>
    </row>
    <row r="73" spans="1:17" customFormat="1">
      <c r="A73" s="80">
        <v>45432.677083333336</v>
      </c>
      <c r="B73" s="112">
        <v>11.17</v>
      </c>
      <c r="C73" s="112">
        <v>13.09</v>
      </c>
      <c r="D73" s="112">
        <v>24.94</v>
      </c>
      <c r="E73" s="112">
        <v>14.25</v>
      </c>
      <c r="F73" s="112">
        <v>30.95</v>
      </c>
      <c r="G73" s="112">
        <v>34.69</v>
      </c>
      <c r="H73" s="112">
        <v>11.22</v>
      </c>
      <c r="I73" s="112">
        <v>4.8099999999999996</v>
      </c>
      <c r="J73" s="112">
        <v>1.03</v>
      </c>
      <c r="K73" s="112">
        <v>289.10000000000002</v>
      </c>
      <c r="L73" s="112">
        <v>40.200000000000003</v>
      </c>
      <c r="M73" s="112">
        <v>28.45</v>
      </c>
      <c r="N73" s="112">
        <v>329.3</v>
      </c>
      <c r="O73" s="112">
        <v>0</v>
      </c>
      <c r="P73" s="112">
        <v>0.48</v>
      </c>
      <c r="Q73" s="167" t="s">
        <v>14</v>
      </c>
    </row>
    <row r="74" spans="1:17" customFormat="1">
      <c r="A74" s="80">
        <v>45432.6875</v>
      </c>
      <c r="B74" s="112">
        <v>11.25</v>
      </c>
      <c r="C74" s="112">
        <v>13.08</v>
      </c>
      <c r="D74" s="112">
        <v>25</v>
      </c>
      <c r="E74" s="112">
        <v>14.2</v>
      </c>
      <c r="F74" s="112">
        <v>36.54</v>
      </c>
      <c r="G74" s="112">
        <v>35.83</v>
      </c>
      <c r="H74" s="112">
        <v>11.22</v>
      </c>
      <c r="I74" s="112">
        <v>4.92</v>
      </c>
      <c r="J74" s="112">
        <v>0.57999999999999996</v>
      </c>
      <c r="K74" s="112">
        <v>293.27</v>
      </c>
      <c r="L74" s="112">
        <v>40.090000000000003</v>
      </c>
      <c r="M74" s="112">
        <v>28.67</v>
      </c>
      <c r="N74" s="112">
        <v>260.39999999999998</v>
      </c>
      <c r="O74" s="112">
        <v>0</v>
      </c>
      <c r="P74" s="112">
        <v>0.45</v>
      </c>
      <c r="Q74" s="167" t="s">
        <v>14</v>
      </c>
    </row>
    <row r="75" spans="1:17" customFormat="1">
      <c r="A75" s="80">
        <v>45432.697916666664</v>
      </c>
      <c r="B75" s="112">
        <v>11.24</v>
      </c>
      <c r="C75" s="112">
        <v>13.09</v>
      </c>
      <c r="D75" s="112">
        <v>25</v>
      </c>
      <c r="E75" s="112">
        <v>13.42</v>
      </c>
      <c r="F75" s="112">
        <v>30.86</v>
      </c>
      <c r="G75" s="112">
        <v>35.83</v>
      </c>
      <c r="H75" s="112">
        <v>11.22</v>
      </c>
      <c r="I75" s="112">
        <v>4.6500000000000004</v>
      </c>
      <c r="J75" s="112">
        <v>0.68</v>
      </c>
      <c r="K75" s="112">
        <v>243.75</v>
      </c>
      <c r="L75" s="112">
        <v>40.380000000000003</v>
      </c>
      <c r="M75" s="112">
        <v>28.73</v>
      </c>
      <c r="N75" s="112">
        <v>138.6</v>
      </c>
      <c r="O75" s="112">
        <v>0</v>
      </c>
      <c r="P75" s="112">
        <v>0.43</v>
      </c>
      <c r="Q75" s="167" t="s">
        <v>14</v>
      </c>
    </row>
    <row r="76" spans="1:17" customFormat="1">
      <c r="A76" s="80">
        <v>45432.708333333336</v>
      </c>
      <c r="B76" s="112">
        <v>11.19</v>
      </c>
      <c r="C76" s="112">
        <v>13.07</v>
      </c>
      <c r="D76" s="112">
        <v>24.95</v>
      </c>
      <c r="E76" s="112">
        <v>13.58</v>
      </c>
      <c r="F76" s="112">
        <v>35.21</v>
      </c>
      <c r="G76" s="112">
        <v>35.83</v>
      </c>
      <c r="H76" s="112">
        <v>11.22</v>
      </c>
      <c r="I76" s="112">
        <v>4.47</v>
      </c>
      <c r="J76" s="112">
        <v>0.56999999999999995</v>
      </c>
      <c r="K76" s="112">
        <v>249.94</v>
      </c>
      <c r="L76" s="112">
        <v>39.799999999999997</v>
      </c>
      <c r="M76" s="112">
        <v>29.63</v>
      </c>
      <c r="N76" s="112">
        <v>108.6</v>
      </c>
      <c r="O76" s="112">
        <v>0</v>
      </c>
      <c r="P76" s="112">
        <v>0.43</v>
      </c>
      <c r="Q76" s="167" t="s">
        <v>14</v>
      </c>
    </row>
    <row r="77" spans="1:17" customFormat="1">
      <c r="A77" s="80">
        <v>45432.71875</v>
      </c>
      <c r="B77" s="112">
        <v>11.16</v>
      </c>
      <c r="C77" s="112">
        <v>13.09</v>
      </c>
      <c r="D77" s="112">
        <v>24.93</v>
      </c>
      <c r="E77" s="112">
        <v>15.42</v>
      </c>
      <c r="F77" s="112">
        <v>42.03</v>
      </c>
      <c r="G77" s="112">
        <v>27.85</v>
      </c>
      <c r="H77" s="112">
        <v>9.11</v>
      </c>
      <c r="I77" s="112">
        <v>4.42</v>
      </c>
      <c r="J77" s="112">
        <v>0.53</v>
      </c>
      <c r="K77" s="112">
        <v>266.70999999999998</v>
      </c>
      <c r="L77" s="112">
        <v>39.69</v>
      </c>
      <c r="M77" s="112">
        <v>29.91</v>
      </c>
      <c r="N77" s="112">
        <v>105</v>
      </c>
      <c r="O77" s="112">
        <v>0</v>
      </c>
      <c r="P77" s="112">
        <v>0.42</v>
      </c>
      <c r="Q77" s="167" t="s">
        <v>14</v>
      </c>
    </row>
    <row r="78" spans="1:17" customFormat="1">
      <c r="A78" s="80">
        <v>45432.729166666664</v>
      </c>
      <c r="B78" s="112">
        <v>11.14</v>
      </c>
      <c r="C78" s="112">
        <v>13.08</v>
      </c>
      <c r="D78" s="112">
        <v>24.91</v>
      </c>
      <c r="E78" s="112">
        <v>14.51</v>
      </c>
      <c r="F78" s="112">
        <v>36.36</v>
      </c>
      <c r="G78" s="112">
        <v>25.99</v>
      </c>
      <c r="H78" s="112">
        <v>9.11</v>
      </c>
      <c r="I78" s="112">
        <v>4.3499999999999996</v>
      </c>
      <c r="J78" s="112">
        <v>0.76</v>
      </c>
      <c r="K78" s="112">
        <v>262.63</v>
      </c>
      <c r="L78" s="112">
        <v>39.11</v>
      </c>
      <c r="M78" s="112">
        <v>30.57</v>
      </c>
      <c r="N78" s="112">
        <v>99.5</v>
      </c>
      <c r="O78" s="112">
        <v>0</v>
      </c>
      <c r="P78" s="112">
        <v>0.43</v>
      </c>
      <c r="Q78" s="167" t="s">
        <v>14</v>
      </c>
    </row>
    <row r="79" spans="1:17" customFormat="1">
      <c r="A79" s="80">
        <v>45432.739583333336</v>
      </c>
      <c r="B79" s="112">
        <v>11.12</v>
      </c>
      <c r="C79" s="112">
        <v>13.09</v>
      </c>
      <c r="D79" s="112">
        <v>24.9</v>
      </c>
      <c r="E79" s="112">
        <v>16.399999999999999</v>
      </c>
      <c r="F79" s="112">
        <v>48.64</v>
      </c>
      <c r="G79" s="112">
        <v>25.99</v>
      </c>
      <c r="H79" s="112">
        <v>9.11</v>
      </c>
      <c r="I79" s="112">
        <v>4.1100000000000003</v>
      </c>
      <c r="J79" s="112">
        <v>0.44</v>
      </c>
      <c r="K79" s="112">
        <v>247.45</v>
      </c>
      <c r="L79" s="112">
        <v>38.79</v>
      </c>
      <c r="M79" s="112">
        <v>31.33</v>
      </c>
      <c r="N79" s="112">
        <v>57.7</v>
      </c>
      <c r="O79" s="112">
        <v>0</v>
      </c>
      <c r="P79" s="112">
        <v>0.4</v>
      </c>
      <c r="Q79" s="167" t="s">
        <v>14</v>
      </c>
    </row>
    <row r="80" spans="1:17" customFormat="1">
      <c r="A80" s="80">
        <v>45432.75</v>
      </c>
      <c r="B80" s="112">
        <v>11.12</v>
      </c>
      <c r="C80" s="112">
        <v>13.1</v>
      </c>
      <c r="D80" s="112">
        <v>24.9</v>
      </c>
      <c r="E80" s="112">
        <v>16.61</v>
      </c>
      <c r="F80" s="112">
        <v>49.93</v>
      </c>
      <c r="G80" s="112">
        <v>25.99</v>
      </c>
      <c r="H80" s="112">
        <v>9.11</v>
      </c>
      <c r="I80" s="112">
        <v>4.28</v>
      </c>
      <c r="J80" s="112">
        <v>0.32</v>
      </c>
      <c r="K80" s="112">
        <v>241.69</v>
      </c>
      <c r="L80" s="112">
        <v>38.6</v>
      </c>
      <c r="M80" s="112">
        <v>32.17</v>
      </c>
      <c r="N80" s="112">
        <v>25.3</v>
      </c>
      <c r="O80" s="112">
        <v>0</v>
      </c>
      <c r="P80" s="112">
        <v>0.4</v>
      </c>
      <c r="Q80" s="167" t="s">
        <v>14</v>
      </c>
    </row>
    <row r="81" spans="1:17" customFormat="1">
      <c r="A81" s="80">
        <v>45432.760416666664</v>
      </c>
      <c r="B81" s="112">
        <v>11.12</v>
      </c>
      <c r="C81" s="112">
        <v>13.07</v>
      </c>
      <c r="D81" s="112">
        <v>24.89</v>
      </c>
      <c r="E81" s="112">
        <v>12.75</v>
      </c>
      <c r="F81" s="112">
        <v>45.57</v>
      </c>
      <c r="G81" s="112">
        <v>26.05</v>
      </c>
      <c r="H81" s="112">
        <v>7.66</v>
      </c>
      <c r="I81" s="112">
        <v>3.89</v>
      </c>
      <c r="J81" s="112">
        <v>0.2</v>
      </c>
      <c r="K81" s="112">
        <v>234.83</v>
      </c>
      <c r="L81" s="112">
        <v>37.799999999999997</v>
      </c>
      <c r="M81" s="112">
        <v>33.450000000000003</v>
      </c>
      <c r="N81" s="112">
        <v>4.3</v>
      </c>
      <c r="O81" s="112">
        <v>0</v>
      </c>
      <c r="P81" s="112">
        <v>0.42</v>
      </c>
      <c r="Q81" s="167" t="s">
        <v>14</v>
      </c>
    </row>
    <row r="82" spans="1:17" customFormat="1">
      <c r="A82" s="80">
        <v>45432.770833333336</v>
      </c>
      <c r="B82" s="112">
        <v>11.12</v>
      </c>
      <c r="C82" s="112">
        <v>13.09</v>
      </c>
      <c r="D82" s="112">
        <v>24.9</v>
      </c>
      <c r="E82" s="112">
        <v>18.41</v>
      </c>
      <c r="F82" s="112">
        <v>46.51</v>
      </c>
      <c r="G82" s="112">
        <v>26.06</v>
      </c>
      <c r="H82" s="112">
        <v>7.66</v>
      </c>
      <c r="I82" s="112">
        <v>3.65</v>
      </c>
      <c r="J82" s="112">
        <v>0.15</v>
      </c>
      <c r="K82" s="112">
        <v>220.92</v>
      </c>
      <c r="L82" s="112">
        <v>37.130000000000003</v>
      </c>
      <c r="M82" s="112">
        <v>35.19</v>
      </c>
      <c r="N82" s="112">
        <v>0</v>
      </c>
      <c r="O82" s="112">
        <v>0</v>
      </c>
      <c r="P82" s="112">
        <v>0.42</v>
      </c>
      <c r="Q82" s="167" t="s">
        <v>14</v>
      </c>
    </row>
    <row r="83" spans="1:17" customFormat="1">
      <c r="A83" s="80">
        <v>45432.78125</v>
      </c>
      <c r="B83" s="112">
        <v>11.12</v>
      </c>
      <c r="C83" s="112">
        <v>13.1</v>
      </c>
      <c r="D83" s="112">
        <v>24.91</v>
      </c>
      <c r="E83" s="112">
        <v>20.76</v>
      </c>
      <c r="F83" s="112">
        <v>38.26</v>
      </c>
      <c r="G83" s="112">
        <v>26.06</v>
      </c>
      <c r="H83" s="112">
        <v>7.66</v>
      </c>
      <c r="I83" s="112">
        <v>3.82</v>
      </c>
      <c r="J83" s="112">
        <v>0.18</v>
      </c>
      <c r="K83" s="112">
        <v>220.3</v>
      </c>
      <c r="L83" s="112">
        <v>36.549999999999997</v>
      </c>
      <c r="M83" s="112">
        <v>36.520000000000003</v>
      </c>
      <c r="N83" s="112">
        <v>0</v>
      </c>
      <c r="O83" s="112">
        <v>0</v>
      </c>
      <c r="P83" s="112">
        <v>0.47</v>
      </c>
      <c r="Q83" s="167" t="s">
        <v>14</v>
      </c>
    </row>
    <row r="84" spans="1:17" customFormat="1">
      <c r="A84" s="80">
        <v>45432.791666666664</v>
      </c>
      <c r="B84" s="112">
        <v>11.14</v>
      </c>
      <c r="C84" s="112">
        <v>13.07</v>
      </c>
      <c r="D84" s="112">
        <v>24.9</v>
      </c>
      <c r="E84" s="112">
        <v>20.99</v>
      </c>
      <c r="F84" s="112">
        <v>33.35</v>
      </c>
      <c r="G84" s="112">
        <v>26.06</v>
      </c>
      <c r="H84" s="112">
        <v>7.66</v>
      </c>
      <c r="I84" s="112">
        <v>4.01</v>
      </c>
      <c r="J84" s="112">
        <v>0.13</v>
      </c>
      <c r="K84" s="112">
        <v>229.3</v>
      </c>
      <c r="L84" s="112">
        <v>36.03</v>
      </c>
      <c r="M84" s="112">
        <v>38.380000000000003</v>
      </c>
      <c r="N84" s="112">
        <v>0</v>
      </c>
      <c r="O84" s="112">
        <v>0</v>
      </c>
      <c r="P84" s="112">
        <v>0.49</v>
      </c>
      <c r="Q84" s="167" t="s">
        <v>14</v>
      </c>
    </row>
    <row r="85" spans="1:17" customFormat="1">
      <c r="A85" s="80">
        <v>45432.802083333336</v>
      </c>
      <c r="B85" s="112">
        <v>11.13</v>
      </c>
      <c r="C85" s="112">
        <v>13.09</v>
      </c>
      <c r="D85" s="112">
        <v>24.91</v>
      </c>
      <c r="E85" s="112">
        <v>23.61</v>
      </c>
      <c r="F85" s="112">
        <v>32.9</v>
      </c>
      <c r="G85" s="112">
        <v>30.08</v>
      </c>
      <c r="H85" s="112">
        <v>7.67</v>
      </c>
      <c r="I85" s="112">
        <v>4.32</v>
      </c>
      <c r="J85" s="112">
        <v>0.12</v>
      </c>
      <c r="K85" s="112">
        <v>180.49</v>
      </c>
      <c r="L85" s="112">
        <v>35.74</v>
      </c>
      <c r="M85" s="112">
        <v>39.229999999999997</v>
      </c>
      <c r="N85" s="112">
        <v>0</v>
      </c>
      <c r="O85" s="112">
        <v>0</v>
      </c>
      <c r="P85" s="112">
        <v>0.53</v>
      </c>
      <c r="Q85" s="167" t="s">
        <v>14</v>
      </c>
    </row>
    <row r="86" spans="1:17" customFormat="1">
      <c r="A86" s="80">
        <v>45432.8125</v>
      </c>
      <c r="B86" s="112">
        <v>11.14</v>
      </c>
      <c r="C86" s="112">
        <v>13.1</v>
      </c>
      <c r="D86" s="112">
        <v>24.92</v>
      </c>
      <c r="E86" s="112">
        <v>24.34</v>
      </c>
      <c r="F86" s="112">
        <v>29.45</v>
      </c>
      <c r="G86" s="112">
        <v>31.02</v>
      </c>
      <c r="H86" s="112">
        <v>7.67</v>
      </c>
      <c r="I86" s="112">
        <v>4.66</v>
      </c>
      <c r="J86" s="112">
        <v>0.12</v>
      </c>
      <c r="K86" s="112">
        <v>192.17</v>
      </c>
      <c r="L86" s="112">
        <v>35.299999999999997</v>
      </c>
      <c r="M86" s="112">
        <v>42.2</v>
      </c>
      <c r="N86" s="112">
        <v>0</v>
      </c>
      <c r="O86" s="112">
        <v>0</v>
      </c>
      <c r="P86" s="112">
        <v>0.56999999999999995</v>
      </c>
      <c r="Q86" s="167" t="s">
        <v>14</v>
      </c>
    </row>
    <row r="87" spans="1:17" customFormat="1">
      <c r="A87" s="80">
        <v>45432.822916666664</v>
      </c>
      <c r="B87" s="112">
        <v>11.16</v>
      </c>
      <c r="C87" s="112">
        <v>13.13</v>
      </c>
      <c r="D87" s="112">
        <v>24.95</v>
      </c>
      <c r="E87" s="112">
        <v>23.84</v>
      </c>
      <c r="F87" s="112">
        <v>30.99</v>
      </c>
      <c r="G87" s="112">
        <v>31.02</v>
      </c>
      <c r="H87" s="112">
        <v>7.67</v>
      </c>
      <c r="I87" s="112">
        <v>5.23</v>
      </c>
      <c r="J87" s="112">
        <v>0.13</v>
      </c>
      <c r="K87" s="112">
        <v>189.94</v>
      </c>
      <c r="L87" s="112">
        <v>34.85</v>
      </c>
      <c r="M87" s="112">
        <v>44.25</v>
      </c>
      <c r="N87" s="112">
        <v>0</v>
      </c>
      <c r="O87" s="112">
        <v>0</v>
      </c>
      <c r="P87" s="112">
        <v>0.59</v>
      </c>
      <c r="Q87" s="167" t="s">
        <v>14</v>
      </c>
    </row>
    <row r="88" spans="1:17" customFormat="1">
      <c r="A88" s="80">
        <v>45432.833333333336</v>
      </c>
      <c r="B88" s="112">
        <v>11.17</v>
      </c>
      <c r="C88" s="112">
        <v>13.11</v>
      </c>
      <c r="D88" s="112">
        <v>24.95</v>
      </c>
      <c r="E88" s="112">
        <v>21.3</v>
      </c>
      <c r="F88" s="112">
        <v>25.33</v>
      </c>
      <c r="G88" s="112">
        <v>31.02</v>
      </c>
      <c r="H88" s="112">
        <v>7.67</v>
      </c>
      <c r="I88" s="112">
        <v>5.74</v>
      </c>
      <c r="J88" s="112">
        <v>0.23</v>
      </c>
      <c r="K88" s="112">
        <v>163.72</v>
      </c>
      <c r="L88" s="112">
        <v>34.619999999999997</v>
      </c>
      <c r="M88" s="112">
        <v>44.98</v>
      </c>
      <c r="N88" s="112">
        <v>0</v>
      </c>
      <c r="O88" s="112">
        <v>0</v>
      </c>
      <c r="P88" s="112">
        <v>0.59</v>
      </c>
      <c r="Q88" s="167" t="s">
        <v>14</v>
      </c>
    </row>
    <row r="89" spans="1:17" customFormat="1">
      <c r="A89" s="80">
        <v>45432.84375</v>
      </c>
      <c r="B89" s="112">
        <v>11.17</v>
      </c>
      <c r="C89" s="112">
        <v>13.13</v>
      </c>
      <c r="D89" s="112">
        <v>24.96</v>
      </c>
      <c r="E89" s="112">
        <v>21.35</v>
      </c>
      <c r="F89" s="112">
        <v>23.15</v>
      </c>
      <c r="G89" s="112">
        <v>37.950000000000003</v>
      </c>
      <c r="H89" s="112">
        <v>11.87</v>
      </c>
      <c r="I89" s="112">
        <v>5.97</v>
      </c>
      <c r="J89" s="112">
        <v>0.2</v>
      </c>
      <c r="K89" s="112">
        <v>172.76</v>
      </c>
      <c r="L89" s="112">
        <v>34.35</v>
      </c>
      <c r="M89" s="112">
        <v>45.38</v>
      </c>
      <c r="N89" s="112">
        <v>0</v>
      </c>
      <c r="O89" s="112">
        <v>0</v>
      </c>
      <c r="P89" s="112">
        <v>0.61</v>
      </c>
      <c r="Q89" s="167" t="s">
        <v>14</v>
      </c>
    </row>
    <row r="90" spans="1:17" customFormat="1">
      <c r="A90" s="80">
        <v>45432.854166666664</v>
      </c>
      <c r="B90" s="112">
        <v>11.18</v>
      </c>
      <c r="C90" s="112">
        <v>13.14</v>
      </c>
      <c r="D90" s="112">
        <v>24.97</v>
      </c>
      <c r="E90" s="112">
        <v>20.43</v>
      </c>
      <c r="F90" s="112">
        <v>14.44</v>
      </c>
      <c r="G90" s="112">
        <v>39.56</v>
      </c>
      <c r="H90" s="112">
        <v>11.87</v>
      </c>
      <c r="I90" s="112">
        <v>5.87</v>
      </c>
      <c r="J90" s="112">
        <v>0.08</v>
      </c>
      <c r="K90" s="112">
        <v>198.98</v>
      </c>
      <c r="L90" s="112">
        <v>34.08</v>
      </c>
      <c r="M90" s="112">
        <v>45.43</v>
      </c>
      <c r="N90" s="112">
        <v>0</v>
      </c>
      <c r="O90" s="112">
        <v>0</v>
      </c>
      <c r="P90" s="112">
        <v>0.71</v>
      </c>
      <c r="Q90" s="167" t="s">
        <v>14</v>
      </c>
    </row>
    <row r="91" spans="1:17" customFormat="1">
      <c r="A91" s="80">
        <v>45432.864583333336</v>
      </c>
      <c r="B91" s="112">
        <v>11.16</v>
      </c>
      <c r="C91" s="112">
        <v>13.17</v>
      </c>
      <c r="D91" s="112">
        <v>24.97</v>
      </c>
      <c r="E91" s="112">
        <v>20.76</v>
      </c>
      <c r="F91" s="112">
        <v>9.77</v>
      </c>
      <c r="G91" s="112">
        <v>39.56</v>
      </c>
      <c r="H91" s="112">
        <v>11.87</v>
      </c>
      <c r="I91" s="112">
        <v>6</v>
      </c>
      <c r="J91" s="112">
        <v>0.26</v>
      </c>
      <c r="K91" s="112">
        <v>169.74</v>
      </c>
      <c r="L91" s="112">
        <v>34.31</v>
      </c>
      <c r="M91" s="112">
        <v>46.77</v>
      </c>
      <c r="N91" s="112">
        <v>0</v>
      </c>
      <c r="O91" s="112">
        <v>0</v>
      </c>
      <c r="P91" s="112">
        <v>0.76</v>
      </c>
      <c r="Q91" s="112">
        <v>4.99</v>
      </c>
    </row>
    <row r="92" spans="1:17" customFormat="1">
      <c r="A92" s="80">
        <v>45432.875</v>
      </c>
      <c r="B92" s="112">
        <v>11.23</v>
      </c>
      <c r="C92" s="112">
        <v>13.26</v>
      </c>
      <c r="D92" s="112">
        <v>25.07</v>
      </c>
      <c r="E92" s="112">
        <v>22.05</v>
      </c>
      <c r="F92" s="112">
        <v>12.41</v>
      </c>
      <c r="G92" s="112">
        <v>39.56</v>
      </c>
      <c r="H92" s="112">
        <v>11.87</v>
      </c>
      <c r="I92" s="112">
        <v>6.57</v>
      </c>
      <c r="J92" s="112">
        <v>0.08</v>
      </c>
      <c r="K92" s="112">
        <v>166.91</v>
      </c>
      <c r="L92" s="112">
        <v>33.9</v>
      </c>
      <c r="M92" s="112">
        <v>46.26</v>
      </c>
      <c r="N92" s="112">
        <v>0</v>
      </c>
      <c r="O92" s="112">
        <v>0</v>
      </c>
      <c r="P92" s="112">
        <v>0.95</v>
      </c>
      <c r="Q92" s="112">
        <v>4.9400000000000004</v>
      </c>
    </row>
    <row r="93" spans="1:17" customFormat="1">
      <c r="A93" s="80">
        <v>45432.885416666664</v>
      </c>
      <c r="B93" s="112">
        <v>11.24</v>
      </c>
      <c r="C93" s="112">
        <v>13.2</v>
      </c>
      <c r="D93" s="112">
        <v>25.06</v>
      </c>
      <c r="E93" s="112">
        <v>21.55</v>
      </c>
      <c r="F93" s="112">
        <v>5.9</v>
      </c>
      <c r="G93" s="112">
        <v>57.81</v>
      </c>
      <c r="H93" s="112">
        <v>18.510000000000002</v>
      </c>
      <c r="I93" s="112">
        <v>7.87</v>
      </c>
      <c r="J93" s="112">
        <v>0.18</v>
      </c>
      <c r="K93" s="112">
        <v>106.15</v>
      </c>
      <c r="L93" s="112">
        <v>34.270000000000003</v>
      </c>
      <c r="M93" s="112">
        <v>45.54</v>
      </c>
      <c r="N93" s="112">
        <v>0</v>
      </c>
      <c r="O93" s="112">
        <v>0</v>
      </c>
      <c r="P93" s="112">
        <v>1.1200000000000001</v>
      </c>
      <c r="Q93" s="112">
        <v>4.93</v>
      </c>
    </row>
    <row r="94" spans="1:17" customFormat="1">
      <c r="A94" s="80">
        <v>45432.895833333336</v>
      </c>
      <c r="B94" s="112">
        <v>11.23</v>
      </c>
      <c r="C94" s="112">
        <v>13.13</v>
      </c>
      <c r="D94" s="112">
        <v>25.01</v>
      </c>
      <c r="E94" s="112">
        <v>20.87</v>
      </c>
      <c r="F94" s="112">
        <v>11</v>
      </c>
      <c r="G94" s="112">
        <v>62.06</v>
      </c>
      <c r="H94" s="112">
        <v>18.510000000000002</v>
      </c>
      <c r="I94" s="112">
        <v>9.34</v>
      </c>
      <c r="J94" s="112">
        <v>1.92</v>
      </c>
      <c r="K94" s="112">
        <v>55.57</v>
      </c>
      <c r="L94" s="112">
        <v>34.49</v>
      </c>
      <c r="M94" s="112">
        <v>40.57</v>
      </c>
      <c r="N94" s="112">
        <v>0</v>
      </c>
      <c r="O94" s="112">
        <v>0</v>
      </c>
      <c r="P94" s="112">
        <v>0.82</v>
      </c>
      <c r="Q94" s="112">
        <v>4.88</v>
      </c>
    </row>
    <row r="95" spans="1:17" customFormat="1">
      <c r="A95" s="80">
        <v>45432.90625</v>
      </c>
      <c r="B95" s="112">
        <v>11.24</v>
      </c>
      <c r="C95" s="112">
        <v>13.09</v>
      </c>
      <c r="D95" s="112">
        <v>25</v>
      </c>
      <c r="E95" s="112">
        <v>19.13</v>
      </c>
      <c r="F95" s="112">
        <v>18.39</v>
      </c>
      <c r="G95" s="112">
        <v>62.06</v>
      </c>
      <c r="H95" s="112">
        <v>18.510000000000002</v>
      </c>
      <c r="I95" s="112">
        <v>9.8699999999999992</v>
      </c>
      <c r="J95" s="112">
        <v>2.41</v>
      </c>
      <c r="K95" s="112">
        <v>58.29</v>
      </c>
      <c r="L95" s="112">
        <v>33.880000000000003</v>
      </c>
      <c r="M95" s="112">
        <v>37.130000000000003</v>
      </c>
      <c r="N95" s="112">
        <v>0</v>
      </c>
      <c r="O95" s="112">
        <v>0</v>
      </c>
      <c r="P95" s="112">
        <v>0.68</v>
      </c>
      <c r="Q95" s="112">
        <v>4.91</v>
      </c>
    </row>
    <row r="96" spans="1:17" customFormat="1">
      <c r="A96" s="80">
        <v>45432.916666666664</v>
      </c>
      <c r="B96" s="112">
        <v>11.24</v>
      </c>
      <c r="C96" s="112">
        <v>13.11</v>
      </c>
      <c r="D96" s="112">
        <v>25.01</v>
      </c>
      <c r="E96" s="112">
        <v>20.86</v>
      </c>
      <c r="F96" s="112">
        <v>26.42</v>
      </c>
      <c r="G96" s="112">
        <v>62.06</v>
      </c>
      <c r="H96" s="112">
        <v>18.510000000000002</v>
      </c>
      <c r="I96" s="112">
        <v>8.44</v>
      </c>
      <c r="J96" s="112">
        <v>1.1299999999999999</v>
      </c>
      <c r="K96" s="112">
        <v>60.16</v>
      </c>
      <c r="L96" s="112">
        <v>33.5</v>
      </c>
      <c r="M96" s="112">
        <v>38.049999999999997</v>
      </c>
      <c r="N96" s="112">
        <v>0</v>
      </c>
      <c r="O96" s="112">
        <v>0</v>
      </c>
      <c r="P96" s="112">
        <v>0.63</v>
      </c>
      <c r="Q96" s="112">
        <v>4.93</v>
      </c>
    </row>
    <row r="97" spans="1:22" customFormat="1">
      <c r="A97" s="80">
        <v>45432.927083333336</v>
      </c>
      <c r="B97" s="112">
        <v>11.25</v>
      </c>
      <c r="C97" s="112">
        <v>13.11</v>
      </c>
      <c r="D97" s="112">
        <v>25.01</v>
      </c>
      <c r="E97" s="112">
        <v>22.11</v>
      </c>
      <c r="F97" s="112">
        <v>24.44</v>
      </c>
      <c r="G97" s="112">
        <v>78.94</v>
      </c>
      <c r="H97" s="112">
        <v>16.66</v>
      </c>
      <c r="I97" s="112">
        <v>6.41</v>
      </c>
      <c r="J97" s="112">
        <v>0.57999999999999996</v>
      </c>
      <c r="K97" s="112">
        <v>83.44</v>
      </c>
      <c r="L97" s="112">
        <v>33.21</v>
      </c>
      <c r="M97" s="112">
        <v>39.369999999999997</v>
      </c>
      <c r="N97" s="112">
        <v>0</v>
      </c>
      <c r="O97" s="112">
        <v>0</v>
      </c>
      <c r="P97" s="112">
        <v>0.62</v>
      </c>
      <c r="Q97" s="167" t="s">
        <v>14</v>
      </c>
    </row>
    <row r="98" spans="1:22" customFormat="1">
      <c r="A98" s="80">
        <v>45432.9375</v>
      </c>
      <c r="B98" s="112">
        <v>11.23</v>
      </c>
      <c r="C98" s="112">
        <v>13.15</v>
      </c>
      <c r="D98" s="112">
        <v>25.02</v>
      </c>
      <c r="E98" s="112">
        <v>14.96</v>
      </c>
      <c r="F98" s="112">
        <v>11.2</v>
      </c>
      <c r="G98" s="112">
        <v>82.87</v>
      </c>
      <c r="H98" s="112">
        <v>16.66</v>
      </c>
      <c r="I98" s="112">
        <v>5.79</v>
      </c>
      <c r="J98" s="112">
        <v>0.62</v>
      </c>
      <c r="K98" s="112">
        <v>122.85</v>
      </c>
      <c r="L98" s="112">
        <v>32.01</v>
      </c>
      <c r="M98" s="112">
        <v>45.31</v>
      </c>
      <c r="N98" s="112">
        <v>0</v>
      </c>
      <c r="O98" s="112">
        <v>0</v>
      </c>
      <c r="P98" s="112">
        <v>0.65</v>
      </c>
      <c r="Q98" s="167" t="s">
        <v>14</v>
      </c>
    </row>
    <row r="99" spans="1:22" customFormat="1">
      <c r="A99" s="80">
        <v>45432.947916666664</v>
      </c>
      <c r="B99" s="112">
        <v>11.21</v>
      </c>
      <c r="C99" s="112">
        <v>13.16</v>
      </c>
      <c r="D99" s="112">
        <v>25.01</v>
      </c>
      <c r="E99" s="112">
        <v>13.08</v>
      </c>
      <c r="F99" s="112">
        <v>9.17</v>
      </c>
      <c r="G99" s="112">
        <v>82.87</v>
      </c>
      <c r="H99" s="112">
        <v>16.66</v>
      </c>
      <c r="I99" s="112">
        <v>5.65</v>
      </c>
      <c r="J99" s="112">
        <v>0.64</v>
      </c>
      <c r="K99" s="112">
        <v>105.02</v>
      </c>
      <c r="L99" s="112">
        <v>30.01</v>
      </c>
      <c r="M99" s="112">
        <v>51.79</v>
      </c>
      <c r="N99" s="112">
        <v>0</v>
      </c>
      <c r="O99" s="112">
        <v>0</v>
      </c>
      <c r="P99" s="112">
        <v>0.64</v>
      </c>
      <c r="Q99" s="167" t="s">
        <v>14</v>
      </c>
    </row>
    <row r="100" spans="1:22" customFormat="1">
      <c r="A100" s="80">
        <v>45432.958333333336</v>
      </c>
      <c r="B100" s="112">
        <v>11.21</v>
      </c>
      <c r="C100" s="112">
        <v>13.12</v>
      </c>
      <c r="D100" s="112">
        <v>24.99</v>
      </c>
      <c r="E100" s="112">
        <v>11.46</v>
      </c>
      <c r="F100" s="112">
        <v>12.83</v>
      </c>
      <c r="G100" s="112">
        <v>82.87</v>
      </c>
      <c r="H100" s="112">
        <v>16.66</v>
      </c>
      <c r="I100" s="112">
        <v>6.29</v>
      </c>
      <c r="J100" s="112">
        <v>0.45</v>
      </c>
      <c r="K100" s="112">
        <v>112.03</v>
      </c>
      <c r="L100" s="112">
        <v>29.4</v>
      </c>
      <c r="M100" s="112">
        <v>52.62</v>
      </c>
      <c r="N100" s="112">
        <v>0</v>
      </c>
      <c r="O100" s="112">
        <v>0</v>
      </c>
      <c r="P100" s="112">
        <v>0.61</v>
      </c>
      <c r="Q100" s="167" t="s">
        <v>14</v>
      </c>
    </row>
    <row r="101" spans="1:22" customFormat="1">
      <c r="A101" s="80">
        <v>45432.96875</v>
      </c>
      <c r="B101" s="112">
        <v>11.19</v>
      </c>
      <c r="C101" s="112">
        <v>13.1</v>
      </c>
      <c r="D101" s="112">
        <v>24.96</v>
      </c>
      <c r="E101" s="112">
        <v>11.93</v>
      </c>
      <c r="F101" s="112">
        <v>22.05</v>
      </c>
      <c r="G101" s="112">
        <v>66.760000000000005</v>
      </c>
      <c r="H101" s="112">
        <v>15.38</v>
      </c>
      <c r="I101" s="112">
        <v>6.27</v>
      </c>
      <c r="J101" s="112">
        <v>0.41</v>
      </c>
      <c r="K101" s="112">
        <v>135.94999999999999</v>
      </c>
      <c r="L101" s="112">
        <v>29.79</v>
      </c>
      <c r="M101" s="112">
        <v>51.11</v>
      </c>
      <c r="N101" s="112">
        <v>0</v>
      </c>
      <c r="O101" s="112">
        <v>0</v>
      </c>
      <c r="P101" s="112">
        <v>0.57999999999999996</v>
      </c>
      <c r="Q101" s="112">
        <v>4.93</v>
      </c>
    </row>
    <row r="102" spans="1:22" customFormat="1">
      <c r="A102" s="80">
        <v>45432.979166666664</v>
      </c>
      <c r="B102" s="112">
        <v>11.18</v>
      </c>
      <c r="C102" s="112">
        <v>13.09</v>
      </c>
      <c r="D102" s="112">
        <v>24.95</v>
      </c>
      <c r="E102" s="112">
        <v>13.81</v>
      </c>
      <c r="F102" s="112">
        <v>32.200000000000003</v>
      </c>
      <c r="G102" s="112">
        <v>63.01</v>
      </c>
      <c r="H102" s="112">
        <v>15.38</v>
      </c>
      <c r="I102" s="112">
        <v>5.97</v>
      </c>
      <c r="J102" s="112">
        <v>0.12</v>
      </c>
      <c r="K102" s="112">
        <v>123.93</v>
      </c>
      <c r="L102" s="112">
        <v>30.05</v>
      </c>
      <c r="M102" s="112">
        <v>52.08</v>
      </c>
      <c r="N102" s="112">
        <v>0</v>
      </c>
      <c r="O102" s="112">
        <v>0</v>
      </c>
      <c r="P102" s="112">
        <v>0.52</v>
      </c>
      <c r="Q102" s="167" t="s">
        <v>14</v>
      </c>
    </row>
    <row r="103" spans="1:22" customFormat="1">
      <c r="A103" s="80">
        <v>45432.989583333336</v>
      </c>
      <c r="B103" s="112">
        <v>11.16</v>
      </c>
      <c r="C103" s="112">
        <v>13.08</v>
      </c>
      <c r="D103" s="112">
        <v>24.93</v>
      </c>
      <c r="E103" s="112">
        <v>15.63</v>
      </c>
      <c r="F103" s="112">
        <v>28.78</v>
      </c>
      <c r="G103" s="112">
        <v>63.01</v>
      </c>
      <c r="H103" s="112">
        <v>15.38</v>
      </c>
      <c r="I103" s="112">
        <v>5.32</v>
      </c>
      <c r="J103" s="112">
        <v>0.08</v>
      </c>
      <c r="K103" s="112">
        <v>88.43</v>
      </c>
      <c r="L103" s="112">
        <v>30.26</v>
      </c>
      <c r="M103" s="112">
        <v>51.12</v>
      </c>
      <c r="N103" s="112">
        <v>0</v>
      </c>
      <c r="O103" s="112">
        <v>0</v>
      </c>
      <c r="P103" s="112">
        <v>0.52</v>
      </c>
      <c r="Q103" s="167" t="s">
        <v>14</v>
      </c>
    </row>
    <row r="104" spans="1:22" customFormat="1">
      <c r="A104" s="80">
        <v>45433</v>
      </c>
      <c r="B104" s="112">
        <v>11.16</v>
      </c>
      <c r="C104" s="112">
        <v>13.09</v>
      </c>
      <c r="D104" s="112">
        <v>24.93</v>
      </c>
      <c r="E104" s="112">
        <v>15.04</v>
      </c>
      <c r="F104" s="112">
        <v>32.729999999999997</v>
      </c>
      <c r="G104" s="112">
        <v>63.01</v>
      </c>
      <c r="H104" s="112">
        <v>15.38</v>
      </c>
      <c r="I104" s="112">
        <v>5.04</v>
      </c>
      <c r="J104" s="112">
        <v>0.16</v>
      </c>
      <c r="K104" s="112">
        <v>117.15</v>
      </c>
      <c r="L104" s="112">
        <v>30.15</v>
      </c>
      <c r="M104" s="112">
        <v>50.12</v>
      </c>
      <c r="N104" s="112">
        <v>0</v>
      </c>
      <c r="O104" s="112">
        <v>0</v>
      </c>
      <c r="P104" s="112">
        <v>0.5</v>
      </c>
      <c r="Q104" s="112">
        <v>4.93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11.08</v>
      </c>
      <c r="C106" s="183">
        <f>MIN(C9:C104)</f>
        <v>13.06</v>
      </c>
      <c r="D106" s="183">
        <f t="shared" ref="D106:Q106" si="0">MIN(D9:D104)</f>
        <v>24.87</v>
      </c>
      <c r="E106" s="183">
        <f t="shared" si="0"/>
        <v>8.16</v>
      </c>
      <c r="F106" s="183">
        <f t="shared" si="0"/>
        <v>5.9</v>
      </c>
      <c r="G106" s="183">
        <f t="shared" si="0"/>
        <v>25.99</v>
      </c>
      <c r="H106" s="183">
        <f t="shared" si="0"/>
        <v>7.66</v>
      </c>
      <c r="I106" s="183">
        <f t="shared" si="0"/>
        <v>3.63</v>
      </c>
      <c r="J106" s="183">
        <f t="shared" si="0"/>
        <v>0.05</v>
      </c>
      <c r="K106" s="183">
        <f t="shared" si="0"/>
        <v>17.37</v>
      </c>
      <c r="L106" s="183">
        <f t="shared" si="0"/>
        <v>27.39</v>
      </c>
      <c r="M106" s="183">
        <f t="shared" si="0"/>
        <v>26.92</v>
      </c>
      <c r="N106" s="183">
        <f t="shared" si="0"/>
        <v>0</v>
      </c>
      <c r="O106" s="183">
        <f t="shared" si="0"/>
        <v>0</v>
      </c>
      <c r="P106" s="183">
        <f t="shared" si="0"/>
        <v>0.39</v>
      </c>
      <c r="Q106" s="183">
        <f t="shared" si="0"/>
        <v>4.88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11.29</v>
      </c>
      <c r="C107" s="184">
        <f t="shared" ref="C107:Q107" si="1">MAX(C9:C104)</f>
        <v>13.26</v>
      </c>
      <c r="D107" s="184">
        <f t="shared" si="1"/>
        <v>25.07</v>
      </c>
      <c r="E107" s="184">
        <f t="shared" si="1"/>
        <v>24.34</v>
      </c>
      <c r="F107" s="184">
        <f t="shared" si="1"/>
        <v>50.97</v>
      </c>
      <c r="G107" s="184">
        <f t="shared" si="1"/>
        <v>82.87</v>
      </c>
      <c r="H107" s="184">
        <f t="shared" si="1"/>
        <v>18.510000000000002</v>
      </c>
      <c r="I107" s="184">
        <f t="shared" si="1"/>
        <v>9.8699999999999992</v>
      </c>
      <c r="J107" s="184">
        <f t="shared" si="1"/>
        <v>2.41</v>
      </c>
      <c r="K107" s="184">
        <f t="shared" si="1"/>
        <v>352.74</v>
      </c>
      <c r="L107" s="184">
        <f t="shared" si="1"/>
        <v>41.02</v>
      </c>
      <c r="M107" s="184">
        <f t="shared" si="1"/>
        <v>58.8</v>
      </c>
      <c r="N107" s="184">
        <f t="shared" si="1"/>
        <v>838.9</v>
      </c>
      <c r="O107" s="184">
        <f t="shared" si="1"/>
        <v>0</v>
      </c>
      <c r="P107" s="184">
        <f t="shared" si="1"/>
        <v>1.1200000000000001</v>
      </c>
      <c r="Q107" s="184">
        <f t="shared" si="1"/>
        <v>5.27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11.196666666666673</v>
      </c>
      <c r="C108" s="183">
        <f t="shared" ref="C108:Q108" si="2">AVERAGE(C9:C104)</f>
        <v>13.110937500000006</v>
      </c>
      <c r="D108" s="183">
        <f t="shared" si="2"/>
        <v>24.971979166666689</v>
      </c>
      <c r="E108" s="183">
        <f t="shared" si="2"/>
        <v>13.896979166666663</v>
      </c>
      <c r="F108" s="183">
        <f t="shared" si="2"/>
        <v>21.837812500000002</v>
      </c>
      <c r="G108" s="183">
        <f t="shared" si="2"/>
        <v>39.086249999999978</v>
      </c>
      <c r="H108" s="183">
        <f t="shared" si="2"/>
        <v>11.853750000000007</v>
      </c>
      <c r="I108" s="183">
        <f t="shared" si="2"/>
        <v>5.0270833333333336</v>
      </c>
      <c r="J108" s="183">
        <f t="shared" si="2"/>
        <v>0.72416666666666651</v>
      </c>
      <c r="K108" s="183">
        <f t="shared" si="2"/>
        <v>230.7973958333333</v>
      </c>
      <c r="L108" s="183">
        <f t="shared" si="2"/>
        <v>33.836875000000013</v>
      </c>
      <c r="M108" s="183">
        <f t="shared" si="2"/>
        <v>42.788125000000008</v>
      </c>
      <c r="N108" s="183">
        <f t="shared" si="2"/>
        <v>163.87812499999998</v>
      </c>
      <c r="O108" s="183">
        <f t="shared" si="2"/>
        <v>0</v>
      </c>
      <c r="P108" s="183">
        <f t="shared" si="2"/>
        <v>0.51906250000000009</v>
      </c>
      <c r="Q108" s="183">
        <f t="shared" si="2"/>
        <v>4.93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5.5358480863448356E-2</v>
      </c>
      <c r="C109" s="183">
        <f t="shared" ref="C109:Q109" si="3">STDEV(C9:C104)</f>
        <v>3.1223409739960739E-2</v>
      </c>
      <c r="D109" s="183">
        <f t="shared" si="3"/>
        <v>5.0065636742741608E-2</v>
      </c>
      <c r="E109" s="183">
        <f t="shared" si="3"/>
        <v>4.1607580584088435</v>
      </c>
      <c r="F109" s="183">
        <f t="shared" si="3"/>
        <v>12.036466364049486</v>
      </c>
      <c r="G109" s="183">
        <f t="shared" si="3"/>
        <v>12.882751524503883</v>
      </c>
      <c r="H109" s="183">
        <f t="shared" si="3"/>
        <v>2.7896059899109771</v>
      </c>
      <c r="I109" s="183">
        <f t="shared" si="3"/>
        <v>1.0929823195629442</v>
      </c>
      <c r="J109" s="183">
        <f t="shared" si="3"/>
        <v>0.55304452407924198</v>
      </c>
      <c r="K109" s="183">
        <f t="shared" si="3"/>
        <v>80.036118783890558</v>
      </c>
      <c r="L109" s="183">
        <f t="shared" si="3"/>
        <v>4.444212869149565</v>
      </c>
      <c r="M109" s="183">
        <f t="shared" si="3"/>
        <v>10.294910782824449</v>
      </c>
      <c r="N109" s="183">
        <f t="shared" si="3"/>
        <v>254.95696198342145</v>
      </c>
      <c r="O109" s="183">
        <f t="shared" si="3"/>
        <v>0</v>
      </c>
      <c r="P109" s="183">
        <f t="shared" si="3"/>
        <v>0.10824026028871246</v>
      </c>
      <c r="Q109" s="183">
        <f t="shared" si="3"/>
        <v>9.0672093675062487E-2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29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87" activePane="bottomRight" state="frozen"/>
      <selection activeCell="A9" sqref="A9"/>
      <selection pane="topRight" activeCell="A9" sqref="A9"/>
      <selection pane="bottomLeft" activeCell="A9" sqref="A9"/>
      <selection pane="bottomRight" activeCell="B110" sqref="B110:D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45433.010416666664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45433.010416666664</v>
      </c>
      <c r="B9" s="112">
        <v>11.22</v>
      </c>
      <c r="C9" s="112">
        <v>13.09</v>
      </c>
      <c r="D9" s="112">
        <v>24.98</v>
      </c>
      <c r="E9" s="112">
        <v>14.29</v>
      </c>
      <c r="F9" s="112">
        <v>39.29</v>
      </c>
      <c r="G9" s="112">
        <v>34.909999999999997</v>
      </c>
      <c r="H9" s="112">
        <v>13.41</v>
      </c>
      <c r="I9" s="112">
        <v>5.39</v>
      </c>
      <c r="J9" s="112">
        <v>0.12</v>
      </c>
      <c r="K9" s="112">
        <v>245.98</v>
      </c>
      <c r="L9" s="112">
        <v>29.95</v>
      </c>
      <c r="M9" s="112">
        <v>51.99</v>
      </c>
      <c r="N9" s="112">
        <v>0</v>
      </c>
      <c r="O9" s="112">
        <v>0</v>
      </c>
      <c r="P9" s="112">
        <v>0.47</v>
      </c>
      <c r="Q9" s="112">
        <v>4.96</v>
      </c>
    </row>
    <row r="10" spans="1:21" customFormat="1">
      <c r="A10" s="80">
        <v>45433.020833333336</v>
      </c>
      <c r="B10" s="112">
        <v>11.21</v>
      </c>
      <c r="C10" s="112">
        <v>13.09</v>
      </c>
      <c r="D10" s="112">
        <v>24.97</v>
      </c>
      <c r="E10" s="112">
        <v>14.35</v>
      </c>
      <c r="F10" s="112">
        <v>35.97</v>
      </c>
      <c r="G10" s="112">
        <v>28.37</v>
      </c>
      <c r="H10" s="112">
        <v>13.41</v>
      </c>
      <c r="I10" s="112">
        <v>5.69</v>
      </c>
      <c r="J10" s="112">
        <v>0.15</v>
      </c>
      <c r="K10" s="112">
        <v>110.86</v>
      </c>
      <c r="L10" s="112">
        <v>30.13</v>
      </c>
      <c r="M10" s="112">
        <v>53.86</v>
      </c>
      <c r="N10" s="112">
        <v>0</v>
      </c>
      <c r="O10" s="112">
        <v>0</v>
      </c>
      <c r="P10" s="112">
        <v>0.46</v>
      </c>
      <c r="Q10" s="167" t="s">
        <v>14</v>
      </c>
    </row>
    <row r="11" spans="1:21" customFormat="1">
      <c r="A11" s="80">
        <v>45433.03125</v>
      </c>
      <c r="B11" s="112">
        <v>11.2</v>
      </c>
      <c r="C11" s="112">
        <v>13.11</v>
      </c>
      <c r="D11" s="112">
        <v>24.97</v>
      </c>
      <c r="E11" s="112">
        <v>13.89</v>
      </c>
      <c r="F11" s="112">
        <v>24.89</v>
      </c>
      <c r="G11" s="112">
        <v>28.37</v>
      </c>
      <c r="H11" s="112">
        <v>13.41</v>
      </c>
      <c r="I11" s="112">
        <v>5.54</v>
      </c>
      <c r="J11" s="112">
        <v>0.35</v>
      </c>
      <c r="K11" s="112">
        <v>90.61</v>
      </c>
      <c r="L11" s="112">
        <v>30.28</v>
      </c>
      <c r="M11" s="112">
        <v>52.93</v>
      </c>
      <c r="N11" s="112">
        <v>0</v>
      </c>
      <c r="O11" s="112">
        <v>0</v>
      </c>
      <c r="P11" s="112">
        <v>0.49</v>
      </c>
      <c r="Q11" s="167" t="s">
        <v>14</v>
      </c>
    </row>
    <row r="12" spans="1:21" customFormat="1">
      <c r="A12" s="80">
        <v>45433.041666666664</v>
      </c>
      <c r="B12" s="112">
        <v>11.2</v>
      </c>
      <c r="C12" s="112">
        <v>13.11</v>
      </c>
      <c r="D12" s="112">
        <v>24.97</v>
      </c>
      <c r="E12" s="112">
        <v>12.26</v>
      </c>
      <c r="F12" s="112">
        <v>14.43</v>
      </c>
      <c r="G12" s="112">
        <v>28.37</v>
      </c>
      <c r="H12" s="112">
        <v>13.41</v>
      </c>
      <c r="I12" s="112">
        <v>4.93</v>
      </c>
      <c r="J12" s="112">
        <v>0.43</v>
      </c>
      <c r="K12" s="112">
        <v>118.81</v>
      </c>
      <c r="L12" s="112">
        <v>29.72</v>
      </c>
      <c r="M12" s="112">
        <v>53.02</v>
      </c>
      <c r="N12" s="112">
        <v>0</v>
      </c>
      <c r="O12" s="112">
        <v>0</v>
      </c>
      <c r="P12" s="112">
        <v>0.5</v>
      </c>
      <c r="Q12" s="167" t="s">
        <v>14</v>
      </c>
    </row>
    <row r="13" spans="1:21" customFormat="1">
      <c r="A13" s="80">
        <v>45433.052083333336</v>
      </c>
      <c r="B13" s="112">
        <v>11.2</v>
      </c>
      <c r="C13" s="112">
        <v>13.08</v>
      </c>
      <c r="D13" s="112">
        <v>24.96</v>
      </c>
      <c r="E13" s="112">
        <v>12.97</v>
      </c>
      <c r="F13" s="112">
        <v>11.79</v>
      </c>
      <c r="G13" s="112">
        <v>31.79</v>
      </c>
      <c r="H13" s="112">
        <v>14.14</v>
      </c>
      <c r="I13" s="112">
        <v>5.34</v>
      </c>
      <c r="J13" s="112">
        <v>0.44</v>
      </c>
      <c r="K13" s="112">
        <v>100.75</v>
      </c>
      <c r="L13" s="112">
        <v>28.9</v>
      </c>
      <c r="M13" s="112">
        <v>54.9</v>
      </c>
      <c r="N13" s="112">
        <v>0</v>
      </c>
      <c r="O13" s="112">
        <v>0</v>
      </c>
      <c r="P13" s="112">
        <v>0.51</v>
      </c>
      <c r="Q13" s="167" t="s">
        <v>14</v>
      </c>
    </row>
    <row r="14" spans="1:21" customFormat="1">
      <c r="A14" s="80">
        <v>45433.0625</v>
      </c>
      <c r="B14" s="112">
        <v>11.21</v>
      </c>
      <c r="C14" s="112">
        <v>13.06</v>
      </c>
      <c r="D14" s="112">
        <v>24.96</v>
      </c>
      <c r="E14" s="112">
        <v>11.69</v>
      </c>
      <c r="F14" s="112">
        <v>9.58</v>
      </c>
      <c r="G14" s="112">
        <v>32.590000000000003</v>
      </c>
      <c r="H14" s="112">
        <v>14.14</v>
      </c>
      <c r="I14" s="112">
        <v>5.85</v>
      </c>
      <c r="J14" s="112">
        <v>0.42</v>
      </c>
      <c r="K14" s="112">
        <v>109.62</v>
      </c>
      <c r="L14" s="112">
        <v>28.66</v>
      </c>
      <c r="M14" s="112">
        <v>58.78</v>
      </c>
      <c r="N14" s="112">
        <v>0</v>
      </c>
      <c r="O14" s="112">
        <v>0</v>
      </c>
      <c r="P14" s="112">
        <v>0.52</v>
      </c>
      <c r="Q14" s="167" t="s">
        <v>14</v>
      </c>
    </row>
    <row r="15" spans="1:21" customFormat="1">
      <c r="A15" s="80">
        <v>45433.072916666664</v>
      </c>
      <c r="B15" s="112">
        <v>11.2</v>
      </c>
      <c r="C15" s="112">
        <v>13.07</v>
      </c>
      <c r="D15" s="112">
        <v>24.96</v>
      </c>
      <c r="E15" s="112">
        <v>11.11</v>
      </c>
      <c r="F15" s="112">
        <v>9.2899999999999991</v>
      </c>
      <c r="G15" s="112">
        <v>32.590000000000003</v>
      </c>
      <c r="H15" s="112">
        <v>14.14</v>
      </c>
      <c r="I15" s="112">
        <v>5.66</v>
      </c>
      <c r="J15" s="112">
        <v>0.45</v>
      </c>
      <c r="K15" s="112">
        <v>133.16999999999999</v>
      </c>
      <c r="L15" s="112">
        <v>28.37</v>
      </c>
      <c r="M15" s="112">
        <v>62.75</v>
      </c>
      <c r="N15" s="112">
        <v>0</v>
      </c>
      <c r="O15" s="112">
        <v>0</v>
      </c>
      <c r="P15" s="112">
        <v>0.52</v>
      </c>
      <c r="Q15" s="167" t="s">
        <v>14</v>
      </c>
    </row>
    <row r="16" spans="1:21" customFormat="1">
      <c r="A16" s="80">
        <v>45433.083333333336</v>
      </c>
      <c r="B16" s="112">
        <v>11.2</v>
      </c>
      <c r="C16" s="112">
        <v>13.1</v>
      </c>
      <c r="D16" s="112">
        <v>24.97</v>
      </c>
      <c r="E16" s="112">
        <v>11.94</v>
      </c>
      <c r="F16" s="112">
        <v>8.4</v>
      </c>
      <c r="G16" s="112">
        <v>32.590000000000003</v>
      </c>
      <c r="H16" s="112">
        <v>14.14</v>
      </c>
      <c r="I16" s="112">
        <v>5.64</v>
      </c>
      <c r="J16" s="112">
        <v>0.39</v>
      </c>
      <c r="K16" s="112">
        <v>128.52000000000001</v>
      </c>
      <c r="L16" s="112">
        <v>28.21</v>
      </c>
      <c r="M16" s="112">
        <v>62.7</v>
      </c>
      <c r="N16" s="112">
        <v>0</v>
      </c>
      <c r="O16" s="112">
        <v>0</v>
      </c>
      <c r="P16" s="112">
        <v>0.51</v>
      </c>
      <c r="Q16" s="167" t="s">
        <v>14</v>
      </c>
    </row>
    <row r="17" spans="1:17" customFormat="1">
      <c r="A17" s="80">
        <v>45433.09375</v>
      </c>
      <c r="B17" s="112">
        <v>11.19</v>
      </c>
      <c r="C17" s="112">
        <v>13.13</v>
      </c>
      <c r="D17" s="112">
        <v>24.98</v>
      </c>
      <c r="E17" s="112">
        <v>9.42</v>
      </c>
      <c r="F17" s="112">
        <v>10.35</v>
      </c>
      <c r="G17" s="112">
        <v>26.16</v>
      </c>
      <c r="H17" s="112">
        <v>12.56</v>
      </c>
      <c r="I17" s="112">
        <v>5.47</v>
      </c>
      <c r="J17" s="112">
        <v>0.13</v>
      </c>
      <c r="K17" s="112">
        <v>126.64</v>
      </c>
      <c r="L17" s="112">
        <v>28.26</v>
      </c>
      <c r="M17" s="112">
        <v>61.23</v>
      </c>
      <c r="N17" s="112">
        <v>0</v>
      </c>
      <c r="O17" s="112">
        <v>0</v>
      </c>
      <c r="P17" s="112">
        <v>0.5</v>
      </c>
      <c r="Q17" s="167" t="s">
        <v>14</v>
      </c>
    </row>
    <row r="18" spans="1:17" customFormat="1">
      <c r="A18" s="80">
        <v>45433.104166666664</v>
      </c>
      <c r="B18" s="112">
        <v>11.2</v>
      </c>
      <c r="C18" s="112">
        <v>13.08</v>
      </c>
      <c r="D18" s="112">
        <v>24.96</v>
      </c>
      <c r="E18" s="112">
        <v>10.57</v>
      </c>
      <c r="F18" s="112">
        <v>11.51</v>
      </c>
      <c r="G18" s="112">
        <v>24.66</v>
      </c>
      <c r="H18" s="112">
        <v>12.56</v>
      </c>
      <c r="I18" s="112">
        <v>5.33</v>
      </c>
      <c r="J18" s="112">
        <v>0.2</v>
      </c>
      <c r="K18" s="112">
        <v>120.13</v>
      </c>
      <c r="L18" s="112">
        <v>28.38</v>
      </c>
      <c r="M18" s="112">
        <v>59.96</v>
      </c>
      <c r="N18" s="112">
        <v>0</v>
      </c>
      <c r="O18" s="112">
        <v>0</v>
      </c>
      <c r="P18" s="112">
        <v>0.49</v>
      </c>
      <c r="Q18" s="167" t="s">
        <v>14</v>
      </c>
    </row>
    <row r="19" spans="1:17" customFormat="1">
      <c r="A19" s="80">
        <v>45433.114583333336</v>
      </c>
      <c r="B19" s="112">
        <v>11.19</v>
      </c>
      <c r="C19" s="112">
        <v>13.12</v>
      </c>
      <c r="D19" s="112">
        <v>24.97</v>
      </c>
      <c r="E19" s="112">
        <v>12.11</v>
      </c>
      <c r="F19" s="112">
        <v>10.57</v>
      </c>
      <c r="G19" s="112">
        <v>24.66</v>
      </c>
      <c r="H19" s="112">
        <v>12.56</v>
      </c>
      <c r="I19" s="112">
        <v>5.19</v>
      </c>
      <c r="J19" s="112">
        <v>0</v>
      </c>
      <c r="K19" s="112">
        <v>164.99</v>
      </c>
      <c r="L19" s="112">
        <v>28.43</v>
      </c>
      <c r="M19" s="112">
        <v>60.51</v>
      </c>
      <c r="N19" s="112">
        <v>0</v>
      </c>
      <c r="O19" s="112">
        <v>0</v>
      </c>
      <c r="P19" s="112">
        <v>0.49</v>
      </c>
      <c r="Q19" s="167" t="s">
        <v>14</v>
      </c>
    </row>
    <row r="20" spans="1:17" customFormat="1">
      <c r="A20" s="80">
        <v>45433.125</v>
      </c>
      <c r="B20" s="112">
        <v>11.19</v>
      </c>
      <c r="C20" s="112">
        <v>13.1</v>
      </c>
      <c r="D20" s="112">
        <v>24.97</v>
      </c>
      <c r="E20" s="112">
        <v>11.66</v>
      </c>
      <c r="F20" s="112">
        <v>13.06</v>
      </c>
      <c r="G20" s="112">
        <v>24.66</v>
      </c>
      <c r="H20" s="112">
        <v>12.56</v>
      </c>
      <c r="I20" s="112">
        <v>5.05</v>
      </c>
      <c r="J20" s="112">
        <v>0.2</v>
      </c>
      <c r="K20" s="112">
        <v>276.54000000000002</v>
      </c>
      <c r="L20" s="112">
        <v>28.28</v>
      </c>
      <c r="M20" s="112">
        <v>60.69</v>
      </c>
      <c r="N20" s="112">
        <v>0</v>
      </c>
      <c r="O20" s="112">
        <v>0</v>
      </c>
      <c r="P20" s="112">
        <v>0.47</v>
      </c>
      <c r="Q20" s="167" t="s">
        <v>14</v>
      </c>
    </row>
    <row r="21" spans="1:17" customFormat="1">
      <c r="A21" s="80">
        <v>45433.135416666664</v>
      </c>
      <c r="B21" s="112">
        <v>11.2</v>
      </c>
      <c r="C21" s="112">
        <v>13.07</v>
      </c>
      <c r="D21" s="112">
        <v>24.96</v>
      </c>
      <c r="E21" s="112">
        <v>12.12</v>
      </c>
      <c r="F21" s="112">
        <v>11.08</v>
      </c>
      <c r="G21" s="112">
        <v>22.38</v>
      </c>
      <c r="H21" s="112">
        <v>10.3</v>
      </c>
      <c r="I21" s="112">
        <v>4.99</v>
      </c>
      <c r="J21" s="112">
        <v>0.38</v>
      </c>
      <c r="K21" s="112">
        <v>257.77999999999997</v>
      </c>
      <c r="L21" s="112">
        <v>28.15</v>
      </c>
      <c r="M21" s="112">
        <v>60.37</v>
      </c>
      <c r="N21" s="112">
        <v>0</v>
      </c>
      <c r="O21" s="112">
        <v>0</v>
      </c>
      <c r="P21" s="112">
        <v>0.47</v>
      </c>
      <c r="Q21" s="167" t="s">
        <v>14</v>
      </c>
    </row>
    <row r="22" spans="1:17" customFormat="1">
      <c r="A22" s="80">
        <v>45433.145833333336</v>
      </c>
      <c r="B22" s="112">
        <v>11.19</v>
      </c>
      <c r="C22" s="112">
        <v>13.16</v>
      </c>
      <c r="D22" s="112">
        <v>25</v>
      </c>
      <c r="E22" s="112">
        <v>11.93</v>
      </c>
      <c r="F22" s="112">
        <v>8.61</v>
      </c>
      <c r="G22" s="112">
        <v>21.84</v>
      </c>
      <c r="H22" s="112">
        <v>10.3</v>
      </c>
      <c r="I22" s="112">
        <v>4.84</v>
      </c>
      <c r="J22" s="112">
        <v>0.37</v>
      </c>
      <c r="K22" s="112">
        <v>252.27</v>
      </c>
      <c r="L22" s="112">
        <v>28.31</v>
      </c>
      <c r="M22" s="112">
        <v>59.58</v>
      </c>
      <c r="N22" s="112">
        <v>0</v>
      </c>
      <c r="O22" s="112">
        <v>0</v>
      </c>
      <c r="P22" s="112">
        <v>0.47</v>
      </c>
      <c r="Q22" s="167" t="s">
        <v>14</v>
      </c>
    </row>
    <row r="23" spans="1:17" customFormat="1">
      <c r="A23" s="80">
        <v>45433.15625</v>
      </c>
      <c r="B23" s="112">
        <v>11.18</v>
      </c>
      <c r="C23" s="112">
        <v>13.17</v>
      </c>
      <c r="D23" s="112">
        <v>24.99</v>
      </c>
      <c r="E23" s="112">
        <v>11.99</v>
      </c>
      <c r="F23" s="112">
        <v>10.37</v>
      </c>
      <c r="G23" s="112">
        <v>21.84</v>
      </c>
      <c r="H23" s="112">
        <v>10.3</v>
      </c>
      <c r="I23" s="112">
        <v>4.8</v>
      </c>
      <c r="J23" s="112">
        <v>0.34</v>
      </c>
      <c r="K23" s="112">
        <v>240.21</v>
      </c>
      <c r="L23" s="112">
        <v>28.19</v>
      </c>
      <c r="M23" s="112">
        <v>60.28</v>
      </c>
      <c r="N23" s="112">
        <v>0</v>
      </c>
      <c r="O23" s="112">
        <v>0</v>
      </c>
      <c r="P23" s="112">
        <v>0.46</v>
      </c>
      <c r="Q23" s="167" t="s">
        <v>14</v>
      </c>
    </row>
    <row r="24" spans="1:17" customFormat="1">
      <c r="A24" s="80">
        <v>45433.166666666664</v>
      </c>
      <c r="B24" s="112">
        <v>11.2</v>
      </c>
      <c r="C24" s="112">
        <v>13.13</v>
      </c>
      <c r="D24" s="112">
        <v>24.99</v>
      </c>
      <c r="E24" s="112">
        <v>11.48</v>
      </c>
      <c r="F24" s="112">
        <v>7.56</v>
      </c>
      <c r="G24" s="112">
        <v>21.84</v>
      </c>
      <c r="H24" s="112">
        <v>10.3</v>
      </c>
      <c r="I24" s="112">
        <v>4.74</v>
      </c>
      <c r="J24" s="112">
        <v>0.43</v>
      </c>
      <c r="K24" s="112">
        <v>244.42</v>
      </c>
      <c r="L24" s="112">
        <v>28.06</v>
      </c>
      <c r="M24" s="112">
        <v>60.02</v>
      </c>
      <c r="N24" s="112">
        <v>0</v>
      </c>
      <c r="O24" s="112">
        <v>0</v>
      </c>
      <c r="P24" s="112">
        <v>0.46</v>
      </c>
      <c r="Q24" s="167" t="s">
        <v>14</v>
      </c>
    </row>
    <row r="25" spans="1:17" customFormat="1">
      <c r="A25" s="80">
        <v>45433.177083333336</v>
      </c>
      <c r="B25" s="112">
        <v>11.19</v>
      </c>
      <c r="C25" s="112">
        <v>13.12</v>
      </c>
      <c r="D25" s="112">
        <v>24.97</v>
      </c>
      <c r="E25" s="112">
        <v>12.04</v>
      </c>
      <c r="F25" s="112">
        <v>9.8800000000000008</v>
      </c>
      <c r="G25" s="112">
        <v>20.23</v>
      </c>
      <c r="H25" s="112">
        <v>11.78</v>
      </c>
      <c r="I25" s="112">
        <v>4.66</v>
      </c>
      <c r="J25" s="112">
        <v>0.27</v>
      </c>
      <c r="K25" s="112">
        <v>235.28</v>
      </c>
      <c r="L25" s="112">
        <v>27.9</v>
      </c>
      <c r="M25" s="112">
        <v>59.88</v>
      </c>
      <c r="N25" s="112">
        <v>0</v>
      </c>
      <c r="O25" s="112">
        <v>0</v>
      </c>
      <c r="P25" s="112">
        <v>0.44</v>
      </c>
      <c r="Q25" s="112">
        <v>4.91</v>
      </c>
    </row>
    <row r="26" spans="1:17" customFormat="1">
      <c r="A26" s="80">
        <v>45433.1875</v>
      </c>
      <c r="B26" s="112">
        <v>11.2</v>
      </c>
      <c r="C26" s="112">
        <v>13.13</v>
      </c>
      <c r="D26" s="112">
        <v>24.99</v>
      </c>
      <c r="E26" s="112">
        <v>12.26</v>
      </c>
      <c r="F26" s="112">
        <v>9.34</v>
      </c>
      <c r="G26" s="112">
        <v>19.850000000000001</v>
      </c>
      <c r="H26" s="112">
        <v>11.78</v>
      </c>
      <c r="I26" s="112">
        <v>4.57</v>
      </c>
      <c r="J26" s="112">
        <v>0.19</v>
      </c>
      <c r="K26" s="112">
        <v>127.81</v>
      </c>
      <c r="L26" s="112">
        <v>28.04</v>
      </c>
      <c r="M26" s="112">
        <v>58.87</v>
      </c>
      <c r="N26" s="112">
        <v>0</v>
      </c>
      <c r="O26" s="112">
        <v>0</v>
      </c>
      <c r="P26" s="112">
        <v>0.44</v>
      </c>
      <c r="Q26" s="112">
        <v>4.9400000000000004</v>
      </c>
    </row>
    <row r="27" spans="1:17" customFormat="1">
      <c r="A27" s="80">
        <v>45433.197916666664</v>
      </c>
      <c r="B27" s="112">
        <v>11.22</v>
      </c>
      <c r="C27" s="112">
        <v>13.11</v>
      </c>
      <c r="D27" s="112">
        <v>24.99</v>
      </c>
      <c r="E27" s="112">
        <v>12.48</v>
      </c>
      <c r="F27" s="112">
        <v>9</v>
      </c>
      <c r="G27" s="112">
        <v>19.850000000000001</v>
      </c>
      <c r="H27" s="112">
        <v>11.78</v>
      </c>
      <c r="I27" s="112">
        <v>4.54</v>
      </c>
      <c r="J27" s="112">
        <v>0.15</v>
      </c>
      <c r="K27" s="112">
        <v>98.36</v>
      </c>
      <c r="L27" s="112">
        <v>27.84</v>
      </c>
      <c r="M27" s="112">
        <v>59.77</v>
      </c>
      <c r="N27" s="112">
        <v>0</v>
      </c>
      <c r="O27" s="112">
        <v>0</v>
      </c>
      <c r="P27" s="112">
        <v>0.45</v>
      </c>
      <c r="Q27" s="112">
        <v>4.9400000000000004</v>
      </c>
    </row>
    <row r="28" spans="1:17" customFormat="1">
      <c r="A28" s="80">
        <v>45433.208333333336</v>
      </c>
      <c r="B28" s="112">
        <v>11.21</v>
      </c>
      <c r="C28" s="112">
        <v>13.11</v>
      </c>
      <c r="D28" s="112">
        <v>24.99</v>
      </c>
      <c r="E28" s="112">
        <v>12.46</v>
      </c>
      <c r="F28" s="112">
        <v>8.43</v>
      </c>
      <c r="G28" s="112">
        <v>19.850000000000001</v>
      </c>
      <c r="H28" s="112">
        <v>11.78</v>
      </c>
      <c r="I28" s="112">
        <v>4.46</v>
      </c>
      <c r="J28" s="112">
        <v>0.14000000000000001</v>
      </c>
      <c r="K28" s="112">
        <v>186.46</v>
      </c>
      <c r="L28" s="112">
        <v>27.79</v>
      </c>
      <c r="M28" s="112">
        <v>59.8</v>
      </c>
      <c r="N28" s="112">
        <v>0</v>
      </c>
      <c r="O28" s="112">
        <v>0</v>
      </c>
      <c r="P28" s="112">
        <v>0.45</v>
      </c>
      <c r="Q28" s="112">
        <v>4.91</v>
      </c>
    </row>
    <row r="29" spans="1:17" customFormat="1">
      <c r="A29" s="80">
        <v>45433.21875</v>
      </c>
      <c r="B29" s="112">
        <v>11.21</v>
      </c>
      <c r="C29" s="112">
        <v>13.11</v>
      </c>
      <c r="D29" s="112">
        <v>24.98</v>
      </c>
      <c r="E29" s="112">
        <v>12.19</v>
      </c>
      <c r="F29" s="112">
        <v>7.92</v>
      </c>
      <c r="G29" s="112">
        <v>16.04</v>
      </c>
      <c r="H29" s="112">
        <v>8.8699999999999992</v>
      </c>
      <c r="I29" s="112">
        <v>4.37</v>
      </c>
      <c r="J29" s="112">
        <v>0.25</v>
      </c>
      <c r="K29" s="112">
        <v>148.31</v>
      </c>
      <c r="L29" s="112">
        <v>27.49</v>
      </c>
      <c r="M29" s="112">
        <v>62.79</v>
      </c>
      <c r="N29" s="112">
        <v>0</v>
      </c>
      <c r="O29" s="112">
        <v>0</v>
      </c>
      <c r="P29" s="112">
        <v>0.44</v>
      </c>
      <c r="Q29" s="167" t="s">
        <v>14</v>
      </c>
    </row>
    <row r="30" spans="1:17" customFormat="1">
      <c r="A30" s="80">
        <v>45433.229166666664</v>
      </c>
      <c r="B30" s="112">
        <v>11.22</v>
      </c>
      <c r="C30" s="112">
        <v>13.07</v>
      </c>
      <c r="D30" s="112">
        <v>24.97</v>
      </c>
      <c r="E30" s="112">
        <v>12.18</v>
      </c>
      <c r="F30" s="112">
        <v>7.6</v>
      </c>
      <c r="G30" s="112">
        <v>15.15</v>
      </c>
      <c r="H30" s="112">
        <v>8.8699999999999992</v>
      </c>
      <c r="I30" s="112">
        <v>4.3600000000000003</v>
      </c>
      <c r="J30" s="112">
        <v>0.22</v>
      </c>
      <c r="K30" s="112">
        <v>124.97</v>
      </c>
      <c r="L30" s="112">
        <v>27.17</v>
      </c>
      <c r="M30" s="112">
        <v>64.61</v>
      </c>
      <c r="N30" s="112">
        <v>0.3</v>
      </c>
      <c r="O30" s="112">
        <v>0</v>
      </c>
      <c r="P30" s="112">
        <v>0.43</v>
      </c>
      <c r="Q30" s="167" t="s">
        <v>14</v>
      </c>
    </row>
    <row r="31" spans="1:17" customFormat="1">
      <c r="A31" s="80">
        <v>45433.239583333336</v>
      </c>
      <c r="B31" s="112">
        <v>11.23</v>
      </c>
      <c r="C31" s="112">
        <v>13.09</v>
      </c>
      <c r="D31" s="112">
        <v>24.99</v>
      </c>
      <c r="E31" s="112">
        <v>11.99</v>
      </c>
      <c r="F31" s="112">
        <v>7.06</v>
      </c>
      <c r="G31" s="112">
        <v>15.15</v>
      </c>
      <c r="H31" s="112">
        <v>8.8699999999999992</v>
      </c>
      <c r="I31" s="112">
        <v>4.29</v>
      </c>
      <c r="J31" s="112">
        <v>0.24</v>
      </c>
      <c r="K31" s="112">
        <v>156.91</v>
      </c>
      <c r="L31" s="112">
        <v>27.19</v>
      </c>
      <c r="M31" s="112">
        <v>64.3</v>
      </c>
      <c r="N31" s="112">
        <v>7.5</v>
      </c>
      <c r="O31" s="112">
        <v>0</v>
      </c>
      <c r="P31" s="112">
        <v>0.43</v>
      </c>
      <c r="Q31" s="112">
        <v>4.92</v>
      </c>
    </row>
    <row r="32" spans="1:17" customFormat="1">
      <c r="A32" s="80">
        <v>45433.25</v>
      </c>
      <c r="B32" s="112">
        <v>11.22</v>
      </c>
      <c r="C32" s="112">
        <v>13.1</v>
      </c>
      <c r="D32" s="112">
        <v>24.99</v>
      </c>
      <c r="E32" s="112">
        <v>12.47</v>
      </c>
      <c r="F32" s="112">
        <v>6.44</v>
      </c>
      <c r="G32" s="112">
        <v>15.15</v>
      </c>
      <c r="H32" s="112">
        <v>8.8699999999999992</v>
      </c>
      <c r="I32" s="112">
        <v>4.29</v>
      </c>
      <c r="J32" s="112">
        <v>0.22</v>
      </c>
      <c r="K32" s="112">
        <v>153.97</v>
      </c>
      <c r="L32" s="112">
        <v>27.14</v>
      </c>
      <c r="M32" s="112">
        <v>65.010000000000005</v>
      </c>
      <c r="N32" s="112">
        <v>18.600000000000001</v>
      </c>
      <c r="O32" s="112">
        <v>0</v>
      </c>
      <c r="P32" s="112">
        <v>0.43</v>
      </c>
      <c r="Q32" s="112">
        <v>4.91</v>
      </c>
    </row>
    <row r="33" spans="1:17" customFormat="1">
      <c r="A33" s="80">
        <v>45433.260416666664</v>
      </c>
      <c r="B33" s="112">
        <v>11.22</v>
      </c>
      <c r="C33" s="112">
        <v>13.11</v>
      </c>
      <c r="D33" s="112">
        <v>24.99</v>
      </c>
      <c r="E33" s="112">
        <v>11.52</v>
      </c>
      <c r="F33" s="112">
        <v>7.19</v>
      </c>
      <c r="G33" s="112">
        <v>18.7</v>
      </c>
      <c r="H33" s="112">
        <v>9.81</v>
      </c>
      <c r="I33" s="112">
        <v>4.29</v>
      </c>
      <c r="J33" s="112">
        <v>0.01</v>
      </c>
      <c r="K33" s="112">
        <v>257.49</v>
      </c>
      <c r="L33" s="112">
        <v>27.24</v>
      </c>
      <c r="M33" s="112">
        <v>65.13</v>
      </c>
      <c r="N33" s="112">
        <v>35.200000000000003</v>
      </c>
      <c r="O33" s="112">
        <v>0</v>
      </c>
      <c r="P33" s="112">
        <v>0.44</v>
      </c>
      <c r="Q33" s="167" t="s">
        <v>14</v>
      </c>
    </row>
    <row r="34" spans="1:17" customFormat="1">
      <c r="A34" s="80">
        <v>45433.270833333336</v>
      </c>
      <c r="B34" s="112">
        <v>11.22</v>
      </c>
      <c r="C34" s="112">
        <v>13.09</v>
      </c>
      <c r="D34" s="112">
        <v>24.98</v>
      </c>
      <c r="E34" s="112">
        <v>11.82</v>
      </c>
      <c r="F34" s="112">
        <v>6.95</v>
      </c>
      <c r="G34" s="112">
        <v>19.53</v>
      </c>
      <c r="H34" s="112">
        <v>9.81</v>
      </c>
      <c r="I34" s="112">
        <v>4.22</v>
      </c>
      <c r="J34" s="112">
        <v>0.38</v>
      </c>
      <c r="K34" s="112">
        <v>260.89</v>
      </c>
      <c r="L34" s="112">
        <v>27.34</v>
      </c>
      <c r="M34" s="112">
        <v>64.540000000000006</v>
      </c>
      <c r="N34" s="112">
        <v>49.5</v>
      </c>
      <c r="O34" s="112">
        <v>0</v>
      </c>
      <c r="P34" s="112">
        <v>0.43</v>
      </c>
      <c r="Q34" s="112">
        <v>4.91</v>
      </c>
    </row>
    <row r="35" spans="1:17" customFormat="1">
      <c r="A35" s="80">
        <v>45433.28125</v>
      </c>
      <c r="B35" s="112">
        <v>11.24</v>
      </c>
      <c r="C35" s="112">
        <v>13.07</v>
      </c>
      <c r="D35" s="112">
        <v>24.99</v>
      </c>
      <c r="E35" s="112">
        <v>12.22</v>
      </c>
      <c r="F35" s="112">
        <v>7.44</v>
      </c>
      <c r="G35" s="112">
        <v>19.53</v>
      </c>
      <c r="H35" s="112">
        <v>9.81</v>
      </c>
      <c r="I35" s="112">
        <v>4.21</v>
      </c>
      <c r="J35" s="112">
        <v>0.52</v>
      </c>
      <c r="K35" s="112">
        <v>281.33999999999997</v>
      </c>
      <c r="L35" s="112">
        <v>27.68</v>
      </c>
      <c r="M35" s="112">
        <v>63.09</v>
      </c>
      <c r="N35" s="112">
        <v>61.9</v>
      </c>
      <c r="O35" s="112">
        <v>0</v>
      </c>
      <c r="P35" s="112">
        <v>0.43</v>
      </c>
      <c r="Q35" s="112">
        <v>4.91</v>
      </c>
    </row>
    <row r="36" spans="1:17" customFormat="1">
      <c r="A36" s="80">
        <v>45433.291666666664</v>
      </c>
      <c r="B36" s="112">
        <v>11.23</v>
      </c>
      <c r="C36" s="112">
        <v>13.11</v>
      </c>
      <c r="D36" s="112">
        <v>25</v>
      </c>
      <c r="E36" s="112">
        <v>11.61</v>
      </c>
      <c r="F36" s="112">
        <v>10.24</v>
      </c>
      <c r="G36" s="112">
        <v>19.53</v>
      </c>
      <c r="H36" s="112">
        <v>9.81</v>
      </c>
      <c r="I36" s="112">
        <v>4.25</v>
      </c>
      <c r="J36" s="112">
        <v>0.59</v>
      </c>
      <c r="K36" s="112">
        <v>259.83</v>
      </c>
      <c r="L36" s="112">
        <v>28.06</v>
      </c>
      <c r="M36" s="112">
        <v>61.18</v>
      </c>
      <c r="N36" s="112">
        <v>77.7</v>
      </c>
      <c r="O36" s="112">
        <v>0</v>
      </c>
      <c r="P36" s="112">
        <v>0.42</v>
      </c>
      <c r="Q36" s="112">
        <v>4.92</v>
      </c>
    </row>
    <row r="37" spans="1:17" customFormat="1">
      <c r="A37" s="80">
        <v>45433.302083333336</v>
      </c>
      <c r="B37" s="112">
        <v>11.21</v>
      </c>
      <c r="C37" s="112">
        <v>13.13</v>
      </c>
      <c r="D37" s="112">
        <v>24.99</v>
      </c>
      <c r="E37" s="112">
        <v>11.13</v>
      </c>
      <c r="F37" s="112">
        <v>11.86</v>
      </c>
      <c r="G37" s="112">
        <v>20.09</v>
      </c>
      <c r="H37" s="112">
        <v>10.34</v>
      </c>
      <c r="I37" s="112">
        <v>4.26</v>
      </c>
      <c r="J37" s="112">
        <v>0.63</v>
      </c>
      <c r="K37" s="112">
        <v>282.69</v>
      </c>
      <c r="L37" s="112">
        <v>28.82</v>
      </c>
      <c r="M37" s="112">
        <v>58.42</v>
      </c>
      <c r="N37" s="112">
        <v>99</v>
      </c>
      <c r="O37" s="112">
        <v>0</v>
      </c>
      <c r="P37" s="112">
        <v>0.42</v>
      </c>
      <c r="Q37" s="112">
        <v>4.91</v>
      </c>
    </row>
    <row r="38" spans="1:17" customFormat="1">
      <c r="A38" s="80">
        <v>45433.3125</v>
      </c>
      <c r="B38" s="112">
        <v>11.2</v>
      </c>
      <c r="C38" s="112">
        <v>13.11</v>
      </c>
      <c r="D38" s="112">
        <v>24.97</v>
      </c>
      <c r="E38" s="112">
        <v>10.4</v>
      </c>
      <c r="F38" s="112">
        <v>10.01</v>
      </c>
      <c r="G38" s="112">
        <v>20.22</v>
      </c>
      <c r="H38" s="112">
        <v>10.34</v>
      </c>
      <c r="I38" s="112">
        <v>4.28</v>
      </c>
      <c r="J38" s="112">
        <v>0.79</v>
      </c>
      <c r="K38" s="112">
        <v>265.72000000000003</v>
      </c>
      <c r="L38" s="112">
        <v>29.54</v>
      </c>
      <c r="M38" s="112">
        <v>56.29</v>
      </c>
      <c r="N38" s="112">
        <v>115.8</v>
      </c>
      <c r="O38" s="112">
        <v>0</v>
      </c>
      <c r="P38" s="112">
        <v>0.41</v>
      </c>
      <c r="Q38" s="167" t="s">
        <v>14</v>
      </c>
    </row>
    <row r="39" spans="1:17" customFormat="1">
      <c r="A39" s="80">
        <v>45433.322916666664</v>
      </c>
      <c r="B39" s="112">
        <v>11.18</v>
      </c>
      <c r="C39" s="112">
        <v>13.12</v>
      </c>
      <c r="D39" s="112">
        <v>24.96</v>
      </c>
      <c r="E39" s="112">
        <v>10.62</v>
      </c>
      <c r="F39" s="112">
        <v>10.16</v>
      </c>
      <c r="G39" s="112">
        <v>20.22</v>
      </c>
      <c r="H39" s="112">
        <v>10.34</v>
      </c>
      <c r="I39" s="112">
        <v>4.2699999999999996</v>
      </c>
      <c r="J39" s="112">
        <v>0.59</v>
      </c>
      <c r="K39" s="112">
        <v>270.2</v>
      </c>
      <c r="L39" s="112">
        <v>30.12</v>
      </c>
      <c r="M39" s="112">
        <v>54.59</v>
      </c>
      <c r="N39" s="112">
        <v>144.30000000000001</v>
      </c>
      <c r="O39" s="112">
        <v>0</v>
      </c>
      <c r="P39" s="112">
        <v>0.4</v>
      </c>
      <c r="Q39" s="167" t="s">
        <v>14</v>
      </c>
    </row>
    <row r="40" spans="1:17" customFormat="1">
      <c r="A40" s="80">
        <v>45433.333333333336</v>
      </c>
      <c r="B40" s="112">
        <v>11.19</v>
      </c>
      <c r="C40" s="112">
        <v>13.12</v>
      </c>
      <c r="D40" s="112">
        <v>24.97</v>
      </c>
      <c r="E40" s="112">
        <v>9.89</v>
      </c>
      <c r="F40" s="112">
        <v>10.76</v>
      </c>
      <c r="G40" s="112">
        <v>20.22</v>
      </c>
      <c r="H40" s="112">
        <v>10.34</v>
      </c>
      <c r="I40" s="112">
        <v>4.3099999999999996</v>
      </c>
      <c r="J40" s="112">
        <v>0.76</v>
      </c>
      <c r="K40" s="112">
        <v>279.7</v>
      </c>
      <c r="L40" s="112">
        <v>30.71</v>
      </c>
      <c r="M40" s="112">
        <v>53.12</v>
      </c>
      <c r="N40" s="112">
        <v>119.7</v>
      </c>
      <c r="O40" s="112">
        <v>0</v>
      </c>
      <c r="P40" s="112">
        <v>0.41</v>
      </c>
      <c r="Q40" s="167" t="s">
        <v>14</v>
      </c>
    </row>
    <row r="41" spans="1:17" customFormat="1">
      <c r="A41" s="80">
        <v>45433.34375</v>
      </c>
      <c r="B41" s="112">
        <v>11.21</v>
      </c>
      <c r="C41" s="112">
        <v>13.14</v>
      </c>
      <c r="D41" s="112">
        <v>25</v>
      </c>
      <c r="E41" s="112">
        <v>9.94</v>
      </c>
      <c r="F41" s="112">
        <v>14.73</v>
      </c>
      <c r="G41" s="112">
        <v>23.46</v>
      </c>
      <c r="H41" s="112">
        <v>7.28</v>
      </c>
      <c r="I41" s="112">
        <v>4.3099999999999996</v>
      </c>
      <c r="J41" s="112">
        <v>0.73</v>
      </c>
      <c r="K41" s="112">
        <v>285.69</v>
      </c>
      <c r="L41" s="112">
        <v>30.92</v>
      </c>
      <c r="M41" s="112">
        <v>52.35</v>
      </c>
      <c r="N41" s="112">
        <v>117.6</v>
      </c>
      <c r="O41" s="112">
        <v>0</v>
      </c>
      <c r="P41" s="112">
        <v>0.41</v>
      </c>
      <c r="Q41" s="112">
        <v>4.92</v>
      </c>
    </row>
    <row r="42" spans="1:17" customFormat="1">
      <c r="A42" s="80">
        <v>45433.354166666664</v>
      </c>
      <c r="B42" s="112">
        <v>11.21</v>
      </c>
      <c r="C42" s="112">
        <v>13.15</v>
      </c>
      <c r="D42" s="112">
        <v>25.01</v>
      </c>
      <c r="E42" s="112">
        <v>10.29</v>
      </c>
      <c r="F42" s="112">
        <v>12.16</v>
      </c>
      <c r="G42" s="112">
        <v>24.21</v>
      </c>
      <c r="H42" s="112">
        <v>7.28</v>
      </c>
      <c r="I42" s="112">
        <v>4.28</v>
      </c>
      <c r="J42" s="112">
        <v>0.8</v>
      </c>
      <c r="K42" s="112">
        <v>276.26</v>
      </c>
      <c r="L42" s="112">
        <v>31.32</v>
      </c>
      <c r="M42" s="112">
        <v>51.45</v>
      </c>
      <c r="N42" s="112">
        <v>124</v>
      </c>
      <c r="O42" s="112">
        <v>0</v>
      </c>
      <c r="P42" s="112">
        <v>0.41</v>
      </c>
      <c r="Q42" s="167" t="s">
        <v>14</v>
      </c>
    </row>
    <row r="43" spans="1:17" customFormat="1">
      <c r="A43" s="80">
        <v>45433.364583333336</v>
      </c>
      <c r="B43" s="112">
        <v>11.2</v>
      </c>
      <c r="C43" s="112">
        <v>13.14</v>
      </c>
      <c r="D43" s="112">
        <v>24.99</v>
      </c>
      <c r="E43" s="112">
        <v>9.9499999999999993</v>
      </c>
      <c r="F43" s="112">
        <v>12.73</v>
      </c>
      <c r="G43" s="112">
        <v>24.21</v>
      </c>
      <c r="H43" s="112">
        <v>7.28</v>
      </c>
      <c r="I43" s="112">
        <v>4.21</v>
      </c>
      <c r="J43" s="112">
        <v>0.84</v>
      </c>
      <c r="K43" s="112">
        <v>283.83</v>
      </c>
      <c r="L43" s="112">
        <v>31.86</v>
      </c>
      <c r="M43" s="112">
        <v>50.05</v>
      </c>
      <c r="N43" s="112">
        <v>130.9</v>
      </c>
      <c r="O43" s="112">
        <v>0</v>
      </c>
      <c r="P43" s="112">
        <v>0.41</v>
      </c>
      <c r="Q43" s="112">
        <v>4.93</v>
      </c>
    </row>
    <row r="44" spans="1:17" customFormat="1">
      <c r="A44" s="80">
        <v>45433.375</v>
      </c>
      <c r="B44" s="112">
        <v>11.19</v>
      </c>
      <c r="C44" s="112">
        <v>13.11</v>
      </c>
      <c r="D44" s="112">
        <v>24.97</v>
      </c>
      <c r="E44" s="112">
        <v>9.98</v>
      </c>
      <c r="F44" s="112">
        <v>16.36</v>
      </c>
      <c r="G44" s="112">
        <v>24.21</v>
      </c>
      <c r="H44" s="112">
        <v>7.28</v>
      </c>
      <c r="I44" s="112">
        <v>4.29</v>
      </c>
      <c r="J44" s="112">
        <v>0.77</v>
      </c>
      <c r="K44" s="112">
        <v>287.43</v>
      </c>
      <c r="L44" s="112">
        <v>32.619999999999997</v>
      </c>
      <c r="M44" s="112">
        <v>47.45</v>
      </c>
      <c r="N44" s="112">
        <v>138</v>
      </c>
      <c r="O44" s="112">
        <v>0</v>
      </c>
      <c r="P44" s="112">
        <v>0.41</v>
      </c>
      <c r="Q44" s="167" t="s">
        <v>14</v>
      </c>
    </row>
    <row r="45" spans="1:17" customFormat="1">
      <c r="A45" s="80">
        <v>45433.385416666664</v>
      </c>
      <c r="B45" s="112">
        <v>11.2</v>
      </c>
      <c r="C45" s="112">
        <v>13.11</v>
      </c>
      <c r="D45" s="112">
        <v>24.97</v>
      </c>
      <c r="E45" s="112">
        <v>10.199999999999999</v>
      </c>
      <c r="F45" s="112">
        <v>17.16</v>
      </c>
      <c r="G45" s="112">
        <v>22.58</v>
      </c>
      <c r="H45" s="112">
        <v>10.11</v>
      </c>
      <c r="I45" s="112">
        <v>4.26</v>
      </c>
      <c r="J45" s="112">
        <v>1.05</v>
      </c>
      <c r="K45" s="112">
        <v>288.67</v>
      </c>
      <c r="L45" s="112">
        <v>33.1</v>
      </c>
      <c r="M45" s="112">
        <v>45.35</v>
      </c>
      <c r="N45" s="112">
        <v>148.5</v>
      </c>
      <c r="O45" s="112">
        <v>0</v>
      </c>
      <c r="P45" s="112">
        <v>0.4</v>
      </c>
      <c r="Q45" s="112">
        <v>4.9000000000000004</v>
      </c>
    </row>
    <row r="46" spans="1:17" customFormat="1">
      <c r="A46" s="80">
        <v>45433.395833333336</v>
      </c>
      <c r="B46" s="112">
        <v>11.21</v>
      </c>
      <c r="C46" s="112">
        <v>13.11</v>
      </c>
      <c r="D46" s="112">
        <v>24.98</v>
      </c>
      <c r="E46" s="112">
        <v>10.8</v>
      </c>
      <c r="F46" s="112">
        <v>20.75</v>
      </c>
      <c r="G46" s="112">
        <v>22.2</v>
      </c>
      <c r="H46" s="112">
        <v>10.11</v>
      </c>
      <c r="I46" s="112">
        <v>4.2300000000000004</v>
      </c>
      <c r="J46" s="112">
        <v>0.92</v>
      </c>
      <c r="K46" s="112">
        <v>306.08</v>
      </c>
      <c r="L46" s="112">
        <v>33.83</v>
      </c>
      <c r="M46" s="112">
        <v>43.88</v>
      </c>
      <c r="N46" s="112">
        <v>159.1</v>
      </c>
      <c r="O46" s="112">
        <v>0</v>
      </c>
      <c r="P46" s="112">
        <v>0.44</v>
      </c>
      <c r="Q46" s="167" t="s">
        <v>14</v>
      </c>
    </row>
    <row r="47" spans="1:17" customFormat="1">
      <c r="A47" s="80">
        <v>45433.40625</v>
      </c>
      <c r="B47" s="112">
        <v>11.2</v>
      </c>
      <c r="C47" s="112">
        <v>13.12</v>
      </c>
      <c r="D47" s="112">
        <v>24.98</v>
      </c>
      <c r="E47" s="112">
        <v>10.33</v>
      </c>
      <c r="F47" s="112">
        <v>21.23</v>
      </c>
      <c r="G47" s="112">
        <v>22.2</v>
      </c>
      <c r="H47" s="112">
        <v>10.11</v>
      </c>
      <c r="I47" s="112">
        <v>4.18</v>
      </c>
      <c r="J47" s="112">
        <v>0.88</v>
      </c>
      <c r="K47" s="112">
        <v>294.06</v>
      </c>
      <c r="L47" s="112">
        <v>34.43</v>
      </c>
      <c r="M47" s="112">
        <v>42.13</v>
      </c>
      <c r="N47" s="112">
        <v>170</v>
      </c>
      <c r="O47" s="112">
        <v>0</v>
      </c>
      <c r="P47" s="112">
        <v>0.45</v>
      </c>
      <c r="Q47" s="167" t="s">
        <v>14</v>
      </c>
    </row>
    <row r="48" spans="1:17" customFormat="1">
      <c r="A48" s="80">
        <v>45433.416666666664</v>
      </c>
      <c r="B48" s="112">
        <v>11.18</v>
      </c>
      <c r="C48" s="112">
        <v>13.1</v>
      </c>
      <c r="D48" s="112">
        <v>24.96</v>
      </c>
      <c r="E48" s="112">
        <v>13.02</v>
      </c>
      <c r="F48" s="112">
        <v>23.74</v>
      </c>
      <c r="G48" s="112">
        <v>22.2</v>
      </c>
      <c r="H48" s="112">
        <v>10.11</v>
      </c>
      <c r="I48" s="112">
        <v>4.33</v>
      </c>
      <c r="J48" s="112">
        <v>0.94</v>
      </c>
      <c r="K48" s="112">
        <v>310.41000000000003</v>
      </c>
      <c r="L48" s="112">
        <v>34.79</v>
      </c>
      <c r="M48" s="112">
        <v>40.94</v>
      </c>
      <c r="N48" s="112">
        <v>178.7</v>
      </c>
      <c r="O48" s="112">
        <v>0</v>
      </c>
      <c r="P48" s="112">
        <v>0.49</v>
      </c>
      <c r="Q48" s="167" t="s">
        <v>14</v>
      </c>
    </row>
    <row r="49" spans="1:17" customFormat="1">
      <c r="A49" s="80">
        <v>45433.427083333336</v>
      </c>
      <c r="B49" s="112">
        <v>11.21</v>
      </c>
      <c r="C49" s="112">
        <v>13.09</v>
      </c>
      <c r="D49" s="112">
        <v>24.98</v>
      </c>
      <c r="E49" s="112">
        <v>22.23</v>
      </c>
      <c r="F49" s="112">
        <v>28.27</v>
      </c>
      <c r="G49" s="112">
        <v>27.16</v>
      </c>
      <c r="H49" s="112">
        <v>14.24</v>
      </c>
      <c r="I49" s="112">
        <v>4.47</v>
      </c>
      <c r="J49" s="112">
        <v>1.06</v>
      </c>
      <c r="K49" s="112">
        <v>308.27999999999997</v>
      </c>
      <c r="L49" s="112">
        <v>35.049999999999997</v>
      </c>
      <c r="M49" s="112">
        <v>39.96</v>
      </c>
      <c r="N49" s="112">
        <v>188.3</v>
      </c>
      <c r="O49" s="112">
        <v>0</v>
      </c>
      <c r="P49" s="112">
        <v>0.61</v>
      </c>
      <c r="Q49" s="112">
        <v>4.91</v>
      </c>
    </row>
    <row r="50" spans="1:17" customFormat="1">
      <c r="A50" s="80">
        <v>45433.4375</v>
      </c>
      <c r="B50" s="112">
        <v>11.22</v>
      </c>
      <c r="C50" s="112">
        <v>13.1</v>
      </c>
      <c r="D50" s="112">
        <v>24.99</v>
      </c>
      <c r="E50" s="112">
        <v>31.07</v>
      </c>
      <c r="F50" s="112">
        <v>24.37</v>
      </c>
      <c r="G50" s="112">
        <v>28.32</v>
      </c>
      <c r="H50" s="112">
        <v>14.24</v>
      </c>
      <c r="I50" s="112">
        <v>5.07</v>
      </c>
      <c r="J50" s="112">
        <v>1.1000000000000001</v>
      </c>
      <c r="K50" s="112">
        <v>316.38</v>
      </c>
      <c r="L50" s="112">
        <v>35.9</v>
      </c>
      <c r="M50" s="112">
        <v>36.39</v>
      </c>
      <c r="N50" s="112">
        <v>193.5</v>
      </c>
      <c r="O50" s="112">
        <v>0</v>
      </c>
      <c r="P50" s="112">
        <v>0.63</v>
      </c>
      <c r="Q50" s="112">
        <v>4.9000000000000004</v>
      </c>
    </row>
    <row r="51" spans="1:17" customFormat="1">
      <c r="A51" s="80">
        <v>45433.447916666664</v>
      </c>
      <c r="B51" s="112">
        <v>11.21</v>
      </c>
      <c r="C51" s="112">
        <v>13.13</v>
      </c>
      <c r="D51" s="112">
        <v>25</v>
      </c>
      <c r="E51" s="112">
        <v>22.93</v>
      </c>
      <c r="F51" s="112">
        <v>44.77</v>
      </c>
      <c r="G51" s="112">
        <v>28.32</v>
      </c>
      <c r="H51" s="112">
        <v>14.24</v>
      </c>
      <c r="I51" s="112">
        <v>6.56</v>
      </c>
      <c r="J51" s="112">
        <v>1.01</v>
      </c>
      <c r="K51" s="112">
        <v>293.43</v>
      </c>
      <c r="L51" s="112">
        <v>36.83</v>
      </c>
      <c r="M51" s="112">
        <v>33.28</v>
      </c>
      <c r="N51" s="112">
        <v>197.1</v>
      </c>
      <c r="O51" s="112">
        <v>0</v>
      </c>
      <c r="P51" s="112">
        <v>0.61</v>
      </c>
      <c r="Q51" s="112">
        <v>4.9000000000000004</v>
      </c>
    </row>
    <row r="52" spans="1:17" customFormat="1">
      <c r="A52" s="80">
        <v>45433.458333333336</v>
      </c>
      <c r="B52" s="112">
        <v>11.24</v>
      </c>
      <c r="C52" s="112">
        <v>13.1</v>
      </c>
      <c r="D52" s="112">
        <v>25</v>
      </c>
      <c r="E52" s="112">
        <v>18.45</v>
      </c>
      <c r="F52" s="112">
        <v>75.22</v>
      </c>
      <c r="G52" s="112">
        <v>28.32</v>
      </c>
      <c r="H52" s="112">
        <v>14.24</v>
      </c>
      <c r="I52" s="112">
        <v>7.12</v>
      </c>
      <c r="J52" s="112">
        <v>0.91</v>
      </c>
      <c r="K52" s="112">
        <v>292.86</v>
      </c>
      <c r="L52" s="112">
        <v>37.49</v>
      </c>
      <c r="M52" s="112">
        <v>32.520000000000003</v>
      </c>
      <c r="N52" s="112">
        <v>214.6</v>
      </c>
      <c r="O52" s="112">
        <v>0</v>
      </c>
      <c r="P52" s="112">
        <v>0.54</v>
      </c>
      <c r="Q52" s="112">
        <v>4.42</v>
      </c>
    </row>
    <row r="53" spans="1:17" customFormat="1">
      <c r="A53" s="80">
        <v>45433.46875</v>
      </c>
      <c r="B53" s="172" t="s">
        <v>8</v>
      </c>
      <c r="C53" s="172" t="s">
        <v>8</v>
      </c>
      <c r="D53" s="172" t="s">
        <v>8</v>
      </c>
      <c r="E53" s="112">
        <v>16.09</v>
      </c>
      <c r="F53" s="112">
        <v>79.09</v>
      </c>
      <c r="G53" s="112">
        <v>33.71</v>
      </c>
      <c r="H53" s="112">
        <v>13.46</v>
      </c>
      <c r="I53" s="112">
        <v>6.61</v>
      </c>
      <c r="J53" s="112">
        <v>0.95</v>
      </c>
      <c r="K53" s="112">
        <v>328.97</v>
      </c>
      <c r="L53" s="112">
        <v>37.9</v>
      </c>
      <c r="M53" s="112">
        <v>32.69</v>
      </c>
      <c r="N53" s="112">
        <v>254.6</v>
      </c>
      <c r="O53" s="112">
        <v>0</v>
      </c>
      <c r="P53" s="112">
        <v>0.55000000000000004</v>
      </c>
      <c r="Q53" s="167" t="s">
        <v>14</v>
      </c>
    </row>
    <row r="54" spans="1:17" customFormat="1">
      <c r="A54" s="80">
        <v>45433.479166666664</v>
      </c>
      <c r="B54" s="172" t="s">
        <v>8</v>
      </c>
      <c r="C54" s="172" t="s">
        <v>8</v>
      </c>
      <c r="D54" s="172" t="s">
        <v>8</v>
      </c>
      <c r="E54" s="112">
        <v>20.58</v>
      </c>
      <c r="F54" s="112">
        <v>78.75</v>
      </c>
      <c r="G54" s="112">
        <v>34.97</v>
      </c>
      <c r="H54" s="112">
        <v>13.46</v>
      </c>
      <c r="I54" s="112">
        <v>5.45</v>
      </c>
      <c r="J54" s="112">
        <v>0.99</v>
      </c>
      <c r="K54" s="112">
        <v>324.57</v>
      </c>
      <c r="L54" s="112">
        <v>38.33</v>
      </c>
      <c r="M54" s="112">
        <v>33.03</v>
      </c>
      <c r="N54" s="112">
        <v>342.5</v>
      </c>
      <c r="O54" s="112">
        <v>0</v>
      </c>
      <c r="P54" s="112">
        <v>0.53</v>
      </c>
      <c r="Q54" s="167" t="s">
        <v>14</v>
      </c>
    </row>
    <row r="55" spans="1:17" customFormat="1">
      <c r="A55" s="80">
        <v>45433.489583333336</v>
      </c>
      <c r="B55" s="172" t="s">
        <v>8</v>
      </c>
      <c r="C55" s="172" t="s">
        <v>8</v>
      </c>
      <c r="D55" s="172" t="s">
        <v>8</v>
      </c>
      <c r="E55" s="112">
        <v>25.6</v>
      </c>
      <c r="F55" s="112">
        <v>76.099999999999994</v>
      </c>
      <c r="G55" s="112">
        <v>34.97</v>
      </c>
      <c r="H55" s="112">
        <v>13.46</v>
      </c>
      <c r="I55" s="112">
        <v>4.9000000000000004</v>
      </c>
      <c r="J55" s="112">
        <v>0.51</v>
      </c>
      <c r="K55" s="112">
        <v>295.48</v>
      </c>
      <c r="L55" s="112">
        <v>38.49</v>
      </c>
      <c r="M55" s="112">
        <v>33.619999999999997</v>
      </c>
      <c r="N55" s="112">
        <v>642.9</v>
      </c>
      <c r="O55" s="112">
        <v>0</v>
      </c>
      <c r="P55" s="112">
        <v>0.51</v>
      </c>
      <c r="Q55" s="167" t="s">
        <v>14</v>
      </c>
    </row>
    <row r="56" spans="1:17" customFormat="1">
      <c r="A56" s="80">
        <v>45433.5</v>
      </c>
      <c r="B56" s="172" t="s">
        <v>8</v>
      </c>
      <c r="C56" s="172" t="s">
        <v>8</v>
      </c>
      <c r="D56" s="172" t="s">
        <v>8</v>
      </c>
      <c r="E56" s="112">
        <v>22.39</v>
      </c>
      <c r="F56" s="112">
        <v>74.81</v>
      </c>
      <c r="G56" s="112">
        <v>34.97</v>
      </c>
      <c r="H56" s="112">
        <v>13.46</v>
      </c>
      <c r="I56" s="112">
        <v>4.8</v>
      </c>
      <c r="J56" s="112">
        <v>0.93</v>
      </c>
      <c r="K56" s="112">
        <v>304.3</v>
      </c>
      <c r="L56" s="112">
        <v>38.97</v>
      </c>
      <c r="M56" s="112">
        <v>33.19</v>
      </c>
      <c r="N56" s="112">
        <v>759.1</v>
      </c>
      <c r="O56" s="112">
        <v>0</v>
      </c>
      <c r="P56" s="112">
        <v>0.5</v>
      </c>
      <c r="Q56" s="167" t="s">
        <v>14</v>
      </c>
    </row>
    <row r="57" spans="1:17" customFormat="1">
      <c r="A57" s="80">
        <v>45433.510416666664</v>
      </c>
      <c r="B57" s="172" t="s">
        <v>8</v>
      </c>
      <c r="C57" s="172" t="s">
        <v>8</v>
      </c>
      <c r="D57" s="172" t="s">
        <v>8</v>
      </c>
      <c r="E57" s="112">
        <v>28.26</v>
      </c>
      <c r="F57" s="112">
        <v>84.34</v>
      </c>
      <c r="G57" s="112">
        <v>35.29</v>
      </c>
      <c r="H57" s="112">
        <v>13.48</v>
      </c>
      <c r="I57" s="112">
        <v>4.82</v>
      </c>
      <c r="J57" s="112">
        <v>0.71</v>
      </c>
      <c r="K57" s="112">
        <v>330.56</v>
      </c>
      <c r="L57" s="112">
        <v>39.15</v>
      </c>
      <c r="M57" s="112">
        <v>33.58</v>
      </c>
      <c r="N57" s="112">
        <v>760.4</v>
      </c>
      <c r="O57" s="112">
        <v>0</v>
      </c>
      <c r="P57" s="112">
        <v>0.49</v>
      </c>
      <c r="Q57" s="167" t="s">
        <v>14</v>
      </c>
    </row>
    <row r="58" spans="1:17" customFormat="1">
      <c r="A58" s="80">
        <v>45433.520833333336</v>
      </c>
      <c r="B58" s="172" t="s">
        <v>8</v>
      </c>
      <c r="C58" s="172" t="s">
        <v>8</v>
      </c>
      <c r="D58" s="172" t="s">
        <v>8</v>
      </c>
      <c r="E58" s="112">
        <v>29.23</v>
      </c>
      <c r="F58" s="112">
        <v>80.88</v>
      </c>
      <c r="G58" s="112">
        <v>35.369999999999997</v>
      </c>
      <c r="H58" s="112">
        <v>13.48</v>
      </c>
      <c r="I58" s="112">
        <v>4.47</v>
      </c>
      <c r="J58" s="112">
        <v>0.73</v>
      </c>
      <c r="K58" s="112">
        <v>282.60000000000002</v>
      </c>
      <c r="L58" s="112">
        <v>39.770000000000003</v>
      </c>
      <c r="M58" s="112">
        <v>32.82</v>
      </c>
      <c r="N58" s="112">
        <v>768.7</v>
      </c>
      <c r="O58" s="112">
        <v>0</v>
      </c>
      <c r="P58" s="112">
        <v>0.47</v>
      </c>
      <c r="Q58" s="112">
        <v>4.07</v>
      </c>
    </row>
    <row r="59" spans="1:17" customFormat="1">
      <c r="A59" s="80">
        <v>45433.53125</v>
      </c>
      <c r="B59" s="172" t="s">
        <v>8</v>
      </c>
      <c r="C59" s="172" t="s">
        <v>8</v>
      </c>
      <c r="D59" s="172" t="s">
        <v>8</v>
      </c>
      <c r="E59" s="112">
        <v>29.11</v>
      </c>
      <c r="F59" s="112">
        <v>81.69</v>
      </c>
      <c r="G59" s="112">
        <v>35.369999999999997</v>
      </c>
      <c r="H59" s="112">
        <v>13.48</v>
      </c>
      <c r="I59" s="112">
        <v>3.79</v>
      </c>
      <c r="J59" s="112">
        <v>0.95</v>
      </c>
      <c r="K59" s="112">
        <v>296.61</v>
      </c>
      <c r="L59" s="112">
        <v>40.19</v>
      </c>
      <c r="M59" s="112">
        <v>32.369999999999997</v>
      </c>
      <c r="N59" s="112">
        <v>760.9</v>
      </c>
      <c r="O59" s="112">
        <v>0</v>
      </c>
      <c r="P59" s="112">
        <v>0.47</v>
      </c>
      <c r="Q59" s="112">
        <v>4.2300000000000004</v>
      </c>
    </row>
    <row r="60" spans="1:17" customFormat="1">
      <c r="A60" s="80">
        <v>45433.541666666664</v>
      </c>
      <c r="B60" s="172" t="s">
        <v>8</v>
      </c>
      <c r="C60" s="172" t="s">
        <v>8</v>
      </c>
      <c r="D60" s="172" t="s">
        <v>8</v>
      </c>
      <c r="E60" s="112">
        <v>37.54</v>
      </c>
      <c r="F60" s="112">
        <v>90.1</v>
      </c>
      <c r="G60" s="112">
        <v>35.369999999999997</v>
      </c>
      <c r="H60" s="112">
        <v>13.48</v>
      </c>
      <c r="I60" s="112">
        <v>3.62</v>
      </c>
      <c r="J60" s="112">
        <v>0.68</v>
      </c>
      <c r="K60" s="112">
        <v>319.64999999999998</v>
      </c>
      <c r="L60" s="112">
        <v>40.19</v>
      </c>
      <c r="M60" s="112">
        <v>31.98</v>
      </c>
      <c r="N60" s="112">
        <v>741.9</v>
      </c>
      <c r="O60" s="112">
        <v>0</v>
      </c>
      <c r="P60" s="112">
        <v>0.46</v>
      </c>
      <c r="Q60" s="112">
        <v>4.4400000000000004</v>
      </c>
    </row>
    <row r="61" spans="1:17" customFormat="1">
      <c r="A61" s="80">
        <v>45433.552083333336</v>
      </c>
      <c r="B61" s="172" t="s">
        <v>8</v>
      </c>
      <c r="C61" s="172" t="s">
        <v>8</v>
      </c>
      <c r="D61" s="172" t="s">
        <v>8</v>
      </c>
      <c r="E61" s="112">
        <v>38.049999999999997</v>
      </c>
      <c r="F61" s="112">
        <v>93.78</v>
      </c>
      <c r="G61" s="112">
        <v>39.07</v>
      </c>
      <c r="H61" s="112">
        <v>16.38</v>
      </c>
      <c r="I61" s="112">
        <v>3.15</v>
      </c>
      <c r="J61" s="112">
        <v>1.1000000000000001</v>
      </c>
      <c r="K61" s="112">
        <v>295.69</v>
      </c>
      <c r="L61" s="112">
        <v>40.17</v>
      </c>
      <c r="M61" s="112">
        <v>32.69</v>
      </c>
      <c r="N61" s="112">
        <v>726.8</v>
      </c>
      <c r="O61" s="112">
        <v>0</v>
      </c>
      <c r="P61" s="112">
        <v>0.47</v>
      </c>
      <c r="Q61" s="112">
        <v>4.49</v>
      </c>
    </row>
    <row r="62" spans="1:17" customFormat="1">
      <c r="A62" s="80">
        <v>45433.5625</v>
      </c>
      <c r="B62" s="172" t="s">
        <v>8</v>
      </c>
      <c r="C62" s="172" t="s">
        <v>8</v>
      </c>
      <c r="D62" s="172" t="s">
        <v>8</v>
      </c>
      <c r="E62" s="112">
        <v>37.619999999999997</v>
      </c>
      <c r="F62" s="112">
        <v>95.38</v>
      </c>
      <c r="G62" s="112">
        <v>39.93</v>
      </c>
      <c r="H62" s="112">
        <v>16.38</v>
      </c>
      <c r="I62" s="112">
        <v>2.6</v>
      </c>
      <c r="J62" s="112">
        <v>0.67</v>
      </c>
      <c r="K62" s="112">
        <v>300.07</v>
      </c>
      <c r="L62" s="112">
        <v>40.549999999999997</v>
      </c>
      <c r="M62" s="112">
        <v>31.92</v>
      </c>
      <c r="N62" s="112">
        <v>561.29999999999995</v>
      </c>
      <c r="O62" s="112">
        <v>0</v>
      </c>
      <c r="P62" s="112">
        <v>0.45</v>
      </c>
      <c r="Q62" s="112">
        <v>4.13</v>
      </c>
    </row>
    <row r="63" spans="1:17" customFormat="1">
      <c r="A63" s="80">
        <v>45433.572916666664</v>
      </c>
      <c r="B63" s="172" t="s">
        <v>8</v>
      </c>
      <c r="C63" s="172" t="s">
        <v>8</v>
      </c>
      <c r="D63" s="172" t="s">
        <v>8</v>
      </c>
      <c r="E63" s="112">
        <v>34.76</v>
      </c>
      <c r="F63" s="112">
        <v>80.010000000000005</v>
      </c>
      <c r="G63" s="112">
        <v>39.93</v>
      </c>
      <c r="H63" s="112">
        <v>16.38</v>
      </c>
      <c r="I63" s="112">
        <v>2.5299999999999998</v>
      </c>
      <c r="J63" s="112">
        <v>0.36</v>
      </c>
      <c r="K63" s="112">
        <v>259.20999999999998</v>
      </c>
      <c r="L63" s="112">
        <v>41.49</v>
      </c>
      <c r="M63" s="112">
        <v>30.47</v>
      </c>
      <c r="N63" s="112">
        <v>484</v>
      </c>
      <c r="O63" s="112">
        <v>0</v>
      </c>
      <c r="P63" s="112">
        <v>0.47</v>
      </c>
      <c r="Q63" s="112">
        <v>4.63</v>
      </c>
    </row>
    <row r="64" spans="1:17" customFormat="1">
      <c r="A64" s="80">
        <v>45433.583333333336</v>
      </c>
      <c r="B64" s="172" t="s">
        <v>8</v>
      </c>
      <c r="C64" s="172" t="s">
        <v>8</v>
      </c>
      <c r="D64" s="172" t="s">
        <v>8</v>
      </c>
      <c r="E64" s="112">
        <v>35.93</v>
      </c>
      <c r="F64" s="112">
        <v>88.79</v>
      </c>
      <c r="G64" s="112">
        <v>39.93</v>
      </c>
      <c r="H64" s="112">
        <v>16.38</v>
      </c>
      <c r="I64" s="112">
        <v>2.4500000000000002</v>
      </c>
      <c r="J64" s="112">
        <v>0.62</v>
      </c>
      <c r="K64" s="112">
        <v>284.97000000000003</v>
      </c>
      <c r="L64" s="112">
        <v>41.46</v>
      </c>
      <c r="M64" s="112">
        <v>30.44</v>
      </c>
      <c r="N64" s="112">
        <v>506.6</v>
      </c>
      <c r="O64" s="112">
        <v>0</v>
      </c>
      <c r="P64" s="112">
        <v>0.46</v>
      </c>
      <c r="Q64" s="112">
        <v>4.8499999999999996</v>
      </c>
    </row>
    <row r="65" spans="1:17" customFormat="1">
      <c r="A65" s="80">
        <v>45433.59375</v>
      </c>
      <c r="B65" s="172" t="s">
        <v>8</v>
      </c>
      <c r="C65" s="172" t="s">
        <v>8</v>
      </c>
      <c r="D65" s="172" t="s">
        <v>8</v>
      </c>
      <c r="E65" s="112">
        <v>39.08</v>
      </c>
      <c r="F65" s="112">
        <v>93.23</v>
      </c>
      <c r="G65" s="112">
        <v>37.82</v>
      </c>
      <c r="H65" s="112">
        <v>18.010000000000002</v>
      </c>
      <c r="I65" s="112">
        <v>2.5499999999999998</v>
      </c>
      <c r="J65" s="112">
        <v>0.81</v>
      </c>
      <c r="K65" s="112">
        <v>317.13</v>
      </c>
      <c r="L65" s="112">
        <v>40.6</v>
      </c>
      <c r="M65" s="112">
        <v>31.53</v>
      </c>
      <c r="N65" s="112">
        <v>643.70000000000005</v>
      </c>
      <c r="O65" s="112">
        <v>0</v>
      </c>
      <c r="P65" s="112">
        <v>0.46</v>
      </c>
      <c r="Q65" s="112">
        <v>4.63</v>
      </c>
    </row>
    <row r="66" spans="1:17" customFormat="1">
      <c r="A66" s="80">
        <v>45433.604166666664</v>
      </c>
      <c r="B66" s="172" t="s">
        <v>8</v>
      </c>
      <c r="C66" s="172" t="s">
        <v>8</v>
      </c>
      <c r="D66" s="172" t="s">
        <v>8</v>
      </c>
      <c r="E66" s="112">
        <v>40.43</v>
      </c>
      <c r="F66" s="112">
        <v>85.57</v>
      </c>
      <c r="G66" s="112">
        <v>37.33</v>
      </c>
      <c r="H66" s="112">
        <v>18.010000000000002</v>
      </c>
      <c r="I66" s="112">
        <v>2.72</v>
      </c>
      <c r="J66" s="112">
        <v>0.87</v>
      </c>
      <c r="K66" s="112">
        <v>301.27999999999997</v>
      </c>
      <c r="L66" s="112">
        <v>41.33</v>
      </c>
      <c r="M66" s="112">
        <v>30.55</v>
      </c>
      <c r="N66" s="112">
        <v>536.20000000000005</v>
      </c>
      <c r="O66" s="112">
        <v>0</v>
      </c>
      <c r="P66" s="112">
        <v>0.47</v>
      </c>
      <c r="Q66" s="167" t="s">
        <v>14</v>
      </c>
    </row>
    <row r="67" spans="1:17" customFormat="1">
      <c r="A67" s="80">
        <v>45433.614583333336</v>
      </c>
      <c r="B67" s="172" t="s">
        <v>8</v>
      </c>
      <c r="C67" s="172" t="s">
        <v>8</v>
      </c>
      <c r="D67" s="172" t="s">
        <v>8</v>
      </c>
      <c r="E67" s="112">
        <v>47.17</v>
      </c>
      <c r="F67" s="112">
        <v>102.45</v>
      </c>
      <c r="G67" s="112">
        <v>37.33</v>
      </c>
      <c r="H67" s="112">
        <v>18.010000000000002</v>
      </c>
      <c r="I67" s="112">
        <v>2.2999999999999998</v>
      </c>
      <c r="J67" s="112">
        <v>0.88</v>
      </c>
      <c r="K67" s="112">
        <v>317.01</v>
      </c>
      <c r="L67" s="112">
        <v>40.25</v>
      </c>
      <c r="M67" s="112">
        <v>32.340000000000003</v>
      </c>
      <c r="N67" s="112">
        <v>236.5</v>
      </c>
      <c r="O67" s="112">
        <v>0</v>
      </c>
      <c r="P67" s="112">
        <v>0.49</v>
      </c>
      <c r="Q67" s="167" t="s">
        <v>14</v>
      </c>
    </row>
    <row r="68" spans="1:17" customFormat="1">
      <c r="A68" s="80">
        <v>45433.625</v>
      </c>
      <c r="B68" s="112">
        <v>3.11</v>
      </c>
      <c r="C68" s="112">
        <v>1.29</v>
      </c>
      <c r="D68" s="112">
        <v>5.13</v>
      </c>
      <c r="E68" s="112">
        <v>46.48</v>
      </c>
      <c r="F68" s="112">
        <v>82.4</v>
      </c>
      <c r="G68" s="112">
        <v>37.33</v>
      </c>
      <c r="H68" s="112">
        <v>18.010000000000002</v>
      </c>
      <c r="I68" s="112">
        <v>2.2400000000000002</v>
      </c>
      <c r="J68" s="112">
        <v>1.1399999999999999</v>
      </c>
      <c r="K68" s="112">
        <v>310.86</v>
      </c>
      <c r="L68" s="112">
        <v>39.76</v>
      </c>
      <c r="M68" s="112">
        <v>32.85</v>
      </c>
      <c r="N68" s="112">
        <v>228.5</v>
      </c>
      <c r="O68" s="112">
        <v>0</v>
      </c>
      <c r="P68" s="112">
        <v>0.52</v>
      </c>
      <c r="Q68" s="167" t="s">
        <v>14</v>
      </c>
    </row>
    <row r="69" spans="1:17" customFormat="1">
      <c r="A69" s="80">
        <v>45433.635416666664</v>
      </c>
      <c r="B69" s="112">
        <v>3.18</v>
      </c>
      <c r="C69" s="112">
        <v>1.19</v>
      </c>
      <c r="D69" s="112">
        <v>5.13</v>
      </c>
      <c r="E69" s="112">
        <v>45.78</v>
      </c>
      <c r="F69" s="112">
        <v>81.849999999999994</v>
      </c>
      <c r="G69" s="112">
        <v>42.5</v>
      </c>
      <c r="H69" s="112">
        <v>15.78</v>
      </c>
      <c r="I69" s="112">
        <v>2.2999999999999998</v>
      </c>
      <c r="J69" s="112">
        <v>1</v>
      </c>
      <c r="K69" s="112">
        <v>315.48</v>
      </c>
      <c r="L69" s="112">
        <v>39.22</v>
      </c>
      <c r="M69" s="112">
        <v>33.85</v>
      </c>
      <c r="N69" s="112">
        <v>198.8</v>
      </c>
      <c r="O69" s="112">
        <v>0</v>
      </c>
      <c r="P69" s="112">
        <v>0.51</v>
      </c>
      <c r="Q69" s="167" t="s">
        <v>14</v>
      </c>
    </row>
    <row r="70" spans="1:17" customFormat="1">
      <c r="A70" s="80">
        <v>45433.645833333336</v>
      </c>
      <c r="B70" s="112">
        <v>3.27</v>
      </c>
      <c r="C70" s="112">
        <v>1.05</v>
      </c>
      <c r="D70" s="112">
        <v>5.13</v>
      </c>
      <c r="E70" s="112">
        <v>38.92</v>
      </c>
      <c r="F70" s="112">
        <v>72.78</v>
      </c>
      <c r="G70" s="112">
        <v>43.7</v>
      </c>
      <c r="H70" s="112">
        <v>15.78</v>
      </c>
      <c r="I70" s="112">
        <v>2.41</v>
      </c>
      <c r="J70" s="112">
        <v>1.26</v>
      </c>
      <c r="K70" s="112">
        <v>306.82</v>
      </c>
      <c r="L70" s="112">
        <v>38.950000000000003</v>
      </c>
      <c r="M70" s="112">
        <v>33.92</v>
      </c>
      <c r="N70" s="112">
        <v>193.7</v>
      </c>
      <c r="O70" s="112">
        <v>0</v>
      </c>
      <c r="P70" s="112">
        <v>0.49</v>
      </c>
      <c r="Q70" s="112">
        <v>4.95</v>
      </c>
    </row>
    <row r="71" spans="1:17" customFormat="1">
      <c r="A71" s="80">
        <v>45433.65625</v>
      </c>
      <c r="B71" s="112">
        <v>3.25</v>
      </c>
      <c r="C71" s="112">
        <v>1.1000000000000001</v>
      </c>
      <c r="D71" s="112">
        <v>5.14</v>
      </c>
      <c r="E71" s="112">
        <v>34.86</v>
      </c>
      <c r="F71" s="112">
        <v>73.06</v>
      </c>
      <c r="G71" s="112">
        <v>43.7</v>
      </c>
      <c r="H71" s="112">
        <v>15.78</v>
      </c>
      <c r="I71" s="112">
        <v>2.36</v>
      </c>
      <c r="J71" s="112">
        <v>0.78</v>
      </c>
      <c r="K71" s="112">
        <v>316.12</v>
      </c>
      <c r="L71" s="112">
        <v>39.33</v>
      </c>
      <c r="M71" s="112">
        <v>33.03</v>
      </c>
      <c r="N71" s="112">
        <v>289.7</v>
      </c>
      <c r="O71" s="112">
        <v>0</v>
      </c>
      <c r="P71" s="112">
        <v>0.5</v>
      </c>
      <c r="Q71" s="112">
        <v>4.8600000000000003</v>
      </c>
    </row>
    <row r="72" spans="1:17" customFormat="1">
      <c r="A72" s="80">
        <v>45433.666666666664</v>
      </c>
      <c r="B72" s="112">
        <v>3.23</v>
      </c>
      <c r="C72" s="112">
        <v>1.1200000000000001</v>
      </c>
      <c r="D72" s="112">
        <v>5.14</v>
      </c>
      <c r="E72" s="112">
        <v>35.75</v>
      </c>
      <c r="F72" s="112">
        <v>64.64</v>
      </c>
      <c r="G72" s="112">
        <v>43.7</v>
      </c>
      <c r="H72" s="112">
        <v>15.78</v>
      </c>
      <c r="I72" s="112">
        <v>2.52</v>
      </c>
      <c r="J72" s="112">
        <v>0.73</v>
      </c>
      <c r="K72" s="112">
        <v>305.48</v>
      </c>
      <c r="L72" s="112">
        <v>39.97</v>
      </c>
      <c r="M72" s="112">
        <v>31.8</v>
      </c>
      <c r="N72" s="112">
        <v>340.1</v>
      </c>
      <c r="O72" s="112">
        <v>0</v>
      </c>
      <c r="P72" s="112">
        <v>0.54</v>
      </c>
      <c r="Q72" s="112">
        <v>4.82</v>
      </c>
    </row>
    <row r="73" spans="1:17" customFormat="1">
      <c r="A73" s="80">
        <v>45433.677083333336</v>
      </c>
      <c r="B73" s="112">
        <v>3.26</v>
      </c>
      <c r="C73" s="112">
        <v>1.08</v>
      </c>
      <c r="D73" s="112">
        <v>5.14</v>
      </c>
      <c r="E73" s="112">
        <v>29.44</v>
      </c>
      <c r="F73" s="112">
        <v>61.28</v>
      </c>
      <c r="G73" s="112">
        <v>44.31</v>
      </c>
      <c r="H73" s="112">
        <v>14.56</v>
      </c>
      <c r="I73" s="112">
        <v>2.8</v>
      </c>
      <c r="J73" s="112">
        <v>0.57999999999999996</v>
      </c>
      <c r="K73" s="112">
        <v>251.14</v>
      </c>
      <c r="L73" s="112">
        <v>40.18</v>
      </c>
      <c r="M73" s="112">
        <v>31.56</v>
      </c>
      <c r="N73" s="112">
        <v>291.10000000000002</v>
      </c>
      <c r="O73" s="112">
        <v>0</v>
      </c>
      <c r="P73" s="112">
        <v>0.5</v>
      </c>
      <c r="Q73" s="112">
        <v>4.82</v>
      </c>
    </row>
    <row r="74" spans="1:17" customFormat="1">
      <c r="A74" s="80">
        <v>45433.6875</v>
      </c>
      <c r="B74" s="112">
        <v>3.34</v>
      </c>
      <c r="C74" s="112">
        <v>1.05</v>
      </c>
      <c r="D74" s="112">
        <v>5.19</v>
      </c>
      <c r="E74" s="112">
        <v>32.479999999999997</v>
      </c>
      <c r="F74" s="112">
        <v>72.98</v>
      </c>
      <c r="G74" s="112">
        <v>44.45</v>
      </c>
      <c r="H74" s="112">
        <v>14.56</v>
      </c>
      <c r="I74" s="112">
        <v>2.91</v>
      </c>
      <c r="J74" s="112">
        <v>0.41</v>
      </c>
      <c r="K74" s="112">
        <v>335.78</v>
      </c>
      <c r="L74" s="112">
        <v>40.49</v>
      </c>
      <c r="M74" s="112">
        <v>30.07</v>
      </c>
      <c r="N74" s="112">
        <v>229.3</v>
      </c>
      <c r="O74" s="112">
        <v>0</v>
      </c>
      <c r="P74" s="112">
        <v>0.49</v>
      </c>
      <c r="Q74" s="112">
        <v>4.83</v>
      </c>
    </row>
    <row r="75" spans="1:17" customFormat="1">
      <c r="A75" s="80">
        <v>45433.697916666664</v>
      </c>
      <c r="B75" s="112">
        <v>3.28</v>
      </c>
      <c r="C75" s="112">
        <v>1.07</v>
      </c>
      <c r="D75" s="112">
        <v>5.14</v>
      </c>
      <c r="E75" s="112">
        <v>35.159999999999997</v>
      </c>
      <c r="F75" s="112">
        <v>76.47</v>
      </c>
      <c r="G75" s="112">
        <v>44.45</v>
      </c>
      <c r="H75" s="112">
        <v>14.56</v>
      </c>
      <c r="I75" s="112">
        <v>2.95</v>
      </c>
      <c r="J75" s="112">
        <v>0.41</v>
      </c>
      <c r="K75" s="112">
        <v>40.57</v>
      </c>
      <c r="L75" s="112">
        <v>40.520000000000003</v>
      </c>
      <c r="M75" s="112">
        <v>29.72</v>
      </c>
      <c r="N75" s="112">
        <v>143.5</v>
      </c>
      <c r="O75" s="112">
        <v>0</v>
      </c>
      <c r="P75" s="112">
        <v>0.52</v>
      </c>
      <c r="Q75" s="112">
        <v>4.82</v>
      </c>
    </row>
    <row r="76" spans="1:17" customFormat="1">
      <c r="A76" s="80">
        <v>45433.708333333336</v>
      </c>
      <c r="B76" s="112">
        <v>3.25</v>
      </c>
      <c r="C76" s="112">
        <v>1.08</v>
      </c>
      <c r="D76" s="112">
        <v>5.13</v>
      </c>
      <c r="E76" s="112">
        <v>41.14</v>
      </c>
      <c r="F76" s="112">
        <v>80.989999999999995</v>
      </c>
      <c r="G76" s="112">
        <v>44.45</v>
      </c>
      <c r="H76" s="112">
        <v>14.56</v>
      </c>
      <c r="I76" s="112">
        <v>2.89</v>
      </c>
      <c r="J76" s="112">
        <v>0.38</v>
      </c>
      <c r="K76" s="112">
        <v>33.79</v>
      </c>
      <c r="L76" s="112">
        <v>40.33</v>
      </c>
      <c r="M76" s="112">
        <v>29.61</v>
      </c>
      <c r="N76" s="112">
        <v>116.8</v>
      </c>
      <c r="O76" s="112">
        <v>0</v>
      </c>
      <c r="P76" s="112">
        <v>0.54</v>
      </c>
      <c r="Q76" s="112">
        <v>4.8099999999999996</v>
      </c>
    </row>
    <row r="77" spans="1:17" customFormat="1">
      <c r="A77" s="80">
        <v>45433.71875</v>
      </c>
      <c r="B77" s="112">
        <v>3.25</v>
      </c>
      <c r="C77" s="112">
        <v>1.08</v>
      </c>
      <c r="D77" s="112">
        <v>5.13</v>
      </c>
      <c r="E77" s="112">
        <v>44.37</v>
      </c>
      <c r="F77" s="112">
        <v>85.75</v>
      </c>
      <c r="G77" s="112">
        <v>43.29</v>
      </c>
      <c r="H77" s="112">
        <v>19.54</v>
      </c>
      <c r="I77" s="112">
        <v>3</v>
      </c>
      <c r="J77" s="112">
        <v>0.48</v>
      </c>
      <c r="K77" s="112">
        <v>255.55</v>
      </c>
      <c r="L77" s="112">
        <v>39.770000000000003</v>
      </c>
      <c r="M77" s="112">
        <v>30.51</v>
      </c>
      <c r="N77" s="112">
        <v>102.4</v>
      </c>
      <c r="O77" s="112">
        <v>0</v>
      </c>
      <c r="P77" s="112">
        <v>0.5</v>
      </c>
      <c r="Q77" s="112">
        <v>4.8099999999999996</v>
      </c>
    </row>
    <row r="78" spans="1:17" customFormat="1">
      <c r="A78" s="80">
        <v>45433.729166666664</v>
      </c>
      <c r="B78" s="112">
        <v>3.26</v>
      </c>
      <c r="C78" s="112">
        <v>1.07</v>
      </c>
      <c r="D78" s="112">
        <v>5.13</v>
      </c>
      <c r="E78" s="112">
        <v>46.68</v>
      </c>
      <c r="F78" s="112">
        <v>86.08</v>
      </c>
      <c r="G78" s="112">
        <v>43.02</v>
      </c>
      <c r="H78" s="112">
        <v>19.54</v>
      </c>
      <c r="I78" s="112">
        <v>3</v>
      </c>
      <c r="J78" s="112">
        <v>0.3</v>
      </c>
      <c r="K78" s="112">
        <v>165.96</v>
      </c>
      <c r="L78" s="112">
        <v>39.619999999999997</v>
      </c>
      <c r="M78" s="112">
        <v>31.87</v>
      </c>
      <c r="N78" s="112">
        <v>75.3</v>
      </c>
      <c r="O78" s="112">
        <v>0</v>
      </c>
      <c r="P78" s="112">
        <v>0.49</v>
      </c>
      <c r="Q78" s="112">
        <v>4.8099999999999996</v>
      </c>
    </row>
    <row r="79" spans="1:17" customFormat="1">
      <c r="A79" s="80">
        <v>45433.739583333336</v>
      </c>
      <c r="B79" s="112">
        <v>3.25</v>
      </c>
      <c r="C79" s="112">
        <v>1.0900000000000001</v>
      </c>
      <c r="D79" s="112">
        <v>5.13</v>
      </c>
      <c r="E79" s="112">
        <v>52.14</v>
      </c>
      <c r="F79" s="112">
        <v>96.79</v>
      </c>
      <c r="G79" s="112">
        <v>43.02</v>
      </c>
      <c r="H79" s="112">
        <v>19.54</v>
      </c>
      <c r="I79" s="112">
        <v>2.82</v>
      </c>
      <c r="J79" s="112">
        <v>0.4</v>
      </c>
      <c r="K79" s="112">
        <v>166.8</v>
      </c>
      <c r="L79" s="112">
        <v>39.270000000000003</v>
      </c>
      <c r="M79" s="112">
        <v>31.69</v>
      </c>
      <c r="N79" s="112">
        <v>44.2</v>
      </c>
      <c r="O79" s="112">
        <v>0</v>
      </c>
      <c r="P79" s="112">
        <v>0.47</v>
      </c>
      <c r="Q79" s="112">
        <v>4.82</v>
      </c>
    </row>
    <row r="80" spans="1:17" customFormat="1">
      <c r="A80" s="80">
        <v>45433.75</v>
      </c>
      <c r="B80" s="112">
        <v>3.25</v>
      </c>
      <c r="C80" s="112">
        <v>1.0900000000000001</v>
      </c>
      <c r="D80" s="112">
        <v>5.13</v>
      </c>
      <c r="E80" s="112">
        <v>53.91</v>
      </c>
      <c r="F80" s="112">
        <v>97.3</v>
      </c>
      <c r="G80" s="112">
        <v>43.02</v>
      </c>
      <c r="H80" s="112">
        <v>19.54</v>
      </c>
      <c r="I80" s="112">
        <v>2.85</v>
      </c>
      <c r="J80" s="112">
        <v>0.26</v>
      </c>
      <c r="K80" s="112">
        <v>156.66</v>
      </c>
      <c r="L80" s="112">
        <v>39.01</v>
      </c>
      <c r="M80" s="112">
        <v>32.83</v>
      </c>
      <c r="N80" s="112">
        <v>17.899999999999999</v>
      </c>
      <c r="O80" s="112">
        <v>0</v>
      </c>
      <c r="P80" s="112">
        <v>0.49</v>
      </c>
      <c r="Q80" s="112">
        <v>4.8099999999999996</v>
      </c>
    </row>
    <row r="81" spans="1:17" customFormat="1">
      <c r="A81" s="80">
        <v>45433.760416666664</v>
      </c>
      <c r="B81" s="112">
        <v>3.26</v>
      </c>
      <c r="C81" s="112">
        <v>1.07</v>
      </c>
      <c r="D81" s="112">
        <v>5.13</v>
      </c>
      <c r="E81" s="112">
        <v>34.4</v>
      </c>
      <c r="F81" s="112">
        <v>89.57</v>
      </c>
      <c r="G81" s="112">
        <v>44.47</v>
      </c>
      <c r="H81" s="112">
        <v>16.43</v>
      </c>
      <c r="I81" s="112">
        <v>2.79</v>
      </c>
      <c r="J81" s="112">
        <v>0.02</v>
      </c>
      <c r="K81" s="112">
        <v>235.45</v>
      </c>
      <c r="L81" s="112">
        <v>38.33</v>
      </c>
      <c r="M81" s="112">
        <v>34.28</v>
      </c>
      <c r="N81" s="112">
        <v>3.1</v>
      </c>
      <c r="O81" s="112">
        <v>0</v>
      </c>
      <c r="P81" s="112">
        <v>0.51</v>
      </c>
      <c r="Q81" s="112">
        <v>4.82</v>
      </c>
    </row>
    <row r="82" spans="1:17" customFormat="1">
      <c r="A82" s="80">
        <v>45433.770833333336</v>
      </c>
      <c r="B82" s="112">
        <v>3.24</v>
      </c>
      <c r="C82" s="112">
        <v>1.0900000000000001</v>
      </c>
      <c r="D82" s="112">
        <v>5.13</v>
      </c>
      <c r="E82" s="112">
        <v>46.05</v>
      </c>
      <c r="F82" s="112">
        <v>32.64</v>
      </c>
      <c r="G82" s="112">
        <v>44.8</v>
      </c>
      <c r="H82" s="112">
        <v>16.43</v>
      </c>
      <c r="I82" s="112">
        <v>2.87</v>
      </c>
      <c r="J82" s="112">
        <v>1.77</v>
      </c>
      <c r="K82" s="112">
        <v>28.53</v>
      </c>
      <c r="L82" s="112">
        <v>36.54</v>
      </c>
      <c r="M82" s="112">
        <v>34.42</v>
      </c>
      <c r="N82" s="112">
        <v>0</v>
      </c>
      <c r="O82" s="112">
        <v>0</v>
      </c>
      <c r="P82" s="112">
        <v>0.61</v>
      </c>
      <c r="Q82" s="112">
        <v>4.8099999999999996</v>
      </c>
    </row>
    <row r="83" spans="1:17" customFormat="1">
      <c r="A83" s="80">
        <v>45433.78125</v>
      </c>
      <c r="B83" s="112">
        <v>3.22</v>
      </c>
      <c r="C83" s="112">
        <v>1.1200000000000001</v>
      </c>
      <c r="D83" s="112">
        <v>5.13</v>
      </c>
      <c r="E83" s="112">
        <v>56.21</v>
      </c>
      <c r="F83" s="112">
        <v>32.5</v>
      </c>
      <c r="G83" s="112">
        <v>44.8</v>
      </c>
      <c r="H83" s="112">
        <v>16.43</v>
      </c>
      <c r="I83" s="112">
        <v>3.28</v>
      </c>
      <c r="J83" s="112">
        <v>1.01</v>
      </c>
      <c r="K83" s="112">
        <v>40.020000000000003</v>
      </c>
      <c r="L83" s="112">
        <v>35.24</v>
      </c>
      <c r="M83" s="112">
        <v>38.020000000000003</v>
      </c>
      <c r="N83" s="112">
        <v>0</v>
      </c>
      <c r="O83" s="112">
        <v>0</v>
      </c>
      <c r="P83" s="112">
        <v>0.61</v>
      </c>
      <c r="Q83" s="112">
        <v>4.8099999999999996</v>
      </c>
    </row>
    <row r="84" spans="1:17" customFormat="1">
      <c r="A84" s="80">
        <v>45433.791666666664</v>
      </c>
      <c r="B84" s="112">
        <v>3.23</v>
      </c>
      <c r="C84" s="112">
        <v>1.1100000000000001</v>
      </c>
      <c r="D84" s="112">
        <v>5.13</v>
      </c>
      <c r="E84" s="112">
        <v>37.130000000000003</v>
      </c>
      <c r="F84" s="112">
        <v>41.52</v>
      </c>
      <c r="G84" s="112">
        <v>44.8</v>
      </c>
      <c r="H84" s="112">
        <v>16.43</v>
      </c>
      <c r="I84" s="112">
        <v>4.1500000000000004</v>
      </c>
      <c r="J84" s="112">
        <v>1.36</v>
      </c>
      <c r="K84" s="112">
        <v>44.97</v>
      </c>
      <c r="L84" s="112">
        <v>35.04</v>
      </c>
      <c r="M84" s="112">
        <v>36.880000000000003</v>
      </c>
      <c r="N84" s="112">
        <v>0</v>
      </c>
      <c r="O84" s="112">
        <v>0</v>
      </c>
      <c r="P84" s="112">
        <v>0.57999999999999996</v>
      </c>
      <c r="Q84" s="112">
        <v>4.82</v>
      </c>
    </row>
    <row r="85" spans="1:17" customFormat="1">
      <c r="A85" s="80">
        <v>45433.802083333336</v>
      </c>
      <c r="B85" s="112">
        <v>3.25</v>
      </c>
      <c r="C85" s="112">
        <v>1.1000000000000001</v>
      </c>
      <c r="D85" s="112">
        <v>5.14</v>
      </c>
      <c r="E85" s="112">
        <v>38.83</v>
      </c>
      <c r="F85" s="112">
        <v>45.5</v>
      </c>
      <c r="G85" s="112">
        <v>62.74</v>
      </c>
      <c r="H85" s="112">
        <v>19.73</v>
      </c>
      <c r="I85" s="112">
        <v>4.0599999999999996</v>
      </c>
      <c r="J85" s="112">
        <v>1.07</v>
      </c>
      <c r="K85" s="112">
        <v>41.75</v>
      </c>
      <c r="L85" s="112">
        <v>35.369999999999997</v>
      </c>
      <c r="M85" s="112">
        <v>34.76</v>
      </c>
      <c r="N85" s="112">
        <v>0</v>
      </c>
      <c r="O85" s="112">
        <v>0</v>
      </c>
      <c r="P85" s="112">
        <v>0.56000000000000005</v>
      </c>
      <c r="Q85" s="112">
        <v>4.82</v>
      </c>
    </row>
    <row r="86" spans="1:17" customFormat="1">
      <c r="A86" s="80">
        <v>45433.8125</v>
      </c>
      <c r="B86" s="112">
        <v>3.29</v>
      </c>
      <c r="C86" s="112">
        <v>1.07</v>
      </c>
      <c r="D86" s="112">
        <v>5.16</v>
      </c>
      <c r="E86" s="112">
        <v>60.02</v>
      </c>
      <c r="F86" s="112">
        <v>27.4</v>
      </c>
      <c r="G86" s="112">
        <v>66.92</v>
      </c>
      <c r="H86" s="112">
        <v>19.73</v>
      </c>
      <c r="I86" s="112">
        <v>3.96</v>
      </c>
      <c r="J86" s="112">
        <v>0.77</v>
      </c>
      <c r="K86" s="112">
        <v>70.17</v>
      </c>
      <c r="L86" s="112">
        <v>35.229999999999997</v>
      </c>
      <c r="M86" s="112">
        <v>35.83</v>
      </c>
      <c r="N86" s="112">
        <v>0</v>
      </c>
      <c r="O86" s="112">
        <v>0</v>
      </c>
      <c r="P86" s="112">
        <v>0.67</v>
      </c>
      <c r="Q86" s="167" t="s">
        <v>14</v>
      </c>
    </row>
    <row r="87" spans="1:17" customFormat="1">
      <c r="A87" s="80">
        <v>45433.822916666664</v>
      </c>
      <c r="B87" s="112">
        <v>3.27</v>
      </c>
      <c r="C87" s="112">
        <v>1.06</v>
      </c>
      <c r="D87" s="112">
        <v>5.13</v>
      </c>
      <c r="E87" s="112">
        <v>33.61</v>
      </c>
      <c r="F87" s="112">
        <v>27.45</v>
      </c>
      <c r="G87" s="112">
        <v>66.92</v>
      </c>
      <c r="H87" s="112">
        <v>19.73</v>
      </c>
      <c r="I87" s="112">
        <v>4.03</v>
      </c>
      <c r="J87" s="112">
        <v>0.79</v>
      </c>
      <c r="K87" s="112">
        <v>84.11</v>
      </c>
      <c r="L87" s="112">
        <v>34.69</v>
      </c>
      <c r="M87" s="112">
        <v>39.700000000000003</v>
      </c>
      <c r="N87" s="112">
        <v>0</v>
      </c>
      <c r="O87" s="112">
        <v>0</v>
      </c>
      <c r="P87" s="112">
        <v>0.56000000000000005</v>
      </c>
      <c r="Q87" s="167" t="s">
        <v>14</v>
      </c>
    </row>
    <row r="88" spans="1:17" customFormat="1">
      <c r="A88" s="80">
        <v>45433.833333333336</v>
      </c>
      <c r="B88" s="112">
        <v>3.29</v>
      </c>
      <c r="C88" s="112">
        <v>1.05</v>
      </c>
      <c r="D88" s="112">
        <v>5.15</v>
      </c>
      <c r="E88" s="112">
        <v>49.78</v>
      </c>
      <c r="F88" s="112">
        <v>33.92</v>
      </c>
      <c r="G88" s="112">
        <v>66.92</v>
      </c>
      <c r="H88" s="112">
        <v>19.73</v>
      </c>
      <c r="I88" s="112">
        <v>4.54</v>
      </c>
      <c r="J88" s="112">
        <v>0.92</v>
      </c>
      <c r="K88" s="112">
        <v>64.92</v>
      </c>
      <c r="L88" s="112">
        <v>34.17</v>
      </c>
      <c r="M88" s="112">
        <v>42</v>
      </c>
      <c r="N88" s="112">
        <v>0</v>
      </c>
      <c r="O88" s="112">
        <v>0</v>
      </c>
      <c r="P88" s="112">
        <v>0.57999999999999996</v>
      </c>
      <c r="Q88" s="112">
        <v>4.8099999999999996</v>
      </c>
    </row>
    <row r="89" spans="1:17" customFormat="1">
      <c r="A89" s="80">
        <v>45433.84375</v>
      </c>
      <c r="B89" s="112">
        <v>3.28</v>
      </c>
      <c r="C89" s="112">
        <v>1.04</v>
      </c>
      <c r="D89" s="112">
        <v>5.13</v>
      </c>
      <c r="E89" s="112">
        <v>28.99</v>
      </c>
      <c r="F89" s="112">
        <v>21.42</v>
      </c>
      <c r="G89" s="112">
        <v>69.7</v>
      </c>
      <c r="H89" s="112">
        <v>23.3</v>
      </c>
      <c r="I89" s="112">
        <v>4.3499999999999996</v>
      </c>
      <c r="J89" s="112">
        <v>1.31</v>
      </c>
      <c r="K89" s="112">
        <v>55.6</v>
      </c>
      <c r="L89" s="112">
        <v>33.58</v>
      </c>
      <c r="M89" s="112">
        <v>44.05</v>
      </c>
      <c r="N89" s="112">
        <v>0</v>
      </c>
      <c r="O89" s="112">
        <v>0</v>
      </c>
      <c r="P89" s="112">
        <v>0.61</v>
      </c>
      <c r="Q89" s="112">
        <v>4.8</v>
      </c>
    </row>
    <row r="90" spans="1:17" customFormat="1">
      <c r="A90" s="80">
        <v>45433.854166666664</v>
      </c>
      <c r="B90" s="112">
        <v>3.24</v>
      </c>
      <c r="C90" s="112">
        <v>1.0900000000000001</v>
      </c>
      <c r="D90" s="112">
        <v>5.13</v>
      </c>
      <c r="E90" s="112">
        <v>17.850000000000001</v>
      </c>
      <c r="F90" s="112">
        <v>18.68</v>
      </c>
      <c r="G90" s="112">
        <v>70.34</v>
      </c>
      <c r="H90" s="112">
        <v>23.3</v>
      </c>
      <c r="I90" s="112">
        <v>4.3499999999999996</v>
      </c>
      <c r="J90" s="112">
        <v>1.85</v>
      </c>
      <c r="K90" s="112">
        <v>56.28</v>
      </c>
      <c r="L90" s="112">
        <v>33.35</v>
      </c>
      <c r="M90" s="112">
        <v>42.29</v>
      </c>
      <c r="N90" s="112">
        <v>0</v>
      </c>
      <c r="O90" s="112">
        <v>0</v>
      </c>
      <c r="P90" s="112">
        <v>0.59</v>
      </c>
      <c r="Q90" s="112">
        <v>4.8099999999999996</v>
      </c>
    </row>
    <row r="91" spans="1:17" customFormat="1">
      <c r="A91" s="80">
        <v>45433.864583333336</v>
      </c>
      <c r="B91" s="112">
        <v>3.21</v>
      </c>
      <c r="C91" s="112">
        <v>1.1399999999999999</v>
      </c>
      <c r="D91" s="112">
        <v>5.13</v>
      </c>
      <c r="E91" s="112">
        <v>14.9</v>
      </c>
      <c r="F91" s="112">
        <v>12.16</v>
      </c>
      <c r="G91" s="112">
        <v>70.34</v>
      </c>
      <c r="H91" s="112">
        <v>23.3</v>
      </c>
      <c r="I91" s="112">
        <v>4.55</v>
      </c>
      <c r="J91" s="112">
        <v>0.75</v>
      </c>
      <c r="K91" s="112">
        <v>89.81</v>
      </c>
      <c r="L91" s="112">
        <v>33.79</v>
      </c>
      <c r="M91" s="112">
        <v>38.229999999999997</v>
      </c>
      <c r="N91" s="112">
        <v>0</v>
      </c>
      <c r="O91" s="112">
        <v>0</v>
      </c>
      <c r="P91" s="112">
        <v>0.59</v>
      </c>
      <c r="Q91" s="112">
        <v>4.8</v>
      </c>
    </row>
    <row r="92" spans="1:17" customFormat="1">
      <c r="A92" s="80">
        <v>45433.875</v>
      </c>
      <c r="B92" s="112">
        <v>3.22</v>
      </c>
      <c r="C92" s="112">
        <v>1.1299999999999999</v>
      </c>
      <c r="D92" s="112">
        <v>5.13</v>
      </c>
      <c r="E92" s="112">
        <v>13.56</v>
      </c>
      <c r="F92" s="112">
        <v>9.44</v>
      </c>
      <c r="G92" s="112">
        <v>70.34</v>
      </c>
      <c r="H92" s="112">
        <v>23.3</v>
      </c>
      <c r="I92" s="112">
        <v>4.37</v>
      </c>
      <c r="J92" s="112">
        <v>0.74</v>
      </c>
      <c r="K92" s="112">
        <v>97.92</v>
      </c>
      <c r="L92" s="112">
        <v>33.56</v>
      </c>
      <c r="M92" s="112">
        <v>36.119999999999997</v>
      </c>
      <c r="N92" s="112">
        <v>0</v>
      </c>
      <c r="O92" s="112">
        <v>0</v>
      </c>
      <c r="P92" s="112">
        <v>0.57999999999999996</v>
      </c>
      <c r="Q92" s="112">
        <v>4.8</v>
      </c>
    </row>
    <row r="93" spans="1:17" customFormat="1">
      <c r="A93" s="80">
        <v>45433.885416666664</v>
      </c>
      <c r="B93" s="112">
        <v>3.21</v>
      </c>
      <c r="C93" s="112">
        <v>1.1399999999999999</v>
      </c>
      <c r="D93" s="112">
        <v>5.13</v>
      </c>
      <c r="E93" s="112">
        <v>12.76</v>
      </c>
      <c r="F93" s="112">
        <v>11.21</v>
      </c>
      <c r="G93" s="112">
        <v>61.1</v>
      </c>
      <c r="H93" s="112">
        <v>15.14</v>
      </c>
      <c r="I93" s="112">
        <v>4.47</v>
      </c>
      <c r="J93" s="112">
        <v>1.27</v>
      </c>
      <c r="K93" s="112">
        <v>89.24</v>
      </c>
      <c r="L93" s="112">
        <v>32.92</v>
      </c>
      <c r="M93" s="112">
        <v>39.6</v>
      </c>
      <c r="N93" s="112">
        <v>0</v>
      </c>
      <c r="O93" s="112">
        <v>0</v>
      </c>
      <c r="P93" s="112">
        <v>0.56999999999999995</v>
      </c>
      <c r="Q93" s="112">
        <v>4.8</v>
      </c>
    </row>
    <row r="94" spans="1:17" customFormat="1">
      <c r="A94" s="80">
        <v>45433.895833333336</v>
      </c>
      <c r="B94" s="112">
        <v>3.2</v>
      </c>
      <c r="C94" s="112">
        <v>1.1499999999999999</v>
      </c>
      <c r="D94" s="112">
        <v>5.13</v>
      </c>
      <c r="E94" s="112">
        <v>13.27</v>
      </c>
      <c r="F94" s="112">
        <v>12.16</v>
      </c>
      <c r="G94" s="112">
        <v>58.94</v>
      </c>
      <c r="H94" s="112">
        <v>15.14</v>
      </c>
      <c r="I94" s="112">
        <v>4.45</v>
      </c>
      <c r="J94" s="112">
        <v>1.08</v>
      </c>
      <c r="K94" s="112">
        <v>88.4</v>
      </c>
      <c r="L94" s="112">
        <v>31.67</v>
      </c>
      <c r="M94" s="112">
        <v>45.55</v>
      </c>
      <c r="N94" s="112">
        <v>0</v>
      </c>
      <c r="O94" s="112">
        <v>0</v>
      </c>
      <c r="P94" s="112">
        <v>0.56000000000000005</v>
      </c>
      <c r="Q94" s="112">
        <v>4.8</v>
      </c>
    </row>
    <row r="95" spans="1:17" customFormat="1">
      <c r="A95" s="80">
        <v>45433.90625</v>
      </c>
      <c r="B95" s="112">
        <v>3.23</v>
      </c>
      <c r="C95" s="112">
        <v>1.1100000000000001</v>
      </c>
      <c r="D95" s="112">
        <v>5.13</v>
      </c>
      <c r="E95" s="112">
        <v>14.96</v>
      </c>
      <c r="F95" s="112">
        <v>11.5</v>
      </c>
      <c r="G95" s="112">
        <v>58.94</v>
      </c>
      <c r="H95" s="112">
        <v>15.14</v>
      </c>
      <c r="I95" s="112">
        <v>4.32</v>
      </c>
      <c r="J95" s="112">
        <v>0.89</v>
      </c>
      <c r="K95" s="112">
        <v>89.45</v>
      </c>
      <c r="L95" s="112">
        <v>31.49</v>
      </c>
      <c r="M95" s="112">
        <v>46.12</v>
      </c>
      <c r="N95" s="112">
        <v>0</v>
      </c>
      <c r="O95" s="112">
        <v>0</v>
      </c>
      <c r="P95" s="112">
        <v>0.55000000000000004</v>
      </c>
      <c r="Q95" s="112">
        <v>4.8099999999999996</v>
      </c>
    </row>
    <row r="96" spans="1:17" customFormat="1">
      <c r="A96" s="80">
        <v>45433.916666666664</v>
      </c>
      <c r="B96" s="112">
        <v>3.29</v>
      </c>
      <c r="C96" s="112">
        <v>1.05</v>
      </c>
      <c r="D96" s="112">
        <v>5.15</v>
      </c>
      <c r="E96" s="112">
        <v>14.72</v>
      </c>
      <c r="F96" s="112">
        <v>11.66</v>
      </c>
      <c r="G96" s="112">
        <v>58.94</v>
      </c>
      <c r="H96" s="112">
        <v>15.14</v>
      </c>
      <c r="I96" s="112">
        <v>4.24</v>
      </c>
      <c r="J96" s="112">
        <v>0.48</v>
      </c>
      <c r="K96" s="112">
        <v>96.91</v>
      </c>
      <c r="L96" s="112">
        <v>31.29</v>
      </c>
      <c r="M96" s="112">
        <v>46.94</v>
      </c>
      <c r="N96" s="112">
        <v>0</v>
      </c>
      <c r="O96" s="112">
        <v>0</v>
      </c>
      <c r="P96" s="112">
        <v>0.55000000000000004</v>
      </c>
      <c r="Q96" s="112">
        <v>4.8099999999999996</v>
      </c>
    </row>
    <row r="97" spans="1:22" customFormat="1">
      <c r="A97" s="80">
        <v>45433.927083333336</v>
      </c>
      <c r="B97" s="112">
        <v>3.27</v>
      </c>
      <c r="C97" s="112">
        <v>1.07</v>
      </c>
      <c r="D97" s="112">
        <v>5.14</v>
      </c>
      <c r="E97" s="112">
        <v>12.57</v>
      </c>
      <c r="F97" s="112">
        <v>11.89</v>
      </c>
      <c r="G97" s="112">
        <v>84.53</v>
      </c>
      <c r="H97" s="112">
        <v>19.64</v>
      </c>
      <c r="I97" s="112">
        <v>4.26</v>
      </c>
      <c r="J97" s="112">
        <v>0.35</v>
      </c>
      <c r="K97" s="112">
        <v>99.34</v>
      </c>
      <c r="L97" s="112">
        <v>31.17</v>
      </c>
      <c r="M97" s="112">
        <v>48.38</v>
      </c>
      <c r="N97" s="112">
        <v>0</v>
      </c>
      <c r="O97" s="112">
        <v>0</v>
      </c>
      <c r="P97" s="112">
        <v>0.54</v>
      </c>
      <c r="Q97" s="112">
        <v>4.83</v>
      </c>
    </row>
    <row r="98" spans="1:22" customFormat="1">
      <c r="A98" s="80">
        <v>45433.9375</v>
      </c>
      <c r="B98" s="112">
        <v>3.26</v>
      </c>
      <c r="C98" s="112">
        <v>1.1000000000000001</v>
      </c>
      <c r="D98" s="112">
        <v>5.15</v>
      </c>
      <c r="E98" s="112">
        <v>12.52</v>
      </c>
      <c r="F98" s="112">
        <v>10.57</v>
      </c>
      <c r="G98" s="112">
        <v>90.49</v>
      </c>
      <c r="H98" s="112">
        <v>19.64</v>
      </c>
      <c r="I98" s="112">
        <v>4.22</v>
      </c>
      <c r="J98" s="112">
        <v>0.49</v>
      </c>
      <c r="K98" s="112">
        <v>93.66</v>
      </c>
      <c r="L98" s="112">
        <v>30.71</v>
      </c>
      <c r="M98" s="112">
        <v>51.83</v>
      </c>
      <c r="N98" s="112">
        <v>0</v>
      </c>
      <c r="O98" s="112">
        <v>0</v>
      </c>
      <c r="P98" s="112">
        <v>0.54</v>
      </c>
      <c r="Q98" s="112">
        <v>4.8</v>
      </c>
    </row>
    <row r="99" spans="1:22" customFormat="1">
      <c r="A99" s="80">
        <v>45433.947916666664</v>
      </c>
      <c r="B99" s="112">
        <v>3.24</v>
      </c>
      <c r="C99" s="112">
        <v>1.1000000000000001</v>
      </c>
      <c r="D99" s="112">
        <v>5.13</v>
      </c>
      <c r="E99" s="112">
        <v>12.61</v>
      </c>
      <c r="F99" s="112">
        <v>11.78</v>
      </c>
      <c r="G99" s="112">
        <v>90.49</v>
      </c>
      <c r="H99" s="112">
        <v>19.64</v>
      </c>
      <c r="I99" s="112">
        <v>4.1500000000000004</v>
      </c>
      <c r="J99" s="112">
        <v>0.49</v>
      </c>
      <c r="K99" s="112">
        <v>99.95</v>
      </c>
      <c r="L99" s="112">
        <v>29.83</v>
      </c>
      <c r="M99" s="112">
        <v>56.39</v>
      </c>
      <c r="N99" s="112">
        <v>0</v>
      </c>
      <c r="O99" s="112">
        <v>0</v>
      </c>
      <c r="P99" s="112">
        <v>0.54</v>
      </c>
      <c r="Q99" s="112">
        <v>4.79</v>
      </c>
    </row>
    <row r="100" spans="1:22" customFormat="1">
      <c r="A100" s="80">
        <v>45433.958333333336</v>
      </c>
      <c r="B100" s="112">
        <v>3.23</v>
      </c>
      <c r="C100" s="112">
        <v>1.1200000000000001</v>
      </c>
      <c r="D100" s="112">
        <v>5.13</v>
      </c>
      <c r="E100" s="112">
        <v>12.39</v>
      </c>
      <c r="F100" s="112">
        <v>8.9600000000000009</v>
      </c>
      <c r="G100" s="112">
        <v>90.49</v>
      </c>
      <c r="H100" s="112">
        <v>19.64</v>
      </c>
      <c r="I100" s="112">
        <v>4.0999999999999996</v>
      </c>
      <c r="J100" s="112">
        <v>0.48</v>
      </c>
      <c r="K100" s="112">
        <v>89.98</v>
      </c>
      <c r="L100" s="112">
        <v>29.61</v>
      </c>
      <c r="M100" s="112">
        <v>57.09</v>
      </c>
      <c r="N100" s="112">
        <v>0</v>
      </c>
      <c r="O100" s="112">
        <v>0</v>
      </c>
      <c r="P100" s="112">
        <v>0.53</v>
      </c>
      <c r="Q100" s="112">
        <v>4.8</v>
      </c>
    </row>
    <row r="101" spans="1:22" customFormat="1">
      <c r="A101" s="80">
        <v>45433.96875</v>
      </c>
      <c r="B101" s="112">
        <v>3.23</v>
      </c>
      <c r="C101" s="112">
        <v>1.1200000000000001</v>
      </c>
      <c r="D101" s="112">
        <v>5.13</v>
      </c>
      <c r="E101" s="112">
        <v>12.38</v>
      </c>
      <c r="F101" s="112">
        <v>10.1</v>
      </c>
      <c r="G101" s="112">
        <v>70.52</v>
      </c>
      <c r="H101" s="112">
        <v>18.91</v>
      </c>
      <c r="I101" s="112">
        <v>4.12</v>
      </c>
      <c r="J101" s="112">
        <v>0.42</v>
      </c>
      <c r="K101" s="112">
        <v>103.66</v>
      </c>
      <c r="L101" s="112">
        <v>29.47</v>
      </c>
      <c r="M101" s="112">
        <v>57</v>
      </c>
      <c r="N101" s="112">
        <v>0</v>
      </c>
      <c r="O101" s="112">
        <v>0</v>
      </c>
      <c r="P101" s="112">
        <v>0.52</v>
      </c>
      <c r="Q101" s="112">
        <v>4.79</v>
      </c>
    </row>
    <row r="102" spans="1:22" customFormat="1">
      <c r="A102" s="80">
        <v>45433.979166666664</v>
      </c>
      <c r="B102" s="112">
        <v>3.21</v>
      </c>
      <c r="C102" s="112">
        <v>1.1399999999999999</v>
      </c>
      <c r="D102" s="112">
        <v>5.13</v>
      </c>
      <c r="E102" s="112">
        <v>12.13</v>
      </c>
      <c r="F102" s="112">
        <v>8.6999999999999993</v>
      </c>
      <c r="G102" s="112">
        <v>65.87</v>
      </c>
      <c r="H102" s="112">
        <v>18.91</v>
      </c>
      <c r="I102" s="112">
        <v>4.08</v>
      </c>
      <c r="J102" s="112">
        <v>0.3</v>
      </c>
      <c r="K102" s="112">
        <v>150.21</v>
      </c>
      <c r="L102" s="112">
        <v>29.26</v>
      </c>
      <c r="M102" s="112">
        <v>58.45</v>
      </c>
      <c r="N102" s="112">
        <v>0</v>
      </c>
      <c r="O102" s="112">
        <v>0</v>
      </c>
      <c r="P102" s="112">
        <v>0.5</v>
      </c>
      <c r="Q102" s="112">
        <v>4.79</v>
      </c>
    </row>
    <row r="103" spans="1:22" customFormat="1">
      <c r="A103" s="80">
        <v>45433.989583333336</v>
      </c>
      <c r="B103" s="112">
        <v>3.2</v>
      </c>
      <c r="C103" s="112">
        <v>1.1599999999999999</v>
      </c>
      <c r="D103" s="112">
        <v>5.13</v>
      </c>
      <c r="E103" s="112">
        <v>12.13</v>
      </c>
      <c r="F103" s="112">
        <v>9.85</v>
      </c>
      <c r="G103" s="112">
        <v>65.87</v>
      </c>
      <c r="H103" s="112">
        <v>18.91</v>
      </c>
      <c r="I103" s="112">
        <v>4.01</v>
      </c>
      <c r="J103" s="112">
        <v>0.38</v>
      </c>
      <c r="K103" s="112">
        <v>169.6</v>
      </c>
      <c r="L103" s="112">
        <v>29.48</v>
      </c>
      <c r="M103" s="112">
        <v>58.34</v>
      </c>
      <c r="N103" s="112">
        <v>0</v>
      </c>
      <c r="O103" s="112">
        <v>0</v>
      </c>
      <c r="P103" s="112">
        <v>0.5</v>
      </c>
      <c r="Q103" s="112">
        <v>4.8</v>
      </c>
    </row>
    <row r="104" spans="1:22" customFormat="1">
      <c r="A104" s="80">
        <v>45434</v>
      </c>
      <c r="B104" s="112">
        <v>3.2</v>
      </c>
      <c r="C104" s="112">
        <v>1.1599999999999999</v>
      </c>
      <c r="D104" s="112">
        <v>5.13</v>
      </c>
      <c r="E104" s="112">
        <v>12.55</v>
      </c>
      <c r="F104" s="112">
        <v>12</v>
      </c>
      <c r="G104" s="112">
        <v>65.87</v>
      </c>
      <c r="H104" s="112">
        <v>18.91</v>
      </c>
      <c r="I104" s="112">
        <v>4.01</v>
      </c>
      <c r="J104" s="112">
        <v>0.13</v>
      </c>
      <c r="K104" s="112">
        <v>199.26</v>
      </c>
      <c r="L104" s="112">
        <v>29.26</v>
      </c>
      <c r="M104" s="112">
        <v>59.83</v>
      </c>
      <c r="N104" s="112">
        <v>0</v>
      </c>
      <c r="O104" s="112">
        <v>0</v>
      </c>
      <c r="P104" s="112">
        <v>0.5</v>
      </c>
      <c r="Q104" s="112">
        <v>4.79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3.11</v>
      </c>
      <c r="C106" s="183">
        <f>MIN(C9:C104)</f>
        <v>1.04</v>
      </c>
      <c r="D106" s="183">
        <f t="shared" ref="D106:Q106" si="0">MIN(D9:D104)</f>
        <v>5.13</v>
      </c>
      <c r="E106" s="183">
        <f t="shared" si="0"/>
        <v>9.42</v>
      </c>
      <c r="F106" s="183">
        <f t="shared" si="0"/>
        <v>6.44</v>
      </c>
      <c r="G106" s="183">
        <f t="shared" si="0"/>
        <v>15.15</v>
      </c>
      <c r="H106" s="183">
        <f t="shared" si="0"/>
        <v>7.28</v>
      </c>
      <c r="I106" s="183">
        <f t="shared" si="0"/>
        <v>2.2400000000000002</v>
      </c>
      <c r="J106" s="183">
        <f t="shared" si="0"/>
        <v>0</v>
      </c>
      <c r="K106" s="183">
        <f t="shared" si="0"/>
        <v>28.53</v>
      </c>
      <c r="L106" s="183">
        <f t="shared" si="0"/>
        <v>27.14</v>
      </c>
      <c r="M106" s="183">
        <f t="shared" si="0"/>
        <v>29.61</v>
      </c>
      <c r="N106" s="183">
        <f t="shared" si="0"/>
        <v>0</v>
      </c>
      <c r="O106" s="183">
        <f t="shared" si="0"/>
        <v>0</v>
      </c>
      <c r="P106" s="183">
        <f t="shared" si="0"/>
        <v>0.4</v>
      </c>
      <c r="Q106" s="183">
        <f t="shared" si="0"/>
        <v>4.07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11.24</v>
      </c>
      <c r="C107" s="184">
        <f t="shared" ref="C107:Q107" si="1">MAX(C9:C104)</f>
        <v>13.17</v>
      </c>
      <c r="D107" s="184">
        <f t="shared" si="1"/>
        <v>25.01</v>
      </c>
      <c r="E107" s="184">
        <f t="shared" si="1"/>
        <v>60.02</v>
      </c>
      <c r="F107" s="184">
        <f t="shared" si="1"/>
        <v>102.45</v>
      </c>
      <c r="G107" s="184">
        <f t="shared" si="1"/>
        <v>90.49</v>
      </c>
      <c r="H107" s="184">
        <f t="shared" si="1"/>
        <v>23.3</v>
      </c>
      <c r="I107" s="184">
        <f t="shared" si="1"/>
        <v>7.12</v>
      </c>
      <c r="J107" s="184">
        <f t="shared" si="1"/>
        <v>1.85</v>
      </c>
      <c r="K107" s="184">
        <f t="shared" si="1"/>
        <v>335.78</v>
      </c>
      <c r="L107" s="184">
        <f t="shared" si="1"/>
        <v>41.49</v>
      </c>
      <c r="M107" s="184">
        <f t="shared" si="1"/>
        <v>65.13</v>
      </c>
      <c r="N107" s="184">
        <f t="shared" si="1"/>
        <v>768.7</v>
      </c>
      <c r="O107" s="184">
        <f t="shared" si="1"/>
        <v>0</v>
      </c>
      <c r="P107" s="184">
        <f t="shared" si="1"/>
        <v>0.67</v>
      </c>
      <c r="Q107" s="184">
        <f t="shared" si="1"/>
        <v>4.96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7.5679012345679038</v>
      </c>
      <c r="C108" s="183">
        <f t="shared" ref="C108:Q108" si="2">AVERAGE(C9:C104)</f>
        <v>7.6249382716049423</v>
      </c>
      <c r="D108" s="183">
        <f t="shared" si="2"/>
        <v>15.915185185185237</v>
      </c>
      <c r="E108" s="183">
        <f t="shared" si="2"/>
        <v>22.557500000000005</v>
      </c>
      <c r="F108" s="183">
        <f t="shared" si="2"/>
        <v>36.754583333333322</v>
      </c>
      <c r="G108" s="183">
        <f t="shared" si="2"/>
        <v>38.872500000000002</v>
      </c>
      <c r="H108" s="183">
        <f t="shared" si="2"/>
        <v>14.46666666666667</v>
      </c>
      <c r="I108" s="183">
        <f t="shared" si="2"/>
        <v>4.1763541666666679</v>
      </c>
      <c r="J108" s="183">
        <f t="shared" si="2"/>
        <v>0.63302083333333348</v>
      </c>
      <c r="K108" s="183">
        <f t="shared" si="2"/>
        <v>202.63447916666658</v>
      </c>
      <c r="L108" s="183">
        <f t="shared" si="2"/>
        <v>33.529166666666661</v>
      </c>
      <c r="M108" s="183">
        <f t="shared" si="2"/>
        <v>45.826458333333342</v>
      </c>
      <c r="N108" s="183">
        <f t="shared" si="2"/>
        <v>142.60729166666667</v>
      </c>
      <c r="O108" s="183">
        <f t="shared" si="2"/>
        <v>0</v>
      </c>
      <c r="P108" s="183">
        <f t="shared" si="2"/>
        <v>0.49718749999999989</v>
      </c>
      <c r="Q108" s="183">
        <f t="shared" si="2"/>
        <v>4.7857627118644093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3.9918149744349805</v>
      </c>
      <c r="C109" s="183">
        <f t="shared" ref="C109:Q109" si="3">STDEV(C9:C104)</f>
        <v>6.0170908925029449</v>
      </c>
      <c r="D109" s="183">
        <f t="shared" si="3"/>
        <v>9.9465255379844386</v>
      </c>
      <c r="E109" s="183">
        <f t="shared" si="3"/>
        <v>13.944509200474052</v>
      </c>
      <c r="F109" s="183">
        <f t="shared" si="3"/>
        <v>32.694102185551742</v>
      </c>
      <c r="G109" s="183">
        <f t="shared" si="3"/>
        <v>18.865966461496633</v>
      </c>
      <c r="H109" s="183">
        <f t="shared" si="3"/>
        <v>3.9596647031539631</v>
      </c>
      <c r="I109" s="183">
        <f t="shared" si="3"/>
        <v>1.0203622883865278</v>
      </c>
      <c r="J109" s="183">
        <f t="shared" si="3"/>
        <v>0.37420264645514623</v>
      </c>
      <c r="K109" s="183">
        <f t="shared" si="3"/>
        <v>97.088479872415732</v>
      </c>
      <c r="L109" s="183">
        <f t="shared" si="3"/>
        <v>4.8268308588919444</v>
      </c>
      <c r="M109" s="183">
        <f t="shared" si="3"/>
        <v>12.248610574623216</v>
      </c>
      <c r="N109" s="183">
        <f t="shared" si="3"/>
        <v>218.42423918160142</v>
      </c>
      <c r="O109" s="183">
        <f t="shared" si="3"/>
        <v>0</v>
      </c>
      <c r="P109" s="183">
        <f t="shared" si="3"/>
        <v>5.9075386717224065E-2</v>
      </c>
      <c r="Q109" s="183">
        <f t="shared" si="3"/>
        <v>0.18554861236641731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f t="shared" ref="B110:Q110" si="4">COUNT(E9:E104)</f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75" activePane="bottomRight" state="frozen"/>
      <selection activeCell="A9" sqref="A9"/>
      <selection pane="topRight" activeCell="A9" sqref="A9"/>
      <selection pane="bottomLeft" activeCell="A9" sqref="A9"/>
      <selection pane="bottomRight" activeCell="A87" sqref="A87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45434.010416666664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45434.010416666664</v>
      </c>
      <c r="B9" s="112">
        <v>3.3</v>
      </c>
      <c r="C9" s="112">
        <v>1.04</v>
      </c>
      <c r="D9" s="112">
        <v>5.15</v>
      </c>
      <c r="E9" s="112">
        <v>12.12</v>
      </c>
      <c r="F9" s="112">
        <v>8.99</v>
      </c>
      <c r="G9" s="112">
        <v>48.03</v>
      </c>
      <c r="H9" s="112">
        <v>14.78</v>
      </c>
      <c r="I9" s="112">
        <v>4</v>
      </c>
      <c r="J9" s="112">
        <v>0.26</v>
      </c>
      <c r="K9" s="112">
        <v>101.41</v>
      </c>
      <c r="L9" s="112">
        <v>29.4</v>
      </c>
      <c r="M9" s="112">
        <v>58.97</v>
      </c>
      <c r="N9" s="112">
        <v>0</v>
      </c>
      <c r="O9" s="112">
        <v>0</v>
      </c>
      <c r="P9" s="112">
        <v>0.49</v>
      </c>
      <c r="Q9" s="112">
        <v>4.79</v>
      </c>
    </row>
    <row r="10" spans="1:21" customFormat="1">
      <c r="A10" s="80">
        <v>45434.020833333336</v>
      </c>
      <c r="B10" s="112">
        <v>3.31</v>
      </c>
      <c r="C10" s="112">
        <v>1.04</v>
      </c>
      <c r="D10" s="112">
        <v>5.16</v>
      </c>
      <c r="E10" s="112">
        <v>12.47</v>
      </c>
      <c r="F10" s="112">
        <v>11.11</v>
      </c>
      <c r="G10" s="112">
        <v>43.88</v>
      </c>
      <c r="H10" s="112">
        <v>14.78</v>
      </c>
      <c r="I10" s="112">
        <v>3.98</v>
      </c>
      <c r="J10" s="112">
        <v>0.23</v>
      </c>
      <c r="K10" s="112">
        <v>151.12</v>
      </c>
      <c r="L10" s="112">
        <v>29.49</v>
      </c>
      <c r="M10" s="112">
        <v>58.53</v>
      </c>
      <c r="N10" s="112">
        <v>0</v>
      </c>
      <c r="O10" s="112">
        <v>0</v>
      </c>
      <c r="P10" s="112">
        <v>0.49</v>
      </c>
      <c r="Q10" s="112">
        <v>4.78</v>
      </c>
    </row>
    <row r="11" spans="1:21" customFormat="1">
      <c r="A11" s="80">
        <v>45434.03125</v>
      </c>
      <c r="B11" s="112">
        <v>3.31</v>
      </c>
      <c r="C11" s="112">
        <v>1.06</v>
      </c>
      <c r="D11" s="112">
        <v>5.16</v>
      </c>
      <c r="E11" s="112">
        <v>11.69</v>
      </c>
      <c r="F11" s="112">
        <v>11.54</v>
      </c>
      <c r="G11" s="112">
        <v>43.88</v>
      </c>
      <c r="H11" s="112">
        <v>14.78</v>
      </c>
      <c r="I11" s="112">
        <v>3.92</v>
      </c>
      <c r="J11" s="112">
        <v>0.17</v>
      </c>
      <c r="K11" s="112">
        <v>272.88</v>
      </c>
      <c r="L11" s="112">
        <v>29.27</v>
      </c>
      <c r="M11" s="112">
        <v>59.32</v>
      </c>
      <c r="N11" s="112">
        <v>0</v>
      </c>
      <c r="O11" s="112">
        <v>0</v>
      </c>
      <c r="P11" s="112">
        <v>0.48</v>
      </c>
      <c r="Q11" s="112">
        <v>4.76</v>
      </c>
    </row>
    <row r="12" spans="1:21" customFormat="1">
      <c r="A12" s="80">
        <v>45434.041666666664</v>
      </c>
      <c r="B12" s="112">
        <v>3.31</v>
      </c>
      <c r="C12" s="112">
        <v>1.06</v>
      </c>
      <c r="D12" s="112">
        <v>5.17</v>
      </c>
      <c r="E12" s="112">
        <v>11.86</v>
      </c>
      <c r="F12" s="112">
        <v>10.16</v>
      </c>
      <c r="G12" s="112">
        <v>43.88</v>
      </c>
      <c r="H12" s="112">
        <v>14.78</v>
      </c>
      <c r="I12" s="112">
        <v>3.88</v>
      </c>
      <c r="J12" s="112">
        <v>0.25</v>
      </c>
      <c r="K12" s="112">
        <v>262.38</v>
      </c>
      <c r="L12" s="112">
        <v>29.26</v>
      </c>
      <c r="M12" s="112">
        <v>59.54</v>
      </c>
      <c r="N12" s="112">
        <v>0</v>
      </c>
      <c r="O12" s="112">
        <v>0</v>
      </c>
      <c r="P12" s="112">
        <v>0.48</v>
      </c>
      <c r="Q12" s="112">
        <v>4.78</v>
      </c>
    </row>
    <row r="13" spans="1:21" customFormat="1">
      <c r="A13" s="80">
        <v>45434.052083333336</v>
      </c>
      <c r="B13" s="112">
        <v>3.29</v>
      </c>
      <c r="C13" s="112">
        <v>1.0900000000000001</v>
      </c>
      <c r="D13" s="112">
        <v>5.17</v>
      </c>
      <c r="E13" s="112">
        <v>12.09</v>
      </c>
      <c r="F13" s="112">
        <v>22.74</v>
      </c>
      <c r="G13" s="112">
        <v>28.73</v>
      </c>
      <c r="H13" s="112">
        <v>11.2</v>
      </c>
      <c r="I13" s="112">
        <v>4.05</v>
      </c>
      <c r="J13" s="112">
        <v>0.3</v>
      </c>
      <c r="K13" s="112">
        <v>256.69</v>
      </c>
      <c r="L13" s="112">
        <v>29.11</v>
      </c>
      <c r="M13" s="112">
        <v>60.71</v>
      </c>
      <c r="N13" s="112">
        <v>0</v>
      </c>
      <c r="O13" s="112">
        <v>0</v>
      </c>
      <c r="P13" s="112">
        <v>0.47</v>
      </c>
      <c r="Q13" s="112">
        <v>4.7699999999999996</v>
      </c>
    </row>
    <row r="14" spans="1:21" customFormat="1">
      <c r="A14" s="80">
        <v>45434.0625</v>
      </c>
      <c r="B14" s="112">
        <v>3.29</v>
      </c>
      <c r="C14" s="112">
        <v>1.07</v>
      </c>
      <c r="D14" s="112">
        <v>5.15</v>
      </c>
      <c r="E14" s="112">
        <v>11.06</v>
      </c>
      <c r="F14" s="112">
        <v>22.43</v>
      </c>
      <c r="G14" s="112">
        <v>25.21</v>
      </c>
      <c r="H14" s="112">
        <v>11.2</v>
      </c>
      <c r="I14" s="112">
        <v>4.12</v>
      </c>
      <c r="J14" s="112">
        <v>0.11</v>
      </c>
      <c r="K14" s="112">
        <v>254.47</v>
      </c>
      <c r="L14" s="112">
        <v>29.01</v>
      </c>
      <c r="M14" s="112">
        <v>60.29</v>
      </c>
      <c r="N14" s="112">
        <v>0</v>
      </c>
      <c r="O14" s="112">
        <v>0</v>
      </c>
      <c r="P14" s="112">
        <v>0.45</v>
      </c>
      <c r="Q14" s="112">
        <v>4.7699999999999996</v>
      </c>
    </row>
    <row r="15" spans="1:21" customFormat="1">
      <c r="A15" s="80">
        <v>45434.072916666664</v>
      </c>
      <c r="B15" s="112">
        <v>3.28</v>
      </c>
      <c r="C15" s="112">
        <v>1.07</v>
      </c>
      <c r="D15" s="112">
        <v>5.15</v>
      </c>
      <c r="E15" s="112">
        <v>11.35</v>
      </c>
      <c r="F15" s="112">
        <v>30.16</v>
      </c>
      <c r="G15" s="112">
        <v>25.21</v>
      </c>
      <c r="H15" s="112">
        <v>11.2</v>
      </c>
      <c r="I15" s="112">
        <v>3.89</v>
      </c>
      <c r="J15" s="112">
        <v>0.04</v>
      </c>
      <c r="K15" s="112">
        <v>2.84</v>
      </c>
      <c r="L15" s="112">
        <v>28.73</v>
      </c>
      <c r="M15" s="112">
        <v>60.26</v>
      </c>
      <c r="N15" s="112">
        <v>0</v>
      </c>
      <c r="O15" s="112">
        <v>0</v>
      </c>
      <c r="P15" s="112">
        <v>0.44</v>
      </c>
      <c r="Q15" s="112">
        <v>4.76</v>
      </c>
    </row>
    <row r="16" spans="1:21" customFormat="1">
      <c r="A16" s="80">
        <v>45434.083333333336</v>
      </c>
      <c r="B16" s="112">
        <v>3.3</v>
      </c>
      <c r="C16" s="112">
        <v>1.08</v>
      </c>
      <c r="D16" s="112">
        <v>5.17</v>
      </c>
      <c r="E16" s="112">
        <v>9.83</v>
      </c>
      <c r="F16" s="112">
        <v>34.9</v>
      </c>
      <c r="G16" s="112">
        <v>25.21</v>
      </c>
      <c r="H16" s="112">
        <v>11.2</v>
      </c>
      <c r="I16" s="112">
        <v>3.77</v>
      </c>
      <c r="J16" s="112">
        <v>0.13</v>
      </c>
      <c r="K16" s="112">
        <v>77.89</v>
      </c>
      <c r="L16" s="112">
        <v>28.84</v>
      </c>
      <c r="M16" s="112">
        <v>58.38</v>
      </c>
      <c r="N16" s="112">
        <v>0</v>
      </c>
      <c r="O16" s="112">
        <v>0</v>
      </c>
      <c r="P16" s="112">
        <v>0.43</v>
      </c>
      <c r="Q16" s="112">
        <v>4.7699999999999996</v>
      </c>
    </row>
    <row r="17" spans="1:17" customFormat="1">
      <c r="A17" s="80">
        <v>45434.09375</v>
      </c>
      <c r="B17" s="112">
        <v>3.28</v>
      </c>
      <c r="C17" s="112">
        <v>1.07</v>
      </c>
      <c r="D17" s="112">
        <v>5.15</v>
      </c>
      <c r="E17" s="112">
        <v>9.33</v>
      </c>
      <c r="F17" s="112">
        <v>27.92</v>
      </c>
      <c r="G17" s="112">
        <v>26.45</v>
      </c>
      <c r="H17" s="112">
        <v>12.11</v>
      </c>
      <c r="I17" s="112">
        <v>3.64</v>
      </c>
      <c r="J17" s="112">
        <v>0.49</v>
      </c>
      <c r="K17" s="112">
        <v>258.95999999999998</v>
      </c>
      <c r="L17" s="112">
        <v>28.7</v>
      </c>
      <c r="M17" s="112">
        <v>58.17</v>
      </c>
      <c r="N17" s="112">
        <v>0</v>
      </c>
      <c r="O17" s="112">
        <v>0</v>
      </c>
      <c r="P17" s="112">
        <v>0.42</v>
      </c>
      <c r="Q17" s="112">
        <v>4.7699999999999996</v>
      </c>
    </row>
    <row r="18" spans="1:17" customFormat="1">
      <c r="A18" s="80">
        <v>45434.104166666664</v>
      </c>
      <c r="B18" s="112">
        <v>3.27</v>
      </c>
      <c r="C18" s="112">
        <v>1.1000000000000001</v>
      </c>
      <c r="D18" s="112">
        <v>5.16</v>
      </c>
      <c r="E18" s="112">
        <v>11.49</v>
      </c>
      <c r="F18" s="112">
        <v>31.66</v>
      </c>
      <c r="G18" s="112">
        <v>26.74</v>
      </c>
      <c r="H18" s="112">
        <v>12.11</v>
      </c>
      <c r="I18" s="112">
        <v>3.48</v>
      </c>
      <c r="J18" s="112">
        <v>0.23</v>
      </c>
      <c r="K18" s="112">
        <v>255.23</v>
      </c>
      <c r="L18" s="112">
        <v>28.57</v>
      </c>
      <c r="M18" s="112">
        <v>57.41</v>
      </c>
      <c r="N18" s="112">
        <v>0</v>
      </c>
      <c r="O18" s="112">
        <v>0</v>
      </c>
      <c r="P18" s="112">
        <v>0.42</v>
      </c>
      <c r="Q18" s="112">
        <v>4.78</v>
      </c>
    </row>
    <row r="19" spans="1:17" customFormat="1">
      <c r="A19" s="80">
        <v>45434.114583333336</v>
      </c>
      <c r="B19" s="112">
        <v>3.28</v>
      </c>
      <c r="C19" s="112">
        <v>1.08</v>
      </c>
      <c r="D19" s="112">
        <v>5.15</v>
      </c>
      <c r="E19" s="112">
        <v>11.48</v>
      </c>
      <c r="F19" s="112">
        <v>23.47</v>
      </c>
      <c r="G19" s="112">
        <v>26.74</v>
      </c>
      <c r="H19" s="112">
        <v>12.11</v>
      </c>
      <c r="I19" s="112">
        <v>3.54</v>
      </c>
      <c r="J19" s="112">
        <v>0.42</v>
      </c>
      <c r="K19" s="112">
        <v>265.51</v>
      </c>
      <c r="L19" s="112">
        <v>28.46</v>
      </c>
      <c r="M19" s="112">
        <v>60.7</v>
      </c>
      <c r="N19" s="112">
        <v>0</v>
      </c>
      <c r="O19" s="112">
        <v>0</v>
      </c>
      <c r="P19" s="112">
        <v>0.42</v>
      </c>
      <c r="Q19" s="112">
        <v>4.7699999999999996</v>
      </c>
    </row>
    <row r="20" spans="1:17" customFormat="1">
      <c r="A20" s="80">
        <v>45434.125</v>
      </c>
      <c r="B20" s="112">
        <v>3.29</v>
      </c>
      <c r="C20" s="112">
        <v>1.04</v>
      </c>
      <c r="D20" s="112">
        <v>5.14</v>
      </c>
      <c r="E20" s="112">
        <v>11.65</v>
      </c>
      <c r="F20" s="112">
        <v>34.65</v>
      </c>
      <c r="G20" s="112">
        <v>26.74</v>
      </c>
      <c r="H20" s="112">
        <v>12.11</v>
      </c>
      <c r="I20" s="112">
        <v>3.55</v>
      </c>
      <c r="J20" s="112">
        <v>0.2</v>
      </c>
      <c r="K20" s="112">
        <v>255.44</v>
      </c>
      <c r="L20" s="112">
        <v>28.27</v>
      </c>
      <c r="M20" s="112">
        <v>64.02</v>
      </c>
      <c r="N20" s="112">
        <v>0</v>
      </c>
      <c r="O20" s="112">
        <v>0</v>
      </c>
      <c r="P20" s="112">
        <v>0.41</v>
      </c>
      <c r="Q20" s="112">
        <v>4.7699999999999996</v>
      </c>
    </row>
    <row r="21" spans="1:17" customFormat="1">
      <c r="A21" s="80">
        <v>45434.135416666664</v>
      </c>
      <c r="B21" s="112">
        <v>3.29</v>
      </c>
      <c r="C21" s="112">
        <v>1.07</v>
      </c>
      <c r="D21" s="112">
        <v>5.16</v>
      </c>
      <c r="E21" s="112">
        <v>11.59</v>
      </c>
      <c r="F21" s="112">
        <v>30.58</v>
      </c>
      <c r="G21" s="112">
        <v>20.170000000000002</v>
      </c>
      <c r="H21" s="112">
        <v>11.42</v>
      </c>
      <c r="I21" s="112">
        <v>3.46</v>
      </c>
      <c r="J21" s="112">
        <v>0.4</v>
      </c>
      <c r="K21" s="112">
        <v>263.94</v>
      </c>
      <c r="L21" s="112">
        <v>28.23</v>
      </c>
      <c r="M21" s="112">
        <v>65.52</v>
      </c>
      <c r="N21" s="112">
        <v>0</v>
      </c>
      <c r="O21" s="112">
        <v>0</v>
      </c>
      <c r="P21" s="112">
        <v>0.41</v>
      </c>
      <c r="Q21" s="167" t="s">
        <v>14</v>
      </c>
    </row>
    <row r="22" spans="1:17" customFormat="1">
      <c r="A22" s="80">
        <v>45434.145833333336</v>
      </c>
      <c r="B22" s="112">
        <v>3.29</v>
      </c>
      <c r="C22" s="112">
        <v>1.1100000000000001</v>
      </c>
      <c r="D22" s="112">
        <v>5.17</v>
      </c>
      <c r="E22" s="112">
        <v>11.33</v>
      </c>
      <c r="F22" s="112">
        <v>17.47</v>
      </c>
      <c r="G22" s="112">
        <v>18.64</v>
      </c>
      <c r="H22" s="112">
        <v>11.42</v>
      </c>
      <c r="I22" s="112">
        <v>3.41</v>
      </c>
      <c r="J22" s="112">
        <v>0.59</v>
      </c>
      <c r="K22" s="112">
        <v>258.61</v>
      </c>
      <c r="L22" s="112">
        <v>27.88</v>
      </c>
      <c r="M22" s="112">
        <v>68.53</v>
      </c>
      <c r="N22" s="112">
        <v>0</v>
      </c>
      <c r="O22" s="112">
        <v>0</v>
      </c>
      <c r="P22" s="112">
        <v>0.41</v>
      </c>
      <c r="Q22" s="167" t="s">
        <v>14</v>
      </c>
    </row>
    <row r="23" spans="1:17" customFormat="1">
      <c r="A23" s="80">
        <v>45434.15625</v>
      </c>
      <c r="B23" s="112">
        <v>3.28</v>
      </c>
      <c r="C23" s="112">
        <v>1.07</v>
      </c>
      <c r="D23" s="112">
        <v>5.15</v>
      </c>
      <c r="E23" s="112">
        <v>12.08</v>
      </c>
      <c r="F23" s="112">
        <v>19.75</v>
      </c>
      <c r="G23" s="112">
        <v>18.64</v>
      </c>
      <c r="H23" s="112">
        <v>11.42</v>
      </c>
      <c r="I23" s="112">
        <v>3.38</v>
      </c>
      <c r="J23" s="112">
        <v>0.48</v>
      </c>
      <c r="K23" s="112">
        <v>270.27</v>
      </c>
      <c r="L23" s="112">
        <v>27.71</v>
      </c>
      <c r="M23" s="112">
        <v>69.72</v>
      </c>
      <c r="N23" s="112">
        <v>0</v>
      </c>
      <c r="O23" s="112">
        <v>0</v>
      </c>
      <c r="P23" s="112">
        <v>0.43</v>
      </c>
      <c r="Q23" s="167" t="s">
        <v>14</v>
      </c>
    </row>
    <row r="24" spans="1:17" customFormat="1">
      <c r="A24" s="80">
        <v>45434.166666666664</v>
      </c>
      <c r="B24" s="112">
        <v>3.27</v>
      </c>
      <c r="C24" s="112">
        <v>1.08</v>
      </c>
      <c r="D24" s="112">
        <v>5.14</v>
      </c>
      <c r="E24" s="112">
        <v>11.81</v>
      </c>
      <c r="F24" s="112">
        <v>26.62</v>
      </c>
      <c r="G24" s="112">
        <v>18.64</v>
      </c>
      <c r="H24" s="112">
        <v>11.42</v>
      </c>
      <c r="I24" s="112">
        <v>3.57</v>
      </c>
      <c r="J24" s="112">
        <v>0.31</v>
      </c>
      <c r="K24" s="112">
        <v>268.26</v>
      </c>
      <c r="L24" s="112">
        <v>27.77</v>
      </c>
      <c r="M24" s="112">
        <v>69.39</v>
      </c>
      <c r="N24" s="112">
        <v>0</v>
      </c>
      <c r="O24" s="112">
        <v>0</v>
      </c>
      <c r="P24" s="112">
        <v>0.42</v>
      </c>
      <c r="Q24" s="167" t="s">
        <v>14</v>
      </c>
    </row>
    <row r="25" spans="1:17" customFormat="1">
      <c r="A25" s="80">
        <v>45434.177083333336</v>
      </c>
      <c r="B25" s="112">
        <v>3.27</v>
      </c>
      <c r="C25" s="112">
        <v>1.08</v>
      </c>
      <c r="D25" s="112">
        <v>5.14</v>
      </c>
      <c r="E25" s="112">
        <v>10.65</v>
      </c>
      <c r="F25" s="112">
        <v>29.26</v>
      </c>
      <c r="G25" s="112">
        <v>17.760000000000002</v>
      </c>
      <c r="H25" s="112">
        <v>10.81</v>
      </c>
      <c r="I25" s="112">
        <v>3.59</v>
      </c>
      <c r="J25" s="112">
        <v>0.41</v>
      </c>
      <c r="K25" s="112">
        <v>281.26</v>
      </c>
      <c r="L25" s="112">
        <v>27.86</v>
      </c>
      <c r="M25" s="112">
        <v>68.97</v>
      </c>
      <c r="N25" s="112">
        <v>0</v>
      </c>
      <c r="O25" s="112">
        <v>0</v>
      </c>
      <c r="P25" s="112">
        <v>0.41</v>
      </c>
      <c r="Q25" s="112">
        <v>4.76</v>
      </c>
    </row>
    <row r="26" spans="1:17" customFormat="1">
      <c r="A26" s="80">
        <v>45434.1875</v>
      </c>
      <c r="B26" s="112">
        <v>3.28</v>
      </c>
      <c r="C26" s="112">
        <v>1.08</v>
      </c>
      <c r="D26" s="112">
        <v>5.16</v>
      </c>
      <c r="E26" s="112">
        <v>11.66</v>
      </c>
      <c r="F26" s="112">
        <v>24.23</v>
      </c>
      <c r="G26" s="112">
        <v>17.55</v>
      </c>
      <c r="H26" s="112">
        <v>10.81</v>
      </c>
      <c r="I26" s="112">
        <v>3.44</v>
      </c>
      <c r="J26" s="112">
        <v>0.59</v>
      </c>
      <c r="K26" s="112">
        <v>268.12</v>
      </c>
      <c r="L26" s="112">
        <v>28.06</v>
      </c>
      <c r="M26" s="112">
        <v>67.92</v>
      </c>
      <c r="N26" s="112">
        <v>0</v>
      </c>
      <c r="O26" s="112">
        <v>0</v>
      </c>
      <c r="P26" s="112">
        <v>0.4</v>
      </c>
      <c r="Q26" s="112">
        <v>4.76</v>
      </c>
    </row>
    <row r="27" spans="1:17" customFormat="1">
      <c r="A27" s="80">
        <v>45434.197916666664</v>
      </c>
      <c r="B27" s="112">
        <v>3.29</v>
      </c>
      <c r="C27" s="112">
        <v>1.08</v>
      </c>
      <c r="D27" s="112">
        <v>5.16</v>
      </c>
      <c r="E27" s="112">
        <v>11.24</v>
      </c>
      <c r="F27" s="112">
        <v>21.25</v>
      </c>
      <c r="G27" s="112">
        <v>17.55</v>
      </c>
      <c r="H27" s="112">
        <v>10.81</v>
      </c>
      <c r="I27" s="112">
        <v>3.29</v>
      </c>
      <c r="J27" s="112">
        <v>0.69</v>
      </c>
      <c r="K27" s="112">
        <v>264.86</v>
      </c>
      <c r="L27" s="112">
        <v>28.24</v>
      </c>
      <c r="M27" s="112">
        <v>66.53</v>
      </c>
      <c r="N27" s="112">
        <v>0</v>
      </c>
      <c r="O27" s="112">
        <v>0</v>
      </c>
      <c r="P27" s="112">
        <v>0.41</v>
      </c>
      <c r="Q27" s="112">
        <v>1.41</v>
      </c>
    </row>
    <row r="28" spans="1:17" customFormat="1">
      <c r="A28" s="80">
        <v>45434.208333333336</v>
      </c>
      <c r="B28" s="112">
        <v>3.29</v>
      </c>
      <c r="C28" s="112">
        <v>1.06</v>
      </c>
      <c r="D28" s="112">
        <v>5.15</v>
      </c>
      <c r="E28" s="112">
        <v>11.55</v>
      </c>
      <c r="F28" s="112">
        <v>17.27</v>
      </c>
      <c r="G28" s="112">
        <v>17.55</v>
      </c>
      <c r="H28" s="112">
        <v>10.81</v>
      </c>
      <c r="I28" s="112">
        <v>3.43</v>
      </c>
      <c r="J28" s="112">
        <v>0.72</v>
      </c>
      <c r="K28" s="112">
        <v>266.49</v>
      </c>
      <c r="L28" s="112">
        <v>28.34</v>
      </c>
      <c r="M28" s="112">
        <v>64.760000000000005</v>
      </c>
      <c r="N28" s="112">
        <v>0</v>
      </c>
      <c r="O28" s="112">
        <v>0</v>
      </c>
      <c r="P28" s="112">
        <v>0.41</v>
      </c>
      <c r="Q28" s="167" t="s">
        <v>14</v>
      </c>
    </row>
    <row r="29" spans="1:17" customFormat="1">
      <c r="A29" s="80">
        <v>45434.21875</v>
      </c>
      <c r="B29" s="112">
        <v>3.28</v>
      </c>
      <c r="C29" s="112">
        <v>1.07</v>
      </c>
      <c r="D29" s="112">
        <v>5.15</v>
      </c>
      <c r="E29" s="112">
        <v>11.65</v>
      </c>
      <c r="F29" s="112">
        <v>16.989999999999998</v>
      </c>
      <c r="G29" s="112">
        <v>16.5</v>
      </c>
      <c r="H29" s="112">
        <v>7.71</v>
      </c>
      <c r="I29" s="112">
        <v>3.48</v>
      </c>
      <c r="J29" s="112">
        <v>0.85</v>
      </c>
      <c r="K29" s="112">
        <v>271.60000000000002</v>
      </c>
      <c r="L29" s="112">
        <v>28.43</v>
      </c>
      <c r="M29" s="112">
        <v>64.11</v>
      </c>
      <c r="N29" s="112">
        <v>0</v>
      </c>
      <c r="O29" s="112">
        <v>0</v>
      </c>
      <c r="P29" s="112">
        <v>0.43</v>
      </c>
      <c r="Q29" s="112">
        <v>1.05</v>
      </c>
    </row>
    <row r="30" spans="1:17" customFormat="1">
      <c r="A30" s="80">
        <v>45434.229166666664</v>
      </c>
      <c r="B30" s="112">
        <v>3.28</v>
      </c>
      <c r="C30" s="112">
        <v>1.08</v>
      </c>
      <c r="D30" s="112">
        <v>5.16</v>
      </c>
      <c r="E30" s="112">
        <v>11.94</v>
      </c>
      <c r="F30" s="112">
        <v>16.52</v>
      </c>
      <c r="G30" s="112">
        <v>16.25</v>
      </c>
      <c r="H30" s="112">
        <v>7.71</v>
      </c>
      <c r="I30" s="112">
        <v>3.53</v>
      </c>
      <c r="J30" s="112">
        <v>0.83</v>
      </c>
      <c r="K30" s="112">
        <v>269.94</v>
      </c>
      <c r="L30" s="112">
        <v>28.49</v>
      </c>
      <c r="M30" s="112">
        <v>63.32</v>
      </c>
      <c r="N30" s="112">
        <v>0.2</v>
      </c>
      <c r="O30" s="112">
        <v>0</v>
      </c>
      <c r="P30" s="112">
        <v>0.42</v>
      </c>
      <c r="Q30" s="112">
        <v>4.78</v>
      </c>
    </row>
    <row r="31" spans="1:17" customFormat="1">
      <c r="A31" s="80">
        <v>45434.239583333336</v>
      </c>
      <c r="B31" s="112">
        <v>3.28</v>
      </c>
      <c r="C31" s="112">
        <v>1.0900000000000001</v>
      </c>
      <c r="D31" s="112">
        <v>5.15</v>
      </c>
      <c r="E31" s="112">
        <v>12.23</v>
      </c>
      <c r="F31" s="112">
        <v>10.23</v>
      </c>
      <c r="G31" s="112">
        <v>16.25</v>
      </c>
      <c r="H31" s="112">
        <v>7.71</v>
      </c>
      <c r="I31" s="112">
        <v>3.64</v>
      </c>
      <c r="J31" s="112">
        <v>0.83</v>
      </c>
      <c r="K31" s="112">
        <v>261.86</v>
      </c>
      <c r="L31" s="112">
        <v>28.66</v>
      </c>
      <c r="M31" s="112">
        <v>61.32</v>
      </c>
      <c r="N31" s="112">
        <v>9.5</v>
      </c>
      <c r="O31" s="112">
        <v>0</v>
      </c>
      <c r="P31" s="112">
        <v>0.43</v>
      </c>
      <c r="Q31" s="167" t="s">
        <v>14</v>
      </c>
    </row>
    <row r="32" spans="1:17" customFormat="1">
      <c r="A32" s="80">
        <v>45434.25</v>
      </c>
      <c r="B32" s="112">
        <v>3.28</v>
      </c>
      <c r="C32" s="112">
        <v>1.07</v>
      </c>
      <c r="D32" s="112">
        <v>5.15</v>
      </c>
      <c r="E32" s="112">
        <v>13.33</v>
      </c>
      <c r="F32" s="112">
        <v>9.4600000000000009</v>
      </c>
      <c r="G32" s="112">
        <v>16.25</v>
      </c>
      <c r="H32" s="112">
        <v>7.71</v>
      </c>
      <c r="I32" s="112">
        <v>3.72</v>
      </c>
      <c r="J32" s="112">
        <v>0.76</v>
      </c>
      <c r="K32" s="112">
        <v>269.51</v>
      </c>
      <c r="L32" s="112">
        <v>28.89</v>
      </c>
      <c r="M32" s="112">
        <v>60.44</v>
      </c>
      <c r="N32" s="112">
        <v>23.4</v>
      </c>
      <c r="O32" s="112">
        <v>0</v>
      </c>
      <c r="P32" s="112">
        <v>0.47</v>
      </c>
      <c r="Q32" s="167" t="s">
        <v>14</v>
      </c>
    </row>
    <row r="33" spans="1:17" customFormat="1">
      <c r="A33" s="80">
        <v>45434.260416666664</v>
      </c>
      <c r="B33" s="112">
        <v>3.27</v>
      </c>
      <c r="C33" s="112">
        <v>1.08</v>
      </c>
      <c r="D33" s="112">
        <v>5.15</v>
      </c>
      <c r="E33" s="112">
        <v>13.35</v>
      </c>
      <c r="F33" s="112">
        <v>8.08</v>
      </c>
      <c r="G33" s="112">
        <v>14.77</v>
      </c>
      <c r="H33" s="112">
        <v>5.81</v>
      </c>
      <c r="I33" s="112">
        <v>3.89</v>
      </c>
      <c r="J33" s="112">
        <v>0.99</v>
      </c>
      <c r="K33" s="112">
        <v>296.82</v>
      </c>
      <c r="L33" s="112">
        <v>29.17</v>
      </c>
      <c r="M33" s="112">
        <v>59.48</v>
      </c>
      <c r="N33" s="112">
        <v>36.299999999999997</v>
      </c>
      <c r="O33" s="112">
        <v>0</v>
      </c>
      <c r="P33" s="112">
        <v>0.5</v>
      </c>
      <c r="Q33" s="112">
        <v>4.79</v>
      </c>
    </row>
    <row r="34" spans="1:17" customFormat="1">
      <c r="A34" s="80">
        <v>45434.270833333336</v>
      </c>
      <c r="B34" s="112">
        <v>3.26</v>
      </c>
      <c r="C34" s="112">
        <v>1.0900000000000001</v>
      </c>
      <c r="D34" s="112">
        <v>5.15</v>
      </c>
      <c r="E34" s="112">
        <v>13.61</v>
      </c>
      <c r="F34" s="112">
        <v>8.6</v>
      </c>
      <c r="G34" s="112">
        <v>14.43</v>
      </c>
      <c r="H34" s="112">
        <v>5.81</v>
      </c>
      <c r="I34" s="112">
        <v>4.2699999999999996</v>
      </c>
      <c r="J34" s="112">
        <v>0.78</v>
      </c>
      <c r="K34" s="112">
        <v>281.73</v>
      </c>
      <c r="L34" s="112">
        <v>29.46</v>
      </c>
      <c r="M34" s="112">
        <v>58.72</v>
      </c>
      <c r="N34" s="112">
        <v>48.8</v>
      </c>
      <c r="O34" s="112">
        <v>0</v>
      </c>
      <c r="P34" s="112">
        <v>0.54</v>
      </c>
      <c r="Q34" s="112">
        <v>4.78</v>
      </c>
    </row>
    <row r="35" spans="1:17" customFormat="1">
      <c r="A35" s="80">
        <v>45434.28125</v>
      </c>
      <c r="B35" s="112">
        <v>3.27</v>
      </c>
      <c r="C35" s="112">
        <v>1.1000000000000001</v>
      </c>
      <c r="D35" s="112">
        <v>5.16</v>
      </c>
      <c r="E35" s="112">
        <v>13.42</v>
      </c>
      <c r="F35" s="112">
        <v>10.56</v>
      </c>
      <c r="G35" s="112">
        <v>14.43</v>
      </c>
      <c r="H35" s="112">
        <v>5.81</v>
      </c>
      <c r="I35" s="112">
        <v>4.6500000000000004</v>
      </c>
      <c r="J35" s="112">
        <v>0.45</v>
      </c>
      <c r="K35" s="112">
        <v>311.58</v>
      </c>
      <c r="L35" s="112">
        <v>29.89</v>
      </c>
      <c r="M35" s="112">
        <v>56.55</v>
      </c>
      <c r="N35" s="112">
        <v>60.8</v>
      </c>
      <c r="O35" s="112">
        <v>0</v>
      </c>
      <c r="P35" s="112">
        <v>0.54</v>
      </c>
      <c r="Q35" s="112">
        <v>4.7699999999999996</v>
      </c>
    </row>
    <row r="36" spans="1:17" customFormat="1">
      <c r="A36" s="80">
        <v>45434.291666666664</v>
      </c>
      <c r="B36" s="112">
        <v>3.3</v>
      </c>
      <c r="C36" s="112">
        <v>1.05</v>
      </c>
      <c r="D36" s="112">
        <v>5.15</v>
      </c>
      <c r="E36" s="112">
        <v>14.37</v>
      </c>
      <c r="F36" s="112">
        <v>12.22</v>
      </c>
      <c r="G36" s="112">
        <v>14.43</v>
      </c>
      <c r="H36" s="112">
        <v>5.81</v>
      </c>
      <c r="I36" s="112">
        <v>5.2</v>
      </c>
      <c r="J36" s="112">
        <v>0.14000000000000001</v>
      </c>
      <c r="K36" s="112">
        <v>259.10000000000002</v>
      </c>
      <c r="L36" s="112">
        <v>30.44</v>
      </c>
      <c r="M36" s="112">
        <v>54.5</v>
      </c>
      <c r="N36" s="112">
        <v>72.7</v>
      </c>
      <c r="O36" s="112">
        <v>0</v>
      </c>
      <c r="P36" s="112">
        <v>0.55000000000000004</v>
      </c>
      <c r="Q36" s="112">
        <v>4.78</v>
      </c>
    </row>
    <row r="37" spans="1:17" customFormat="1">
      <c r="A37" s="80">
        <v>45434.302083333336</v>
      </c>
      <c r="B37" s="112">
        <v>3.3</v>
      </c>
      <c r="C37" s="112">
        <v>1.08</v>
      </c>
      <c r="D37" s="112">
        <v>5.17</v>
      </c>
      <c r="E37" s="112">
        <v>14.08</v>
      </c>
      <c r="F37" s="112">
        <v>15.68</v>
      </c>
      <c r="G37" s="112">
        <v>23.04</v>
      </c>
      <c r="H37" s="112">
        <v>7.99</v>
      </c>
      <c r="I37" s="112">
        <v>5.52</v>
      </c>
      <c r="J37" s="112">
        <v>0.19</v>
      </c>
      <c r="K37" s="112">
        <v>123.7</v>
      </c>
      <c r="L37" s="112">
        <v>31.38</v>
      </c>
      <c r="M37" s="112">
        <v>50.12</v>
      </c>
      <c r="N37" s="112">
        <v>85</v>
      </c>
      <c r="O37" s="112">
        <v>0</v>
      </c>
      <c r="P37" s="112">
        <v>0.56000000000000005</v>
      </c>
      <c r="Q37" s="112">
        <v>4.8</v>
      </c>
    </row>
    <row r="38" spans="1:17" customFormat="1">
      <c r="A38" s="80">
        <v>45434.3125</v>
      </c>
      <c r="B38" s="112">
        <v>3.3</v>
      </c>
      <c r="C38" s="112">
        <v>1.1100000000000001</v>
      </c>
      <c r="D38" s="112">
        <v>5.18</v>
      </c>
      <c r="E38" s="112">
        <v>14.49</v>
      </c>
      <c r="F38" s="112">
        <v>10.99</v>
      </c>
      <c r="G38" s="112">
        <v>25.05</v>
      </c>
      <c r="H38" s="112">
        <v>7.99</v>
      </c>
      <c r="I38" s="112">
        <v>5.75</v>
      </c>
      <c r="J38" s="112">
        <v>0.53</v>
      </c>
      <c r="K38" s="112">
        <v>70.900000000000006</v>
      </c>
      <c r="L38" s="112">
        <v>31.91</v>
      </c>
      <c r="M38" s="112">
        <v>49.96</v>
      </c>
      <c r="N38" s="112">
        <v>116.7</v>
      </c>
      <c r="O38" s="112">
        <v>0</v>
      </c>
      <c r="P38" s="112">
        <v>0.56999999999999995</v>
      </c>
      <c r="Q38" s="112">
        <v>4.82</v>
      </c>
    </row>
    <row r="39" spans="1:17" customFormat="1">
      <c r="A39" s="80">
        <v>45434.322916666664</v>
      </c>
      <c r="B39" s="112">
        <v>3.29</v>
      </c>
      <c r="C39" s="112">
        <v>1.0900000000000001</v>
      </c>
      <c r="D39" s="112">
        <v>5.17</v>
      </c>
      <c r="E39" s="112">
        <v>14.13</v>
      </c>
      <c r="F39" s="112">
        <v>11.24</v>
      </c>
      <c r="G39" s="112">
        <v>25.05</v>
      </c>
      <c r="H39" s="112">
        <v>7.99</v>
      </c>
      <c r="I39" s="112">
        <v>5.91</v>
      </c>
      <c r="J39" s="112">
        <v>0.74</v>
      </c>
      <c r="K39" s="112">
        <v>57.32</v>
      </c>
      <c r="L39" s="112">
        <v>32.49</v>
      </c>
      <c r="M39" s="112">
        <v>49.12</v>
      </c>
      <c r="N39" s="112">
        <v>127.8</v>
      </c>
      <c r="O39" s="112">
        <v>0</v>
      </c>
      <c r="P39" s="112">
        <v>0.59</v>
      </c>
      <c r="Q39" s="112">
        <v>4.79</v>
      </c>
    </row>
    <row r="40" spans="1:17" customFormat="1">
      <c r="A40" s="80">
        <v>45434.333333333336</v>
      </c>
      <c r="B40" s="112">
        <v>3.28</v>
      </c>
      <c r="C40" s="112">
        <v>1.08</v>
      </c>
      <c r="D40" s="112">
        <v>5.15</v>
      </c>
      <c r="E40" s="112">
        <v>14.63</v>
      </c>
      <c r="F40" s="112">
        <v>10.99</v>
      </c>
      <c r="G40" s="112">
        <v>25.05</v>
      </c>
      <c r="H40" s="112">
        <v>7.99</v>
      </c>
      <c r="I40" s="112">
        <v>6.14</v>
      </c>
      <c r="J40" s="112">
        <v>0.49</v>
      </c>
      <c r="K40" s="112">
        <v>71.62</v>
      </c>
      <c r="L40" s="112">
        <v>32.78</v>
      </c>
      <c r="M40" s="112">
        <v>48.54</v>
      </c>
      <c r="N40" s="112">
        <v>127.1</v>
      </c>
      <c r="O40" s="112">
        <v>0</v>
      </c>
      <c r="P40" s="112">
        <v>0.6</v>
      </c>
      <c r="Q40" s="112">
        <v>4.8099999999999996</v>
      </c>
    </row>
    <row r="41" spans="1:17" customFormat="1">
      <c r="A41" s="80">
        <v>45434.34375</v>
      </c>
      <c r="B41" s="112">
        <v>3.29</v>
      </c>
      <c r="C41" s="112">
        <v>1.08</v>
      </c>
      <c r="D41" s="112">
        <v>5.16</v>
      </c>
      <c r="E41" s="112">
        <v>15.09</v>
      </c>
      <c r="F41" s="112">
        <v>11.39</v>
      </c>
      <c r="G41" s="112">
        <v>28.52</v>
      </c>
      <c r="H41" s="112">
        <v>9.58</v>
      </c>
      <c r="I41" s="112">
        <v>6.34</v>
      </c>
      <c r="J41" s="112">
        <v>0.75</v>
      </c>
      <c r="K41" s="112">
        <v>70.13</v>
      </c>
      <c r="L41" s="112">
        <v>33.43</v>
      </c>
      <c r="M41" s="112">
        <v>48.63</v>
      </c>
      <c r="N41" s="112">
        <v>157.19999999999999</v>
      </c>
      <c r="O41" s="112">
        <v>0</v>
      </c>
      <c r="P41" s="112">
        <v>0.6</v>
      </c>
      <c r="Q41" s="112">
        <v>4.8099999999999996</v>
      </c>
    </row>
    <row r="42" spans="1:17" customFormat="1">
      <c r="A42" s="80">
        <v>45434.354166666664</v>
      </c>
      <c r="B42" s="112">
        <v>3.29</v>
      </c>
      <c r="C42" s="112">
        <v>1.0900000000000001</v>
      </c>
      <c r="D42" s="112">
        <v>5.16</v>
      </c>
      <c r="E42" s="112">
        <v>15.71</v>
      </c>
      <c r="F42" s="112">
        <v>11.04</v>
      </c>
      <c r="G42" s="112">
        <v>29.33</v>
      </c>
      <c r="H42" s="112">
        <v>9.58</v>
      </c>
      <c r="I42" s="112">
        <v>6.51</v>
      </c>
      <c r="J42" s="112">
        <v>0.31</v>
      </c>
      <c r="K42" s="112">
        <v>268.04000000000002</v>
      </c>
      <c r="L42" s="112">
        <v>33.54</v>
      </c>
      <c r="M42" s="112">
        <v>45.98</v>
      </c>
      <c r="N42" s="112">
        <v>142.30000000000001</v>
      </c>
      <c r="O42" s="112">
        <v>0</v>
      </c>
      <c r="P42" s="112">
        <v>0.63</v>
      </c>
      <c r="Q42" s="112">
        <v>4.8</v>
      </c>
    </row>
    <row r="43" spans="1:17" customFormat="1">
      <c r="A43" s="80">
        <v>45434.364583333336</v>
      </c>
      <c r="B43" s="112">
        <v>3.3</v>
      </c>
      <c r="C43" s="112">
        <v>1.0900000000000001</v>
      </c>
      <c r="D43" s="112">
        <v>5.17</v>
      </c>
      <c r="E43" s="112">
        <v>14.66</v>
      </c>
      <c r="F43" s="112">
        <v>15.07</v>
      </c>
      <c r="G43" s="112">
        <v>29.33</v>
      </c>
      <c r="H43" s="112">
        <v>9.58</v>
      </c>
      <c r="I43" s="112">
        <v>6.64</v>
      </c>
      <c r="J43" s="112">
        <v>0.25</v>
      </c>
      <c r="K43" s="112">
        <v>311.92</v>
      </c>
      <c r="L43" s="112">
        <v>34.04</v>
      </c>
      <c r="M43" s="112">
        <v>44.39</v>
      </c>
      <c r="N43" s="112">
        <v>149.9</v>
      </c>
      <c r="O43" s="112">
        <v>0</v>
      </c>
      <c r="P43" s="112">
        <v>0.64</v>
      </c>
      <c r="Q43" s="112">
        <v>4.8</v>
      </c>
    </row>
    <row r="44" spans="1:17" customFormat="1">
      <c r="A44" s="80">
        <v>45434.375</v>
      </c>
      <c r="B44" s="112">
        <v>3.31</v>
      </c>
      <c r="C44" s="112">
        <v>1.07</v>
      </c>
      <c r="D44" s="112">
        <v>5.17</v>
      </c>
      <c r="E44" s="112">
        <v>16.88</v>
      </c>
      <c r="F44" s="112">
        <v>13.94</v>
      </c>
      <c r="G44" s="112">
        <v>29.33</v>
      </c>
      <c r="H44" s="112">
        <v>9.58</v>
      </c>
      <c r="I44" s="112">
        <v>6.77</v>
      </c>
      <c r="J44" s="112">
        <v>0.28000000000000003</v>
      </c>
      <c r="K44" s="112">
        <v>324.64999999999998</v>
      </c>
      <c r="L44" s="112">
        <v>35.06</v>
      </c>
      <c r="M44" s="112">
        <v>42.26</v>
      </c>
      <c r="N44" s="112">
        <v>152.4</v>
      </c>
      <c r="O44" s="112">
        <v>0</v>
      </c>
      <c r="P44" s="112">
        <v>0.68</v>
      </c>
      <c r="Q44" s="112">
        <v>4.8099999999999996</v>
      </c>
    </row>
    <row r="45" spans="1:17" customFormat="1">
      <c r="A45" s="80">
        <v>45434.385416666664</v>
      </c>
      <c r="B45" s="112">
        <v>3.3</v>
      </c>
      <c r="C45" s="112">
        <v>1.1000000000000001</v>
      </c>
      <c r="D45" s="112">
        <v>5.18</v>
      </c>
      <c r="E45" s="112">
        <v>16.23</v>
      </c>
      <c r="F45" s="112">
        <v>13.68</v>
      </c>
      <c r="G45" s="112">
        <v>35.83</v>
      </c>
      <c r="H45" s="112">
        <v>12.26</v>
      </c>
      <c r="I45" s="112">
        <v>7.01</v>
      </c>
      <c r="J45" s="112">
        <v>0.19</v>
      </c>
      <c r="K45" s="112">
        <v>274.56</v>
      </c>
      <c r="L45" s="112">
        <v>35.24</v>
      </c>
      <c r="M45" s="112">
        <v>41.64</v>
      </c>
      <c r="N45" s="112">
        <v>168.1</v>
      </c>
      <c r="O45" s="112">
        <v>0</v>
      </c>
      <c r="P45" s="112">
        <v>0.69</v>
      </c>
      <c r="Q45" s="112">
        <v>4.8099999999999996</v>
      </c>
    </row>
    <row r="46" spans="1:17" customFormat="1">
      <c r="A46" s="80">
        <v>45434.395833333336</v>
      </c>
      <c r="B46" s="112">
        <v>3.31</v>
      </c>
      <c r="C46" s="112">
        <v>1.1000000000000001</v>
      </c>
      <c r="D46" s="112">
        <v>5.19</v>
      </c>
      <c r="E46" s="112">
        <v>16.18</v>
      </c>
      <c r="F46" s="112">
        <v>12.46</v>
      </c>
      <c r="G46" s="112">
        <v>37.35</v>
      </c>
      <c r="H46" s="112">
        <v>12.26</v>
      </c>
      <c r="I46" s="112">
        <v>7.37</v>
      </c>
      <c r="J46" s="112">
        <v>0.48</v>
      </c>
      <c r="K46" s="112">
        <v>274.77999999999997</v>
      </c>
      <c r="L46" s="112">
        <v>35.270000000000003</v>
      </c>
      <c r="M46" s="112">
        <v>42.01</v>
      </c>
      <c r="N46" s="112">
        <v>241.9</v>
      </c>
      <c r="O46" s="112">
        <v>0</v>
      </c>
      <c r="P46" s="112">
        <v>0.7</v>
      </c>
      <c r="Q46" s="112">
        <v>4.79</v>
      </c>
    </row>
    <row r="47" spans="1:17" customFormat="1">
      <c r="A47" s="80">
        <v>45434.40625</v>
      </c>
      <c r="B47" s="112">
        <v>3.3</v>
      </c>
      <c r="C47" s="112">
        <v>1.0900000000000001</v>
      </c>
      <c r="D47" s="112">
        <v>5.18</v>
      </c>
      <c r="E47" s="112">
        <v>18.190000000000001</v>
      </c>
      <c r="F47" s="112">
        <v>20.23</v>
      </c>
      <c r="G47" s="112">
        <v>37.35</v>
      </c>
      <c r="H47" s="112">
        <v>12.26</v>
      </c>
      <c r="I47" s="112">
        <v>7.57</v>
      </c>
      <c r="J47" s="112">
        <v>0.2</v>
      </c>
      <c r="K47" s="112">
        <v>0.13</v>
      </c>
      <c r="L47" s="112">
        <v>35.51</v>
      </c>
      <c r="M47" s="112">
        <v>41.29</v>
      </c>
      <c r="N47" s="112">
        <v>256</v>
      </c>
      <c r="O47" s="112">
        <v>0</v>
      </c>
      <c r="P47" s="112">
        <v>0.77</v>
      </c>
      <c r="Q47" s="112">
        <v>4.8</v>
      </c>
    </row>
    <row r="48" spans="1:17" customFormat="1">
      <c r="A48" s="80">
        <v>45434.416666666664</v>
      </c>
      <c r="B48" s="112">
        <v>3.3</v>
      </c>
      <c r="C48" s="112">
        <v>1.1200000000000001</v>
      </c>
      <c r="D48" s="112">
        <v>5.19</v>
      </c>
      <c r="E48" s="112">
        <v>19.739999999999998</v>
      </c>
      <c r="F48" s="112">
        <v>19.77</v>
      </c>
      <c r="G48" s="112">
        <v>37.35</v>
      </c>
      <c r="H48" s="112">
        <v>12.26</v>
      </c>
      <c r="I48" s="112">
        <v>7.84</v>
      </c>
      <c r="J48" s="112">
        <v>0.14000000000000001</v>
      </c>
      <c r="K48" s="112">
        <v>324.39999999999998</v>
      </c>
      <c r="L48" s="112">
        <v>35.979999999999997</v>
      </c>
      <c r="M48" s="112">
        <v>40.56</v>
      </c>
      <c r="N48" s="112">
        <v>213.2</v>
      </c>
      <c r="O48" s="112">
        <v>0</v>
      </c>
      <c r="P48" s="112">
        <v>0.8</v>
      </c>
      <c r="Q48" s="112">
        <v>4.78</v>
      </c>
    </row>
    <row r="49" spans="1:17" customFormat="1">
      <c r="A49" s="80">
        <v>45434.427083333336</v>
      </c>
      <c r="B49" s="112">
        <v>3.3</v>
      </c>
      <c r="C49" s="112">
        <v>1.1000000000000001</v>
      </c>
      <c r="D49" s="112">
        <v>5.18</v>
      </c>
      <c r="E49" s="112">
        <v>14.51</v>
      </c>
      <c r="F49" s="112">
        <v>27.17</v>
      </c>
      <c r="G49" s="112">
        <v>40.44</v>
      </c>
      <c r="H49" s="112">
        <v>14.59</v>
      </c>
      <c r="I49" s="112">
        <v>8.2899999999999991</v>
      </c>
      <c r="J49" s="112">
        <v>0.19</v>
      </c>
      <c r="K49" s="112">
        <v>257.91000000000003</v>
      </c>
      <c r="L49" s="112">
        <v>35.03</v>
      </c>
      <c r="M49" s="112">
        <v>42.47</v>
      </c>
      <c r="N49" s="112">
        <v>187.8</v>
      </c>
      <c r="O49" s="112">
        <v>0</v>
      </c>
      <c r="P49" s="112">
        <v>0.81</v>
      </c>
      <c r="Q49" s="112">
        <v>4.78</v>
      </c>
    </row>
    <row r="50" spans="1:17" customFormat="1">
      <c r="A50" s="80">
        <v>45434.4375</v>
      </c>
      <c r="B50" s="112">
        <v>3.3</v>
      </c>
      <c r="C50" s="112">
        <v>1.1000000000000001</v>
      </c>
      <c r="D50" s="112">
        <v>5.18</v>
      </c>
      <c r="E50" s="112">
        <v>19.2</v>
      </c>
      <c r="F50" s="112">
        <v>29.21</v>
      </c>
      <c r="G50" s="112">
        <v>41.16</v>
      </c>
      <c r="H50" s="112">
        <v>14.59</v>
      </c>
      <c r="I50" s="112">
        <v>8.51</v>
      </c>
      <c r="J50" s="112">
        <v>0.23</v>
      </c>
      <c r="K50" s="112">
        <v>262.79000000000002</v>
      </c>
      <c r="L50" s="112">
        <v>35.450000000000003</v>
      </c>
      <c r="M50" s="112">
        <v>41.14</v>
      </c>
      <c r="N50" s="112">
        <v>233.5</v>
      </c>
      <c r="O50" s="112">
        <v>0</v>
      </c>
      <c r="P50" s="112">
        <v>0.82</v>
      </c>
      <c r="Q50" s="112">
        <v>4.8</v>
      </c>
    </row>
    <row r="51" spans="1:17" customFormat="1">
      <c r="A51" s="80">
        <v>45434.447916666664</v>
      </c>
      <c r="B51" s="112">
        <v>3.28</v>
      </c>
      <c r="C51" s="112">
        <v>1.07</v>
      </c>
      <c r="D51" s="112">
        <v>5.15</v>
      </c>
      <c r="E51" s="112">
        <v>25.62</v>
      </c>
      <c r="F51" s="112">
        <v>53.9</v>
      </c>
      <c r="G51" s="112">
        <v>41.16</v>
      </c>
      <c r="H51" s="112">
        <v>14.59</v>
      </c>
      <c r="I51" s="112">
        <v>8.59</v>
      </c>
      <c r="J51" s="112">
        <v>0.21</v>
      </c>
      <c r="K51" s="112">
        <v>246.45</v>
      </c>
      <c r="L51" s="112">
        <v>35.6</v>
      </c>
      <c r="M51" s="112">
        <v>40.22</v>
      </c>
      <c r="N51" s="112">
        <v>261.10000000000002</v>
      </c>
      <c r="O51" s="112">
        <v>0</v>
      </c>
      <c r="P51" s="112">
        <v>0.87</v>
      </c>
      <c r="Q51" s="112">
        <v>4.78</v>
      </c>
    </row>
    <row r="52" spans="1:17" customFormat="1">
      <c r="A52" s="80">
        <v>45434.458333333336</v>
      </c>
      <c r="B52" s="112">
        <v>3.26</v>
      </c>
      <c r="C52" s="112">
        <v>1.1200000000000001</v>
      </c>
      <c r="D52" s="112">
        <v>5.16</v>
      </c>
      <c r="E52" s="112">
        <v>24.32</v>
      </c>
      <c r="F52" s="112">
        <v>51.75</v>
      </c>
      <c r="G52" s="112">
        <v>41.16</v>
      </c>
      <c r="H52" s="112">
        <v>14.59</v>
      </c>
      <c r="I52" s="112">
        <v>8.76</v>
      </c>
      <c r="J52" s="112">
        <v>0.18</v>
      </c>
      <c r="K52" s="112">
        <v>357.82</v>
      </c>
      <c r="L52" s="112">
        <v>36.01</v>
      </c>
      <c r="M52" s="112">
        <v>42.71</v>
      </c>
      <c r="N52" s="112">
        <v>303.3</v>
      </c>
      <c r="O52" s="112">
        <v>0</v>
      </c>
      <c r="P52" s="112">
        <v>0.82</v>
      </c>
      <c r="Q52" s="112">
        <v>4.79</v>
      </c>
    </row>
    <row r="53" spans="1:17" customFormat="1">
      <c r="A53" s="80">
        <v>45434.46875</v>
      </c>
      <c r="B53" s="112">
        <v>3.26</v>
      </c>
      <c r="C53" s="112">
        <v>1.1000000000000001</v>
      </c>
      <c r="D53" s="112">
        <v>5.15</v>
      </c>
      <c r="E53" s="112">
        <v>22.56</v>
      </c>
      <c r="F53" s="112">
        <v>54.14</v>
      </c>
      <c r="G53" s="112">
        <v>44.91</v>
      </c>
      <c r="H53" s="112">
        <v>17.760000000000002</v>
      </c>
      <c r="I53" s="112">
        <v>8.7200000000000006</v>
      </c>
      <c r="J53" s="112">
        <v>0.24</v>
      </c>
      <c r="K53" s="112">
        <v>177.6</v>
      </c>
      <c r="L53" s="112">
        <v>36.14</v>
      </c>
      <c r="M53" s="112">
        <v>41.9</v>
      </c>
      <c r="N53" s="112">
        <v>289.89999999999998</v>
      </c>
      <c r="O53" s="112">
        <v>0</v>
      </c>
      <c r="P53" s="112">
        <v>0.79</v>
      </c>
      <c r="Q53" s="112">
        <v>4.78</v>
      </c>
    </row>
    <row r="54" spans="1:17" customFormat="1">
      <c r="A54" s="80">
        <v>45434.479166666664</v>
      </c>
      <c r="B54" s="112">
        <v>3.26</v>
      </c>
      <c r="C54" s="112">
        <v>1.08</v>
      </c>
      <c r="D54" s="112">
        <v>5.14</v>
      </c>
      <c r="E54" s="112">
        <v>25.14</v>
      </c>
      <c r="F54" s="112">
        <v>50.24</v>
      </c>
      <c r="G54" s="112">
        <v>45.79</v>
      </c>
      <c r="H54" s="112">
        <v>17.760000000000002</v>
      </c>
      <c r="I54" s="112">
        <v>8.18</v>
      </c>
      <c r="J54" s="112">
        <v>0.17</v>
      </c>
      <c r="K54" s="112">
        <v>359.09</v>
      </c>
      <c r="L54" s="112">
        <v>36.869999999999997</v>
      </c>
      <c r="M54" s="112">
        <v>39.64</v>
      </c>
      <c r="N54" s="112">
        <v>398.2</v>
      </c>
      <c r="O54" s="112">
        <v>0</v>
      </c>
      <c r="P54" s="112">
        <v>0.82</v>
      </c>
      <c r="Q54" s="112">
        <v>4.7699999999999996</v>
      </c>
    </row>
    <row r="55" spans="1:17" customFormat="1">
      <c r="A55" s="80">
        <v>45434.489583333336</v>
      </c>
      <c r="B55" s="112">
        <v>3.27</v>
      </c>
      <c r="C55" s="112">
        <v>1.08</v>
      </c>
      <c r="D55" s="112">
        <v>5.14</v>
      </c>
      <c r="E55" s="112">
        <v>22.73</v>
      </c>
      <c r="F55" s="112">
        <v>38.39</v>
      </c>
      <c r="G55" s="112">
        <v>45.79</v>
      </c>
      <c r="H55" s="112">
        <v>17.760000000000002</v>
      </c>
      <c r="I55" s="112">
        <v>7.98</v>
      </c>
      <c r="J55" s="112">
        <v>0.52</v>
      </c>
      <c r="K55" s="112">
        <v>185.11</v>
      </c>
      <c r="L55" s="112">
        <v>37.28</v>
      </c>
      <c r="M55" s="112">
        <v>38.21</v>
      </c>
      <c r="N55" s="112">
        <v>703</v>
      </c>
      <c r="O55" s="112">
        <v>0</v>
      </c>
      <c r="P55" s="112">
        <v>0.82</v>
      </c>
      <c r="Q55" s="112">
        <v>4.78</v>
      </c>
    </row>
    <row r="56" spans="1:17" customFormat="1">
      <c r="A56" s="80">
        <v>45434.5</v>
      </c>
      <c r="B56" s="112">
        <v>3.33</v>
      </c>
      <c r="C56" s="112">
        <v>1.08</v>
      </c>
      <c r="D56" s="112">
        <v>5.19</v>
      </c>
      <c r="E56" s="112">
        <v>28.62</v>
      </c>
      <c r="F56" s="112">
        <v>58.25</v>
      </c>
      <c r="G56" s="112">
        <v>45.79</v>
      </c>
      <c r="H56" s="112">
        <v>17.760000000000002</v>
      </c>
      <c r="I56" s="112">
        <v>8.1999999999999993</v>
      </c>
      <c r="J56" s="112">
        <v>0.44</v>
      </c>
      <c r="K56" s="112">
        <v>7.88</v>
      </c>
      <c r="L56" s="112">
        <v>38.24</v>
      </c>
      <c r="M56" s="112">
        <v>35.69</v>
      </c>
      <c r="N56" s="112">
        <v>518.29999999999995</v>
      </c>
      <c r="O56" s="112">
        <v>0</v>
      </c>
      <c r="P56" s="112">
        <v>0.84</v>
      </c>
      <c r="Q56" s="112">
        <v>4.79</v>
      </c>
    </row>
    <row r="57" spans="1:17" customFormat="1">
      <c r="A57" s="80">
        <v>45434.510416666664</v>
      </c>
      <c r="B57" s="112">
        <v>3.28</v>
      </c>
      <c r="C57" s="112">
        <v>1.07</v>
      </c>
      <c r="D57" s="112">
        <v>5.15</v>
      </c>
      <c r="E57" s="112">
        <v>36.15</v>
      </c>
      <c r="F57" s="112">
        <v>48.73</v>
      </c>
      <c r="G57" s="112">
        <v>49.89</v>
      </c>
      <c r="H57" s="112">
        <v>19.95</v>
      </c>
      <c r="I57" s="112">
        <v>8.33</v>
      </c>
      <c r="J57" s="112">
        <v>0.45</v>
      </c>
      <c r="K57" s="112">
        <v>276.11</v>
      </c>
      <c r="L57" s="112">
        <v>37.840000000000003</v>
      </c>
      <c r="M57" s="112">
        <v>35.69</v>
      </c>
      <c r="N57" s="112">
        <v>642.5</v>
      </c>
      <c r="O57" s="112">
        <v>0</v>
      </c>
      <c r="P57" s="112">
        <v>0.84</v>
      </c>
      <c r="Q57" s="112">
        <v>1.08</v>
      </c>
    </row>
    <row r="58" spans="1:17" customFormat="1">
      <c r="A58" s="80">
        <v>45434.520833333336</v>
      </c>
      <c r="B58" s="112">
        <v>3.25</v>
      </c>
      <c r="C58" s="112">
        <v>1.0900000000000001</v>
      </c>
      <c r="D58" s="112">
        <v>5.13</v>
      </c>
      <c r="E58" s="112">
        <v>41.83</v>
      </c>
      <c r="F58" s="112">
        <v>69.650000000000006</v>
      </c>
      <c r="G58" s="112">
        <v>50.84</v>
      </c>
      <c r="H58" s="112">
        <v>19.95</v>
      </c>
      <c r="I58" s="112">
        <v>8.36</v>
      </c>
      <c r="J58" s="112">
        <v>0.65</v>
      </c>
      <c r="K58" s="112">
        <v>331.23</v>
      </c>
      <c r="L58" s="112">
        <v>38.35</v>
      </c>
      <c r="M58" s="112">
        <v>34.01</v>
      </c>
      <c r="N58" s="112">
        <v>497.7</v>
      </c>
      <c r="O58" s="112">
        <v>0</v>
      </c>
      <c r="P58" s="112">
        <v>0.87</v>
      </c>
      <c r="Q58" s="112">
        <v>4.79</v>
      </c>
    </row>
    <row r="59" spans="1:17" customFormat="1">
      <c r="A59" s="80">
        <v>45434.53125</v>
      </c>
      <c r="B59" s="112">
        <v>3.25</v>
      </c>
      <c r="C59" s="112">
        <v>1.0900000000000001</v>
      </c>
      <c r="D59" s="112">
        <v>5.13</v>
      </c>
      <c r="E59" s="112">
        <v>38.68</v>
      </c>
      <c r="F59" s="112">
        <v>61.29</v>
      </c>
      <c r="G59" s="112">
        <v>50.84</v>
      </c>
      <c r="H59" s="112">
        <v>19.95</v>
      </c>
      <c r="I59" s="112">
        <v>8.3699999999999992</v>
      </c>
      <c r="J59" s="112">
        <v>0.64</v>
      </c>
      <c r="K59" s="112">
        <v>309.73</v>
      </c>
      <c r="L59" s="112">
        <v>38.31</v>
      </c>
      <c r="M59" s="112">
        <v>34.049999999999997</v>
      </c>
      <c r="N59" s="112">
        <v>399.3</v>
      </c>
      <c r="O59" s="112">
        <v>0</v>
      </c>
      <c r="P59" s="112">
        <v>0.87</v>
      </c>
      <c r="Q59" s="112">
        <v>4.7699999999999996</v>
      </c>
    </row>
    <row r="60" spans="1:17" customFormat="1">
      <c r="A60" s="80">
        <v>45434.541666666664</v>
      </c>
      <c r="B60" s="112">
        <v>3.24</v>
      </c>
      <c r="C60" s="112">
        <v>1.1000000000000001</v>
      </c>
      <c r="D60" s="112">
        <v>5.13</v>
      </c>
      <c r="E60" s="112">
        <v>38.32</v>
      </c>
      <c r="F60" s="112">
        <v>68.66</v>
      </c>
      <c r="G60" s="112">
        <v>50.84</v>
      </c>
      <c r="H60" s="112">
        <v>19.95</v>
      </c>
      <c r="I60" s="112">
        <v>8.36</v>
      </c>
      <c r="J60" s="112">
        <v>0.56000000000000005</v>
      </c>
      <c r="K60" s="112">
        <v>325.77</v>
      </c>
      <c r="L60" s="112">
        <v>38.200000000000003</v>
      </c>
      <c r="M60" s="112">
        <v>32.979999999999997</v>
      </c>
      <c r="N60" s="112">
        <v>350.7</v>
      </c>
      <c r="O60" s="112">
        <v>0</v>
      </c>
      <c r="P60" s="112">
        <v>0.82</v>
      </c>
      <c r="Q60" s="112">
        <v>4.79</v>
      </c>
    </row>
    <row r="61" spans="1:17" customFormat="1">
      <c r="A61" s="80">
        <v>45434.552083333336</v>
      </c>
      <c r="B61" s="112">
        <v>3.24</v>
      </c>
      <c r="C61" s="112">
        <v>1.1000000000000001</v>
      </c>
      <c r="D61" s="112">
        <v>5.13</v>
      </c>
      <c r="E61" s="112">
        <v>30.45</v>
      </c>
      <c r="F61" s="112">
        <v>60.02</v>
      </c>
      <c r="G61" s="112">
        <v>55.28</v>
      </c>
      <c r="H61" s="112">
        <v>21.14</v>
      </c>
      <c r="I61" s="112">
        <v>8.34</v>
      </c>
      <c r="J61" s="112">
        <v>0.75</v>
      </c>
      <c r="K61" s="112">
        <v>355.58</v>
      </c>
      <c r="L61" s="112">
        <v>38.770000000000003</v>
      </c>
      <c r="M61" s="112">
        <v>30.49</v>
      </c>
      <c r="N61" s="112">
        <v>540.20000000000005</v>
      </c>
      <c r="O61" s="112">
        <v>0</v>
      </c>
      <c r="P61" s="112">
        <v>0.72</v>
      </c>
      <c r="Q61" s="112">
        <v>4.79</v>
      </c>
    </row>
    <row r="62" spans="1:17" customFormat="1">
      <c r="A62" s="80">
        <v>45434.5625</v>
      </c>
      <c r="B62" s="112">
        <v>3.24</v>
      </c>
      <c r="C62" s="112">
        <v>1.0900000000000001</v>
      </c>
      <c r="D62" s="112">
        <v>5.13</v>
      </c>
      <c r="E62" s="112">
        <v>26.54</v>
      </c>
      <c r="F62" s="112">
        <v>72.69</v>
      </c>
      <c r="G62" s="112">
        <v>56.31</v>
      </c>
      <c r="H62" s="112">
        <v>21.14</v>
      </c>
      <c r="I62" s="112">
        <v>7.77</v>
      </c>
      <c r="J62" s="112">
        <v>0.84</v>
      </c>
      <c r="K62" s="112">
        <v>32</v>
      </c>
      <c r="L62" s="112">
        <v>39.520000000000003</v>
      </c>
      <c r="M62" s="112">
        <v>29.74</v>
      </c>
      <c r="N62" s="112">
        <v>467.8</v>
      </c>
      <c r="O62" s="112">
        <v>0</v>
      </c>
      <c r="P62" s="112">
        <v>0.71</v>
      </c>
      <c r="Q62" s="112">
        <v>4.79</v>
      </c>
    </row>
    <row r="63" spans="1:17" customFormat="1">
      <c r="A63" s="80">
        <v>45434.572916666664</v>
      </c>
      <c r="B63" s="112">
        <v>3.26</v>
      </c>
      <c r="C63" s="112">
        <v>1.08</v>
      </c>
      <c r="D63" s="112">
        <v>5.14</v>
      </c>
      <c r="E63" s="112">
        <v>30.21</v>
      </c>
      <c r="F63" s="112">
        <v>62.68</v>
      </c>
      <c r="G63" s="112">
        <v>56.31</v>
      </c>
      <c r="H63" s="112">
        <v>21.14</v>
      </c>
      <c r="I63" s="112">
        <v>6.71</v>
      </c>
      <c r="J63" s="112">
        <v>0.95</v>
      </c>
      <c r="K63" s="112">
        <v>54.41</v>
      </c>
      <c r="L63" s="112">
        <v>39.619999999999997</v>
      </c>
      <c r="M63" s="112">
        <v>29.32</v>
      </c>
      <c r="N63" s="112">
        <v>380.1</v>
      </c>
      <c r="O63" s="112">
        <v>0</v>
      </c>
      <c r="P63" s="112">
        <v>0.73</v>
      </c>
      <c r="Q63" s="167" t="s">
        <v>14</v>
      </c>
    </row>
    <row r="64" spans="1:17" customFormat="1">
      <c r="A64" s="80">
        <v>45434.583333333336</v>
      </c>
      <c r="B64" s="112">
        <v>3.26</v>
      </c>
      <c r="C64" s="112">
        <v>1.0900000000000001</v>
      </c>
      <c r="D64" s="112">
        <v>5.15</v>
      </c>
      <c r="E64" s="112">
        <v>26.63</v>
      </c>
      <c r="F64" s="112">
        <v>56.16</v>
      </c>
      <c r="G64" s="112">
        <v>56.31</v>
      </c>
      <c r="H64" s="112">
        <v>21.14</v>
      </c>
      <c r="I64" s="112">
        <v>6.48</v>
      </c>
      <c r="J64" s="112">
        <v>0.15</v>
      </c>
      <c r="K64" s="112">
        <v>80.959999999999994</v>
      </c>
      <c r="L64" s="112">
        <v>40.85</v>
      </c>
      <c r="M64" s="112">
        <v>27.42</v>
      </c>
      <c r="N64" s="112">
        <v>642.70000000000005</v>
      </c>
      <c r="O64" s="112">
        <v>0</v>
      </c>
      <c r="P64" s="112">
        <v>0.69</v>
      </c>
      <c r="Q64" s="112">
        <v>4.8</v>
      </c>
    </row>
    <row r="65" spans="1:17" customFormat="1">
      <c r="A65" s="80">
        <v>45434.59375</v>
      </c>
      <c r="B65" s="112">
        <v>3.25</v>
      </c>
      <c r="C65" s="112">
        <v>1.1000000000000001</v>
      </c>
      <c r="D65" s="112">
        <v>5.14</v>
      </c>
      <c r="E65" s="112">
        <v>27.72</v>
      </c>
      <c r="F65" s="112">
        <v>61.45</v>
      </c>
      <c r="G65" s="112">
        <v>54.97</v>
      </c>
      <c r="H65" s="112">
        <v>20.65</v>
      </c>
      <c r="I65" s="112">
        <v>6.48</v>
      </c>
      <c r="J65" s="112">
        <v>0.72</v>
      </c>
      <c r="K65" s="112">
        <v>322.18</v>
      </c>
      <c r="L65" s="112">
        <v>40.56</v>
      </c>
      <c r="M65" s="112">
        <v>27.89</v>
      </c>
      <c r="N65" s="112">
        <v>660.8</v>
      </c>
      <c r="O65" s="112">
        <v>0</v>
      </c>
      <c r="P65" s="112">
        <v>0.62</v>
      </c>
      <c r="Q65" s="112">
        <v>4.79</v>
      </c>
    </row>
    <row r="66" spans="1:17" customFormat="1">
      <c r="A66" s="80">
        <v>45434.604166666664</v>
      </c>
      <c r="B66" s="112">
        <v>3.25</v>
      </c>
      <c r="C66" s="112">
        <v>1.08</v>
      </c>
      <c r="D66" s="112">
        <v>5.13</v>
      </c>
      <c r="E66" s="112">
        <v>25.49</v>
      </c>
      <c r="F66" s="112">
        <v>60</v>
      </c>
      <c r="G66" s="112">
        <v>54.66</v>
      </c>
      <c r="H66" s="112">
        <v>20.65</v>
      </c>
      <c r="I66" s="112">
        <v>6.38</v>
      </c>
      <c r="J66" s="112">
        <v>0.42</v>
      </c>
      <c r="K66" s="112">
        <v>68.239999999999995</v>
      </c>
      <c r="L66" s="112">
        <v>40.72</v>
      </c>
      <c r="M66" s="112">
        <v>26.72</v>
      </c>
      <c r="N66" s="112">
        <v>632.5</v>
      </c>
      <c r="O66" s="112">
        <v>0</v>
      </c>
      <c r="P66" s="112">
        <v>0.61</v>
      </c>
      <c r="Q66" s="112">
        <v>4.7699999999999996</v>
      </c>
    </row>
    <row r="67" spans="1:17" customFormat="1">
      <c r="A67" s="80">
        <v>45434.614583333336</v>
      </c>
      <c r="B67" s="112">
        <v>3.26</v>
      </c>
      <c r="C67" s="112">
        <v>1.0900000000000001</v>
      </c>
      <c r="D67" s="112">
        <v>5.14</v>
      </c>
      <c r="E67" s="112">
        <v>27.73</v>
      </c>
      <c r="F67" s="112">
        <v>60.61</v>
      </c>
      <c r="G67" s="112">
        <v>54.66</v>
      </c>
      <c r="H67" s="112">
        <v>20.65</v>
      </c>
      <c r="I67" s="112">
        <v>6.36</v>
      </c>
      <c r="J67" s="112">
        <v>0.24</v>
      </c>
      <c r="K67" s="112">
        <v>47.73</v>
      </c>
      <c r="L67" s="112">
        <v>41.12</v>
      </c>
      <c r="M67" s="112">
        <v>26.12</v>
      </c>
      <c r="N67" s="112">
        <v>576.4</v>
      </c>
      <c r="O67" s="112">
        <v>0</v>
      </c>
      <c r="P67" s="112">
        <v>0.6</v>
      </c>
      <c r="Q67" s="112">
        <v>4.78</v>
      </c>
    </row>
    <row r="68" spans="1:17" customFormat="1">
      <c r="A68" s="80">
        <v>45434.625</v>
      </c>
      <c r="B68" s="112">
        <v>3.28</v>
      </c>
      <c r="C68" s="112">
        <v>1.05</v>
      </c>
      <c r="D68" s="112">
        <v>5.14</v>
      </c>
      <c r="E68" s="112">
        <v>28.75</v>
      </c>
      <c r="F68" s="112">
        <v>54.9</v>
      </c>
      <c r="G68" s="112">
        <v>54.66</v>
      </c>
      <c r="H68" s="112">
        <v>20.65</v>
      </c>
      <c r="I68" s="112">
        <v>6.01</v>
      </c>
      <c r="J68" s="112">
        <v>0.67</v>
      </c>
      <c r="K68" s="112">
        <v>302.16000000000003</v>
      </c>
      <c r="L68" s="112">
        <v>41.02</v>
      </c>
      <c r="M68" s="112">
        <v>26.05</v>
      </c>
      <c r="N68" s="112">
        <v>563.29999999999995</v>
      </c>
      <c r="O68" s="112">
        <v>0</v>
      </c>
      <c r="P68" s="112">
        <v>0.61</v>
      </c>
      <c r="Q68" s="112">
        <v>4.7699999999999996</v>
      </c>
    </row>
    <row r="69" spans="1:17" customFormat="1">
      <c r="A69" s="80">
        <v>45434.635416666664</v>
      </c>
      <c r="B69" s="112">
        <v>3.28</v>
      </c>
      <c r="C69" s="112">
        <v>1.06</v>
      </c>
      <c r="D69" s="112">
        <v>5.15</v>
      </c>
      <c r="E69" s="112">
        <v>22.87</v>
      </c>
      <c r="F69" s="112">
        <v>35.67</v>
      </c>
      <c r="G69" s="112">
        <v>51.27</v>
      </c>
      <c r="H69" s="112">
        <v>19.34</v>
      </c>
      <c r="I69" s="112">
        <v>5.86</v>
      </c>
      <c r="J69" s="112">
        <v>0.31</v>
      </c>
      <c r="K69" s="112">
        <v>38.25</v>
      </c>
      <c r="L69" s="112">
        <v>41.66</v>
      </c>
      <c r="M69" s="112">
        <v>25.16</v>
      </c>
      <c r="N69" s="112">
        <v>523.5</v>
      </c>
      <c r="O69" s="112">
        <v>0</v>
      </c>
      <c r="P69" s="112">
        <v>0.64</v>
      </c>
      <c r="Q69" s="112">
        <v>4.79</v>
      </c>
    </row>
    <row r="70" spans="1:17" customFormat="1">
      <c r="A70" s="80">
        <v>45434.645833333336</v>
      </c>
      <c r="B70" s="112">
        <v>3.3</v>
      </c>
      <c r="C70" s="112">
        <v>1.08</v>
      </c>
      <c r="D70" s="112">
        <v>5.17</v>
      </c>
      <c r="E70" s="112">
        <v>20.149999999999999</v>
      </c>
      <c r="F70" s="112">
        <v>41.52</v>
      </c>
      <c r="G70" s="112">
        <v>50.48</v>
      </c>
      <c r="H70" s="112">
        <v>19.34</v>
      </c>
      <c r="I70" s="112">
        <v>6.09</v>
      </c>
      <c r="J70" s="112">
        <v>0.49</v>
      </c>
      <c r="K70" s="112">
        <v>302.83</v>
      </c>
      <c r="L70" s="112">
        <v>41.42</v>
      </c>
      <c r="M70" s="112">
        <v>25.75</v>
      </c>
      <c r="N70" s="112">
        <v>383.4</v>
      </c>
      <c r="O70" s="112">
        <v>0</v>
      </c>
      <c r="P70" s="112">
        <v>0.62</v>
      </c>
      <c r="Q70" s="112">
        <v>4.82</v>
      </c>
    </row>
    <row r="71" spans="1:17" customFormat="1">
      <c r="A71" s="80">
        <v>45434.65625</v>
      </c>
      <c r="B71" s="112">
        <v>3.31</v>
      </c>
      <c r="C71" s="112">
        <v>1.1100000000000001</v>
      </c>
      <c r="D71" s="112">
        <v>5.19</v>
      </c>
      <c r="E71" s="112">
        <v>21.85</v>
      </c>
      <c r="F71" s="112">
        <v>41.69</v>
      </c>
      <c r="G71" s="112">
        <v>50.48</v>
      </c>
      <c r="H71" s="112">
        <v>19.34</v>
      </c>
      <c r="I71" s="112">
        <v>6.26</v>
      </c>
      <c r="J71" s="112">
        <v>0.57999999999999996</v>
      </c>
      <c r="K71" s="112">
        <v>285.73</v>
      </c>
      <c r="L71" s="112">
        <v>41.49</v>
      </c>
      <c r="M71" s="112">
        <v>25.15</v>
      </c>
      <c r="N71" s="112">
        <v>411</v>
      </c>
      <c r="O71" s="112">
        <v>0</v>
      </c>
      <c r="P71" s="112">
        <v>0.59</v>
      </c>
      <c r="Q71" s="112">
        <v>4.8</v>
      </c>
    </row>
    <row r="72" spans="1:17" customFormat="1">
      <c r="A72" s="80">
        <v>45434.666666666664</v>
      </c>
      <c r="B72" s="112">
        <v>3.37</v>
      </c>
      <c r="C72" s="112">
        <v>1.06</v>
      </c>
      <c r="D72" s="112">
        <v>5.22</v>
      </c>
      <c r="E72" s="112">
        <v>23.74</v>
      </c>
      <c r="F72" s="112">
        <v>47.56</v>
      </c>
      <c r="G72" s="112">
        <v>50.48</v>
      </c>
      <c r="H72" s="112">
        <v>19.34</v>
      </c>
      <c r="I72" s="112">
        <v>6.27</v>
      </c>
      <c r="J72" s="112">
        <v>0.48</v>
      </c>
      <c r="K72" s="112">
        <v>297.19</v>
      </c>
      <c r="L72" s="112">
        <v>41.19</v>
      </c>
      <c r="M72" s="112">
        <v>25.58</v>
      </c>
      <c r="N72" s="112">
        <v>364.2</v>
      </c>
      <c r="O72" s="112">
        <v>0</v>
      </c>
      <c r="P72" s="112">
        <v>0.57999999999999996</v>
      </c>
      <c r="Q72" s="167" t="s">
        <v>14</v>
      </c>
    </row>
    <row r="73" spans="1:17" customFormat="1">
      <c r="A73" s="80">
        <v>45434.677083333336</v>
      </c>
      <c r="B73" s="112">
        <v>3.3</v>
      </c>
      <c r="C73" s="112">
        <v>1.0900000000000001</v>
      </c>
      <c r="D73" s="112">
        <v>5.17</v>
      </c>
      <c r="E73" s="112">
        <v>28.31</v>
      </c>
      <c r="F73" s="112">
        <v>56.66</v>
      </c>
      <c r="G73" s="112">
        <v>50.62</v>
      </c>
      <c r="H73" s="112">
        <v>22.37</v>
      </c>
      <c r="I73" s="112">
        <v>6.02</v>
      </c>
      <c r="J73" s="112">
        <v>0.43</v>
      </c>
      <c r="K73" s="112">
        <v>328.68</v>
      </c>
      <c r="L73" s="112">
        <v>40.81</v>
      </c>
      <c r="M73" s="112">
        <v>26.21</v>
      </c>
      <c r="N73" s="112">
        <v>270</v>
      </c>
      <c r="O73" s="112">
        <v>0</v>
      </c>
      <c r="P73" s="112">
        <v>0.55000000000000004</v>
      </c>
      <c r="Q73" s="112">
        <v>1.04</v>
      </c>
    </row>
    <row r="74" spans="1:17" customFormat="1">
      <c r="A74" s="80">
        <v>45434.6875</v>
      </c>
      <c r="B74" s="112">
        <v>3.29</v>
      </c>
      <c r="C74" s="112">
        <v>1.0900000000000001</v>
      </c>
      <c r="D74" s="112">
        <v>5.17</v>
      </c>
      <c r="E74" s="112">
        <v>27.7</v>
      </c>
      <c r="F74" s="112">
        <v>56.89</v>
      </c>
      <c r="G74" s="112">
        <v>50.65</v>
      </c>
      <c r="H74" s="112">
        <v>22.37</v>
      </c>
      <c r="I74" s="112">
        <v>5.73</v>
      </c>
      <c r="J74" s="112">
        <v>0.3</v>
      </c>
      <c r="K74" s="112">
        <v>241.73</v>
      </c>
      <c r="L74" s="112">
        <v>41.07</v>
      </c>
      <c r="M74" s="112">
        <v>26.05</v>
      </c>
      <c r="N74" s="112">
        <v>194.6</v>
      </c>
      <c r="O74" s="112">
        <v>0</v>
      </c>
      <c r="P74" s="112">
        <v>0.54</v>
      </c>
      <c r="Q74" s="112">
        <v>4.82</v>
      </c>
    </row>
    <row r="75" spans="1:17" customFormat="1">
      <c r="A75" s="80">
        <v>45434.697916666664</v>
      </c>
      <c r="B75" s="112">
        <v>3.3</v>
      </c>
      <c r="C75" s="112">
        <v>1.06</v>
      </c>
      <c r="D75" s="112">
        <v>5.17</v>
      </c>
      <c r="E75" s="112">
        <v>27.46</v>
      </c>
      <c r="F75" s="112">
        <v>57.45</v>
      </c>
      <c r="G75" s="112">
        <v>50.65</v>
      </c>
      <c r="H75" s="112">
        <v>22.37</v>
      </c>
      <c r="I75" s="112">
        <v>5.32</v>
      </c>
      <c r="J75" s="112">
        <v>0.34</v>
      </c>
      <c r="K75" s="112">
        <v>248.58</v>
      </c>
      <c r="L75" s="112">
        <v>41.02</v>
      </c>
      <c r="M75" s="112">
        <v>26.23</v>
      </c>
      <c r="N75" s="112">
        <v>102.9</v>
      </c>
      <c r="O75" s="112">
        <v>0</v>
      </c>
      <c r="P75" s="112">
        <v>0.52</v>
      </c>
      <c r="Q75" s="112">
        <v>4.8099999999999996</v>
      </c>
    </row>
    <row r="76" spans="1:17" customFormat="1">
      <c r="A76" s="80">
        <v>45434.708333333336</v>
      </c>
      <c r="B76" s="112">
        <v>3.3</v>
      </c>
      <c r="C76" s="112">
        <v>1.04</v>
      </c>
      <c r="D76" s="112">
        <v>5.15</v>
      </c>
      <c r="E76" s="112">
        <v>30.02</v>
      </c>
      <c r="F76" s="112">
        <v>74.7</v>
      </c>
      <c r="G76" s="112">
        <v>50.65</v>
      </c>
      <c r="H76" s="112">
        <v>22.37</v>
      </c>
      <c r="I76" s="112">
        <v>5.17</v>
      </c>
      <c r="J76" s="112">
        <v>0.2</v>
      </c>
      <c r="K76" s="112">
        <v>191.3</v>
      </c>
      <c r="L76" s="112">
        <v>40.549999999999997</v>
      </c>
      <c r="M76" s="112">
        <v>26.83</v>
      </c>
      <c r="N76" s="112">
        <v>36</v>
      </c>
      <c r="O76" s="112">
        <v>0</v>
      </c>
      <c r="P76" s="112">
        <v>0.51</v>
      </c>
      <c r="Q76" s="112">
        <v>4.8099999999999996</v>
      </c>
    </row>
    <row r="77" spans="1:17" customFormat="1">
      <c r="A77" s="80">
        <v>45434.71875</v>
      </c>
      <c r="B77" s="112">
        <v>3.31</v>
      </c>
      <c r="C77" s="112">
        <v>1.06</v>
      </c>
      <c r="D77" s="112">
        <v>5.17</v>
      </c>
      <c r="E77" s="112">
        <v>34.03</v>
      </c>
      <c r="F77" s="112">
        <v>92.67</v>
      </c>
      <c r="G77" s="112">
        <v>49.9</v>
      </c>
      <c r="H77" s="112">
        <v>20.68</v>
      </c>
      <c r="I77" s="112">
        <v>4.96</v>
      </c>
      <c r="J77" s="112">
        <v>0.14000000000000001</v>
      </c>
      <c r="K77" s="112">
        <v>179.49</v>
      </c>
      <c r="L77" s="112">
        <v>39.549999999999997</v>
      </c>
      <c r="M77" s="112">
        <v>28.16</v>
      </c>
      <c r="N77" s="112">
        <v>5.0999999999999996</v>
      </c>
      <c r="O77" s="112">
        <v>0</v>
      </c>
      <c r="P77" s="112">
        <v>0.48</v>
      </c>
      <c r="Q77" s="112">
        <v>0.87</v>
      </c>
    </row>
    <row r="78" spans="1:17" customFormat="1">
      <c r="A78" s="80">
        <v>45434.729166666664</v>
      </c>
      <c r="B78" s="112">
        <v>3.34</v>
      </c>
      <c r="C78" s="112">
        <v>1.07</v>
      </c>
      <c r="D78" s="112">
        <v>5.2</v>
      </c>
      <c r="E78" s="112">
        <v>28.49</v>
      </c>
      <c r="F78" s="112">
        <v>40.04</v>
      </c>
      <c r="G78" s="112">
        <v>49.72</v>
      </c>
      <c r="H78" s="112">
        <v>20.68</v>
      </c>
      <c r="I78" s="112">
        <v>4.6100000000000003</v>
      </c>
      <c r="J78" s="112">
        <v>1.52</v>
      </c>
      <c r="K78" s="112">
        <v>24.7</v>
      </c>
      <c r="L78" s="112">
        <v>37.61</v>
      </c>
      <c r="M78" s="112">
        <v>31.29</v>
      </c>
      <c r="N78" s="112">
        <v>0.9</v>
      </c>
      <c r="O78" s="112">
        <v>0</v>
      </c>
      <c r="P78" s="112">
        <v>0.54</v>
      </c>
      <c r="Q78" s="112">
        <v>4.82</v>
      </c>
    </row>
    <row r="79" spans="1:17" customFormat="1">
      <c r="A79" s="80">
        <v>45434.739583333336</v>
      </c>
      <c r="B79" s="112">
        <v>3.31</v>
      </c>
      <c r="C79" s="112">
        <v>1.1000000000000001</v>
      </c>
      <c r="D79" s="112">
        <v>5.19</v>
      </c>
      <c r="E79" s="112">
        <v>19.149999999999999</v>
      </c>
      <c r="F79" s="112">
        <v>16.350000000000001</v>
      </c>
      <c r="G79" s="112">
        <v>49.72</v>
      </c>
      <c r="H79" s="112">
        <v>20.68</v>
      </c>
      <c r="I79" s="112">
        <v>4.3099999999999996</v>
      </c>
      <c r="J79" s="112">
        <v>3.08</v>
      </c>
      <c r="K79" s="112">
        <v>307.64999999999998</v>
      </c>
      <c r="L79" s="112">
        <v>31.28</v>
      </c>
      <c r="M79" s="112">
        <v>56.76</v>
      </c>
      <c r="N79" s="112">
        <v>8.1</v>
      </c>
      <c r="O79" s="112">
        <v>0.6</v>
      </c>
      <c r="P79" s="112">
        <v>0.55000000000000004</v>
      </c>
      <c r="Q79" s="112">
        <v>4.82</v>
      </c>
    </row>
    <row r="80" spans="1:17" customFormat="1">
      <c r="A80" s="80">
        <v>45434.75</v>
      </c>
      <c r="B80" s="112">
        <v>3.3</v>
      </c>
      <c r="C80" s="112">
        <v>1.1100000000000001</v>
      </c>
      <c r="D80" s="112">
        <v>5.18</v>
      </c>
      <c r="E80" s="112">
        <v>15.57</v>
      </c>
      <c r="F80" s="112">
        <v>12.18</v>
      </c>
      <c r="G80" s="112">
        <v>49.72</v>
      </c>
      <c r="H80" s="112">
        <v>20.68</v>
      </c>
      <c r="I80" s="112">
        <v>5</v>
      </c>
      <c r="J80" s="112">
        <v>2.58</v>
      </c>
      <c r="K80" s="112">
        <v>290.74</v>
      </c>
      <c r="L80" s="112">
        <v>26.97</v>
      </c>
      <c r="M80" s="112">
        <v>79.45</v>
      </c>
      <c r="N80" s="112">
        <v>0.1</v>
      </c>
      <c r="O80" s="112">
        <v>0.4</v>
      </c>
      <c r="P80" s="112">
        <v>0.54</v>
      </c>
      <c r="Q80" s="167" t="s">
        <v>14</v>
      </c>
    </row>
    <row r="81" spans="1:17" customFormat="1">
      <c r="A81" s="80">
        <v>45434.760416666664</v>
      </c>
      <c r="B81" s="112">
        <v>3.29</v>
      </c>
      <c r="C81" s="112">
        <v>1.1000000000000001</v>
      </c>
      <c r="D81" s="112">
        <v>5.17</v>
      </c>
      <c r="E81" s="112">
        <v>11.24</v>
      </c>
      <c r="F81" s="112">
        <v>11.4</v>
      </c>
      <c r="G81" s="112">
        <v>207.08</v>
      </c>
      <c r="H81" s="112">
        <v>23.02</v>
      </c>
      <c r="I81" s="112">
        <v>5.53</v>
      </c>
      <c r="J81" s="112">
        <v>0.26</v>
      </c>
      <c r="K81" s="112">
        <v>268.74</v>
      </c>
      <c r="L81" s="112">
        <v>27.11</v>
      </c>
      <c r="M81" s="112">
        <v>80.290000000000006</v>
      </c>
      <c r="N81" s="112">
        <v>0</v>
      </c>
      <c r="O81" s="112">
        <v>0</v>
      </c>
      <c r="P81" s="112">
        <v>0.53</v>
      </c>
      <c r="Q81" s="112">
        <v>1.26</v>
      </c>
    </row>
    <row r="82" spans="1:17" customFormat="1">
      <c r="A82" s="80">
        <v>45434.770833333336</v>
      </c>
      <c r="B82" s="112">
        <v>3.3</v>
      </c>
      <c r="C82" s="112">
        <v>1.0900000000000001</v>
      </c>
      <c r="D82" s="112">
        <v>5.18</v>
      </c>
      <c r="E82" s="112">
        <v>12.49</v>
      </c>
      <c r="F82" s="112">
        <v>8.73</v>
      </c>
      <c r="G82" s="112">
        <v>243.73</v>
      </c>
      <c r="H82" s="112">
        <v>23.02</v>
      </c>
      <c r="I82" s="112">
        <v>5.37</v>
      </c>
      <c r="J82" s="112">
        <v>0.75</v>
      </c>
      <c r="K82" s="112">
        <v>234.29</v>
      </c>
      <c r="L82" s="112">
        <v>26.99</v>
      </c>
      <c r="M82" s="112">
        <v>83.57</v>
      </c>
      <c r="N82" s="112">
        <v>0</v>
      </c>
      <c r="O82" s="112">
        <v>0.2</v>
      </c>
      <c r="P82" s="112">
        <v>0.53</v>
      </c>
      <c r="Q82" s="112">
        <v>4.82</v>
      </c>
    </row>
    <row r="83" spans="1:17" customFormat="1">
      <c r="A83" s="80">
        <v>45434.78125</v>
      </c>
      <c r="B83" s="112">
        <v>3.32</v>
      </c>
      <c r="C83" s="112">
        <v>1.08</v>
      </c>
      <c r="D83" s="112">
        <v>5.19</v>
      </c>
      <c r="E83" s="112">
        <v>12.37</v>
      </c>
      <c r="F83" s="112">
        <v>10.11</v>
      </c>
      <c r="G83" s="112">
        <v>243.73</v>
      </c>
      <c r="H83" s="112">
        <v>23.02</v>
      </c>
      <c r="I83" s="112">
        <v>5.25</v>
      </c>
      <c r="J83" s="112">
        <v>0.56999999999999995</v>
      </c>
      <c r="K83" s="112">
        <v>275.45999999999998</v>
      </c>
      <c r="L83" s="112">
        <v>27.12</v>
      </c>
      <c r="M83" s="112">
        <v>79.09</v>
      </c>
      <c r="N83" s="112">
        <v>0</v>
      </c>
      <c r="O83" s="112">
        <v>0</v>
      </c>
      <c r="P83" s="112">
        <v>0.53</v>
      </c>
      <c r="Q83" s="112">
        <v>1.33</v>
      </c>
    </row>
    <row r="84" spans="1:17" customFormat="1">
      <c r="A84" s="80">
        <v>45434.791666666664</v>
      </c>
      <c r="B84" s="112">
        <v>3.33</v>
      </c>
      <c r="C84" s="112">
        <v>1.06</v>
      </c>
      <c r="D84" s="112">
        <v>5.19</v>
      </c>
      <c r="E84" s="112">
        <v>12.51</v>
      </c>
      <c r="F84" s="112">
        <v>9.08</v>
      </c>
      <c r="G84" s="112">
        <v>243.73</v>
      </c>
      <c r="H84" s="112">
        <v>23.02</v>
      </c>
      <c r="I84" s="112">
        <v>5.29</v>
      </c>
      <c r="J84" s="112">
        <v>0.8</v>
      </c>
      <c r="K84" s="112">
        <v>257.36</v>
      </c>
      <c r="L84" s="112">
        <v>27.46</v>
      </c>
      <c r="M84" s="112">
        <v>74.48</v>
      </c>
      <c r="N84" s="112">
        <v>0</v>
      </c>
      <c r="O84" s="112">
        <v>0</v>
      </c>
      <c r="P84" s="112">
        <v>0.53</v>
      </c>
      <c r="Q84" s="112">
        <v>4.82</v>
      </c>
    </row>
    <row r="85" spans="1:17" customFormat="1">
      <c r="A85" s="80">
        <v>45434.802083333336</v>
      </c>
      <c r="B85" s="112">
        <v>3.32</v>
      </c>
      <c r="C85" s="112">
        <v>1.1299999999999999</v>
      </c>
      <c r="D85" s="112">
        <v>5.21</v>
      </c>
      <c r="E85" s="112">
        <v>12.14</v>
      </c>
      <c r="F85" s="112">
        <v>11.05</v>
      </c>
      <c r="G85" s="112">
        <v>69.02</v>
      </c>
      <c r="H85" s="112">
        <v>19.739999999999998</v>
      </c>
      <c r="I85" s="112">
        <v>5.24</v>
      </c>
      <c r="J85" s="112">
        <v>0.89</v>
      </c>
      <c r="K85" s="112">
        <v>252.25</v>
      </c>
      <c r="L85" s="112">
        <v>27.51</v>
      </c>
      <c r="M85" s="112">
        <v>68.510000000000005</v>
      </c>
      <c r="N85" s="112">
        <v>0</v>
      </c>
      <c r="O85" s="112">
        <v>0</v>
      </c>
      <c r="P85" s="112">
        <v>0.53</v>
      </c>
      <c r="Q85" s="112">
        <v>4.8</v>
      </c>
    </row>
    <row r="86" spans="1:17" customFormat="1">
      <c r="A86" s="80">
        <v>45434.8125</v>
      </c>
      <c r="B86" s="112">
        <v>3.32</v>
      </c>
      <c r="C86" s="112">
        <v>1.1100000000000001</v>
      </c>
      <c r="D86" s="112">
        <v>5.21</v>
      </c>
      <c r="E86" s="112">
        <v>12.53</v>
      </c>
      <c r="F86" s="112">
        <v>11.38</v>
      </c>
      <c r="G86" s="112">
        <v>28.34</v>
      </c>
      <c r="H86" s="112">
        <v>19.739999999999998</v>
      </c>
      <c r="I86" s="112">
        <v>5.24</v>
      </c>
      <c r="J86" s="112">
        <v>0.7</v>
      </c>
      <c r="K86" s="112">
        <v>275.74</v>
      </c>
      <c r="L86" s="112">
        <v>27.89</v>
      </c>
      <c r="M86" s="112">
        <v>63.79</v>
      </c>
      <c r="N86" s="112">
        <v>0</v>
      </c>
      <c r="O86" s="112">
        <v>0</v>
      </c>
      <c r="P86" s="112">
        <v>0.52</v>
      </c>
      <c r="Q86" s="112">
        <v>1.04</v>
      </c>
    </row>
    <row r="87" spans="1:17" customFormat="1">
      <c r="A87" s="80">
        <v>45434.822916666664</v>
      </c>
      <c r="B87" s="149" t="s">
        <v>4</v>
      </c>
      <c r="C87" s="149" t="s">
        <v>4</v>
      </c>
      <c r="D87" s="149" t="s">
        <v>4</v>
      </c>
      <c r="E87" s="149" t="s">
        <v>4</v>
      </c>
      <c r="F87" s="149" t="s">
        <v>4</v>
      </c>
      <c r="G87" s="149" t="s">
        <v>4</v>
      </c>
      <c r="H87" s="149" t="s">
        <v>4</v>
      </c>
      <c r="I87" s="149" t="s">
        <v>4</v>
      </c>
      <c r="J87" s="149" t="s">
        <v>4</v>
      </c>
      <c r="K87" s="149" t="s">
        <v>4</v>
      </c>
      <c r="L87" s="149" t="s">
        <v>4</v>
      </c>
      <c r="M87" s="149" t="s">
        <v>4</v>
      </c>
      <c r="N87" s="149" t="s">
        <v>4</v>
      </c>
      <c r="O87" s="149" t="s">
        <v>4</v>
      </c>
      <c r="P87" s="149" t="s">
        <v>4</v>
      </c>
      <c r="Q87" s="149" t="s">
        <v>4</v>
      </c>
    </row>
    <row r="88" spans="1:17" customFormat="1">
      <c r="A88" s="80">
        <v>45434.833333333336</v>
      </c>
      <c r="B88" s="149" t="s">
        <v>4</v>
      </c>
      <c r="C88" s="149" t="s">
        <v>4</v>
      </c>
      <c r="D88" s="149" t="s">
        <v>4</v>
      </c>
      <c r="E88" s="149" t="s">
        <v>4</v>
      </c>
      <c r="F88" s="149" t="s">
        <v>4</v>
      </c>
      <c r="G88" s="149" t="s">
        <v>4</v>
      </c>
      <c r="H88" s="149" t="s">
        <v>4</v>
      </c>
      <c r="I88" s="149" t="s">
        <v>4</v>
      </c>
      <c r="J88" s="149" t="s">
        <v>4</v>
      </c>
      <c r="K88" s="149" t="s">
        <v>4</v>
      </c>
      <c r="L88" s="149" t="s">
        <v>4</v>
      </c>
      <c r="M88" s="149" t="s">
        <v>4</v>
      </c>
      <c r="N88" s="149" t="s">
        <v>4</v>
      </c>
      <c r="O88" s="149" t="s">
        <v>4</v>
      </c>
      <c r="P88" s="149" t="s">
        <v>4</v>
      </c>
      <c r="Q88" s="149" t="s">
        <v>4</v>
      </c>
    </row>
    <row r="89" spans="1:17" customFormat="1">
      <c r="A89" s="80">
        <v>45434.84375</v>
      </c>
      <c r="B89" s="149" t="s">
        <v>4</v>
      </c>
      <c r="C89" s="149" t="s">
        <v>4</v>
      </c>
      <c r="D89" s="149" t="s">
        <v>4</v>
      </c>
      <c r="E89" s="149" t="s">
        <v>4</v>
      </c>
      <c r="F89" s="149" t="s">
        <v>4</v>
      </c>
      <c r="G89" s="149" t="s">
        <v>4</v>
      </c>
      <c r="H89" s="149" t="s">
        <v>4</v>
      </c>
      <c r="I89" s="149" t="s">
        <v>4</v>
      </c>
      <c r="J89" s="149" t="s">
        <v>4</v>
      </c>
      <c r="K89" s="149" t="s">
        <v>4</v>
      </c>
      <c r="L89" s="149" t="s">
        <v>4</v>
      </c>
      <c r="M89" s="149" t="s">
        <v>4</v>
      </c>
      <c r="N89" s="149" t="s">
        <v>4</v>
      </c>
      <c r="O89" s="149" t="s">
        <v>4</v>
      </c>
      <c r="P89" s="149" t="s">
        <v>4</v>
      </c>
      <c r="Q89" s="149" t="s">
        <v>4</v>
      </c>
    </row>
    <row r="90" spans="1:17" customFormat="1">
      <c r="A90" s="80">
        <v>45434.854166666664</v>
      </c>
      <c r="B90" s="149" t="s">
        <v>4</v>
      </c>
      <c r="C90" s="149" t="s">
        <v>4</v>
      </c>
      <c r="D90" s="149" t="s">
        <v>4</v>
      </c>
      <c r="E90" s="149" t="s">
        <v>4</v>
      </c>
      <c r="F90" s="149" t="s">
        <v>4</v>
      </c>
      <c r="G90" s="149" t="s">
        <v>4</v>
      </c>
      <c r="H90" s="149" t="s">
        <v>4</v>
      </c>
      <c r="I90" s="149" t="s">
        <v>4</v>
      </c>
      <c r="J90" s="149" t="s">
        <v>4</v>
      </c>
      <c r="K90" s="149" t="s">
        <v>4</v>
      </c>
      <c r="L90" s="149" t="s">
        <v>4</v>
      </c>
      <c r="M90" s="149" t="s">
        <v>4</v>
      </c>
      <c r="N90" s="149" t="s">
        <v>4</v>
      </c>
      <c r="O90" s="149" t="s">
        <v>4</v>
      </c>
      <c r="P90" s="149" t="s">
        <v>4</v>
      </c>
      <c r="Q90" s="149" t="s">
        <v>4</v>
      </c>
    </row>
    <row r="91" spans="1:17" customFormat="1">
      <c r="A91" s="80">
        <v>45434.864583333336</v>
      </c>
      <c r="B91" s="149" t="s">
        <v>4</v>
      </c>
      <c r="C91" s="149" t="s">
        <v>4</v>
      </c>
      <c r="D91" s="149" t="s">
        <v>4</v>
      </c>
      <c r="E91" s="149" t="s">
        <v>4</v>
      </c>
      <c r="F91" s="149" t="s">
        <v>4</v>
      </c>
      <c r="G91" s="149" t="s">
        <v>4</v>
      </c>
      <c r="H91" s="149" t="s">
        <v>4</v>
      </c>
      <c r="I91" s="149" t="s">
        <v>4</v>
      </c>
      <c r="J91" s="149" t="s">
        <v>4</v>
      </c>
      <c r="K91" s="149" t="s">
        <v>4</v>
      </c>
      <c r="L91" s="149" t="s">
        <v>4</v>
      </c>
      <c r="M91" s="149" t="s">
        <v>4</v>
      </c>
      <c r="N91" s="149" t="s">
        <v>4</v>
      </c>
      <c r="O91" s="149" t="s">
        <v>4</v>
      </c>
      <c r="P91" s="149" t="s">
        <v>4</v>
      </c>
      <c r="Q91" s="149" t="s">
        <v>4</v>
      </c>
    </row>
    <row r="92" spans="1:17" customFormat="1">
      <c r="A92" s="80">
        <v>45434.875</v>
      </c>
      <c r="B92" s="149" t="s">
        <v>4</v>
      </c>
      <c r="C92" s="149" t="s">
        <v>4</v>
      </c>
      <c r="D92" s="149" t="s">
        <v>4</v>
      </c>
      <c r="E92" s="149" t="s">
        <v>4</v>
      </c>
      <c r="F92" s="149" t="s">
        <v>4</v>
      </c>
      <c r="G92" s="149" t="s">
        <v>4</v>
      </c>
      <c r="H92" s="149" t="s">
        <v>4</v>
      </c>
      <c r="I92" s="149" t="s">
        <v>4</v>
      </c>
      <c r="J92" s="149" t="s">
        <v>4</v>
      </c>
      <c r="K92" s="149" t="s">
        <v>4</v>
      </c>
      <c r="L92" s="149" t="s">
        <v>4</v>
      </c>
      <c r="M92" s="149" t="s">
        <v>4</v>
      </c>
      <c r="N92" s="149" t="s">
        <v>4</v>
      </c>
      <c r="O92" s="149" t="s">
        <v>4</v>
      </c>
      <c r="P92" s="149" t="s">
        <v>4</v>
      </c>
      <c r="Q92" s="149" t="s">
        <v>4</v>
      </c>
    </row>
    <row r="93" spans="1:17" customFormat="1">
      <c r="A93" s="80">
        <v>45434.885416666664</v>
      </c>
      <c r="B93" s="149" t="s">
        <v>4</v>
      </c>
      <c r="C93" s="149" t="s">
        <v>4</v>
      </c>
      <c r="D93" s="149" t="s">
        <v>4</v>
      </c>
      <c r="E93" s="149" t="s">
        <v>4</v>
      </c>
      <c r="F93" s="149" t="s">
        <v>4</v>
      </c>
      <c r="G93" s="149" t="s">
        <v>4</v>
      </c>
      <c r="H93" s="149" t="s">
        <v>4</v>
      </c>
      <c r="I93" s="149" t="s">
        <v>4</v>
      </c>
      <c r="J93" s="149" t="s">
        <v>4</v>
      </c>
      <c r="K93" s="149" t="s">
        <v>4</v>
      </c>
      <c r="L93" s="149" t="s">
        <v>4</v>
      </c>
      <c r="M93" s="149" t="s">
        <v>4</v>
      </c>
      <c r="N93" s="149" t="s">
        <v>4</v>
      </c>
      <c r="O93" s="149" t="s">
        <v>4</v>
      </c>
      <c r="P93" s="149" t="s">
        <v>4</v>
      </c>
      <c r="Q93" s="149" t="s">
        <v>4</v>
      </c>
    </row>
    <row r="94" spans="1:17" customFormat="1">
      <c r="A94" s="80">
        <v>45434.895833333336</v>
      </c>
      <c r="B94" s="149" t="s">
        <v>4</v>
      </c>
      <c r="C94" s="149" t="s">
        <v>4</v>
      </c>
      <c r="D94" s="149" t="s">
        <v>4</v>
      </c>
      <c r="E94" s="149" t="s">
        <v>4</v>
      </c>
      <c r="F94" s="149" t="s">
        <v>4</v>
      </c>
      <c r="G94" s="149" t="s">
        <v>4</v>
      </c>
      <c r="H94" s="149" t="s">
        <v>4</v>
      </c>
      <c r="I94" s="149" t="s">
        <v>4</v>
      </c>
      <c r="J94" s="149" t="s">
        <v>4</v>
      </c>
      <c r="K94" s="149" t="s">
        <v>4</v>
      </c>
      <c r="L94" s="149" t="s">
        <v>4</v>
      </c>
      <c r="M94" s="149" t="s">
        <v>4</v>
      </c>
      <c r="N94" s="149" t="s">
        <v>4</v>
      </c>
      <c r="O94" s="149" t="s">
        <v>4</v>
      </c>
      <c r="P94" s="149" t="s">
        <v>4</v>
      </c>
      <c r="Q94" s="149" t="s">
        <v>4</v>
      </c>
    </row>
    <row r="95" spans="1:17" customFormat="1">
      <c r="A95" s="80">
        <v>45434.90625</v>
      </c>
      <c r="B95" s="149" t="s">
        <v>4</v>
      </c>
      <c r="C95" s="149" t="s">
        <v>4</v>
      </c>
      <c r="D95" s="149" t="s">
        <v>4</v>
      </c>
      <c r="E95" s="149" t="s">
        <v>4</v>
      </c>
      <c r="F95" s="149" t="s">
        <v>4</v>
      </c>
      <c r="G95" s="149" t="s">
        <v>4</v>
      </c>
      <c r="H95" s="149" t="s">
        <v>4</v>
      </c>
      <c r="I95" s="149" t="s">
        <v>4</v>
      </c>
      <c r="J95" s="149" t="s">
        <v>4</v>
      </c>
      <c r="K95" s="149" t="s">
        <v>4</v>
      </c>
      <c r="L95" s="149" t="s">
        <v>4</v>
      </c>
      <c r="M95" s="149" t="s">
        <v>4</v>
      </c>
      <c r="N95" s="149" t="s">
        <v>4</v>
      </c>
      <c r="O95" s="149" t="s">
        <v>4</v>
      </c>
      <c r="P95" s="149" t="s">
        <v>4</v>
      </c>
      <c r="Q95" s="149" t="s">
        <v>4</v>
      </c>
    </row>
    <row r="96" spans="1:17" customFormat="1">
      <c r="A96" s="80">
        <v>45434.916666666664</v>
      </c>
      <c r="B96" s="149" t="s">
        <v>4</v>
      </c>
      <c r="C96" s="149" t="s">
        <v>4</v>
      </c>
      <c r="D96" s="149" t="s">
        <v>4</v>
      </c>
      <c r="E96" s="149" t="s">
        <v>4</v>
      </c>
      <c r="F96" s="149" t="s">
        <v>4</v>
      </c>
      <c r="G96" s="149" t="s">
        <v>4</v>
      </c>
      <c r="H96" s="149" t="s">
        <v>4</v>
      </c>
      <c r="I96" s="149" t="s">
        <v>4</v>
      </c>
      <c r="J96" s="149" t="s">
        <v>4</v>
      </c>
      <c r="K96" s="149" t="s">
        <v>4</v>
      </c>
      <c r="L96" s="149" t="s">
        <v>4</v>
      </c>
      <c r="M96" s="149" t="s">
        <v>4</v>
      </c>
      <c r="N96" s="149" t="s">
        <v>4</v>
      </c>
      <c r="O96" s="149" t="s">
        <v>4</v>
      </c>
      <c r="P96" s="149" t="s">
        <v>4</v>
      </c>
      <c r="Q96" s="149" t="s">
        <v>4</v>
      </c>
    </row>
    <row r="97" spans="1:22" customFormat="1">
      <c r="A97" s="80">
        <v>45434.927083333336</v>
      </c>
      <c r="B97" s="149" t="s">
        <v>4</v>
      </c>
      <c r="C97" s="149" t="s">
        <v>4</v>
      </c>
      <c r="D97" s="149" t="s">
        <v>4</v>
      </c>
      <c r="E97" s="149" t="s">
        <v>4</v>
      </c>
      <c r="F97" s="149" t="s">
        <v>4</v>
      </c>
      <c r="G97" s="149" t="s">
        <v>4</v>
      </c>
      <c r="H97" s="149" t="s">
        <v>4</v>
      </c>
      <c r="I97" s="149" t="s">
        <v>4</v>
      </c>
      <c r="J97" s="149" t="s">
        <v>4</v>
      </c>
      <c r="K97" s="149" t="s">
        <v>4</v>
      </c>
      <c r="L97" s="149" t="s">
        <v>4</v>
      </c>
      <c r="M97" s="149" t="s">
        <v>4</v>
      </c>
      <c r="N97" s="149" t="s">
        <v>4</v>
      </c>
      <c r="O97" s="149" t="s">
        <v>4</v>
      </c>
      <c r="P97" s="149" t="s">
        <v>4</v>
      </c>
      <c r="Q97" s="149" t="s">
        <v>4</v>
      </c>
    </row>
    <row r="98" spans="1:22" customFormat="1">
      <c r="A98" s="80">
        <v>45434.9375</v>
      </c>
      <c r="B98" s="149" t="s">
        <v>4</v>
      </c>
      <c r="C98" s="149" t="s">
        <v>4</v>
      </c>
      <c r="D98" s="149" t="s">
        <v>4</v>
      </c>
      <c r="E98" s="149" t="s">
        <v>4</v>
      </c>
      <c r="F98" s="149" t="s">
        <v>4</v>
      </c>
      <c r="G98" s="149" t="s">
        <v>4</v>
      </c>
      <c r="H98" s="149" t="s">
        <v>4</v>
      </c>
      <c r="I98" s="149" t="s">
        <v>4</v>
      </c>
      <c r="J98" s="149" t="s">
        <v>4</v>
      </c>
      <c r="K98" s="149" t="s">
        <v>4</v>
      </c>
      <c r="L98" s="149" t="s">
        <v>4</v>
      </c>
      <c r="M98" s="149" t="s">
        <v>4</v>
      </c>
      <c r="N98" s="149" t="s">
        <v>4</v>
      </c>
      <c r="O98" s="149" t="s">
        <v>4</v>
      </c>
      <c r="P98" s="149" t="s">
        <v>4</v>
      </c>
      <c r="Q98" s="149" t="s">
        <v>4</v>
      </c>
    </row>
    <row r="99" spans="1:22" customFormat="1">
      <c r="A99" s="80">
        <v>45434.947916666664</v>
      </c>
      <c r="B99" s="149" t="s">
        <v>4</v>
      </c>
      <c r="C99" s="149" t="s">
        <v>4</v>
      </c>
      <c r="D99" s="149" t="s">
        <v>4</v>
      </c>
      <c r="E99" s="149" t="s">
        <v>4</v>
      </c>
      <c r="F99" s="149" t="s">
        <v>4</v>
      </c>
      <c r="G99" s="149" t="s">
        <v>4</v>
      </c>
      <c r="H99" s="149" t="s">
        <v>4</v>
      </c>
      <c r="I99" s="149" t="s">
        <v>4</v>
      </c>
      <c r="J99" s="149" t="s">
        <v>4</v>
      </c>
      <c r="K99" s="149" t="s">
        <v>4</v>
      </c>
      <c r="L99" s="149" t="s">
        <v>4</v>
      </c>
      <c r="M99" s="149" t="s">
        <v>4</v>
      </c>
      <c r="N99" s="149" t="s">
        <v>4</v>
      </c>
      <c r="O99" s="149" t="s">
        <v>4</v>
      </c>
      <c r="P99" s="149" t="s">
        <v>4</v>
      </c>
      <c r="Q99" s="149" t="s">
        <v>4</v>
      </c>
    </row>
    <row r="100" spans="1:22" customFormat="1">
      <c r="A100" s="80">
        <v>45434.958333333336</v>
      </c>
      <c r="B100" s="149" t="s">
        <v>4</v>
      </c>
      <c r="C100" s="149" t="s">
        <v>4</v>
      </c>
      <c r="D100" s="149" t="s">
        <v>4</v>
      </c>
      <c r="E100" s="149" t="s">
        <v>4</v>
      </c>
      <c r="F100" s="149" t="s">
        <v>4</v>
      </c>
      <c r="G100" s="149" t="s">
        <v>4</v>
      </c>
      <c r="H100" s="149" t="s">
        <v>4</v>
      </c>
      <c r="I100" s="149" t="s">
        <v>4</v>
      </c>
      <c r="J100" s="149" t="s">
        <v>4</v>
      </c>
      <c r="K100" s="149" t="s">
        <v>4</v>
      </c>
      <c r="L100" s="149" t="s">
        <v>4</v>
      </c>
      <c r="M100" s="149" t="s">
        <v>4</v>
      </c>
      <c r="N100" s="149" t="s">
        <v>4</v>
      </c>
      <c r="O100" s="149" t="s">
        <v>4</v>
      </c>
      <c r="P100" s="149" t="s">
        <v>4</v>
      </c>
      <c r="Q100" s="149" t="s">
        <v>4</v>
      </c>
    </row>
    <row r="101" spans="1:22" customFormat="1">
      <c r="A101" s="80">
        <v>45434.96875</v>
      </c>
      <c r="B101" s="149" t="s">
        <v>4</v>
      </c>
      <c r="C101" s="149" t="s">
        <v>4</v>
      </c>
      <c r="D101" s="149" t="s">
        <v>4</v>
      </c>
      <c r="E101" s="149" t="s">
        <v>4</v>
      </c>
      <c r="F101" s="149" t="s">
        <v>4</v>
      </c>
      <c r="G101" s="149" t="s">
        <v>4</v>
      </c>
      <c r="H101" s="149" t="s">
        <v>4</v>
      </c>
      <c r="I101" s="149" t="s">
        <v>4</v>
      </c>
      <c r="J101" s="149" t="s">
        <v>4</v>
      </c>
      <c r="K101" s="149" t="s">
        <v>4</v>
      </c>
      <c r="L101" s="149" t="s">
        <v>4</v>
      </c>
      <c r="M101" s="149" t="s">
        <v>4</v>
      </c>
      <c r="N101" s="149" t="s">
        <v>4</v>
      </c>
      <c r="O101" s="149" t="s">
        <v>4</v>
      </c>
      <c r="P101" s="149" t="s">
        <v>4</v>
      </c>
      <c r="Q101" s="149" t="s">
        <v>4</v>
      </c>
    </row>
    <row r="102" spans="1:22" customFormat="1">
      <c r="A102" s="80">
        <v>45434.979166666664</v>
      </c>
      <c r="B102" s="149" t="s">
        <v>4</v>
      </c>
      <c r="C102" s="149" t="s">
        <v>4</v>
      </c>
      <c r="D102" s="149" t="s">
        <v>4</v>
      </c>
      <c r="E102" s="149" t="s">
        <v>4</v>
      </c>
      <c r="F102" s="149" t="s">
        <v>4</v>
      </c>
      <c r="G102" s="149" t="s">
        <v>4</v>
      </c>
      <c r="H102" s="149" t="s">
        <v>4</v>
      </c>
      <c r="I102" s="149" t="s">
        <v>4</v>
      </c>
      <c r="J102" s="149" t="s">
        <v>4</v>
      </c>
      <c r="K102" s="149" t="s">
        <v>4</v>
      </c>
      <c r="L102" s="149" t="s">
        <v>4</v>
      </c>
      <c r="M102" s="149" t="s">
        <v>4</v>
      </c>
      <c r="N102" s="149" t="s">
        <v>4</v>
      </c>
      <c r="O102" s="149" t="s">
        <v>4</v>
      </c>
      <c r="P102" s="149" t="s">
        <v>4</v>
      </c>
      <c r="Q102" s="149" t="s">
        <v>4</v>
      </c>
    </row>
    <row r="103" spans="1:22" customFormat="1">
      <c r="A103" s="80">
        <v>45434.989583333336</v>
      </c>
      <c r="B103" s="149" t="s">
        <v>4</v>
      </c>
      <c r="C103" s="149" t="s">
        <v>4</v>
      </c>
      <c r="D103" s="149" t="s">
        <v>4</v>
      </c>
      <c r="E103" s="149" t="s">
        <v>4</v>
      </c>
      <c r="F103" s="149" t="s">
        <v>4</v>
      </c>
      <c r="G103" s="149" t="s">
        <v>4</v>
      </c>
      <c r="H103" s="149" t="s">
        <v>4</v>
      </c>
      <c r="I103" s="149" t="s">
        <v>4</v>
      </c>
      <c r="J103" s="149" t="s">
        <v>4</v>
      </c>
      <c r="K103" s="149" t="s">
        <v>4</v>
      </c>
      <c r="L103" s="149" t="s">
        <v>4</v>
      </c>
      <c r="M103" s="149" t="s">
        <v>4</v>
      </c>
      <c r="N103" s="149" t="s">
        <v>4</v>
      </c>
      <c r="O103" s="149" t="s">
        <v>4</v>
      </c>
      <c r="P103" s="149" t="s">
        <v>4</v>
      </c>
      <c r="Q103" s="149" t="s">
        <v>4</v>
      </c>
    </row>
    <row r="104" spans="1:22" customFormat="1">
      <c r="A104" s="80">
        <v>45435</v>
      </c>
      <c r="B104" s="149" t="s">
        <v>4</v>
      </c>
      <c r="C104" s="149" t="s">
        <v>4</v>
      </c>
      <c r="D104" s="149" t="s">
        <v>4</v>
      </c>
      <c r="E104" s="149" t="s">
        <v>4</v>
      </c>
      <c r="F104" s="149" t="s">
        <v>4</v>
      </c>
      <c r="G104" s="149" t="s">
        <v>4</v>
      </c>
      <c r="H104" s="149" t="s">
        <v>4</v>
      </c>
      <c r="I104" s="149" t="s">
        <v>4</v>
      </c>
      <c r="J104" s="149" t="s">
        <v>4</v>
      </c>
      <c r="K104" s="149" t="s">
        <v>4</v>
      </c>
      <c r="L104" s="149" t="s">
        <v>4</v>
      </c>
      <c r="M104" s="149" t="s">
        <v>4</v>
      </c>
      <c r="N104" s="149" t="s">
        <v>4</v>
      </c>
      <c r="O104" s="149" t="s">
        <v>4</v>
      </c>
      <c r="P104" s="149" t="s">
        <v>4</v>
      </c>
      <c r="Q104" s="149" t="s">
        <v>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3.24</v>
      </c>
      <c r="C106" s="183">
        <f>MIN(C9:C104)</f>
        <v>1.04</v>
      </c>
      <c r="D106" s="183">
        <f t="shared" ref="D106:Q106" si="0">MIN(D9:D104)</f>
        <v>5.13</v>
      </c>
      <c r="E106" s="183">
        <f t="shared" si="0"/>
        <v>9.33</v>
      </c>
      <c r="F106" s="183">
        <f t="shared" si="0"/>
        <v>8.08</v>
      </c>
      <c r="G106" s="183">
        <f t="shared" si="0"/>
        <v>14.43</v>
      </c>
      <c r="H106" s="183">
        <f t="shared" si="0"/>
        <v>5.81</v>
      </c>
      <c r="I106" s="183">
        <f t="shared" si="0"/>
        <v>3.29</v>
      </c>
      <c r="J106" s="183">
        <f t="shared" si="0"/>
        <v>0.04</v>
      </c>
      <c r="K106" s="183">
        <f t="shared" si="0"/>
        <v>0.13</v>
      </c>
      <c r="L106" s="183">
        <f t="shared" si="0"/>
        <v>26.97</v>
      </c>
      <c r="M106" s="183">
        <f t="shared" si="0"/>
        <v>25.15</v>
      </c>
      <c r="N106" s="183">
        <f t="shared" si="0"/>
        <v>0</v>
      </c>
      <c r="O106" s="183">
        <f t="shared" si="0"/>
        <v>0</v>
      </c>
      <c r="P106" s="183">
        <f t="shared" si="0"/>
        <v>0.4</v>
      </c>
      <c r="Q106" s="183">
        <f t="shared" si="0"/>
        <v>0.87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3.37</v>
      </c>
      <c r="C107" s="184">
        <f t="shared" ref="C107:Q107" si="1">MAX(C9:C104)</f>
        <v>1.1299999999999999</v>
      </c>
      <c r="D107" s="184">
        <f t="shared" si="1"/>
        <v>5.22</v>
      </c>
      <c r="E107" s="184">
        <f t="shared" si="1"/>
        <v>41.83</v>
      </c>
      <c r="F107" s="184">
        <f t="shared" si="1"/>
        <v>92.67</v>
      </c>
      <c r="G107" s="184">
        <f t="shared" si="1"/>
        <v>243.73</v>
      </c>
      <c r="H107" s="184">
        <f t="shared" si="1"/>
        <v>23.02</v>
      </c>
      <c r="I107" s="184">
        <f t="shared" si="1"/>
        <v>8.76</v>
      </c>
      <c r="J107" s="184">
        <f t="shared" si="1"/>
        <v>3.08</v>
      </c>
      <c r="K107" s="184">
        <f t="shared" si="1"/>
        <v>359.09</v>
      </c>
      <c r="L107" s="184">
        <f t="shared" si="1"/>
        <v>41.66</v>
      </c>
      <c r="M107" s="184">
        <f t="shared" si="1"/>
        <v>83.57</v>
      </c>
      <c r="N107" s="184">
        <f t="shared" si="1"/>
        <v>703</v>
      </c>
      <c r="O107" s="184">
        <f t="shared" si="1"/>
        <v>0.6</v>
      </c>
      <c r="P107" s="184">
        <f t="shared" si="1"/>
        <v>0.87</v>
      </c>
      <c r="Q107" s="184">
        <f t="shared" si="1"/>
        <v>4.82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3.2880769230769249</v>
      </c>
      <c r="C108" s="183">
        <f t="shared" ref="C108:Q108" si="2">AVERAGE(C9:C104)</f>
        <v>1.0823076923076926</v>
      </c>
      <c r="D108" s="183">
        <f t="shared" si="2"/>
        <v>5.1616666666666662</v>
      </c>
      <c r="E108" s="183">
        <f t="shared" si="2"/>
        <v>18.667435897435897</v>
      </c>
      <c r="F108" s="183">
        <f t="shared" si="2"/>
        <v>31.414358974358976</v>
      </c>
      <c r="G108" s="183">
        <f t="shared" si="2"/>
        <v>46.856794871794868</v>
      </c>
      <c r="H108" s="183">
        <f t="shared" si="2"/>
        <v>15.027692307692305</v>
      </c>
      <c r="I108" s="183">
        <f t="shared" si="2"/>
        <v>5.6133333333333324</v>
      </c>
      <c r="J108" s="183">
        <f t="shared" si="2"/>
        <v>0.52358974358974342</v>
      </c>
      <c r="K108" s="183">
        <f t="shared" si="2"/>
        <v>225.79974358974354</v>
      </c>
      <c r="L108" s="183">
        <f t="shared" si="2"/>
        <v>33.403333333333329</v>
      </c>
      <c r="M108" s="183">
        <f t="shared" si="2"/>
        <v>48.915256410256411</v>
      </c>
      <c r="N108" s="183">
        <f t="shared" si="2"/>
        <v>176.13076923076923</v>
      </c>
      <c r="O108" s="183">
        <f t="shared" si="2"/>
        <v>1.5384615384615384E-2</v>
      </c>
      <c r="P108" s="183">
        <f t="shared" si="2"/>
        <v>0.58358974358974358</v>
      </c>
      <c r="Q108" s="183">
        <f t="shared" si="2"/>
        <v>4.359264705882353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2.3744182735697887E-2</v>
      </c>
      <c r="C109" s="183">
        <f t="shared" ref="C109:Q109" si="3">STDEV(C9:C104)</f>
        <v>1.9267297974256057E-2</v>
      </c>
      <c r="D109" s="183">
        <f t="shared" si="3"/>
        <v>2.0220644373373942E-2</v>
      </c>
      <c r="E109" s="183">
        <f t="shared" si="3"/>
        <v>8.1346206475934153</v>
      </c>
      <c r="F109" s="183">
        <f t="shared" si="3"/>
        <v>21.33904747139259</v>
      </c>
      <c r="G109" s="183">
        <f t="shared" si="3"/>
        <v>46.319046305301889</v>
      </c>
      <c r="H109" s="183">
        <f t="shared" si="3"/>
        <v>5.3921624033976796</v>
      </c>
      <c r="I109" s="183">
        <f t="shared" si="3"/>
        <v>1.7346878656813149</v>
      </c>
      <c r="J109" s="183">
        <f t="shared" si="3"/>
        <v>0.46521318771431031</v>
      </c>
      <c r="K109" s="183">
        <f t="shared" si="3"/>
        <v>99.142628112353023</v>
      </c>
      <c r="L109" s="183">
        <f t="shared" si="3"/>
        <v>5.1012205482856077</v>
      </c>
      <c r="M109" s="183">
        <f t="shared" si="3"/>
        <v>16.504510105710608</v>
      </c>
      <c r="N109" s="183">
        <f t="shared" si="3"/>
        <v>214.21869230267492</v>
      </c>
      <c r="O109" s="183">
        <f t="shared" si="3"/>
        <v>8.3862786937753467E-2</v>
      </c>
      <c r="P109" s="183">
        <f t="shared" si="3"/>
        <v>0.14199848507491092</v>
      </c>
      <c r="Q109" s="183">
        <f t="shared" si="3"/>
        <v>1.1876382133881995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8" activePane="bottomRight" state="frozen"/>
      <selection activeCell="A9" sqref="A9"/>
      <selection pane="topRight" activeCell="A9" sqref="A9"/>
      <selection pane="bottomLeft" activeCell="A9" sqref="A9"/>
      <selection pane="bottomRight" activeCell="B110" sqref="B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45435.010416666664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45435.010416666664</v>
      </c>
      <c r="B9" s="149" t="s">
        <v>4</v>
      </c>
      <c r="C9" s="149" t="s">
        <v>4</v>
      </c>
      <c r="D9" s="149" t="s">
        <v>4</v>
      </c>
      <c r="E9" s="149" t="s">
        <v>4</v>
      </c>
      <c r="F9" s="149" t="s">
        <v>4</v>
      </c>
      <c r="G9" s="149" t="s">
        <v>4</v>
      </c>
      <c r="H9" s="149" t="s">
        <v>4</v>
      </c>
      <c r="I9" s="149" t="s">
        <v>4</v>
      </c>
      <c r="J9" s="149" t="s">
        <v>4</v>
      </c>
      <c r="K9" s="149" t="s">
        <v>4</v>
      </c>
      <c r="L9" s="149" t="s">
        <v>4</v>
      </c>
      <c r="M9" s="149" t="s">
        <v>4</v>
      </c>
      <c r="N9" s="149" t="s">
        <v>4</v>
      </c>
      <c r="O9" s="149" t="s">
        <v>4</v>
      </c>
      <c r="P9" s="149" t="s">
        <v>4</v>
      </c>
      <c r="Q9" s="149" t="s">
        <v>4</v>
      </c>
    </row>
    <row r="10" spans="1:21" customFormat="1">
      <c r="A10" s="80">
        <v>45435.020833333336</v>
      </c>
      <c r="B10" s="149" t="s">
        <v>4</v>
      </c>
      <c r="C10" s="149" t="s">
        <v>4</v>
      </c>
      <c r="D10" s="149" t="s">
        <v>4</v>
      </c>
      <c r="E10" s="149" t="s">
        <v>4</v>
      </c>
      <c r="F10" s="149" t="s">
        <v>4</v>
      </c>
      <c r="G10" s="149" t="s">
        <v>4</v>
      </c>
      <c r="H10" s="149" t="s">
        <v>4</v>
      </c>
      <c r="I10" s="149" t="s">
        <v>4</v>
      </c>
      <c r="J10" s="149" t="s">
        <v>4</v>
      </c>
      <c r="K10" s="149" t="s">
        <v>4</v>
      </c>
      <c r="L10" s="149" t="s">
        <v>4</v>
      </c>
      <c r="M10" s="149" t="s">
        <v>4</v>
      </c>
      <c r="N10" s="149" t="s">
        <v>4</v>
      </c>
      <c r="O10" s="149" t="s">
        <v>4</v>
      </c>
      <c r="P10" s="149" t="s">
        <v>4</v>
      </c>
      <c r="Q10" s="149" t="s">
        <v>4</v>
      </c>
    </row>
    <row r="11" spans="1:21" customFormat="1">
      <c r="A11" s="80">
        <v>45435.03125</v>
      </c>
      <c r="B11" s="149" t="s">
        <v>4</v>
      </c>
      <c r="C11" s="149" t="s">
        <v>4</v>
      </c>
      <c r="D11" s="149" t="s">
        <v>4</v>
      </c>
      <c r="E11" s="149" t="s">
        <v>4</v>
      </c>
      <c r="F11" s="149" t="s">
        <v>4</v>
      </c>
      <c r="G11" s="149" t="s">
        <v>4</v>
      </c>
      <c r="H11" s="149" t="s">
        <v>4</v>
      </c>
      <c r="I11" s="149" t="s">
        <v>4</v>
      </c>
      <c r="J11" s="149" t="s">
        <v>4</v>
      </c>
      <c r="K11" s="149" t="s">
        <v>4</v>
      </c>
      <c r="L11" s="149" t="s">
        <v>4</v>
      </c>
      <c r="M11" s="149" t="s">
        <v>4</v>
      </c>
      <c r="N11" s="149" t="s">
        <v>4</v>
      </c>
      <c r="O11" s="149" t="s">
        <v>4</v>
      </c>
      <c r="P11" s="149" t="s">
        <v>4</v>
      </c>
      <c r="Q11" s="149" t="s">
        <v>4</v>
      </c>
    </row>
    <row r="12" spans="1:21" customFormat="1">
      <c r="A12" s="80">
        <v>45435.041666666664</v>
      </c>
      <c r="B12" s="149" t="s">
        <v>4</v>
      </c>
      <c r="C12" s="149" t="s">
        <v>4</v>
      </c>
      <c r="D12" s="149" t="s">
        <v>4</v>
      </c>
      <c r="E12" s="149" t="s">
        <v>4</v>
      </c>
      <c r="F12" s="149" t="s">
        <v>4</v>
      </c>
      <c r="G12" s="149" t="s">
        <v>4</v>
      </c>
      <c r="H12" s="149" t="s">
        <v>4</v>
      </c>
      <c r="I12" s="149" t="s">
        <v>4</v>
      </c>
      <c r="J12" s="149" t="s">
        <v>4</v>
      </c>
      <c r="K12" s="149" t="s">
        <v>4</v>
      </c>
      <c r="L12" s="149" t="s">
        <v>4</v>
      </c>
      <c r="M12" s="149" t="s">
        <v>4</v>
      </c>
      <c r="N12" s="149" t="s">
        <v>4</v>
      </c>
      <c r="O12" s="149" t="s">
        <v>4</v>
      </c>
      <c r="P12" s="149" t="s">
        <v>4</v>
      </c>
      <c r="Q12" s="149" t="s">
        <v>4</v>
      </c>
    </row>
    <row r="13" spans="1:21" customFormat="1">
      <c r="A13" s="80">
        <v>45435.052083333336</v>
      </c>
      <c r="B13" s="149" t="s">
        <v>4</v>
      </c>
      <c r="C13" s="149" t="s">
        <v>4</v>
      </c>
      <c r="D13" s="149" t="s">
        <v>4</v>
      </c>
      <c r="E13" s="149" t="s">
        <v>4</v>
      </c>
      <c r="F13" s="149" t="s">
        <v>4</v>
      </c>
      <c r="G13" s="149" t="s">
        <v>4</v>
      </c>
      <c r="H13" s="149" t="s">
        <v>4</v>
      </c>
      <c r="I13" s="149" t="s">
        <v>4</v>
      </c>
      <c r="J13" s="149" t="s">
        <v>4</v>
      </c>
      <c r="K13" s="149" t="s">
        <v>4</v>
      </c>
      <c r="L13" s="149" t="s">
        <v>4</v>
      </c>
      <c r="M13" s="149" t="s">
        <v>4</v>
      </c>
      <c r="N13" s="149" t="s">
        <v>4</v>
      </c>
      <c r="O13" s="149" t="s">
        <v>4</v>
      </c>
      <c r="P13" s="149" t="s">
        <v>4</v>
      </c>
      <c r="Q13" s="149" t="s">
        <v>4</v>
      </c>
    </row>
    <row r="14" spans="1:21" customFormat="1">
      <c r="A14" s="80">
        <v>45435.0625</v>
      </c>
      <c r="B14" s="149" t="s">
        <v>4</v>
      </c>
      <c r="C14" s="149" t="s">
        <v>4</v>
      </c>
      <c r="D14" s="149" t="s">
        <v>4</v>
      </c>
      <c r="E14" s="149" t="s">
        <v>4</v>
      </c>
      <c r="F14" s="149" t="s">
        <v>4</v>
      </c>
      <c r="G14" s="149" t="s">
        <v>4</v>
      </c>
      <c r="H14" s="149" t="s">
        <v>4</v>
      </c>
      <c r="I14" s="149" t="s">
        <v>4</v>
      </c>
      <c r="J14" s="149" t="s">
        <v>4</v>
      </c>
      <c r="K14" s="149" t="s">
        <v>4</v>
      </c>
      <c r="L14" s="149" t="s">
        <v>4</v>
      </c>
      <c r="M14" s="149" t="s">
        <v>4</v>
      </c>
      <c r="N14" s="149" t="s">
        <v>4</v>
      </c>
      <c r="O14" s="149" t="s">
        <v>4</v>
      </c>
      <c r="P14" s="149" t="s">
        <v>4</v>
      </c>
      <c r="Q14" s="149" t="s">
        <v>4</v>
      </c>
    </row>
    <row r="15" spans="1:21" customFormat="1">
      <c r="A15" s="80">
        <v>45435.072916666664</v>
      </c>
      <c r="B15" s="149" t="s">
        <v>4</v>
      </c>
      <c r="C15" s="149" t="s">
        <v>4</v>
      </c>
      <c r="D15" s="149" t="s">
        <v>4</v>
      </c>
      <c r="E15" s="149" t="s">
        <v>4</v>
      </c>
      <c r="F15" s="149" t="s">
        <v>4</v>
      </c>
      <c r="G15" s="149" t="s">
        <v>4</v>
      </c>
      <c r="H15" s="149" t="s">
        <v>4</v>
      </c>
      <c r="I15" s="149" t="s">
        <v>4</v>
      </c>
      <c r="J15" s="149" t="s">
        <v>4</v>
      </c>
      <c r="K15" s="149" t="s">
        <v>4</v>
      </c>
      <c r="L15" s="149" t="s">
        <v>4</v>
      </c>
      <c r="M15" s="149" t="s">
        <v>4</v>
      </c>
      <c r="N15" s="149" t="s">
        <v>4</v>
      </c>
      <c r="O15" s="149" t="s">
        <v>4</v>
      </c>
      <c r="P15" s="149" t="s">
        <v>4</v>
      </c>
      <c r="Q15" s="149" t="s">
        <v>4</v>
      </c>
    </row>
    <row r="16" spans="1:21" customFormat="1">
      <c r="A16" s="80">
        <v>45435.083333333336</v>
      </c>
      <c r="B16" s="149" t="s">
        <v>4</v>
      </c>
      <c r="C16" s="149" t="s">
        <v>4</v>
      </c>
      <c r="D16" s="149" t="s">
        <v>4</v>
      </c>
      <c r="E16" s="149" t="s">
        <v>4</v>
      </c>
      <c r="F16" s="149" t="s">
        <v>4</v>
      </c>
      <c r="G16" s="149" t="s">
        <v>4</v>
      </c>
      <c r="H16" s="149" t="s">
        <v>4</v>
      </c>
      <c r="I16" s="149" t="s">
        <v>4</v>
      </c>
      <c r="J16" s="149" t="s">
        <v>4</v>
      </c>
      <c r="K16" s="149" t="s">
        <v>4</v>
      </c>
      <c r="L16" s="149" t="s">
        <v>4</v>
      </c>
      <c r="M16" s="149" t="s">
        <v>4</v>
      </c>
      <c r="N16" s="149" t="s">
        <v>4</v>
      </c>
      <c r="O16" s="149" t="s">
        <v>4</v>
      </c>
      <c r="P16" s="149" t="s">
        <v>4</v>
      </c>
      <c r="Q16" s="149" t="s">
        <v>4</v>
      </c>
    </row>
    <row r="17" spans="1:17" customFormat="1">
      <c r="A17" s="80">
        <v>45435.09375</v>
      </c>
      <c r="B17" s="149" t="s">
        <v>4</v>
      </c>
      <c r="C17" s="149" t="s">
        <v>4</v>
      </c>
      <c r="D17" s="149" t="s">
        <v>4</v>
      </c>
      <c r="E17" s="149" t="s">
        <v>4</v>
      </c>
      <c r="F17" s="149" t="s">
        <v>4</v>
      </c>
      <c r="G17" s="149" t="s">
        <v>4</v>
      </c>
      <c r="H17" s="149" t="s">
        <v>4</v>
      </c>
      <c r="I17" s="149" t="s">
        <v>4</v>
      </c>
      <c r="J17" s="149" t="s">
        <v>4</v>
      </c>
      <c r="K17" s="149" t="s">
        <v>4</v>
      </c>
      <c r="L17" s="149" t="s">
        <v>4</v>
      </c>
      <c r="M17" s="149" t="s">
        <v>4</v>
      </c>
      <c r="N17" s="149" t="s">
        <v>4</v>
      </c>
      <c r="O17" s="149" t="s">
        <v>4</v>
      </c>
      <c r="P17" s="149" t="s">
        <v>4</v>
      </c>
      <c r="Q17" s="149" t="s">
        <v>4</v>
      </c>
    </row>
    <row r="18" spans="1:17" customFormat="1">
      <c r="A18" s="80">
        <v>45435.104166666664</v>
      </c>
      <c r="B18" s="149" t="s">
        <v>4</v>
      </c>
      <c r="C18" s="149" t="s">
        <v>4</v>
      </c>
      <c r="D18" s="149" t="s">
        <v>4</v>
      </c>
      <c r="E18" s="149" t="s">
        <v>4</v>
      </c>
      <c r="F18" s="149" t="s">
        <v>4</v>
      </c>
      <c r="G18" s="149" t="s">
        <v>4</v>
      </c>
      <c r="H18" s="149" t="s">
        <v>4</v>
      </c>
      <c r="I18" s="149" t="s">
        <v>4</v>
      </c>
      <c r="J18" s="149" t="s">
        <v>4</v>
      </c>
      <c r="K18" s="149" t="s">
        <v>4</v>
      </c>
      <c r="L18" s="149" t="s">
        <v>4</v>
      </c>
      <c r="M18" s="149" t="s">
        <v>4</v>
      </c>
      <c r="N18" s="149" t="s">
        <v>4</v>
      </c>
      <c r="O18" s="149" t="s">
        <v>4</v>
      </c>
      <c r="P18" s="149" t="s">
        <v>4</v>
      </c>
      <c r="Q18" s="149" t="s">
        <v>4</v>
      </c>
    </row>
    <row r="19" spans="1:17" customFormat="1">
      <c r="A19" s="80">
        <v>45435.114583333336</v>
      </c>
      <c r="B19" s="149" t="s">
        <v>4</v>
      </c>
      <c r="C19" s="149" t="s">
        <v>4</v>
      </c>
      <c r="D19" s="149" t="s">
        <v>4</v>
      </c>
      <c r="E19" s="149" t="s">
        <v>4</v>
      </c>
      <c r="F19" s="149" t="s">
        <v>4</v>
      </c>
      <c r="G19" s="149" t="s">
        <v>4</v>
      </c>
      <c r="H19" s="149" t="s">
        <v>4</v>
      </c>
      <c r="I19" s="149" t="s">
        <v>4</v>
      </c>
      <c r="J19" s="149" t="s">
        <v>4</v>
      </c>
      <c r="K19" s="149" t="s">
        <v>4</v>
      </c>
      <c r="L19" s="149" t="s">
        <v>4</v>
      </c>
      <c r="M19" s="149" t="s">
        <v>4</v>
      </c>
      <c r="N19" s="149" t="s">
        <v>4</v>
      </c>
      <c r="O19" s="149" t="s">
        <v>4</v>
      </c>
      <c r="P19" s="149" t="s">
        <v>4</v>
      </c>
      <c r="Q19" s="149" t="s">
        <v>4</v>
      </c>
    </row>
    <row r="20" spans="1:17" customFormat="1">
      <c r="A20" s="80">
        <v>45435.125</v>
      </c>
      <c r="B20" s="149" t="s">
        <v>4</v>
      </c>
      <c r="C20" s="149" t="s">
        <v>4</v>
      </c>
      <c r="D20" s="149" t="s">
        <v>4</v>
      </c>
      <c r="E20" s="149" t="s">
        <v>4</v>
      </c>
      <c r="F20" s="149" t="s">
        <v>4</v>
      </c>
      <c r="G20" s="149" t="s">
        <v>4</v>
      </c>
      <c r="H20" s="149" t="s">
        <v>4</v>
      </c>
      <c r="I20" s="149" t="s">
        <v>4</v>
      </c>
      <c r="J20" s="149" t="s">
        <v>4</v>
      </c>
      <c r="K20" s="149" t="s">
        <v>4</v>
      </c>
      <c r="L20" s="149" t="s">
        <v>4</v>
      </c>
      <c r="M20" s="149" t="s">
        <v>4</v>
      </c>
      <c r="N20" s="149" t="s">
        <v>4</v>
      </c>
      <c r="O20" s="149" t="s">
        <v>4</v>
      </c>
      <c r="P20" s="149" t="s">
        <v>4</v>
      </c>
      <c r="Q20" s="149" t="s">
        <v>4</v>
      </c>
    </row>
    <row r="21" spans="1:17" customFormat="1">
      <c r="A21" s="80">
        <v>45435.135416666664</v>
      </c>
      <c r="B21" s="149" t="s">
        <v>4</v>
      </c>
      <c r="C21" s="149" t="s">
        <v>4</v>
      </c>
      <c r="D21" s="149" t="s">
        <v>4</v>
      </c>
      <c r="E21" s="149" t="s">
        <v>4</v>
      </c>
      <c r="F21" s="149" t="s">
        <v>4</v>
      </c>
      <c r="G21" s="149" t="s">
        <v>4</v>
      </c>
      <c r="H21" s="149" t="s">
        <v>4</v>
      </c>
      <c r="I21" s="149" t="s">
        <v>4</v>
      </c>
      <c r="J21" s="149" t="s">
        <v>4</v>
      </c>
      <c r="K21" s="149" t="s">
        <v>4</v>
      </c>
      <c r="L21" s="149" t="s">
        <v>4</v>
      </c>
      <c r="M21" s="149" t="s">
        <v>4</v>
      </c>
      <c r="N21" s="149" t="s">
        <v>4</v>
      </c>
      <c r="O21" s="149" t="s">
        <v>4</v>
      </c>
      <c r="P21" s="149" t="s">
        <v>4</v>
      </c>
      <c r="Q21" s="149" t="s">
        <v>4</v>
      </c>
    </row>
    <row r="22" spans="1:17" customFormat="1">
      <c r="A22" s="80">
        <v>45435.145833333336</v>
      </c>
      <c r="B22" s="149" t="s">
        <v>4</v>
      </c>
      <c r="C22" s="149" t="s">
        <v>4</v>
      </c>
      <c r="D22" s="149" t="s">
        <v>4</v>
      </c>
      <c r="E22" s="149" t="s">
        <v>4</v>
      </c>
      <c r="F22" s="149" t="s">
        <v>4</v>
      </c>
      <c r="G22" s="149" t="s">
        <v>4</v>
      </c>
      <c r="H22" s="149" t="s">
        <v>4</v>
      </c>
      <c r="I22" s="149" t="s">
        <v>4</v>
      </c>
      <c r="J22" s="149" t="s">
        <v>4</v>
      </c>
      <c r="K22" s="149" t="s">
        <v>4</v>
      </c>
      <c r="L22" s="149" t="s">
        <v>4</v>
      </c>
      <c r="M22" s="149" t="s">
        <v>4</v>
      </c>
      <c r="N22" s="149" t="s">
        <v>4</v>
      </c>
      <c r="O22" s="149" t="s">
        <v>4</v>
      </c>
      <c r="P22" s="149" t="s">
        <v>4</v>
      </c>
      <c r="Q22" s="149" t="s">
        <v>4</v>
      </c>
    </row>
    <row r="23" spans="1:17" customFormat="1">
      <c r="A23" s="80">
        <v>45435.15625</v>
      </c>
      <c r="B23" s="149" t="s">
        <v>4</v>
      </c>
      <c r="C23" s="149" t="s">
        <v>4</v>
      </c>
      <c r="D23" s="149" t="s">
        <v>4</v>
      </c>
      <c r="E23" s="149" t="s">
        <v>4</v>
      </c>
      <c r="F23" s="149" t="s">
        <v>4</v>
      </c>
      <c r="G23" s="149" t="s">
        <v>4</v>
      </c>
      <c r="H23" s="149" t="s">
        <v>4</v>
      </c>
      <c r="I23" s="149" t="s">
        <v>4</v>
      </c>
      <c r="J23" s="149" t="s">
        <v>4</v>
      </c>
      <c r="K23" s="149" t="s">
        <v>4</v>
      </c>
      <c r="L23" s="149" t="s">
        <v>4</v>
      </c>
      <c r="M23" s="149" t="s">
        <v>4</v>
      </c>
      <c r="N23" s="149" t="s">
        <v>4</v>
      </c>
      <c r="O23" s="149" t="s">
        <v>4</v>
      </c>
      <c r="P23" s="149" t="s">
        <v>4</v>
      </c>
      <c r="Q23" s="149" t="s">
        <v>4</v>
      </c>
    </row>
    <row r="24" spans="1:17" customFormat="1">
      <c r="A24" s="80">
        <v>45435.166666666664</v>
      </c>
      <c r="B24" s="149" t="s">
        <v>4</v>
      </c>
      <c r="C24" s="149" t="s">
        <v>4</v>
      </c>
      <c r="D24" s="149" t="s">
        <v>4</v>
      </c>
      <c r="E24" s="149" t="s">
        <v>4</v>
      </c>
      <c r="F24" s="149" t="s">
        <v>4</v>
      </c>
      <c r="G24" s="149" t="s">
        <v>4</v>
      </c>
      <c r="H24" s="149" t="s">
        <v>4</v>
      </c>
      <c r="I24" s="149" t="s">
        <v>4</v>
      </c>
      <c r="J24" s="149" t="s">
        <v>4</v>
      </c>
      <c r="K24" s="149" t="s">
        <v>4</v>
      </c>
      <c r="L24" s="149" t="s">
        <v>4</v>
      </c>
      <c r="M24" s="149" t="s">
        <v>4</v>
      </c>
      <c r="N24" s="149" t="s">
        <v>4</v>
      </c>
      <c r="O24" s="149" t="s">
        <v>4</v>
      </c>
      <c r="P24" s="149" t="s">
        <v>4</v>
      </c>
      <c r="Q24" s="149" t="s">
        <v>4</v>
      </c>
    </row>
    <row r="25" spans="1:17" customFormat="1">
      <c r="A25" s="80">
        <v>45435.177083333336</v>
      </c>
      <c r="B25" s="149" t="s">
        <v>4</v>
      </c>
      <c r="C25" s="149" t="s">
        <v>4</v>
      </c>
      <c r="D25" s="149" t="s">
        <v>4</v>
      </c>
      <c r="E25" s="149" t="s">
        <v>4</v>
      </c>
      <c r="F25" s="149" t="s">
        <v>4</v>
      </c>
      <c r="G25" s="149" t="s">
        <v>4</v>
      </c>
      <c r="H25" s="149" t="s">
        <v>4</v>
      </c>
      <c r="I25" s="149" t="s">
        <v>4</v>
      </c>
      <c r="J25" s="149" t="s">
        <v>4</v>
      </c>
      <c r="K25" s="149" t="s">
        <v>4</v>
      </c>
      <c r="L25" s="149" t="s">
        <v>4</v>
      </c>
      <c r="M25" s="149" t="s">
        <v>4</v>
      </c>
      <c r="N25" s="149" t="s">
        <v>4</v>
      </c>
      <c r="O25" s="149" t="s">
        <v>4</v>
      </c>
      <c r="P25" s="149" t="s">
        <v>4</v>
      </c>
      <c r="Q25" s="149" t="s">
        <v>4</v>
      </c>
    </row>
    <row r="26" spans="1:17" customFormat="1">
      <c r="A26" s="80">
        <v>45435.1875</v>
      </c>
      <c r="B26" s="149" t="s">
        <v>4</v>
      </c>
      <c r="C26" s="149" t="s">
        <v>4</v>
      </c>
      <c r="D26" s="149" t="s">
        <v>4</v>
      </c>
      <c r="E26" s="149" t="s">
        <v>4</v>
      </c>
      <c r="F26" s="149" t="s">
        <v>4</v>
      </c>
      <c r="G26" s="149" t="s">
        <v>4</v>
      </c>
      <c r="H26" s="149" t="s">
        <v>4</v>
      </c>
      <c r="I26" s="149" t="s">
        <v>4</v>
      </c>
      <c r="J26" s="149" t="s">
        <v>4</v>
      </c>
      <c r="K26" s="149" t="s">
        <v>4</v>
      </c>
      <c r="L26" s="149" t="s">
        <v>4</v>
      </c>
      <c r="M26" s="149" t="s">
        <v>4</v>
      </c>
      <c r="N26" s="149" t="s">
        <v>4</v>
      </c>
      <c r="O26" s="149" t="s">
        <v>4</v>
      </c>
      <c r="P26" s="149" t="s">
        <v>4</v>
      </c>
      <c r="Q26" s="149" t="s">
        <v>4</v>
      </c>
    </row>
    <row r="27" spans="1:17" customFormat="1">
      <c r="A27" s="80">
        <v>45435.197916666664</v>
      </c>
      <c r="B27" s="149" t="s">
        <v>4</v>
      </c>
      <c r="C27" s="149" t="s">
        <v>4</v>
      </c>
      <c r="D27" s="149" t="s">
        <v>4</v>
      </c>
      <c r="E27" s="149" t="s">
        <v>4</v>
      </c>
      <c r="F27" s="149" t="s">
        <v>4</v>
      </c>
      <c r="G27" s="149" t="s">
        <v>4</v>
      </c>
      <c r="H27" s="149" t="s">
        <v>4</v>
      </c>
      <c r="I27" s="149" t="s">
        <v>4</v>
      </c>
      <c r="J27" s="149" t="s">
        <v>4</v>
      </c>
      <c r="K27" s="149" t="s">
        <v>4</v>
      </c>
      <c r="L27" s="149" t="s">
        <v>4</v>
      </c>
      <c r="M27" s="149" t="s">
        <v>4</v>
      </c>
      <c r="N27" s="149" t="s">
        <v>4</v>
      </c>
      <c r="O27" s="149" t="s">
        <v>4</v>
      </c>
      <c r="P27" s="149" t="s">
        <v>4</v>
      </c>
      <c r="Q27" s="149" t="s">
        <v>4</v>
      </c>
    </row>
    <row r="28" spans="1:17" customFormat="1">
      <c r="A28" s="80">
        <v>45435.208333333336</v>
      </c>
      <c r="B28" s="149" t="s">
        <v>4</v>
      </c>
      <c r="C28" s="149" t="s">
        <v>4</v>
      </c>
      <c r="D28" s="149" t="s">
        <v>4</v>
      </c>
      <c r="E28" s="149" t="s">
        <v>4</v>
      </c>
      <c r="F28" s="149" t="s">
        <v>4</v>
      </c>
      <c r="G28" s="149" t="s">
        <v>4</v>
      </c>
      <c r="H28" s="149" t="s">
        <v>4</v>
      </c>
      <c r="I28" s="149" t="s">
        <v>4</v>
      </c>
      <c r="J28" s="149" t="s">
        <v>4</v>
      </c>
      <c r="K28" s="149" t="s">
        <v>4</v>
      </c>
      <c r="L28" s="149" t="s">
        <v>4</v>
      </c>
      <c r="M28" s="149" t="s">
        <v>4</v>
      </c>
      <c r="N28" s="149" t="s">
        <v>4</v>
      </c>
      <c r="O28" s="149" t="s">
        <v>4</v>
      </c>
      <c r="P28" s="149" t="s">
        <v>4</v>
      </c>
      <c r="Q28" s="149" t="s">
        <v>4</v>
      </c>
    </row>
    <row r="29" spans="1:17" customFormat="1">
      <c r="A29" s="80">
        <v>45435.21875</v>
      </c>
      <c r="B29" s="149" t="s">
        <v>4</v>
      </c>
      <c r="C29" s="149" t="s">
        <v>4</v>
      </c>
      <c r="D29" s="149" t="s">
        <v>4</v>
      </c>
      <c r="E29" s="149" t="s">
        <v>4</v>
      </c>
      <c r="F29" s="149" t="s">
        <v>4</v>
      </c>
      <c r="G29" s="149" t="s">
        <v>4</v>
      </c>
      <c r="H29" s="149" t="s">
        <v>4</v>
      </c>
      <c r="I29" s="149" t="s">
        <v>4</v>
      </c>
      <c r="J29" s="149" t="s">
        <v>4</v>
      </c>
      <c r="K29" s="149" t="s">
        <v>4</v>
      </c>
      <c r="L29" s="149" t="s">
        <v>4</v>
      </c>
      <c r="M29" s="149" t="s">
        <v>4</v>
      </c>
      <c r="N29" s="149" t="s">
        <v>4</v>
      </c>
      <c r="O29" s="149" t="s">
        <v>4</v>
      </c>
      <c r="P29" s="149" t="s">
        <v>4</v>
      </c>
      <c r="Q29" s="149" t="s">
        <v>4</v>
      </c>
    </row>
    <row r="30" spans="1:17" customFormat="1">
      <c r="A30" s="80">
        <v>45435.229166666664</v>
      </c>
      <c r="B30" s="149" t="s">
        <v>4</v>
      </c>
      <c r="C30" s="149" t="s">
        <v>4</v>
      </c>
      <c r="D30" s="149" t="s">
        <v>4</v>
      </c>
      <c r="E30" s="149" t="s">
        <v>4</v>
      </c>
      <c r="F30" s="149" t="s">
        <v>4</v>
      </c>
      <c r="G30" s="149" t="s">
        <v>4</v>
      </c>
      <c r="H30" s="149" t="s">
        <v>4</v>
      </c>
      <c r="I30" s="149" t="s">
        <v>4</v>
      </c>
      <c r="J30" s="149" t="s">
        <v>4</v>
      </c>
      <c r="K30" s="149" t="s">
        <v>4</v>
      </c>
      <c r="L30" s="149" t="s">
        <v>4</v>
      </c>
      <c r="M30" s="149" t="s">
        <v>4</v>
      </c>
      <c r="N30" s="149" t="s">
        <v>4</v>
      </c>
      <c r="O30" s="149" t="s">
        <v>4</v>
      </c>
      <c r="P30" s="149" t="s">
        <v>4</v>
      </c>
      <c r="Q30" s="149" t="s">
        <v>4</v>
      </c>
    </row>
    <row r="31" spans="1:17" customFormat="1">
      <c r="A31" s="80">
        <v>45435.239583333336</v>
      </c>
      <c r="B31" s="149" t="s">
        <v>4</v>
      </c>
      <c r="C31" s="149" t="s">
        <v>4</v>
      </c>
      <c r="D31" s="149" t="s">
        <v>4</v>
      </c>
      <c r="E31" s="149" t="s">
        <v>4</v>
      </c>
      <c r="F31" s="149" t="s">
        <v>4</v>
      </c>
      <c r="G31" s="149" t="s">
        <v>4</v>
      </c>
      <c r="H31" s="149" t="s">
        <v>4</v>
      </c>
      <c r="I31" s="149" t="s">
        <v>4</v>
      </c>
      <c r="J31" s="149" t="s">
        <v>4</v>
      </c>
      <c r="K31" s="149" t="s">
        <v>4</v>
      </c>
      <c r="L31" s="149" t="s">
        <v>4</v>
      </c>
      <c r="M31" s="149" t="s">
        <v>4</v>
      </c>
      <c r="N31" s="149" t="s">
        <v>4</v>
      </c>
      <c r="O31" s="149" t="s">
        <v>4</v>
      </c>
      <c r="P31" s="149" t="s">
        <v>4</v>
      </c>
      <c r="Q31" s="149" t="s">
        <v>4</v>
      </c>
    </row>
    <row r="32" spans="1:17" customFormat="1">
      <c r="A32" s="80">
        <v>45435.25</v>
      </c>
      <c r="B32" s="149" t="s">
        <v>4</v>
      </c>
      <c r="C32" s="149" t="s">
        <v>4</v>
      </c>
      <c r="D32" s="149" t="s">
        <v>4</v>
      </c>
      <c r="E32" s="149" t="s">
        <v>4</v>
      </c>
      <c r="F32" s="149" t="s">
        <v>4</v>
      </c>
      <c r="G32" s="149" t="s">
        <v>4</v>
      </c>
      <c r="H32" s="149" t="s">
        <v>4</v>
      </c>
      <c r="I32" s="149" t="s">
        <v>4</v>
      </c>
      <c r="J32" s="149" t="s">
        <v>4</v>
      </c>
      <c r="K32" s="149" t="s">
        <v>4</v>
      </c>
      <c r="L32" s="149" t="s">
        <v>4</v>
      </c>
      <c r="M32" s="149" t="s">
        <v>4</v>
      </c>
      <c r="N32" s="149" t="s">
        <v>4</v>
      </c>
      <c r="O32" s="149" t="s">
        <v>4</v>
      </c>
      <c r="P32" s="149" t="s">
        <v>4</v>
      </c>
      <c r="Q32" s="149" t="s">
        <v>4</v>
      </c>
    </row>
    <row r="33" spans="1:17" customFormat="1">
      <c r="A33" s="80">
        <v>45435.260416666664</v>
      </c>
      <c r="B33" s="149" t="s">
        <v>4</v>
      </c>
      <c r="C33" s="149" t="s">
        <v>4</v>
      </c>
      <c r="D33" s="149" t="s">
        <v>4</v>
      </c>
      <c r="E33" s="149" t="s">
        <v>4</v>
      </c>
      <c r="F33" s="149" t="s">
        <v>4</v>
      </c>
      <c r="G33" s="149" t="s">
        <v>4</v>
      </c>
      <c r="H33" s="149" t="s">
        <v>4</v>
      </c>
      <c r="I33" s="149" t="s">
        <v>4</v>
      </c>
      <c r="J33" s="149" t="s">
        <v>4</v>
      </c>
      <c r="K33" s="149" t="s">
        <v>4</v>
      </c>
      <c r="L33" s="149" t="s">
        <v>4</v>
      </c>
      <c r="M33" s="149" t="s">
        <v>4</v>
      </c>
      <c r="N33" s="149" t="s">
        <v>4</v>
      </c>
      <c r="O33" s="149" t="s">
        <v>4</v>
      </c>
      <c r="P33" s="149" t="s">
        <v>4</v>
      </c>
      <c r="Q33" s="149" t="s">
        <v>4</v>
      </c>
    </row>
    <row r="34" spans="1:17" customFormat="1">
      <c r="A34" s="80">
        <v>45435.270833333336</v>
      </c>
      <c r="B34" s="149" t="s">
        <v>4</v>
      </c>
      <c r="C34" s="149" t="s">
        <v>4</v>
      </c>
      <c r="D34" s="149" t="s">
        <v>4</v>
      </c>
      <c r="E34" s="149" t="s">
        <v>4</v>
      </c>
      <c r="F34" s="149" t="s">
        <v>4</v>
      </c>
      <c r="G34" s="149" t="s">
        <v>4</v>
      </c>
      <c r="H34" s="149" t="s">
        <v>4</v>
      </c>
      <c r="I34" s="149" t="s">
        <v>4</v>
      </c>
      <c r="J34" s="149" t="s">
        <v>4</v>
      </c>
      <c r="K34" s="149" t="s">
        <v>4</v>
      </c>
      <c r="L34" s="149" t="s">
        <v>4</v>
      </c>
      <c r="M34" s="149" t="s">
        <v>4</v>
      </c>
      <c r="N34" s="149" t="s">
        <v>4</v>
      </c>
      <c r="O34" s="149" t="s">
        <v>4</v>
      </c>
      <c r="P34" s="149" t="s">
        <v>4</v>
      </c>
      <c r="Q34" s="149" t="s">
        <v>4</v>
      </c>
    </row>
    <row r="35" spans="1:17" customFormat="1">
      <c r="A35" s="80">
        <v>45435.28125</v>
      </c>
      <c r="B35" s="149" t="s">
        <v>4</v>
      </c>
      <c r="C35" s="149" t="s">
        <v>4</v>
      </c>
      <c r="D35" s="149" t="s">
        <v>4</v>
      </c>
      <c r="E35" s="149" t="s">
        <v>4</v>
      </c>
      <c r="F35" s="149" t="s">
        <v>4</v>
      </c>
      <c r="G35" s="149" t="s">
        <v>4</v>
      </c>
      <c r="H35" s="149" t="s">
        <v>4</v>
      </c>
      <c r="I35" s="149" t="s">
        <v>4</v>
      </c>
      <c r="J35" s="149" t="s">
        <v>4</v>
      </c>
      <c r="K35" s="149" t="s">
        <v>4</v>
      </c>
      <c r="L35" s="149" t="s">
        <v>4</v>
      </c>
      <c r="M35" s="149" t="s">
        <v>4</v>
      </c>
      <c r="N35" s="149" t="s">
        <v>4</v>
      </c>
      <c r="O35" s="149" t="s">
        <v>4</v>
      </c>
      <c r="P35" s="149" t="s">
        <v>4</v>
      </c>
      <c r="Q35" s="149" t="s">
        <v>4</v>
      </c>
    </row>
    <row r="36" spans="1:17" customFormat="1">
      <c r="A36" s="80">
        <v>45435.291666666664</v>
      </c>
      <c r="B36" s="149" t="s">
        <v>4</v>
      </c>
      <c r="C36" s="149" t="s">
        <v>4</v>
      </c>
      <c r="D36" s="149" t="s">
        <v>4</v>
      </c>
      <c r="E36" s="149" t="s">
        <v>4</v>
      </c>
      <c r="F36" s="149" t="s">
        <v>4</v>
      </c>
      <c r="G36" s="149" t="s">
        <v>4</v>
      </c>
      <c r="H36" s="149" t="s">
        <v>4</v>
      </c>
      <c r="I36" s="149" t="s">
        <v>4</v>
      </c>
      <c r="J36" s="149" t="s">
        <v>4</v>
      </c>
      <c r="K36" s="149" t="s">
        <v>4</v>
      </c>
      <c r="L36" s="149" t="s">
        <v>4</v>
      </c>
      <c r="M36" s="149" t="s">
        <v>4</v>
      </c>
      <c r="N36" s="149" t="s">
        <v>4</v>
      </c>
      <c r="O36" s="149" t="s">
        <v>4</v>
      </c>
      <c r="P36" s="149" t="s">
        <v>4</v>
      </c>
      <c r="Q36" s="149" t="s">
        <v>4</v>
      </c>
    </row>
    <row r="37" spans="1:17" customFormat="1">
      <c r="A37" s="80">
        <v>45435.302083333336</v>
      </c>
      <c r="B37" s="149" t="s">
        <v>4</v>
      </c>
      <c r="C37" s="149" t="s">
        <v>4</v>
      </c>
      <c r="D37" s="149" t="s">
        <v>4</v>
      </c>
      <c r="E37" s="149" t="s">
        <v>4</v>
      </c>
      <c r="F37" s="149" t="s">
        <v>4</v>
      </c>
      <c r="G37" s="149" t="s">
        <v>4</v>
      </c>
      <c r="H37" s="149" t="s">
        <v>4</v>
      </c>
      <c r="I37" s="149" t="s">
        <v>4</v>
      </c>
      <c r="J37" s="149" t="s">
        <v>4</v>
      </c>
      <c r="K37" s="149" t="s">
        <v>4</v>
      </c>
      <c r="L37" s="149" t="s">
        <v>4</v>
      </c>
      <c r="M37" s="149" t="s">
        <v>4</v>
      </c>
      <c r="N37" s="149" t="s">
        <v>4</v>
      </c>
      <c r="O37" s="149" t="s">
        <v>4</v>
      </c>
      <c r="P37" s="149" t="s">
        <v>4</v>
      </c>
      <c r="Q37" s="149" t="s">
        <v>4</v>
      </c>
    </row>
    <row r="38" spans="1:17" customFormat="1">
      <c r="A38" s="80">
        <v>45435.3125</v>
      </c>
      <c r="B38" s="149" t="s">
        <v>4</v>
      </c>
      <c r="C38" s="149" t="s">
        <v>4</v>
      </c>
      <c r="D38" s="149" t="s">
        <v>4</v>
      </c>
      <c r="E38" s="149" t="s">
        <v>4</v>
      </c>
      <c r="F38" s="149" t="s">
        <v>4</v>
      </c>
      <c r="G38" s="149" t="s">
        <v>4</v>
      </c>
      <c r="H38" s="149" t="s">
        <v>4</v>
      </c>
      <c r="I38" s="149" t="s">
        <v>4</v>
      </c>
      <c r="J38" s="149" t="s">
        <v>4</v>
      </c>
      <c r="K38" s="149" t="s">
        <v>4</v>
      </c>
      <c r="L38" s="149" t="s">
        <v>4</v>
      </c>
      <c r="M38" s="149" t="s">
        <v>4</v>
      </c>
      <c r="N38" s="149" t="s">
        <v>4</v>
      </c>
      <c r="O38" s="149" t="s">
        <v>4</v>
      </c>
      <c r="P38" s="149" t="s">
        <v>4</v>
      </c>
      <c r="Q38" s="149" t="s">
        <v>4</v>
      </c>
    </row>
    <row r="39" spans="1:17" customFormat="1">
      <c r="A39" s="80">
        <v>45435.322916666664</v>
      </c>
      <c r="B39" s="149" t="s">
        <v>4</v>
      </c>
      <c r="C39" s="149" t="s">
        <v>4</v>
      </c>
      <c r="D39" s="149" t="s">
        <v>4</v>
      </c>
      <c r="E39" s="149" t="s">
        <v>4</v>
      </c>
      <c r="F39" s="149" t="s">
        <v>4</v>
      </c>
      <c r="G39" s="149" t="s">
        <v>4</v>
      </c>
      <c r="H39" s="149" t="s">
        <v>4</v>
      </c>
      <c r="I39" s="149" t="s">
        <v>4</v>
      </c>
      <c r="J39" s="149" t="s">
        <v>4</v>
      </c>
      <c r="K39" s="149" t="s">
        <v>4</v>
      </c>
      <c r="L39" s="149" t="s">
        <v>4</v>
      </c>
      <c r="M39" s="149" t="s">
        <v>4</v>
      </c>
      <c r="N39" s="149" t="s">
        <v>4</v>
      </c>
      <c r="O39" s="149" t="s">
        <v>4</v>
      </c>
      <c r="P39" s="149" t="s">
        <v>4</v>
      </c>
      <c r="Q39" s="149" t="s">
        <v>4</v>
      </c>
    </row>
    <row r="40" spans="1:17" customFormat="1">
      <c r="A40" s="80">
        <v>45435.333333333336</v>
      </c>
      <c r="B40" s="149" t="s">
        <v>4</v>
      </c>
      <c r="C40" s="149" t="s">
        <v>4</v>
      </c>
      <c r="D40" s="149" t="s">
        <v>4</v>
      </c>
      <c r="E40" s="149" t="s">
        <v>4</v>
      </c>
      <c r="F40" s="149" t="s">
        <v>4</v>
      </c>
      <c r="G40" s="149" t="s">
        <v>4</v>
      </c>
      <c r="H40" s="149" t="s">
        <v>4</v>
      </c>
      <c r="I40" s="149" t="s">
        <v>4</v>
      </c>
      <c r="J40" s="149" t="s">
        <v>4</v>
      </c>
      <c r="K40" s="149" t="s">
        <v>4</v>
      </c>
      <c r="L40" s="149" t="s">
        <v>4</v>
      </c>
      <c r="M40" s="149" t="s">
        <v>4</v>
      </c>
      <c r="N40" s="149" t="s">
        <v>4</v>
      </c>
      <c r="O40" s="149" t="s">
        <v>4</v>
      </c>
      <c r="P40" s="149" t="s">
        <v>4</v>
      </c>
      <c r="Q40" s="149" t="s">
        <v>4</v>
      </c>
    </row>
    <row r="41" spans="1:17" customFormat="1">
      <c r="A41" s="80">
        <v>45435.34375</v>
      </c>
      <c r="B41" s="149" t="s">
        <v>4</v>
      </c>
      <c r="C41" s="149" t="s">
        <v>4</v>
      </c>
      <c r="D41" s="149" t="s">
        <v>4</v>
      </c>
      <c r="E41" s="149" t="s">
        <v>4</v>
      </c>
      <c r="F41" s="149" t="s">
        <v>4</v>
      </c>
      <c r="G41" s="149" t="s">
        <v>4</v>
      </c>
      <c r="H41" s="149" t="s">
        <v>4</v>
      </c>
      <c r="I41" s="149" t="s">
        <v>4</v>
      </c>
      <c r="J41" s="149" t="s">
        <v>4</v>
      </c>
      <c r="K41" s="149" t="s">
        <v>4</v>
      </c>
      <c r="L41" s="149" t="s">
        <v>4</v>
      </c>
      <c r="M41" s="149" t="s">
        <v>4</v>
      </c>
      <c r="N41" s="149" t="s">
        <v>4</v>
      </c>
      <c r="O41" s="149" t="s">
        <v>4</v>
      </c>
      <c r="P41" s="149" t="s">
        <v>4</v>
      </c>
      <c r="Q41" s="149" t="s">
        <v>4</v>
      </c>
    </row>
    <row r="42" spans="1:17" customFormat="1">
      <c r="A42" s="80">
        <v>45435.354166666664</v>
      </c>
      <c r="B42" s="149" t="s">
        <v>4</v>
      </c>
      <c r="C42" s="149" t="s">
        <v>4</v>
      </c>
      <c r="D42" s="149" t="s">
        <v>4</v>
      </c>
      <c r="E42" s="149" t="s">
        <v>4</v>
      </c>
      <c r="F42" s="149" t="s">
        <v>4</v>
      </c>
      <c r="G42" s="149" t="s">
        <v>4</v>
      </c>
      <c r="H42" s="149" t="s">
        <v>4</v>
      </c>
      <c r="I42" s="149" t="s">
        <v>4</v>
      </c>
      <c r="J42" s="149" t="s">
        <v>4</v>
      </c>
      <c r="K42" s="149" t="s">
        <v>4</v>
      </c>
      <c r="L42" s="149" t="s">
        <v>4</v>
      </c>
      <c r="M42" s="149" t="s">
        <v>4</v>
      </c>
      <c r="N42" s="149" t="s">
        <v>4</v>
      </c>
      <c r="O42" s="149" t="s">
        <v>4</v>
      </c>
      <c r="P42" s="149" t="s">
        <v>4</v>
      </c>
      <c r="Q42" s="149" t="s">
        <v>4</v>
      </c>
    </row>
    <row r="43" spans="1:17" customFormat="1">
      <c r="A43" s="80">
        <v>45435.364583333336</v>
      </c>
      <c r="B43" s="149" t="s">
        <v>4</v>
      </c>
      <c r="C43" s="149" t="s">
        <v>4</v>
      </c>
      <c r="D43" s="149" t="s">
        <v>4</v>
      </c>
      <c r="E43" s="149" t="s">
        <v>4</v>
      </c>
      <c r="F43" s="149" t="s">
        <v>4</v>
      </c>
      <c r="G43" s="149" t="s">
        <v>4</v>
      </c>
      <c r="H43" s="149" t="s">
        <v>4</v>
      </c>
      <c r="I43" s="149" t="s">
        <v>4</v>
      </c>
      <c r="J43" s="149" t="s">
        <v>4</v>
      </c>
      <c r="K43" s="149" t="s">
        <v>4</v>
      </c>
      <c r="L43" s="149" t="s">
        <v>4</v>
      </c>
      <c r="M43" s="149" t="s">
        <v>4</v>
      </c>
      <c r="N43" s="149" t="s">
        <v>4</v>
      </c>
      <c r="O43" s="149" t="s">
        <v>4</v>
      </c>
      <c r="P43" s="149" t="s">
        <v>4</v>
      </c>
      <c r="Q43" s="149" t="s">
        <v>4</v>
      </c>
    </row>
    <row r="44" spans="1:17" customFormat="1">
      <c r="A44" s="80">
        <v>45435.375</v>
      </c>
      <c r="B44" s="149" t="s">
        <v>4</v>
      </c>
      <c r="C44" s="149" t="s">
        <v>4</v>
      </c>
      <c r="D44" s="149" t="s">
        <v>4</v>
      </c>
      <c r="E44" s="149" t="s">
        <v>4</v>
      </c>
      <c r="F44" s="149" t="s">
        <v>4</v>
      </c>
      <c r="G44" s="149" t="s">
        <v>4</v>
      </c>
      <c r="H44" s="149" t="s">
        <v>4</v>
      </c>
      <c r="I44" s="149" t="s">
        <v>4</v>
      </c>
      <c r="J44" s="149" t="s">
        <v>4</v>
      </c>
      <c r="K44" s="149" t="s">
        <v>4</v>
      </c>
      <c r="L44" s="149" t="s">
        <v>4</v>
      </c>
      <c r="M44" s="149" t="s">
        <v>4</v>
      </c>
      <c r="N44" s="149" t="s">
        <v>4</v>
      </c>
      <c r="O44" s="149" t="s">
        <v>4</v>
      </c>
      <c r="P44" s="149" t="s">
        <v>4</v>
      </c>
      <c r="Q44" s="149" t="s">
        <v>4</v>
      </c>
    </row>
    <row r="45" spans="1:17" customFormat="1">
      <c r="A45" s="80">
        <v>45435.385416666664</v>
      </c>
      <c r="B45" s="149" t="s">
        <v>4</v>
      </c>
      <c r="C45" s="149" t="s">
        <v>4</v>
      </c>
      <c r="D45" s="149" t="s">
        <v>4</v>
      </c>
      <c r="E45" s="149" t="s">
        <v>4</v>
      </c>
      <c r="F45" s="149" t="s">
        <v>4</v>
      </c>
      <c r="G45" s="149" t="s">
        <v>4</v>
      </c>
      <c r="H45" s="149" t="s">
        <v>4</v>
      </c>
      <c r="I45" s="149" t="s">
        <v>4</v>
      </c>
      <c r="J45" s="149" t="s">
        <v>4</v>
      </c>
      <c r="K45" s="149" t="s">
        <v>4</v>
      </c>
      <c r="L45" s="149" t="s">
        <v>4</v>
      </c>
      <c r="M45" s="149" t="s">
        <v>4</v>
      </c>
      <c r="N45" s="149" t="s">
        <v>4</v>
      </c>
      <c r="O45" s="149" t="s">
        <v>4</v>
      </c>
      <c r="P45" s="149" t="s">
        <v>4</v>
      </c>
      <c r="Q45" s="149" t="s">
        <v>4</v>
      </c>
    </row>
    <row r="46" spans="1:17" customFormat="1">
      <c r="A46" s="80">
        <v>45435.395833333336</v>
      </c>
      <c r="B46" s="149" t="s">
        <v>4</v>
      </c>
      <c r="C46" s="149" t="s">
        <v>4</v>
      </c>
      <c r="D46" s="149" t="s">
        <v>4</v>
      </c>
      <c r="E46" s="149" t="s">
        <v>4</v>
      </c>
      <c r="F46" s="149" t="s">
        <v>4</v>
      </c>
      <c r="G46" s="149" t="s">
        <v>4</v>
      </c>
      <c r="H46" s="149" t="s">
        <v>4</v>
      </c>
      <c r="I46" s="149" t="s">
        <v>4</v>
      </c>
      <c r="J46" s="149" t="s">
        <v>4</v>
      </c>
      <c r="K46" s="149" t="s">
        <v>4</v>
      </c>
      <c r="L46" s="149" t="s">
        <v>4</v>
      </c>
      <c r="M46" s="149" t="s">
        <v>4</v>
      </c>
      <c r="N46" s="149" t="s">
        <v>4</v>
      </c>
      <c r="O46" s="149" t="s">
        <v>4</v>
      </c>
      <c r="P46" s="149" t="s">
        <v>4</v>
      </c>
      <c r="Q46" s="149" t="s">
        <v>4</v>
      </c>
    </row>
    <row r="47" spans="1:17" customFormat="1">
      <c r="A47" s="80">
        <v>45435.40625</v>
      </c>
      <c r="B47" s="149" t="s">
        <v>4</v>
      </c>
      <c r="C47" s="149" t="s">
        <v>4</v>
      </c>
      <c r="D47" s="149" t="s">
        <v>4</v>
      </c>
      <c r="E47" s="149" t="s">
        <v>4</v>
      </c>
      <c r="F47" s="149" t="s">
        <v>4</v>
      </c>
      <c r="G47" s="149" t="s">
        <v>4</v>
      </c>
      <c r="H47" s="149" t="s">
        <v>4</v>
      </c>
      <c r="I47" s="149" t="s">
        <v>4</v>
      </c>
      <c r="J47" s="149" t="s">
        <v>4</v>
      </c>
      <c r="K47" s="149" t="s">
        <v>4</v>
      </c>
      <c r="L47" s="149" t="s">
        <v>4</v>
      </c>
      <c r="M47" s="149" t="s">
        <v>4</v>
      </c>
      <c r="N47" s="149" t="s">
        <v>4</v>
      </c>
      <c r="O47" s="149" t="s">
        <v>4</v>
      </c>
      <c r="P47" s="149" t="s">
        <v>4</v>
      </c>
      <c r="Q47" s="149" t="s">
        <v>4</v>
      </c>
    </row>
    <row r="48" spans="1:17" customFormat="1">
      <c r="A48" s="80">
        <v>45435.416666666664</v>
      </c>
      <c r="B48" s="149" t="s">
        <v>4</v>
      </c>
      <c r="C48" s="149" t="s">
        <v>4</v>
      </c>
      <c r="D48" s="149" t="s">
        <v>4</v>
      </c>
      <c r="E48" s="149" t="s">
        <v>4</v>
      </c>
      <c r="F48" s="149" t="s">
        <v>4</v>
      </c>
      <c r="G48" s="149" t="s">
        <v>4</v>
      </c>
      <c r="H48" s="149" t="s">
        <v>4</v>
      </c>
      <c r="I48" s="149" t="s">
        <v>4</v>
      </c>
      <c r="J48" s="149" t="s">
        <v>4</v>
      </c>
      <c r="K48" s="149" t="s">
        <v>4</v>
      </c>
      <c r="L48" s="149" t="s">
        <v>4</v>
      </c>
      <c r="M48" s="149" t="s">
        <v>4</v>
      </c>
      <c r="N48" s="149" t="s">
        <v>4</v>
      </c>
      <c r="O48" s="149" t="s">
        <v>4</v>
      </c>
      <c r="P48" s="149" t="s">
        <v>4</v>
      </c>
      <c r="Q48" s="149" t="s">
        <v>4</v>
      </c>
    </row>
    <row r="49" spans="1:17" customFormat="1">
      <c r="A49" s="80">
        <v>45435.427083333336</v>
      </c>
      <c r="B49" s="149" t="s">
        <v>4</v>
      </c>
      <c r="C49" s="149" t="s">
        <v>4</v>
      </c>
      <c r="D49" s="149" t="s">
        <v>4</v>
      </c>
      <c r="E49" s="149" t="s">
        <v>4</v>
      </c>
      <c r="F49" s="149" t="s">
        <v>4</v>
      </c>
      <c r="G49" s="149" t="s">
        <v>4</v>
      </c>
      <c r="H49" s="149" t="s">
        <v>4</v>
      </c>
      <c r="I49" s="149" t="s">
        <v>4</v>
      </c>
      <c r="J49" s="149" t="s">
        <v>4</v>
      </c>
      <c r="K49" s="149" t="s">
        <v>4</v>
      </c>
      <c r="L49" s="149" t="s">
        <v>4</v>
      </c>
      <c r="M49" s="149" t="s">
        <v>4</v>
      </c>
      <c r="N49" s="149" t="s">
        <v>4</v>
      </c>
      <c r="O49" s="149" t="s">
        <v>4</v>
      </c>
      <c r="P49" s="149" t="s">
        <v>4</v>
      </c>
      <c r="Q49" s="149" t="s">
        <v>4</v>
      </c>
    </row>
    <row r="50" spans="1:17" customFormat="1">
      <c r="A50" s="80">
        <v>45435.4375</v>
      </c>
      <c r="B50" s="149" t="s">
        <v>4</v>
      </c>
      <c r="C50" s="149" t="s">
        <v>4</v>
      </c>
      <c r="D50" s="149" t="s">
        <v>4</v>
      </c>
      <c r="E50" s="149" t="s">
        <v>4</v>
      </c>
      <c r="F50" s="149" t="s">
        <v>4</v>
      </c>
      <c r="G50" s="149" t="s">
        <v>4</v>
      </c>
      <c r="H50" s="149" t="s">
        <v>4</v>
      </c>
      <c r="I50" s="149" t="s">
        <v>4</v>
      </c>
      <c r="J50" s="149" t="s">
        <v>4</v>
      </c>
      <c r="K50" s="149" t="s">
        <v>4</v>
      </c>
      <c r="L50" s="149" t="s">
        <v>4</v>
      </c>
      <c r="M50" s="149" t="s">
        <v>4</v>
      </c>
      <c r="N50" s="149" t="s">
        <v>4</v>
      </c>
      <c r="O50" s="149" t="s">
        <v>4</v>
      </c>
      <c r="P50" s="149" t="s">
        <v>4</v>
      </c>
      <c r="Q50" s="149" t="s">
        <v>4</v>
      </c>
    </row>
    <row r="51" spans="1:17" customFormat="1">
      <c r="A51" s="80">
        <v>45435.447916666664</v>
      </c>
      <c r="B51" s="149" t="s">
        <v>4</v>
      </c>
      <c r="C51" s="149" t="s">
        <v>4</v>
      </c>
      <c r="D51" s="149" t="s">
        <v>4</v>
      </c>
      <c r="E51" s="149" t="s">
        <v>4</v>
      </c>
      <c r="F51" s="149" t="s">
        <v>4</v>
      </c>
      <c r="G51" s="149" t="s">
        <v>4</v>
      </c>
      <c r="H51" s="149" t="s">
        <v>4</v>
      </c>
      <c r="I51" s="149" t="s">
        <v>4</v>
      </c>
      <c r="J51" s="149" t="s">
        <v>4</v>
      </c>
      <c r="K51" s="149" t="s">
        <v>4</v>
      </c>
      <c r="L51" s="149" t="s">
        <v>4</v>
      </c>
      <c r="M51" s="149" t="s">
        <v>4</v>
      </c>
      <c r="N51" s="149" t="s">
        <v>4</v>
      </c>
      <c r="O51" s="149" t="s">
        <v>4</v>
      </c>
      <c r="P51" s="149" t="s">
        <v>4</v>
      </c>
      <c r="Q51" s="149" t="s">
        <v>4</v>
      </c>
    </row>
    <row r="52" spans="1:17" customFormat="1">
      <c r="A52" s="80">
        <v>45435.458333333336</v>
      </c>
      <c r="B52" s="149" t="s">
        <v>4</v>
      </c>
      <c r="C52" s="149" t="s">
        <v>4</v>
      </c>
      <c r="D52" s="149" t="s">
        <v>4</v>
      </c>
      <c r="E52" s="149" t="s">
        <v>4</v>
      </c>
      <c r="F52" s="149" t="s">
        <v>4</v>
      </c>
      <c r="G52" s="149" t="s">
        <v>4</v>
      </c>
      <c r="H52" s="149" t="s">
        <v>4</v>
      </c>
      <c r="I52" s="149" t="s">
        <v>4</v>
      </c>
      <c r="J52" s="149" t="s">
        <v>4</v>
      </c>
      <c r="K52" s="149" t="s">
        <v>4</v>
      </c>
      <c r="L52" s="149" t="s">
        <v>4</v>
      </c>
      <c r="M52" s="149" t="s">
        <v>4</v>
      </c>
      <c r="N52" s="149" t="s">
        <v>4</v>
      </c>
      <c r="O52" s="149" t="s">
        <v>4</v>
      </c>
      <c r="P52" s="149" t="s">
        <v>4</v>
      </c>
      <c r="Q52" s="149" t="s">
        <v>4</v>
      </c>
    </row>
    <row r="53" spans="1:17" customFormat="1">
      <c r="A53" s="80">
        <v>45435.46875</v>
      </c>
      <c r="B53" s="149" t="s">
        <v>4</v>
      </c>
      <c r="C53" s="149" t="s">
        <v>4</v>
      </c>
      <c r="D53" s="149" t="s">
        <v>4</v>
      </c>
      <c r="E53" s="149" t="s">
        <v>4</v>
      </c>
      <c r="F53" s="149" t="s">
        <v>4</v>
      </c>
      <c r="G53" s="149" t="s">
        <v>4</v>
      </c>
      <c r="H53" s="149" t="s">
        <v>4</v>
      </c>
      <c r="I53" s="149" t="s">
        <v>4</v>
      </c>
      <c r="J53" s="149" t="s">
        <v>4</v>
      </c>
      <c r="K53" s="149" t="s">
        <v>4</v>
      </c>
      <c r="L53" s="149" t="s">
        <v>4</v>
      </c>
      <c r="M53" s="149" t="s">
        <v>4</v>
      </c>
      <c r="N53" s="149" t="s">
        <v>4</v>
      </c>
      <c r="O53" s="149" t="s">
        <v>4</v>
      </c>
      <c r="P53" s="149" t="s">
        <v>4</v>
      </c>
      <c r="Q53" s="149" t="s">
        <v>4</v>
      </c>
    </row>
    <row r="54" spans="1:17" customFormat="1">
      <c r="A54" s="80">
        <v>45435.479166666664</v>
      </c>
      <c r="B54" s="149" t="s">
        <v>4</v>
      </c>
      <c r="C54" s="149" t="s">
        <v>4</v>
      </c>
      <c r="D54" s="149" t="s">
        <v>4</v>
      </c>
      <c r="E54" s="149" t="s">
        <v>4</v>
      </c>
      <c r="F54" s="149" t="s">
        <v>4</v>
      </c>
      <c r="G54" s="149" t="s">
        <v>4</v>
      </c>
      <c r="H54" s="149" t="s">
        <v>4</v>
      </c>
      <c r="I54" s="149" t="s">
        <v>4</v>
      </c>
      <c r="J54" s="149" t="s">
        <v>4</v>
      </c>
      <c r="K54" s="149" t="s">
        <v>4</v>
      </c>
      <c r="L54" s="149" t="s">
        <v>4</v>
      </c>
      <c r="M54" s="149" t="s">
        <v>4</v>
      </c>
      <c r="N54" s="149" t="s">
        <v>4</v>
      </c>
      <c r="O54" s="149" t="s">
        <v>4</v>
      </c>
      <c r="P54" s="149" t="s">
        <v>4</v>
      </c>
      <c r="Q54" s="149" t="s">
        <v>4</v>
      </c>
    </row>
    <row r="55" spans="1:17" customFormat="1">
      <c r="A55" s="80">
        <v>45435.489583333336</v>
      </c>
      <c r="B55" s="149" t="s">
        <v>4</v>
      </c>
      <c r="C55" s="149" t="s">
        <v>4</v>
      </c>
      <c r="D55" s="149" t="s">
        <v>4</v>
      </c>
      <c r="E55" s="149" t="s">
        <v>4</v>
      </c>
      <c r="F55" s="149" t="s">
        <v>4</v>
      </c>
      <c r="G55" s="149" t="s">
        <v>4</v>
      </c>
      <c r="H55" s="149" t="s">
        <v>4</v>
      </c>
      <c r="I55" s="149" t="s">
        <v>4</v>
      </c>
      <c r="J55" s="149" t="s">
        <v>4</v>
      </c>
      <c r="K55" s="149" t="s">
        <v>4</v>
      </c>
      <c r="L55" s="149" t="s">
        <v>4</v>
      </c>
      <c r="M55" s="149" t="s">
        <v>4</v>
      </c>
      <c r="N55" s="149" t="s">
        <v>4</v>
      </c>
      <c r="O55" s="149" t="s">
        <v>4</v>
      </c>
      <c r="P55" s="149" t="s">
        <v>4</v>
      </c>
      <c r="Q55" s="149" t="s">
        <v>4</v>
      </c>
    </row>
    <row r="56" spans="1:17" customFormat="1">
      <c r="A56" s="80">
        <v>45435.5</v>
      </c>
      <c r="B56" s="149" t="s">
        <v>4</v>
      </c>
      <c r="C56" s="149" t="s">
        <v>4</v>
      </c>
      <c r="D56" s="149" t="s">
        <v>4</v>
      </c>
      <c r="E56" s="149" t="s">
        <v>4</v>
      </c>
      <c r="F56" s="149" t="s">
        <v>4</v>
      </c>
      <c r="G56" s="149" t="s">
        <v>4</v>
      </c>
      <c r="H56" s="149" t="s">
        <v>4</v>
      </c>
      <c r="I56" s="149" t="s">
        <v>4</v>
      </c>
      <c r="J56" s="149" t="s">
        <v>4</v>
      </c>
      <c r="K56" s="149" t="s">
        <v>4</v>
      </c>
      <c r="L56" s="149" t="s">
        <v>4</v>
      </c>
      <c r="M56" s="149" t="s">
        <v>4</v>
      </c>
      <c r="N56" s="149" t="s">
        <v>4</v>
      </c>
      <c r="O56" s="149" t="s">
        <v>4</v>
      </c>
      <c r="P56" s="149" t="s">
        <v>4</v>
      </c>
      <c r="Q56" s="149" t="s">
        <v>4</v>
      </c>
    </row>
    <row r="57" spans="1:17" customFormat="1">
      <c r="A57" s="80">
        <v>45435.510416666664</v>
      </c>
      <c r="B57" s="149" t="s">
        <v>4</v>
      </c>
      <c r="C57" s="149" t="s">
        <v>4</v>
      </c>
      <c r="D57" s="149" t="s">
        <v>4</v>
      </c>
      <c r="E57" s="149" t="s">
        <v>4</v>
      </c>
      <c r="F57" s="149" t="s">
        <v>4</v>
      </c>
      <c r="G57" s="149" t="s">
        <v>4</v>
      </c>
      <c r="H57" s="149" t="s">
        <v>4</v>
      </c>
      <c r="I57" s="149" t="s">
        <v>4</v>
      </c>
      <c r="J57" s="149" t="s">
        <v>4</v>
      </c>
      <c r="K57" s="149" t="s">
        <v>4</v>
      </c>
      <c r="L57" s="149" t="s">
        <v>4</v>
      </c>
      <c r="M57" s="149" t="s">
        <v>4</v>
      </c>
      <c r="N57" s="149" t="s">
        <v>4</v>
      </c>
      <c r="O57" s="149" t="s">
        <v>4</v>
      </c>
      <c r="P57" s="149" t="s">
        <v>4</v>
      </c>
      <c r="Q57" s="149" t="s">
        <v>4</v>
      </c>
    </row>
    <row r="58" spans="1:17" customFormat="1">
      <c r="A58" s="80">
        <v>45435.520833333336</v>
      </c>
      <c r="B58" s="149" t="s">
        <v>4</v>
      </c>
      <c r="C58" s="149" t="s">
        <v>4</v>
      </c>
      <c r="D58" s="149" t="s">
        <v>4</v>
      </c>
      <c r="E58" s="149" t="s">
        <v>4</v>
      </c>
      <c r="F58" s="149" t="s">
        <v>4</v>
      </c>
      <c r="G58" s="149" t="s">
        <v>4</v>
      </c>
      <c r="H58" s="149" t="s">
        <v>4</v>
      </c>
      <c r="I58" s="149" t="s">
        <v>4</v>
      </c>
      <c r="J58" s="149" t="s">
        <v>4</v>
      </c>
      <c r="K58" s="149" t="s">
        <v>4</v>
      </c>
      <c r="L58" s="149" t="s">
        <v>4</v>
      </c>
      <c r="M58" s="149" t="s">
        <v>4</v>
      </c>
      <c r="N58" s="149" t="s">
        <v>4</v>
      </c>
      <c r="O58" s="149" t="s">
        <v>4</v>
      </c>
      <c r="P58" s="149" t="s">
        <v>4</v>
      </c>
      <c r="Q58" s="149" t="s">
        <v>4</v>
      </c>
    </row>
    <row r="59" spans="1:17" customFormat="1">
      <c r="A59" s="80">
        <v>45435.53125</v>
      </c>
      <c r="B59" s="170" t="s">
        <v>21</v>
      </c>
      <c r="C59" s="170" t="s">
        <v>21</v>
      </c>
      <c r="D59" s="170" t="s">
        <v>21</v>
      </c>
      <c r="E59" s="170" t="s">
        <v>21</v>
      </c>
      <c r="F59" s="151" t="s">
        <v>12</v>
      </c>
      <c r="G59" s="112">
        <v>45.96</v>
      </c>
      <c r="H59" s="112">
        <v>26.36</v>
      </c>
      <c r="I59" s="112">
        <v>12.49</v>
      </c>
      <c r="J59" s="112">
        <v>1.1200000000000001</v>
      </c>
      <c r="K59" s="112">
        <v>323.82</v>
      </c>
      <c r="L59" s="112">
        <v>38.18</v>
      </c>
      <c r="M59" s="112">
        <v>30.89</v>
      </c>
      <c r="N59" s="112">
        <v>807</v>
      </c>
      <c r="O59" s="112">
        <v>0</v>
      </c>
      <c r="P59" s="112">
        <v>0.38</v>
      </c>
      <c r="Q59" s="170" t="s">
        <v>21</v>
      </c>
    </row>
    <row r="60" spans="1:17" customFormat="1">
      <c r="A60" s="80">
        <v>45435.541666666664</v>
      </c>
      <c r="B60" s="151" t="s">
        <v>12</v>
      </c>
      <c r="C60" s="151" t="s">
        <v>12</v>
      </c>
      <c r="D60" s="151" t="s">
        <v>12</v>
      </c>
      <c r="E60" s="151" t="s">
        <v>12</v>
      </c>
      <c r="F60" s="112">
        <v>3.33</v>
      </c>
      <c r="G60" s="151" t="s">
        <v>12</v>
      </c>
      <c r="H60" s="151" t="s">
        <v>12</v>
      </c>
      <c r="I60" s="112">
        <v>11.72</v>
      </c>
      <c r="J60" s="112">
        <v>0.92</v>
      </c>
      <c r="K60" s="112">
        <v>297.16000000000003</v>
      </c>
      <c r="L60" s="112">
        <v>38.46</v>
      </c>
      <c r="M60" s="112">
        <v>30.79</v>
      </c>
      <c r="N60" s="112">
        <v>778.6</v>
      </c>
      <c r="O60" s="112">
        <v>0</v>
      </c>
      <c r="P60" s="112">
        <v>4.7300000000000004</v>
      </c>
      <c r="Q60" s="112">
        <v>10.31</v>
      </c>
    </row>
    <row r="61" spans="1:17" customFormat="1">
      <c r="A61" s="80">
        <v>45435.552083333336</v>
      </c>
      <c r="B61" s="151" t="s">
        <v>12</v>
      </c>
      <c r="C61" s="151" t="s">
        <v>12</v>
      </c>
      <c r="D61" s="151" t="s">
        <v>12</v>
      </c>
      <c r="E61" s="151" t="s">
        <v>12</v>
      </c>
      <c r="F61" s="112">
        <v>3.2</v>
      </c>
      <c r="G61" s="151" t="s">
        <v>12</v>
      </c>
      <c r="H61" s="151" t="s">
        <v>12</v>
      </c>
      <c r="I61" s="112">
        <v>9.1300000000000008</v>
      </c>
      <c r="J61" s="112">
        <v>1.21</v>
      </c>
      <c r="K61" s="112">
        <v>297.31</v>
      </c>
      <c r="L61" s="112">
        <v>38.51</v>
      </c>
      <c r="M61" s="112">
        <v>30.56</v>
      </c>
      <c r="N61" s="112">
        <v>759.8</v>
      </c>
      <c r="O61" s="112">
        <v>0</v>
      </c>
      <c r="P61" s="112">
        <v>0.56000000000000005</v>
      </c>
      <c r="Q61" s="112">
        <v>36.909999999999997</v>
      </c>
    </row>
    <row r="62" spans="1:17" customFormat="1">
      <c r="A62" s="80">
        <v>45435.5625</v>
      </c>
      <c r="B62" s="151" t="s">
        <v>12</v>
      </c>
      <c r="C62" s="151" t="s">
        <v>12</v>
      </c>
      <c r="D62" s="151" t="s">
        <v>12</v>
      </c>
      <c r="E62" s="151" t="s">
        <v>12</v>
      </c>
      <c r="F62" s="112">
        <v>2.9</v>
      </c>
      <c r="G62" s="151" t="s">
        <v>12</v>
      </c>
      <c r="H62" s="151" t="s">
        <v>12</v>
      </c>
      <c r="I62" s="112">
        <v>7.69</v>
      </c>
      <c r="J62" s="112">
        <v>0.71</v>
      </c>
      <c r="K62" s="112">
        <v>302.97000000000003</v>
      </c>
      <c r="L62" s="112">
        <v>39.11</v>
      </c>
      <c r="M62" s="112">
        <v>31.06</v>
      </c>
      <c r="N62" s="112">
        <v>394.4</v>
      </c>
      <c r="O62" s="112">
        <v>0</v>
      </c>
      <c r="P62" s="112">
        <v>0.51</v>
      </c>
      <c r="Q62" s="112">
        <v>30.78</v>
      </c>
    </row>
    <row r="63" spans="1:17" customFormat="1">
      <c r="A63" s="80">
        <v>45435.572916666664</v>
      </c>
      <c r="B63" s="151" t="s">
        <v>12</v>
      </c>
      <c r="C63" s="151" t="s">
        <v>12</v>
      </c>
      <c r="D63" s="151" t="s">
        <v>12</v>
      </c>
      <c r="E63" s="112">
        <v>9.32</v>
      </c>
      <c r="F63" s="112">
        <v>2.0699999999999998</v>
      </c>
      <c r="G63" s="151" t="s">
        <v>12</v>
      </c>
      <c r="H63" s="151" t="s">
        <v>12</v>
      </c>
      <c r="I63" s="112">
        <v>7.67</v>
      </c>
      <c r="J63" s="112">
        <v>0.96</v>
      </c>
      <c r="K63" s="112">
        <v>282.49</v>
      </c>
      <c r="L63" s="112">
        <v>39.340000000000003</v>
      </c>
      <c r="M63" s="112">
        <v>31.3</v>
      </c>
      <c r="N63" s="112">
        <v>616.1</v>
      </c>
      <c r="O63" s="112">
        <v>0</v>
      </c>
      <c r="P63" s="112">
        <v>0.5</v>
      </c>
      <c r="Q63" s="112">
        <v>21.69</v>
      </c>
    </row>
    <row r="64" spans="1:17" customFormat="1">
      <c r="A64" s="80">
        <v>45435.583333333336</v>
      </c>
      <c r="B64" s="151" t="s">
        <v>12</v>
      </c>
      <c r="C64" s="151" t="s">
        <v>12</v>
      </c>
      <c r="D64" s="151" t="s">
        <v>12</v>
      </c>
      <c r="E64" s="112">
        <v>14.47</v>
      </c>
      <c r="F64" s="112">
        <v>82.16</v>
      </c>
      <c r="G64" s="151" t="s">
        <v>12</v>
      </c>
      <c r="H64" s="151" t="s">
        <v>12</v>
      </c>
      <c r="I64" s="112">
        <v>8.49</v>
      </c>
      <c r="J64" s="112">
        <v>1.1499999999999999</v>
      </c>
      <c r="K64" s="112">
        <v>278.95999999999998</v>
      </c>
      <c r="L64" s="112">
        <v>39.35</v>
      </c>
      <c r="M64" s="112">
        <v>31.57</v>
      </c>
      <c r="N64" s="112">
        <v>665.5</v>
      </c>
      <c r="O64" s="112">
        <v>0</v>
      </c>
      <c r="P64" s="112">
        <v>0.49</v>
      </c>
      <c r="Q64" s="112">
        <v>15.54</v>
      </c>
    </row>
    <row r="65" spans="1:17" customFormat="1">
      <c r="A65" s="80">
        <v>45435.59375</v>
      </c>
      <c r="B65" s="151" t="s">
        <v>12</v>
      </c>
      <c r="C65" s="151" t="s">
        <v>12</v>
      </c>
      <c r="D65" s="151" t="s">
        <v>12</v>
      </c>
      <c r="E65" s="112">
        <v>15.36</v>
      </c>
      <c r="F65" s="112">
        <v>93.12</v>
      </c>
      <c r="G65" s="151" t="s">
        <v>12</v>
      </c>
      <c r="H65" s="151" t="s">
        <v>12</v>
      </c>
      <c r="I65" s="112">
        <v>10.16</v>
      </c>
      <c r="J65" s="112">
        <v>1.02</v>
      </c>
      <c r="K65" s="112">
        <v>306.82</v>
      </c>
      <c r="L65" s="112">
        <v>39.58</v>
      </c>
      <c r="M65" s="112">
        <v>30.92</v>
      </c>
      <c r="N65" s="112">
        <v>647.4</v>
      </c>
      <c r="O65" s="112">
        <v>0</v>
      </c>
      <c r="P65" s="112">
        <v>0.49</v>
      </c>
      <c r="Q65" s="112">
        <v>30.87</v>
      </c>
    </row>
    <row r="66" spans="1:17" customFormat="1">
      <c r="A66" s="80">
        <v>45435.604166666664</v>
      </c>
      <c r="B66" s="112">
        <v>7.33</v>
      </c>
      <c r="C66" s="112">
        <v>6.03</v>
      </c>
      <c r="D66" s="112">
        <v>14.04</v>
      </c>
      <c r="E66" s="112">
        <v>15.82</v>
      </c>
      <c r="F66" s="112">
        <v>92.45</v>
      </c>
      <c r="G66" s="112">
        <v>32.049999999999997</v>
      </c>
      <c r="H66" s="112">
        <v>0.46</v>
      </c>
      <c r="I66" s="112">
        <v>12.5</v>
      </c>
      <c r="J66" s="112">
        <v>1.4</v>
      </c>
      <c r="K66" s="112">
        <v>305.17</v>
      </c>
      <c r="L66" s="112">
        <v>39.56</v>
      </c>
      <c r="M66" s="112">
        <v>30.04</v>
      </c>
      <c r="N66" s="112">
        <v>627</v>
      </c>
      <c r="O66" s="112">
        <v>0</v>
      </c>
      <c r="P66" s="112">
        <v>0.48</v>
      </c>
      <c r="Q66" s="112">
        <v>17.95</v>
      </c>
    </row>
    <row r="67" spans="1:17" customFormat="1">
      <c r="A67" s="80">
        <v>45435.614583333336</v>
      </c>
      <c r="B67" s="112">
        <v>7.33</v>
      </c>
      <c r="C67" s="112">
        <v>6.1</v>
      </c>
      <c r="D67" s="112">
        <v>14.07</v>
      </c>
      <c r="E67" s="112">
        <v>17.079999999999998</v>
      </c>
      <c r="F67" s="112">
        <v>78.2</v>
      </c>
      <c r="G67" s="112">
        <v>33.35</v>
      </c>
      <c r="H67" s="112">
        <v>0.46</v>
      </c>
      <c r="I67" s="112">
        <v>12.39</v>
      </c>
      <c r="J67" s="112">
        <v>1.08</v>
      </c>
      <c r="K67" s="112">
        <v>282.69</v>
      </c>
      <c r="L67" s="112">
        <v>39.520000000000003</v>
      </c>
      <c r="M67" s="112">
        <v>29.53</v>
      </c>
      <c r="N67" s="112">
        <v>471.2</v>
      </c>
      <c r="O67" s="112">
        <v>0</v>
      </c>
      <c r="P67" s="112">
        <v>0.45</v>
      </c>
      <c r="Q67" s="112">
        <v>22.57</v>
      </c>
    </row>
    <row r="68" spans="1:17" customFormat="1">
      <c r="A68" s="80">
        <v>45435.625</v>
      </c>
      <c r="B68" s="112">
        <v>7.35</v>
      </c>
      <c r="C68" s="112">
        <v>6.1</v>
      </c>
      <c r="D68" s="112">
        <v>14.09</v>
      </c>
      <c r="E68" s="112">
        <v>16.86</v>
      </c>
      <c r="F68" s="112">
        <v>90.51</v>
      </c>
      <c r="G68" s="112">
        <v>33.35</v>
      </c>
      <c r="H68" s="112">
        <v>0.46</v>
      </c>
      <c r="I68" s="112">
        <v>10.89</v>
      </c>
      <c r="J68" s="112">
        <v>0.82</v>
      </c>
      <c r="K68" s="112">
        <v>272.99</v>
      </c>
      <c r="L68" s="112">
        <v>39.659999999999997</v>
      </c>
      <c r="M68" s="112">
        <v>29.42</v>
      </c>
      <c r="N68" s="112">
        <v>546.20000000000005</v>
      </c>
      <c r="O68" s="112">
        <v>0</v>
      </c>
      <c r="P68" s="112">
        <v>0.42</v>
      </c>
      <c r="Q68" s="112">
        <v>13.22</v>
      </c>
    </row>
    <row r="69" spans="1:17" customFormat="1">
      <c r="A69" s="80">
        <v>45435.635416666664</v>
      </c>
      <c r="B69" s="112">
        <v>7.31</v>
      </c>
      <c r="C69" s="112">
        <v>6.1</v>
      </c>
      <c r="D69" s="112">
        <v>14.06</v>
      </c>
      <c r="E69" s="112">
        <v>17.29</v>
      </c>
      <c r="F69" s="112">
        <v>99.19</v>
      </c>
      <c r="G69" s="112">
        <v>33.35</v>
      </c>
      <c r="H69" s="112">
        <v>0.46</v>
      </c>
      <c r="I69" s="112">
        <v>9.16</v>
      </c>
      <c r="J69" s="112">
        <v>0.98</v>
      </c>
      <c r="K69" s="112">
        <v>289.14999999999998</v>
      </c>
      <c r="L69" s="112">
        <v>40.33</v>
      </c>
      <c r="M69" s="112">
        <v>28.92</v>
      </c>
      <c r="N69" s="112">
        <v>513.1</v>
      </c>
      <c r="O69" s="112">
        <v>0</v>
      </c>
      <c r="P69" s="112">
        <v>0.42</v>
      </c>
      <c r="Q69" s="112">
        <v>5.09</v>
      </c>
    </row>
    <row r="70" spans="1:17" customFormat="1">
      <c r="A70" s="80">
        <v>45435.645833333336</v>
      </c>
      <c r="B70" s="112">
        <v>7.31</v>
      </c>
      <c r="C70" s="112">
        <v>6.08</v>
      </c>
      <c r="D70" s="112">
        <v>14.05</v>
      </c>
      <c r="E70" s="112">
        <v>19.86</v>
      </c>
      <c r="F70" s="112">
        <v>98.14</v>
      </c>
      <c r="G70" s="112">
        <v>31.01</v>
      </c>
      <c r="H70" s="112">
        <v>9.26</v>
      </c>
      <c r="I70" s="112">
        <v>6.77</v>
      </c>
      <c r="J70" s="112">
        <v>0.98</v>
      </c>
      <c r="K70" s="112">
        <v>296.33999999999997</v>
      </c>
      <c r="L70" s="112">
        <v>40.090000000000003</v>
      </c>
      <c r="M70" s="112">
        <v>29.11</v>
      </c>
      <c r="N70" s="112">
        <v>459.7</v>
      </c>
      <c r="O70" s="112">
        <v>0</v>
      </c>
      <c r="P70" s="112">
        <v>0.42</v>
      </c>
      <c r="Q70" s="112">
        <v>8.32</v>
      </c>
    </row>
    <row r="71" spans="1:17" customFormat="1">
      <c r="A71" s="80">
        <v>45435.65625</v>
      </c>
      <c r="B71" s="112">
        <v>7.3</v>
      </c>
      <c r="C71" s="112">
        <v>6.05</v>
      </c>
      <c r="D71" s="112">
        <v>14.03</v>
      </c>
      <c r="E71" s="112">
        <v>20.82</v>
      </c>
      <c r="F71" s="112">
        <v>94.82</v>
      </c>
      <c r="G71" s="112">
        <v>30.51</v>
      </c>
      <c r="H71" s="112">
        <v>9.26</v>
      </c>
      <c r="I71" s="112">
        <v>4.91</v>
      </c>
      <c r="J71" s="112">
        <v>0.71</v>
      </c>
      <c r="K71" s="112">
        <v>253.25</v>
      </c>
      <c r="L71" s="112">
        <v>40.32</v>
      </c>
      <c r="M71" s="112">
        <v>29.3</v>
      </c>
      <c r="N71" s="112">
        <v>416.2</v>
      </c>
      <c r="O71" s="112">
        <v>0</v>
      </c>
      <c r="P71" s="112">
        <v>0.4</v>
      </c>
      <c r="Q71" s="112">
        <v>6.68</v>
      </c>
    </row>
    <row r="72" spans="1:17" customFormat="1">
      <c r="A72" s="80">
        <v>45435.666666666664</v>
      </c>
      <c r="B72" s="112">
        <v>7.25</v>
      </c>
      <c r="C72" s="112">
        <v>6.05</v>
      </c>
      <c r="D72" s="112">
        <v>13.99</v>
      </c>
      <c r="E72" s="112">
        <v>20.3</v>
      </c>
      <c r="F72" s="112">
        <v>98.81</v>
      </c>
      <c r="G72" s="112">
        <v>30.51</v>
      </c>
      <c r="H72" s="112">
        <v>9.26</v>
      </c>
      <c r="I72" s="112">
        <v>3.93</v>
      </c>
      <c r="J72" s="112">
        <v>1.08</v>
      </c>
      <c r="K72" s="112">
        <v>297.22000000000003</v>
      </c>
      <c r="L72" s="112">
        <v>39.950000000000003</v>
      </c>
      <c r="M72" s="112">
        <v>29.88</v>
      </c>
      <c r="N72" s="112">
        <v>358.5</v>
      </c>
      <c r="O72" s="112">
        <v>0</v>
      </c>
      <c r="P72" s="112">
        <v>0.41</v>
      </c>
      <c r="Q72" s="112">
        <v>6.95</v>
      </c>
    </row>
    <row r="73" spans="1:17" customFormat="1">
      <c r="A73" s="80">
        <v>45435.677083333336</v>
      </c>
      <c r="B73" s="112">
        <v>7.21</v>
      </c>
      <c r="C73" s="112">
        <v>6.08</v>
      </c>
      <c r="D73" s="112">
        <v>13.96</v>
      </c>
      <c r="E73" s="112">
        <v>22.43</v>
      </c>
      <c r="F73" s="112">
        <v>100.4</v>
      </c>
      <c r="G73" s="112">
        <v>30.51</v>
      </c>
      <c r="H73" s="112">
        <v>9.26</v>
      </c>
      <c r="I73" s="112">
        <v>3.53</v>
      </c>
      <c r="J73" s="112">
        <v>0.89</v>
      </c>
      <c r="K73" s="112">
        <v>278.75</v>
      </c>
      <c r="L73" s="112">
        <v>39.700000000000003</v>
      </c>
      <c r="M73" s="112">
        <v>30.28</v>
      </c>
      <c r="N73" s="112">
        <v>247.2</v>
      </c>
      <c r="O73" s="112">
        <v>0</v>
      </c>
      <c r="P73" s="112">
        <v>0.44</v>
      </c>
      <c r="Q73" s="112">
        <v>5.95</v>
      </c>
    </row>
    <row r="74" spans="1:17" customFormat="1">
      <c r="A74" s="80">
        <v>45435.6875</v>
      </c>
      <c r="B74" s="112">
        <v>7.26</v>
      </c>
      <c r="C74" s="112">
        <v>6.06</v>
      </c>
      <c r="D74" s="112">
        <v>14</v>
      </c>
      <c r="E74" s="112">
        <v>18.190000000000001</v>
      </c>
      <c r="F74" s="112">
        <v>62.66</v>
      </c>
      <c r="G74" s="112">
        <v>30.01</v>
      </c>
      <c r="H74" s="112">
        <v>11.53</v>
      </c>
      <c r="I74" s="112">
        <v>3.16</v>
      </c>
      <c r="J74" s="112">
        <v>0.67</v>
      </c>
      <c r="K74" s="112">
        <v>255.5</v>
      </c>
      <c r="L74" s="112">
        <v>39.409999999999997</v>
      </c>
      <c r="M74" s="112">
        <v>30.49</v>
      </c>
      <c r="N74" s="112">
        <v>211.6</v>
      </c>
      <c r="O74" s="112">
        <v>0</v>
      </c>
      <c r="P74" s="112">
        <v>0.43</v>
      </c>
      <c r="Q74" s="112">
        <v>8.09</v>
      </c>
    </row>
    <row r="75" spans="1:17" customFormat="1">
      <c r="A75" s="80">
        <v>45435.697916666664</v>
      </c>
      <c r="B75" s="112">
        <v>7.29</v>
      </c>
      <c r="C75" s="112">
        <v>6.07</v>
      </c>
      <c r="D75" s="112">
        <v>14.03</v>
      </c>
      <c r="E75" s="112">
        <v>20.72</v>
      </c>
      <c r="F75" s="112">
        <v>111.51</v>
      </c>
      <c r="G75" s="112">
        <v>29.9</v>
      </c>
      <c r="H75" s="112">
        <v>11.53</v>
      </c>
      <c r="I75" s="112">
        <v>3.3</v>
      </c>
      <c r="J75" s="112">
        <v>0.63</v>
      </c>
      <c r="K75" s="112">
        <v>256.57</v>
      </c>
      <c r="L75" s="112">
        <v>39.35</v>
      </c>
      <c r="M75" s="112">
        <v>30.43</v>
      </c>
      <c r="N75" s="112">
        <v>108.9</v>
      </c>
      <c r="O75" s="112">
        <v>0</v>
      </c>
      <c r="P75" s="112">
        <v>0.41</v>
      </c>
      <c r="Q75" s="112">
        <v>9.74</v>
      </c>
    </row>
    <row r="76" spans="1:17" customFormat="1">
      <c r="A76" s="80">
        <v>45435.708333333336</v>
      </c>
      <c r="B76" s="112">
        <v>7.29</v>
      </c>
      <c r="C76" s="112">
        <v>6.05</v>
      </c>
      <c r="D76" s="112">
        <v>14.02</v>
      </c>
      <c r="E76" s="112">
        <v>22.95</v>
      </c>
      <c r="F76" s="112">
        <v>108.59</v>
      </c>
      <c r="G76" s="112">
        <v>29.9</v>
      </c>
      <c r="H76" s="112">
        <v>11.53</v>
      </c>
      <c r="I76" s="112">
        <v>3.4</v>
      </c>
      <c r="J76" s="112">
        <v>0.89</v>
      </c>
      <c r="K76" s="112">
        <v>276.18</v>
      </c>
      <c r="L76" s="112">
        <v>38.71</v>
      </c>
      <c r="M76" s="112">
        <v>30.47</v>
      </c>
      <c r="N76" s="112">
        <v>75.8</v>
      </c>
      <c r="O76" s="112">
        <v>0</v>
      </c>
      <c r="P76" s="112">
        <v>0.41</v>
      </c>
      <c r="Q76" s="112">
        <v>10.31</v>
      </c>
    </row>
    <row r="77" spans="1:17" customFormat="1">
      <c r="A77" s="80">
        <v>45435.71875</v>
      </c>
      <c r="B77" s="112">
        <v>7.29</v>
      </c>
      <c r="C77" s="112">
        <v>6.05</v>
      </c>
      <c r="D77" s="112">
        <v>14.02</v>
      </c>
      <c r="E77" s="112">
        <v>22.76</v>
      </c>
      <c r="F77" s="112">
        <v>108.59</v>
      </c>
      <c r="G77" s="112">
        <v>29.9</v>
      </c>
      <c r="H77" s="112">
        <v>11.53</v>
      </c>
      <c r="I77" s="112">
        <v>2.88</v>
      </c>
      <c r="J77" s="112">
        <v>0.51</v>
      </c>
      <c r="K77" s="112">
        <v>255.17</v>
      </c>
      <c r="L77" s="112">
        <v>38.549999999999997</v>
      </c>
      <c r="M77" s="112">
        <v>30.87</v>
      </c>
      <c r="N77" s="112">
        <v>88.1</v>
      </c>
      <c r="O77" s="112">
        <v>0</v>
      </c>
      <c r="P77" s="112">
        <v>0.42</v>
      </c>
      <c r="Q77" s="112">
        <v>20.72</v>
      </c>
    </row>
    <row r="78" spans="1:17" customFormat="1">
      <c r="A78" s="80">
        <v>45435.729166666664</v>
      </c>
      <c r="B78" s="112">
        <v>7.3</v>
      </c>
      <c r="C78" s="112">
        <v>6.08</v>
      </c>
      <c r="D78" s="112">
        <v>14.03</v>
      </c>
      <c r="E78" s="112">
        <v>20.53</v>
      </c>
      <c r="F78" s="112">
        <v>78.290000000000006</v>
      </c>
      <c r="G78" s="112">
        <v>32.369999999999997</v>
      </c>
      <c r="H78" s="112">
        <v>11.99</v>
      </c>
      <c r="I78" s="112">
        <v>2.2799999999999998</v>
      </c>
      <c r="J78" s="112">
        <v>0.41</v>
      </c>
      <c r="K78" s="112">
        <v>269.39999999999998</v>
      </c>
      <c r="L78" s="112">
        <v>38.520000000000003</v>
      </c>
      <c r="M78" s="112">
        <v>31.07</v>
      </c>
      <c r="N78" s="112">
        <v>75.599999999999994</v>
      </c>
      <c r="O78" s="112">
        <v>0</v>
      </c>
      <c r="P78" s="112">
        <v>0.44</v>
      </c>
      <c r="Q78" s="112">
        <v>15.02</v>
      </c>
    </row>
    <row r="79" spans="1:17" customFormat="1">
      <c r="A79" s="80">
        <v>45435.739583333336</v>
      </c>
      <c r="B79" s="112">
        <v>7.33</v>
      </c>
      <c r="C79" s="112">
        <v>6.07</v>
      </c>
      <c r="D79" s="112">
        <v>14.06</v>
      </c>
      <c r="E79" s="112">
        <v>18.68</v>
      </c>
      <c r="F79" s="112">
        <v>61.91</v>
      </c>
      <c r="G79" s="112">
        <v>32.909999999999997</v>
      </c>
      <c r="H79" s="112">
        <v>11.99</v>
      </c>
      <c r="I79" s="112">
        <v>2.27</v>
      </c>
      <c r="J79" s="112">
        <v>0.34</v>
      </c>
      <c r="K79" s="112">
        <v>247.69</v>
      </c>
      <c r="L79" s="112">
        <v>38.340000000000003</v>
      </c>
      <c r="M79" s="112">
        <v>32.090000000000003</v>
      </c>
      <c r="N79" s="112">
        <v>41.8</v>
      </c>
      <c r="O79" s="112">
        <v>0</v>
      </c>
      <c r="P79" s="112">
        <v>0.47</v>
      </c>
      <c r="Q79" s="112">
        <v>132.57</v>
      </c>
    </row>
    <row r="80" spans="1:17" customFormat="1">
      <c r="A80" s="80">
        <v>45435.75</v>
      </c>
      <c r="B80" s="112">
        <v>7.34</v>
      </c>
      <c r="C80" s="112">
        <v>6.09</v>
      </c>
      <c r="D80" s="112">
        <v>14.08</v>
      </c>
      <c r="E80" s="112">
        <v>17.96</v>
      </c>
      <c r="F80" s="112">
        <v>62.63</v>
      </c>
      <c r="G80" s="112">
        <v>32.909999999999997</v>
      </c>
      <c r="H80" s="112">
        <v>11.99</v>
      </c>
      <c r="I80" s="112">
        <v>2.8</v>
      </c>
      <c r="J80" s="112">
        <v>0.4</v>
      </c>
      <c r="K80" s="112">
        <v>240.86</v>
      </c>
      <c r="L80" s="112">
        <v>37.79</v>
      </c>
      <c r="M80" s="112">
        <v>32.71</v>
      </c>
      <c r="N80" s="112">
        <v>22.6</v>
      </c>
      <c r="O80" s="112">
        <v>0</v>
      </c>
      <c r="P80" s="112">
        <v>0.44</v>
      </c>
      <c r="Q80" s="112">
        <v>60.69</v>
      </c>
    </row>
    <row r="81" spans="1:17" customFormat="1">
      <c r="A81" s="80">
        <v>45435.760416666664</v>
      </c>
      <c r="B81" s="112">
        <v>7.31</v>
      </c>
      <c r="C81" s="112">
        <v>6.12</v>
      </c>
      <c r="D81" s="112">
        <v>14.07</v>
      </c>
      <c r="E81" s="112">
        <v>12</v>
      </c>
      <c r="F81" s="112">
        <v>59.92</v>
      </c>
      <c r="G81" s="112">
        <v>32.909999999999997</v>
      </c>
      <c r="H81" s="112">
        <v>11.99</v>
      </c>
      <c r="I81" s="112">
        <v>3.05</v>
      </c>
      <c r="J81" s="112">
        <v>0.42</v>
      </c>
      <c r="K81" s="112">
        <v>254.46</v>
      </c>
      <c r="L81" s="112">
        <v>37.299999999999997</v>
      </c>
      <c r="M81" s="112">
        <v>33.78</v>
      </c>
      <c r="N81" s="112">
        <v>3.5</v>
      </c>
      <c r="O81" s="112">
        <v>0</v>
      </c>
      <c r="P81" s="112">
        <v>0.47</v>
      </c>
      <c r="Q81" s="112">
        <v>68.89</v>
      </c>
    </row>
    <row r="82" spans="1:17" customFormat="1">
      <c r="A82" s="80">
        <v>45435.770833333336</v>
      </c>
      <c r="B82" s="112">
        <v>7.31</v>
      </c>
      <c r="C82" s="112">
        <v>6.06</v>
      </c>
      <c r="D82" s="112">
        <v>14.04</v>
      </c>
      <c r="E82" s="112">
        <v>15.81</v>
      </c>
      <c r="F82" s="112">
        <v>63.11</v>
      </c>
      <c r="G82" s="112">
        <v>33.92</v>
      </c>
      <c r="H82" s="112">
        <v>13.19</v>
      </c>
      <c r="I82" s="112">
        <v>3.15</v>
      </c>
      <c r="J82" s="112">
        <v>0.35</v>
      </c>
      <c r="K82" s="112">
        <v>246.87</v>
      </c>
      <c r="L82" s="112">
        <v>37.17</v>
      </c>
      <c r="M82" s="112">
        <v>33.79</v>
      </c>
      <c r="N82" s="112">
        <v>0</v>
      </c>
      <c r="O82" s="112">
        <v>0</v>
      </c>
      <c r="P82" s="112">
        <v>0.48</v>
      </c>
      <c r="Q82" s="112">
        <v>48.88</v>
      </c>
    </row>
    <row r="83" spans="1:17" customFormat="1">
      <c r="A83" s="80">
        <v>45435.78125</v>
      </c>
      <c r="B83" s="112">
        <v>7.31</v>
      </c>
      <c r="C83" s="112">
        <v>6.07</v>
      </c>
      <c r="D83" s="112">
        <v>14.04</v>
      </c>
      <c r="E83" s="112">
        <v>14.79</v>
      </c>
      <c r="F83" s="112">
        <v>59.77</v>
      </c>
      <c r="G83" s="112">
        <v>34.14</v>
      </c>
      <c r="H83" s="112">
        <v>13.19</v>
      </c>
      <c r="I83" s="112">
        <v>3.31</v>
      </c>
      <c r="J83" s="112">
        <v>0.28999999999999998</v>
      </c>
      <c r="K83" s="112">
        <v>243.52</v>
      </c>
      <c r="L83" s="112">
        <v>36.85</v>
      </c>
      <c r="M83" s="112">
        <v>34.75</v>
      </c>
      <c r="N83" s="112">
        <v>0</v>
      </c>
      <c r="O83" s="112">
        <v>0</v>
      </c>
      <c r="P83" s="112">
        <v>0.51</v>
      </c>
      <c r="Q83" s="112">
        <v>15.18</v>
      </c>
    </row>
    <row r="84" spans="1:17" customFormat="1">
      <c r="A84" s="80">
        <v>45435.791666666664</v>
      </c>
      <c r="B84" s="112">
        <v>7.28</v>
      </c>
      <c r="C84" s="112">
        <v>6.09</v>
      </c>
      <c r="D84" s="112">
        <v>14.03</v>
      </c>
      <c r="E84" s="112">
        <v>15.35</v>
      </c>
      <c r="F84" s="112">
        <v>56.72</v>
      </c>
      <c r="G84" s="112">
        <v>34.14</v>
      </c>
      <c r="H84" s="112">
        <v>13.19</v>
      </c>
      <c r="I84" s="112">
        <v>3.6</v>
      </c>
      <c r="J84" s="112">
        <v>0.2</v>
      </c>
      <c r="K84" s="112">
        <v>175.37</v>
      </c>
      <c r="L84" s="112">
        <v>36.67</v>
      </c>
      <c r="M84" s="112">
        <v>36.64</v>
      </c>
      <c r="N84" s="112">
        <v>0</v>
      </c>
      <c r="O84" s="112">
        <v>0</v>
      </c>
      <c r="P84" s="112">
        <v>0.56999999999999995</v>
      </c>
      <c r="Q84" s="112">
        <v>6.49</v>
      </c>
    </row>
    <row r="85" spans="1:17" customFormat="1">
      <c r="A85" s="80">
        <v>45435.802083333336</v>
      </c>
      <c r="B85" s="112">
        <v>7.29</v>
      </c>
      <c r="C85" s="112">
        <v>6.08</v>
      </c>
      <c r="D85" s="112">
        <v>14.03</v>
      </c>
      <c r="E85" s="112">
        <v>15.2</v>
      </c>
      <c r="F85" s="112">
        <v>48.84</v>
      </c>
      <c r="G85" s="112">
        <v>34.14</v>
      </c>
      <c r="H85" s="112">
        <v>13.19</v>
      </c>
      <c r="I85" s="112">
        <v>4.05</v>
      </c>
      <c r="J85" s="112">
        <v>0.18</v>
      </c>
      <c r="K85" s="112">
        <v>186.04</v>
      </c>
      <c r="L85" s="112">
        <v>36.36</v>
      </c>
      <c r="M85" s="112">
        <v>37.6</v>
      </c>
      <c r="N85" s="112">
        <v>0</v>
      </c>
      <c r="O85" s="112">
        <v>0</v>
      </c>
      <c r="P85" s="112">
        <v>0.62</v>
      </c>
      <c r="Q85" s="112">
        <v>9.89</v>
      </c>
    </row>
    <row r="86" spans="1:17" customFormat="1">
      <c r="A86" s="80">
        <v>45435.8125</v>
      </c>
      <c r="B86" s="112">
        <v>7.32</v>
      </c>
      <c r="C86" s="112">
        <v>6.08</v>
      </c>
      <c r="D86" s="112">
        <v>14.05</v>
      </c>
      <c r="E86" s="112">
        <v>14.08</v>
      </c>
      <c r="F86" s="112">
        <v>40.880000000000003</v>
      </c>
      <c r="G86" s="112">
        <v>33.54</v>
      </c>
      <c r="H86" s="112">
        <v>11.38</v>
      </c>
      <c r="I86" s="112">
        <v>4.62</v>
      </c>
      <c r="J86" s="112">
        <v>0.18</v>
      </c>
      <c r="K86" s="112">
        <v>181.26</v>
      </c>
      <c r="L86" s="112">
        <v>35.85</v>
      </c>
      <c r="M86" s="112">
        <v>42.89</v>
      </c>
      <c r="N86" s="112">
        <v>0</v>
      </c>
      <c r="O86" s="112">
        <v>0</v>
      </c>
      <c r="P86" s="112">
        <v>0.67</v>
      </c>
      <c r="Q86" s="112">
        <v>17.27</v>
      </c>
    </row>
    <row r="87" spans="1:17" customFormat="1">
      <c r="A87" s="80">
        <v>45435.822916666664</v>
      </c>
      <c r="B87" s="112">
        <v>7.34</v>
      </c>
      <c r="C87" s="112">
        <v>6.09</v>
      </c>
      <c r="D87" s="112">
        <v>14.08</v>
      </c>
      <c r="E87" s="112">
        <v>13.82</v>
      </c>
      <c r="F87" s="112">
        <v>36.42</v>
      </c>
      <c r="G87" s="112">
        <v>33.409999999999997</v>
      </c>
      <c r="H87" s="112">
        <v>11.38</v>
      </c>
      <c r="I87" s="112">
        <v>5.24</v>
      </c>
      <c r="J87" s="112">
        <v>0.2</v>
      </c>
      <c r="K87" s="112">
        <v>184.27</v>
      </c>
      <c r="L87" s="112">
        <v>35.020000000000003</v>
      </c>
      <c r="M87" s="112">
        <v>43.84</v>
      </c>
      <c r="N87" s="112">
        <v>0</v>
      </c>
      <c r="O87" s="112">
        <v>0</v>
      </c>
      <c r="P87" s="112">
        <v>0.7</v>
      </c>
      <c r="Q87" s="112">
        <v>2.79</v>
      </c>
    </row>
    <row r="88" spans="1:17" customFormat="1">
      <c r="A88" s="80">
        <v>45435.833333333336</v>
      </c>
      <c r="B88" s="112">
        <v>7.32</v>
      </c>
      <c r="C88" s="112">
        <v>6.09</v>
      </c>
      <c r="D88" s="112">
        <v>14.06</v>
      </c>
      <c r="E88" s="112">
        <v>14.5</v>
      </c>
      <c r="F88" s="112">
        <v>38.07</v>
      </c>
      <c r="G88" s="112">
        <v>33.409999999999997</v>
      </c>
      <c r="H88" s="112">
        <v>11.38</v>
      </c>
      <c r="I88" s="112">
        <v>5.75</v>
      </c>
      <c r="J88" s="112">
        <v>0.13</v>
      </c>
      <c r="K88" s="112">
        <v>196.13</v>
      </c>
      <c r="L88" s="112">
        <v>34.71</v>
      </c>
      <c r="M88" s="112">
        <v>43.95</v>
      </c>
      <c r="N88" s="112">
        <v>0</v>
      </c>
      <c r="O88" s="112">
        <v>0</v>
      </c>
      <c r="P88" s="112">
        <v>0.7</v>
      </c>
      <c r="Q88" s="112">
        <v>11.75</v>
      </c>
    </row>
    <row r="89" spans="1:17" customFormat="1">
      <c r="A89" s="80">
        <v>45435.84375</v>
      </c>
      <c r="B89" s="112">
        <v>7.3</v>
      </c>
      <c r="C89" s="112">
        <v>6.12</v>
      </c>
      <c r="D89" s="112">
        <v>14.06</v>
      </c>
      <c r="E89" s="112">
        <v>14.76</v>
      </c>
      <c r="F89" s="112">
        <v>35.57</v>
      </c>
      <c r="G89" s="112">
        <v>33.409999999999997</v>
      </c>
      <c r="H89" s="112">
        <v>11.38</v>
      </c>
      <c r="I89" s="112">
        <v>6.45</v>
      </c>
      <c r="J89" s="112">
        <v>0.14000000000000001</v>
      </c>
      <c r="K89" s="112">
        <v>204.69</v>
      </c>
      <c r="L89" s="112">
        <v>34.64</v>
      </c>
      <c r="M89" s="112">
        <v>44.38</v>
      </c>
      <c r="N89" s="112">
        <v>0</v>
      </c>
      <c r="O89" s="112">
        <v>0</v>
      </c>
      <c r="P89" s="112">
        <v>0.77</v>
      </c>
      <c r="Q89" s="112">
        <v>8.69</v>
      </c>
    </row>
    <row r="90" spans="1:17" customFormat="1">
      <c r="A90" s="80">
        <v>45435.854166666664</v>
      </c>
      <c r="B90" s="112">
        <v>7.34</v>
      </c>
      <c r="C90" s="112">
        <v>6.09</v>
      </c>
      <c r="D90" s="112">
        <v>14.08</v>
      </c>
      <c r="E90" s="112">
        <v>14.77</v>
      </c>
      <c r="F90" s="112">
        <v>33.65</v>
      </c>
      <c r="G90" s="112">
        <v>40.9</v>
      </c>
      <c r="H90" s="112">
        <v>12.38</v>
      </c>
      <c r="I90" s="112">
        <v>6.86</v>
      </c>
      <c r="J90" s="112">
        <v>0.16</v>
      </c>
      <c r="K90" s="112">
        <v>183.59</v>
      </c>
      <c r="L90" s="112">
        <v>34.369999999999997</v>
      </c>
      <c r="M90" s="112">
        <v>46.38</v>
      </c>
      <c r="N90" s="112">
        <v>0</v>
      </c>
      <c r="O90" s="112">
        <v>0</v>
      </c>
      <c r="P90" s="112">
        <v>0.78</v>
      </c>
      <c r="Q90" s="112">
        <v>8.06</v>
      </c>
    </row>
    <row r="91" spans="1:17" customFormat="1">
      <c r="A91" s="80">
        <v>45435.864583333336</v>
      </c>
      <c r="B91" s="112">
        <v>7.36</v>
      </c>
      <c r="C91" s="112">
        <v>6.1</v>
      </c>
      <c r="D91" s="112">
        <v>14.1</v>
      </c>
      <c r="E91" s="112">
        <v>12.54</v>
      </c>
      <c r="F91" s="112">
        <v>15.34</v>
      </c>
      <c r="G91" s="112">
        <v>42.52</v>
      </c>
      <c r="H91" s="112">
        <v>12.38</v>
      </c>
      <c r="I91" s="112">
        <v>7.84</v>
      </c>
      <c r="J91" s="112">
        <v>0.17</v>
      </c>
      <c r="K91" s="112">
        <v>156.04</v>
      </c>
      <c r="L91" s="112">
        <v>33.94</v>
      </c>
      <c r="M91" s="112">
        <v>48.98</v>
      </c>
      <c r="N91" s="112">
        <v>0</v>
      </c>
      <c r="O91" s="112">
        <v>0</v>
      </c>
      <c r="P91" s="112">
        <v>0.68</v>
      </c>
      <c r="Q91" s="112">
        <v>1.61</v>
      </c>
    </row>
    <row r="92" spans="1:17" customFormat="1">
      <c r="A92" s="80">
        <v>45435.875</v>
      </c>
      <c r="B92" s="112">
        <v>7.32</v>
      </c>
      <c r="C92" s="112">
        <v>6.12</v>
      </c>
      <c r="D92" s="112">
        <v>14.08</v>
      </c>
      <c r="E92" s="112">
        <v>11.41</v>
      </c>
      <c r="F92" s="112">
        <v>16.27</v>
      </c>
      <c r="G92" s="112">
        <v>42.52</v>
      </c>
      <c r="H92" s="112">
        <v>12.38</v>
      </c>
      <c r="I92" s="112">
        <v>8.3800000000000008</v>
      </c>
      <c r="J92" s="112">
        <v>0.13</v>
      </c>
      <c r="K92" s="112">
        <v>156.13</v>
      </c>
      <c r="L92" s="112">
        <v>33.950000000000003</v>
      </c>
      <c r="M92" s="112">
        <v>48.42</v>
      </c>
      <c r="N92" s="112">
        <v>0</v>
      </c>
      <c r="O92" s="112">
        <v>0</v>
      </c>
      <c r="P92" s="112">
        <v>0.68</v>
      </c>
      <c r="Q92" s="112">
        <v>1.32</v>
      </c>
    </row>
    <row r="93" spans="1:17" customFormat="1">
      <c r="A93" s="80">
        <v>45435.885416666664</v>
      </c>
      <c r="B93" s="112">
        <v>7.31</v>
      </c>
      <c r="C93" s="112">
        <v>6.09</v>
      </c>
      <c r="D93" s="112">
        <v>14.05</v>
      </c>
      <c r="E93" s="112">
        <v>12.73</v>
      </c>
      <c r="F93" s="112">
        <v>23.49</v>
      </c>
      <c r="G93" s="112">
        <v>42.52</v>
      </c>
      <c r="H93" s="112">
        <v>12.38</v>
      </c>
      <c r="I93" s="112">
        <v>7.49</v>
      </c>
      <c r="J93" s="112">
        <v>0.2</v>
      </c>
      <c r="K93" s="112">
        <v>158.88</v>
      </c>
      <c r="L93" s="112">
        <v>33.81</v>
      </c>
      <c r="M93" s="112">
        <v>48.33</v>
      </c>
      <c r="N93" s="112">
        <v>0</v>
      </c>
      <c r="O93" s="112">
        <v>0</v>
      </c>
      <c r="P93" s="112">
        <v>0.69</v>
      </c>
      <c r="Q93" s="112">
        <v>7.19</v>
      </c>
    </row>
    <row r="94" spans="1:17" customFormat="1">
      <c r="A94" s="80">
        <v>45435.895833333336</v>
      </c>
      <c r="B94" s="112">
        <v>7.3</v>
      </c>
      <c r="C94" s="112">
        <v>6.08</v>
      </c>
      <c r="D94" s="112">
        <v>14.04</v>
      </c>
      <c r="E94" s="112">
        <v>11.71</v>
      </c>
      <c r="F94" s="112">
        <v>14.69</v>
      </c>
      <c r="G94" s="112">
        <v>48.11</v>
      </c>
      <c r="H94" s="112">
        <v>16.32</v>
      </c>
      <c r="I94" s="112">
        <v>6.91</v>
      </c>
      <c r="J94" s="112">
        <v>0.1</v>
      </c>
      <c r="K94" s="112">
        <v>205.54</v>
      </c>
      <c r="L94" s="112">
        <v>33.409999999999997</v>
      </c>
      <c r="M94" s="112">
        <v>50.29</v>
      </c>
      <c r="N94" s="112">
        <v>0</v>
      </c>
      <c r="O94" s="112">
        <v>0</v>
      </c>
      <c r="P94" s="112">
        <v>0.7</v>
      </c>
      <c r="Q94" s="112">
        <v>1.31</v>
      </c>
    </row>
    <row r="95" spans="1:17" customFormat="1">
      <c r="A95" s="80">
        <v>45435.90625</v>
      </c>
      <c r="B95" s="112">
        <v>7.3</v>
      </c>
      <c r="C95" s="112">
        <v>6.06</v>
      </c>
      <c r="D95" s="112">
        <v>14.03</v>
      </c>
      <c r="E95" s="112">
        <v>11.36</v>
      </c>
      <c r="F95" s="112">
        <v>17.05</v>
      </c>
      <c r="G95" s="112">
        <v>49.32</v>
      </c>
      <c r="H95" s="112">
        <v>16.32</v>
      </c>
      <c r="I95" s="112">
        <v>6.87</v>
      </c>
      <c r="J95" s="112">
        <v>0.14000000000000001</v>
      </c>
      <c r="K95" s="112">
        <v>166.5</v>
      </c>
      <c r="L95" s="112">
        <v>33.5</v>
      </c>
      <c r="M95" s="112">
        <v>49.92</v>
      </c>
      <c r="N95" s="112">
        <v>0</v>
      </c>
      <c r="O95" s="112">
        <v>0</v>
      </c>
      <c r="P95" s="112">
        <v>0.69</v>
      </c>
      <c r="Q95" s="112">
        <v>6.82</v>
      </c>
    </row>
    <row r="96" spans="1:17" customFormat="1">
      <c r="A96" s="80">
        <v>45435.916666666664</v>
      </c>
      <c r="B96" s="112">
        <v>7.27</v>
      </c>
      <c r="C96" s="112">
        <v>6.07</v>
      </c>
      <c r="D96" s="112">
        <v>14.01</v>
      </c>
      <c r="E96" s="112">
        <v>11.97</v>
      </c>
      <c r="F96" s="112">
        <v>16.7</v>
      </c>
      <c r="G96" s="112">
        <v>49.32</v>
      </c>
      <c r="H96" s="112">
        <v>16.32</v>
      </c>
      <c r="I96" s="112">
        <v>6.98</v>
      </c>
      <c r="J96" s="112">
        <v>0.1</v>
      </c>
      <c r="K96" s="112">
        <v>193.24</v>
      </c>
      <c r="L96" s="112">
        <v>33.28</v>
      </c>
      <c r="M96" s="112">
        <v>50.05</v>
      </c>
      <c r="N96" s="112">
        <v>0</v>
      </c>
      <c r="O96" s="112">
        <v>0</v>
      </c>
      <c r="P96" s="112">
        <v>0.68</v>
      </c>
      <c r="Q96" s="112">
        <v>6.99</v>
      </c>
    </row>
    <row r="97" spans="1:22" customFormat="1">
      <c r="A97" s="80">
        <v>45435.927083333336</v>
      </c>
      <c r="B97" s="112">
        <v>7.27</v>
      </c>
      <c r="C97" s="112">
        <v>6.08</v>
      </c>
      <c r="D97" s="112">
        <v>14.01</v>
      </c>
      <c r="E97" s="112">
        <v>11.67</v>
      </c>
      <c r="F97" s="112">
        <v>14.98</v>
      </c>
      <c r="G97" s="112">
        <v>49.32</v>
      </c>
      <c r="H97" s="112">
        <v>16.32</v>
      </c>
      <c r="I97" s="112">
        <v>7.05</v>
      </c>
      <c r="J97" s="112">
        <v>0.13</v>
      </c>
      <c r="K97" s="112">
        <v>209.27</v>
      </c>
      <c r="L97" s="112">
        <v>33.119999999999997</v>
      </c>
      <c r="M97" s="112">
        <v>50.04</v>
      </c>
      <c r="N97" s="112">
        <v>0</v>
      </c>
      <c r="O97" s="112">
        <v>0</v>
      </c>
      <c r="P97" s="112">
        <v>0.69</v>
      </c>
      <c r="Q97" s="112">
        <v>9.86</v>
      </c>
    </row>
    <row r="98" spans="1:22" customFormat="1">
      <c r="A98" s="80">
        <v>45435.9375</v>
      </c>
      <c r="B98" s="112">
        <v>7.28</v>
      </c>
      <c r="C98" s="112">
        <v>6.09</v>
      </c>
      <c r="D98" s="112">
        <v>14.03</v>
      </c>
      <c r="E98" s="112">
        <v>12.82</v>
      </c>
      <c r="F98" s="112">
        <v>16.170000000000002</v>
      </c>
      <c r="G98" s="112">
        <v>47.65</v>
      </c>
      <c r="H98" s="112">
        <v>17.190000000000001</v>
      </c>
      <c r="I98" s="112">
        <v>7.1</v>
      </c>
      <c r="J98" s="112">
        <v>0.1</v>
      </c>
      <c r="K98" s="112">
        <v>195.1</v>
      </c>
      <c r="L98" s="112">
        <v>32.93</v>
      </c>
      <c r="M98" s="112">
        <v>50.97</v>
      </c>
      <c r="N98" s="112">
        <v>0</v>
      </c>
      <c r="O98" s="112">
        <v>0</v>
      </c>
      <c r="P98" s="112">
        <v>0.7</v>
      </c>
      <c r="Q98" s="112">
        <v>9.39</v>
      </c>
    </row>
    <row r="99" spans="1:22" customFormat="1">
      <c r="A99" s="80">
        <v>45435.947916666664</v>
      </c>
      <c r="B99" s="112">
        <v>7.29</v>
      </c>
      <c r="C99" s="112">
        <v>6.11</v>
      </c>
      <c r="D99" s="112">
        <v>14.05</v>
      </c>
      <c r="E99" s="112">
        <v>12.16</v>
      </c>
      <c r="F99" s="112">
        <v>12.79</v>
      </c>
      <c r="G99" s="112">
        <v>47.29</v>
      </c>
      <c r="H99" s="112">
        <v>17.190000000000001</v>
      </c>
      <c r="I99" s="112">
        <v>7.17</v>
      </c>
      <c r="J99" s="112">
        <v>0.14000000000000001</v>
      </c>
      <c r="K99" s="112">
        <v>167.88</v>
      </c>
      <c r="L99" s="112">
        <v>32.770000000000003</v>
      </c>
      <c r="M99" s="112">
        <v>51.25</v>
      </c>
      <c r="N99" s="112">
        <v>0</v>
      </c>
      <c r="O99" s="112">
        <v>0</v>
      </c>
      <c r="P99" s="112">
        <v>0.71</v>
      </c>
      <c r="Q99" s="112">
        <v>7.75</v>
      </c>
    </row>
    <row r="100" spans="1:22" customFormat="1">
      <c r="A100" s="80">
        <v>45435.958333333336</v>
      </c>
      <c r="B100" s="112">
        <v>7.31</v>
      </c>
      <c r="C100" s="112">
        <v>6.11</v>
      </c>
      <c r="D100" s="112">
        <v>14.06</v>
      </c>
      <c r="E100" s="112">
        <v>11.8</v>
      </c>
      <c r="F100" s="112">
        <v>15.7</v>
      </c>
      <c r="G100" s="112">
        <v>47.29</v>
      </c>
      <c r="H100" s="112">
        <v>17.190000000000001</v>
      </c>
      <c r="I100" s="112">
        <v>7.23</v>
      </c>
      <c r="J100" s="112">
        <v>0.19</v>
      </c>
      <c r="K100" s="112">
        <v>101.61</v>
      </c>
      <c r="L100" s="112">
        <v>32.79</v>
      </c>
      <c r="M100" s="112">
        <v>50.7</v>
      </c>
      <c r="N100" s="112">
        <v>0</v>
      </c>
      <c r="O100" s="112">
        <v>0</v>
      </c>
      <c r="P100" s="112">
        <v>0.71</v>
      </c>
      <c r="Q100" s="112">
        <v>10.26</v>
      </c>
    </row>
    <row r="101" spans="1:22" customFormat="1">
      <c r="A101" s="80">
        <v>45435.96875</v>
      </c>
      <c r="B101" s="112">
        <v>7.31</v>
      </c>
      <c r="C101" s="112">
        <v>6.08</v>
      </c>
      <c r="D101" s="112">
        <v>14.05</v>
      </c>
      <c r="E101" s="112">
        <v>10.79</v>
      </c>
      <c r="F101" s="112">
        <v>14.09</v>
      </c>
      <c r="G101" s="112">
        <v>47.29</v>
      </c>
      <c r="H101" s="112">
        <v>17.190000000000001</v>
      </c>
      <c r="I101" s="112">
        <v>7.23</v>
      </c>
      <c r="J101" s="112">
        <v>0.2</v>
      </c>
      <c r="K101" s="112">
        <v>116.91</v>
      </c>
      <c r="L101" s="112">
        <v>32.9</v>
      </c>
      <c r="M101" s="112">
        <v>49.2</v>
      </c>
      <c r="N101" s="112">
        <v>0</v>
      </c>
      <c r="O101" s="112">
        <v>0</v>
      </c>
      <c r="P101" s="112">
        <v>0.69</v>
      </c>
      <c r="Q101" s="112">
        <v>10.86</v>
      </c>
    </row>
    <row r="102" spans="1:22" customFormat="1">
      <c r="A102" s="80">
        <v>45435.979166666664</v>
      </c>
      <c r="B102" s="112">
        <v>7.3</v>
      </c>
      <c r="C102" s="112">
        <v>6.09</v>
      </c>
      <c r="D102" s="112">
        <v>14.04</v>
      </c>
      <c r="E102" s="112">
        <v>10.51</v>
      </c>
      <c r="F102" s="112">
        <v>11.85</v>
      </c>
      <c r="G102" s="112">
        <v>48.05</v>
      </c>
      <c r="H102" s="112">
        <v>18.63</v>
      </c>
      <c r="I102" s="112">
        <v>7.19</v>
      </c>
      <c r="J102" s="112">
        <v>0.24</v>
      </c>
      <c r="K102" s="112">
        <v>147.91999999999999</v>
      </c>
      <c r="L102" s="112">
        <v>33.04</v>
      </c>
      <c r="M102" s="112">
        <v>49.4</v>
      </c>
      <c r="N102" s="112">
        <v>0</v>
      </c>
      <c r="O102" s="112">
        <v>0</v>
      </c>
      <c r="P102" s="112">
        <v>0.68</v>
      </c>
      <c r="Q102" s="112">
        <v>3.07</v>
      </c>
    </row>
    <row r="103" spans="1:22" customFormat="1">
      <c r="A103" s="80">
        <v>45435.989583333336</v>
      </c>
      <c r="B103" s="112">
        <v>7.31</v>
      </c>
      <c r="C103" s="112">
        <v>6.08</v>
      </c>
      <c r="D103" s="112">
        <v>14.04</v>
      </c>
      <c r="E103" s="112">
        <v>10.51</v>
      </c>
      <c r="F103" s="112">
        <v>11.31</v>
      </c>
      <c r="G103" s="112">
        <v>48.21</v>
      </c>
      <c r="H103" s="112">
        <v>18.63</v>
      </c>
      <c r="I103" s="112">
        <v>6.92</v>
      </c>
      <c r="J103" s="112">
        <v>0.19</v>
      </c>
      <c r="K103" s="112">
        <v>215.84</v>
      </c>
      <c r="L103" s="112">
        <v>32.61</v>
      </c>
      <c r="M103" s="112">
        <v>50.97</v>
      </c>
      <c r="N103" s="112">
        <v>0</v>
      </c>
      <c r="O103" s="112">
        <v>0</v>
      </c>
      <c r="P103" s="112">
        <v>0.66</v>
      </c>
      <c r="Q103" s="112">
        <v>20.82</v>
      </c>
    </row>
    <row r="104" spans="1:22" customFormat="1">
      <c r="A104" s="80">
        <v>45436</v>
      </c>
      <c r="B104" s="112">
        <v>7.31</v>
      </c>
      <c r="C104" s="112">
        <v>6.07</v>
      </c>
      <c r="D104" s="112">
        <v>14.04</v>
      </c>
      <c r="E104" s="112">
        <v>9.9700000000000006</v>
      </c>
      <c r="F104" s="112">
        <v>16.32</v>
      </c>
      <c r="G104" s="112">
        <v>48.21</v>
      </c>
      <c r="H104" s="112">
        <v>18.63</v>
      </c>
      <c r="I104" s="112">
        <v>6.55</v>
      </c>
      <c r="J104" s="112">
        <v>0.13</v>
      </c>
      <c r="K104" s="112">
        <v>132.33000000000001</v>
      </c>
      <c r="L104" s="112">
        <v>32.22</v>
      </c>
      <c r="M104" s="112">
        <v>52.32</v>
      </c>
      <c r="N104" s="112">
        <v>0</v>
      </c>
      <c r="O104" s="112">
        <v>0</v>
      </c>
      <c r="P104" s="112">
        <v>0.62</v>
      </c>
      <c r="Q104" s="112">
        <v>23.54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7.21</v>
      </c>
      <c r="C106" s="183">
        <f>MIN(C9:C104)</f>
        <v>6.03</v>
      </c>
      <c r="D106" s="183">
        <f t="shared" ref="D106:Q106" si="0">MIN(D9:D104)</f>
        <v>13.96</v>
      </c>
      <c r="E106" s="183">
        <f t="shared" si="0"/>
        <v>9.32</v>
      </c>
      <c r="F106" s="183">
        <f t="shared" si="0"/>
        <v>2.0699999999999998</v>
      </c>
      <c r="G106" s="183">
        <f t="shared" si="0"/>
        <v>29.9</v>
      </c>
      <c r="H106" s="183">
        <f t="shared" si="0"/>
        <v>0.46</v>
      </c>
      <c r="I106" s="183">
        <f t="shared" si="0"/>
        <v>2.27</v>
      </c>
      <c r="J106" s="183">
        <f t="shared" si="0"/>
        <v>0.1</v>
      </c>
      <c r="K106" s="183">
        <f t="shared" si="0"/>
        <v>101.61</v>
      </c>
      <c r="L106" s="183">
        <f t="shared" si="0"/>
        <v>32.22</v>
      </c>
      <c r="M106" s="183">
        <f t="shared" si="0"/>
        <v>28.92</v>
      </c>
      <c r="N106" s="183">
        <f t="shared" si="0"/>
        <v>0</v>
      </c>
      <c r="O106" s="183">
        <f t="shared" si="0"/>
        <v>0</v>
      </c>
      <c r="P106" s="183">
        <f t="shared" si="0"/>
        <v>0.38</v>
      </c>
      <c r="Q106" s="183">
        <f t="shared" si="0"/>
        <v>1.31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7.36</v>
      </c>
      <c r="C107" s="184">
        <f t="shared" ref="C107:Q107" si="1">MAX(C9:C104)</f>
        <v>6.12</v>
      </c>
      <c r="D107" s="184">
        <f t="shared" si="1"/>
        <v>14.1</v>
      </c>
      <c r="E107" s="184">
        <f t="shared" si="1"/>
        <v>22.95</v>
      </c>
      <c r="F107" s="184">
        <f t="shared" si="1"/>
        <v>111.51</v>
      </c>
      <c r="G107" s="184">
        <f t="shared" si="1"/>
        <v>49.32</v>
      </c>
      <c r="H107" s="184">
        <f t="shared" si="1"/>
        <v>26.36</v>
      </c>
      <c r="I107" s="184">
        <f t="shared" si="1"/>
        <v>12.5</v>
      </c>
      <c r="J107" s="184">
        <f t="shared" si="1"/>
        <v>1.4</v>
      </c>
      <c r="K107" s="184">
        <f t="shared" si="1"/>
        <v>323.82</v>
      </c>
      <c r="L107" s="184">
        <f t="shared" si="1"/>
        <v>40.33</v>
      </c>
      <c r="M107" s="184">
        <f t="shared" si="1"/>
        <v>52.32</v>
      </c>
      <c r="N107" s="184">
        <f t="shared" si="1"/>
        <v>807</v>
      </c>
      <c r="O107" s="184">
        <f t="shared" si="1"/>
        <v>0</v>
      </c>
      <c r="P107" s="184">
        <f t="shared" si="1"/>
        <v>4.7300000000000004</v>
      </c>
      <c r="Q107" s="184">
        <f t="shared" si="1"/>
        <v>132.57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7.3038461538461563</v>
      </c>
      <c r="C108" s="183">
        <f t="shared" ref="C108:Q108" si="2">AVERAGE(C9:C104)</f>
        <v>6.0815384615384636</v>
      </c>
      <c r="D108" s="183">
        <f t="shared" si="2"/>
        <v>14.043589743589738</v>
      </c>
      <c r="E108" s="183">
        <f t="shared" si="2"/>
        <v>15.200714285714284</v>
      </c>
      <c r="F108" s="183">
        <f t="shared" si="2"/>
        <v>49.403999999999996</v>
      </c>
      <c r="G108" s="183">
        <f t="shared" si="2"/>
        <v>38.000999999999983</v>
      </c>
      <c r="H108" s="183">
        <f t="shared" si="2"/>
        <v>12.42625</v>
      </c>
      <c r="I108" s="183">
        <f t="shared" si="2"/>
        <v>6.4893478260869601</v>
      </c>
      <c r="J108" s="183">
        <f t="shared" si="2"/>
        <v>0.50630434782608713</v>
      </c>
      <c r="K108" s="183">
        <f t="shared" si="2"/>
        <v>229.25760869565218</v>
      </c>
      <c r="L108" s="183">
        <f t="shared" si="2"/>
        <v>36.642173913043472</v>
      </c>
      <c r="M108" s="183">
        <f t="shared" si="2"/>
        <v>38.490000000000009</v>
      </c>
      <c r="N108" s="183">
        <f t="shared" si="2"/>
        <v>194.25652173913042</v>
      </c>
      <c r="O108" s="183">
        <f t="shared" si="2"/>
        <v>0</v>
      </c>
      <c r="P108" s="183">
        <f t="shared" si="2"/>
        <v>0.65152173913043487</v>
      </c>
      <c r="Q108" s="183">
        <f t="shared" si="2"/>
        <v>17.97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2.8341469023266272E-2</v>
      </c>
      <c r="C109" s="183">
        <f t="shared" ref="C109:Q109" si="3">STDEV(C9:C104)</f>
        <v>2.0968455197279669E-2</v>
      </c>
      <c r="D109" s="183">
        <f t="shared" si="3"/>
        <v>2.8143165898218237E-2</v>
      </c>
      <c r="E109" s="183">
        <f t="shared" si="3"/>
        <v>3.7997788079764705</v>
      </c>
      <c r="F109" s="183">
        <f t="shared" si="3"/>
        <v>36.202880058711578</v>
      </c>
      <c r="G109" s="183">
        <f t="shared" si="3"/>
        <v>7.3610032064338569</v>
      </c>
      <c r="H109" s="183">
        <f t="shared" si="3"/>
        <v>5.2735117903124191</v>
      </c>
      <c r="I109" s="183">
        <f t="shared" si="3"/>
        <v>2.8361032751716886</v>
      </c>
      <c r="J109" s="183">
        <f t="shared" si="3"/>
        <v>0.39536401621039002</v>
      </c>
      <c r="K109" s="183">
        <f t="shared" si="3"/>
        <v>58.409830686462811</v>
      </c>
      <c r="L109" s="183">
        <f t="shared" si="3"/>
        <v>2.7662255978086643</v>
      </c>
      <c r="M109" s="183">
        <f t="shared" si="3"/>
        <v>8.8698250014053404</v>
      </c>
      <c r="N109" s="183">
        <f t="shared" si="3"/>
        <v>271.83086624850137</v>
      </c>
      <c r="O109" s="183">
        <f t="shared" si="3"/>
        <v>0</v>
      </c>
      <c r="P109" s="183">
        <f t="shared" si="3"/>
        <v>0.62712028756249305</v>
      </c>
      <c r="Q109" s="183">
        <f t="shared" si="3"/>
        <v>22.697517785792424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45436.010416666664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45436.010416666664</v>
      </c>
      <c r="B9" s="112">
        <v>7.13</v>
      </c>
      <c r="C9" s="112">
        <v>6.19</v>
      </c>
      <c r="D9" s="112">
        <v>13.96</v>
      </c>
      <c r="E9" s="112">
        <v>10.07</v>
      </c>
      <c r="F9" s="112">
        <v>12.69</v>
      </c>
      <c r="G9" s="112">
        <v>48.21</v>
      </c>
      <c r="H9" s="112">
        <v>18.63</v>
      </c>
      <c r="I9" s="112">
        <v>6.43</v>
      </c>
      <c r="J9" s="112">
        <v>0.2</v>
      </c>
      <c r="K9" s="112">
        <v>124.32</v>
      </c>
      <c r="L9" s="112">
        <v>32.17</v>
      </c>
      <c r="M9" s="112">
        <v>52.87</v>
      </c>
      <c r="N9" s="112">
        <v>0</v>
      </c>
      <c r="O9" s="112">
        <v>0</v>
      </c>
      <c r="P9" s="112">
        <v>0.63</v>
      </c>
      <c r="Q9" s="112">
        <v>15.8</v>
      </c>
    </row>
    <row r="10" spans="1:21" customFormat="1">
      <c r="A10" s="80">
        <v>45436.020833333336</v>
      </c>
      <c r="B10" s="112">
        <v>7.16</v>
      </c>
      <c r="C10" s="112">
        <v>6.09</v>
      </c>
      <c r="D10" s="112">
        <v>13.94</v>
      </c>
      <c r="E10" s="112">
        <v>9.81</v>
      </c>
      <c r="F10" s="112">
        <v>9.48</v>
      </c>
      <c r="G10" s="112">
        <v>47.04</v>
      </c>
      <c r="H10" s="112">
        <v>15.3</v>
      </c>
      <c r="I10" s="112">
        <v>6.43</v>
      </c>
      <c r="J10" s="112">
        <v>0.17</v>
      </c>
      <c r="K10" s="112">
        <v>127.49</v>
      </c>
      <c r="L10" s="112">
        <v>32.07</v>
      </c>
      <c r="M10" s="112">
        <v>53.72</v>
      </c>
      <c r="N10" s="112">
        <v>0</v>
      </c>
      <c r="O10" s="112">
        <v>0</v>
      </c>
      <c r="P10" s="112">
        <v>0.66</v>
      </c>
      <c r="Q10" s="112">
        <v>9.08</v>
      </c>
    </row>
    <row r="11" spans="1:21" customFormat="1">
      <c r="A11" s="80">
        <v>45436.03125</v>
      </c>
      <c r="B11" s="112">
        <v>7.18</v>
      </c>
      <c r="C11" s="112">
        <v>6.06</v>
      </c>
      <c r="D11" s="112">
        <v>13.93</v>
      </c>
      <c r="E11" s="112">
        <v>10.29</v>
      </c>
      <c r="F11" s="112">
        <v>8.07</v>
      </c>
      <c r="G11" s="112">
        <v>46.79</v>
      </c>
      <c r="H11" s="112">
        <v>15.3</v>
      </c>
      <c r="I11" s="112">
        <v>6.26</v>
      </c>
      <c r="J11" s="112">
        <v>0.15</v>
      </c>
      <c r="K11" s="112">
        <v>171.55</v>
      </c>
      <c r="L11" s="112">
        <v>31.94</v>
      </c>
      <c r="M11" s="112">
        <v>54.87</v>
      </c>
      <c r="N11" s="112">
        <v>0</v>
      </c>
      <c r="O11" s="112">
        <v>0</v>
      </c>
      <c r="P11" s="112">
        <v>0.66</v>
      </c>
      <c r="Q11" s="112">
        <v>0.79</v>
      </c>
    </row>
    <row r="12" spans="1:21" customFormat="1">
      <c r="A12" s="80">
        <v>45436.041666666664</v>
      </c>
      <c r="B12" s="112">
        <v>7.17</v>
      </c>
      <c r="C12" s="112">
        <v>6.05</v>
      </c>
      <c r="D12" s="112">
        <v>13.92</v>
      </c>
      <c r="E12" s="112">
        <v>10.94</v>
      </c>
      <c r="F12" s="112">
        <v>8.9499999999999993</v>
      </c>
      <c r="G12" s="112">
        <v>46.79</v>
      </c>
      <c r="H12" s="112">
        <v>15.3</v>
      </c>
      <c r="I12" s="112">
        <v>6.24</v>
      </c>
      <c r="J12" s="112">
        <v>0.22</v>
      </c>
      <c r="K12" s="112">
        <v>155.97999999999999</v>
      </c>
      <c r="L12" s="112">
        <v>31.65</v>
      </c>
      <c r="M12" s="112">
        <v>56.06</v>
      </c>
      <c r="N12" s="112">
        <v>0</v>
      </c>
      <c r="O12" s="112">
        <v>0</v>
      </c>
      <c r="P12" s="112">
        <v>0.66</v>
      </c>
      <c r="Q12" s="112">
        <v>6.39</v>
      </c>
    </row>
    <row r="13" spans="1:21" customFormat="1">
      <c r="A13" s="80">
        <v>45436.052083333336</v>
      </c>
      <c r="B13" s="112">
        <v>7.16</v>
      </c>
      <c r="C13" s="112">
        <v>6.08</v>
      </c>
      <c r="D13" s="112">
        <v>13.93</v>
      </c>
      <c r="E13" s="112">
        <v>10.48</v>
      </c>
      <c r="F13" s="112">
        <v>9.15</v>
      </c>
      <c r="G13" s="112">
        <v>46.79</v>
      </c>
      <c r="H13" s="112">
        <v>15.3</v>
      </c>
      <c r="I13" s="112">
        <v>6.46</v>
      </c>
      <c r="J13" s="112">
        <v>0.21</v>
      </c>
      <c r="K13" s="112">
        <v>115.01</v>
      </c>
      <c r="L13" s="112">
        <v>31.84</v>
      </c>
      <c r="M13" s="112">
        <v>55.59</v>
      </c>
      <c r="N13" s="112">
        <v>0</v>
      </c>
      <c r="O13" s="112">
        <v>0</v>
      </c>
      <c r="P13" s="112">
        <v>0.66</v>
      </c>
      <c r="Q13" s="112">
        <v>6.81</v>
      </c>
    </row>
    <row r="14" spans="1:21" customFormat="1">
      <c r="A14" s="80">
        <v>45436.0625</v>
      </c>
      <c r="B14" s="112">
        <v>7.17</v>
      </c>
      <c r="C14" s="112">
        <v>6.06</v>
      </c>
      <c r="D14" s="112">
        <v>13.93</v>
      </c>
      <c r="E14" s="112">
        <v>10.38</v>
      </c>
      <c r="F14" s="112">
        <v>4.9800000000000004</v>
      </c>
      <c r="G14" s="112">
        <v>50.65</v>
      </c>
      <c r="H14" s="112">
        <v>18.78</v>
      </c>
      <c r="I14" s="112">
        <v>6.56</v>
      </c>
      <c r="J14" s="112">
        <v>0.33</v>
      </c>
      <c r="K14" s="112">
        <v>118.35</v>
      </c>
      <c r="L14" s="112">
        <v>31.76</v>
      </c>
      <c r="M14" s="112">
        <v>56.05</v>
      </c>
      <c r="N14" s="112">
        <v>0</v>
      </c>
      <c r="O14" s="112">
        <v>0</v>
      </c>
      <c r="P14" s="112">
        <v>0.67</v>
      </c>
      <c r="Q14" s="112">
        <v>6.64</v>
      </c>
    </row>
    <row r="15" spans="1:21" customFormat="1">
      <c r="A15" s="80">
        <v>45436.072916666664</v>
      </c>
      <c r="B15" s="112">
        <v>7.15</v>
      </c>
      <c r="C15" s="112">
        <v>6.06</v>
      </c>
      <c r="D15" s="112">
        <v>13.91</v>
      </c>
      <c r="E15" s="112">
        <v>13.98</v>
      </c>
      <c r="F15" s="112">
        <v>7.47</v>
      </c>
      <c r="G15" s="112">
        <v>51.48</v>
      </c>
      <c r="H15" s="112">
        <v>18.78</v>
      </c>
      <c r="I15" s="112">
        <v>6.35</v>
      </c>
      <c r="J15" s="112">
        <v>0.38</v>
      </c>
      <c r="K15" s="112">
        <v>108.35</v>
      </c>
      <c r="L15" s="112">
        <v>31.66</v>
      </c>
      <c r="M15" s="112">
        <v>56.66</v>
      </c>
      <c r="N15" s="112">
        <v>0</v>
      </c>
      <c r="O15" s="112">
        <v>0</v>
      </c>
      <c r="P15" s="112">
        <v>0.66</v>
      </c>
      <c r="Q15" s="112">
        <v>5.17</v>
      </c>
    </row>
    <row r="16" spans="1:21" customFormat="1">
      <c r="A16" s="80">
        <v>45436.083333333336</v>
      </c>
      <c r="B16" s="112">
        <v>7.13</v>
      </c>
      <c r="C16" s="112">
        <v>6.07</v>
      </c>
      <c r="D16" s="112">
        <v>13.9</v>
      </c>
      <c r="E16" s="112">
        <v>12.07</v>
      </c>
      <c r="F16" s="112">
        <v>10.1</v>
      </c>
      <c r="G16" s="112">
        <v>51.48</v>
      </c>
      <c r="H16" s="112">
        <v>18.78</v>
      </c>
      <c r="I16" s="112">
        <v>6.4</v>
      </c>
      <c r="J16" s="112">
        <v>0.43</v>
      </c>
      <c r="K16" s="112">
        <v>118.79</v>
      </c>
      <c r="L16" s="112">
        <v>31.48</v>
      </c>
      <c r="M16" s="112">
        <v>55.89</v>
      </c>
      <c r="N16" s="112">
        <v>0</v>
      </c>
      <c r="O16" s="112">
        <v>0</v>
      </c>
      <c r="P16" s="112">
        <v>0.61</v>
      </c>
      <c r="Q16" s="112">
        <v>5</v>
      </c>
    </row>
    <row r="17" spans="1:17" customFormat="1">
      <c r="A17" s="80">
        <v>45436.09375</v>
      </c>
      <c r="B17" s="112">
        <v>7.15</v>
      </c>
      <c r="C17" s="112">
        <v>6.11</v>
      </c>
      <c r="D17" s="112">
        <v>13.93</v>
      </c>
      <c r="E17" s="112">
        <v>8.5500000000000007</v>
      </c>
      <c r="F17" s="112">
        <v>11.65</v>
      </c>
      <c r="G17" s="112">
        <v>51.48</v>
      </c>
      <c r="H17" s="112">
        <v>18.78</v>
      </c>
      <c r="I17" s="112">
        <v>6.39</v>
      </c>
      <c r="J17" s="112">
        <v>0.41</v>
      </c>
      <c r="K17" s="112">
        <v>115.25</v>
      </c>
      <c r="L17" s="112">
        <v>31.25</v>
      </c>
      <c r="M17" s="112">
        <v>56.14</v>
      </c>
      <c r="N17" s="112">
        <v>0</v>
      </c>
      <c r="O17" s="112">
        <v>0</v>
      </c>
      <c r="P17" s="112">
        <v>0.56000000000000005</v>
      </c>
      <c r="Q17" s="112">
        <v>5</v>
      </c>
    </row>
    <row r="18" spans="1:17" customFormat="1">
      <c r="A18" s="80">
        <v>45436.104166666664</v>
      </c>
      <c r="B18" s="112">
        <v>7.15</v>
      </c>
      <c r="C18" s="112">
        <v>6.08</v>
      </c>
      <c r="D18" s="112">
        <v>13.92</v>
      </c>
      <c r="E18" s="112">
        <v>9.1999999999999993</v>
      </c>
      <c r="F18" s="112">
        <v>16.440000000000001</v>
      </c>
      <c r="G18" s="112">
        <v>42.56</v>
      </c>
      <c r="H18" s="112">
        <v>15.24</v>
      </c>
      <c r="I18" s="112">
        <v>5.94</v>
      </c>
      <c r="J18" s="112">
        <v>0.27</v>
      </c>
      <c r="K18" s="112">
        <v>107.77</v>
      </c>
      <c r="L18" s="112">
        <v>31.13</v>
      </c>
      <c r="M18" s="112">
        <v>56.85</v>
      </c>
      <c r="N18" s="112">
        <v>0</v>
      </c>
      <c r="O18" s="112">
        <v>0</v>
      </c>
      <c r="P18" s="112">
        <v>0.5</v>
      </c>
      <c r="Q18" s="112">
        <v>5</v>
      </c>
    </row>
    <row r="19" spans="1:17" customFormat="1">
      <c r="A19" s="80">
        <v>45436.114583333336</v>
      </c>
      <c r="B19" s="112">
        <v>7.14</v>
      </c>
      <c r="C19" s="112">
        <v>6.11</v>
      </c>
      <c r="D19" s="112">
        <v>13.93</v>
      </c>
      <c r="E19" s="112">
        <v>8.6999999999999993</v>
      </c>
      <c r="F19" s="112">
        <v>11.92</v>
      </c>
      <c r="G19" s="112">
        <v>40.630000000000003</v>
      </c>
      <c r="H19" s="112">
        <v>15.24</v>
      </c>
      <c r="I19" s="112">
        <v>5.4</v>
      </c>
      <c r="J19" s="112">
        <v>0.33</v>
      </c>
      <c r="K19" s="112">
        <v>116.57</v>
      </c>
      <c r="L19" s="112">
        <v>30.86</v>
      </c>
      <c r="M19" s="112">
        <v>57.76</v>
      </c>
      <c r="N19" s="112">
        <v>0</v>
      </c>
      <c r="O19" s="112">
        <v>0</v>
      </c>
      <c r="P19" s="112">
        <v>0.52</v>
      </c>
      <c r="Q19" s="112">
        <v>1.01</v>
      </c>
    </row>
    <row r="20" spans="1:17" customFormat="1">
      <c r="A20" s="80">
        <v>45436.125</v>
      </c>
      <c r="B20" s="112">
        <v>7.16</v>
      </c>
      <c r="C20" s="112">
        <v>6.09</v>
      </c>
      <c r="D20" s="112">
        <v>13.93</v>
      </c>
      <c r="E20" s="112">
        <v>8.39</v>
      </c>
      <c r="F20" s="112">
        <v>10.210000000000001</v>
      </c>
      <c r="G20" s="112">
        <v>40.630000000000003</v>
      </c>
      <c r="H20" s="112">
        <v>15.24</v>
      </c>
      <c r="I20" s="112">
        <v>5.12</v>
      </c>
      <c r="J20" s="112">
        <v>0.41</v>
      </c>
      <c r="K20" s="112">
        <v>104.45</v>
      </c>
      <c r="L20" s="112">
        <v>30.6</v>
      </c>
      <c r="M20" s="112">
        <v>58.28</v>
      </c>
      <c r="N20" s="112">
        <v>0</v>
      </c>
      <c r="O20" s="112">
        <v>0</v>
      </c>
      <c r="P20" s="112">
        <v>0.53</v>
      </c>
      <c r="Q20" s="112">
        <v>5.27</v>
      </c>
    </row>
    <row r="21" spans="1:17" customFormat="1">
      <c r="A21" s="80">
        <v>45436.135416666664</v>
      </c>
      <c r="B21" s="112">
        <v>7.18</v>
      </c>
      <c r="C21" s="112">
        <v>6.05</v>
      </c>
      <c r="D21" s="112">
        <v>13.93</v>
      </c>
      <c r="E21" s="112">
        <v>7.91</v>
      </c>
      <c r="F21" s="112">
        <v>11.22</v>
      </c>
      <c r="G21" s="112">
        <v>40.630000000000003</v>
      </c>
      <c r="H21" s="112">
        <v>15.24</v>
      </c>
      <c r="I21" s="112">
        <v>5.38</v>
      </c>
      <c r="J21" s="112">
        <v>0.28000000000000003</v>
      </c>
      <c r="K21" s="112">
        <v>113.53</v>
      </c>
      <c r="L21" s="112">
        <v>30.41</v>
      </c>
      <c r="M21" s="112">
        <v>58.51</v>
      </c>
      <c r="N21" s="112">
        <v>0</v>
      </c>
      <c r="O21" s="112">
        <v>0</v>
      </c>
      <c r="P21" s="112">
        <v>0.51</v>
      </c>
      <c r="Q21" s="112">
        <v>5.58</v>
      </c>
    </row>
    <row r="22" spans="1:17" customFormat="1">
      <c r="A22" s="80">
        <v>45436.145833333336</v>
      </c>
      <c r="B22" s="112">
        <v>7.18</v>
      </c>
      <c r="C22" s="112">
        <v>6.06</v>
      </c>
      <c r="D22" s="112">
        <v>13.93</v>
      </c>
      <c r="E22" s="112">
        <v>8.14</v>
      </c>
      <c r="F22" s="112">
        <v>16.2</v>
      </c>
      <c r="G22" s="112">
        <v>31.41</v>
      </c>
      <c r="H22" s="112">
        <v>11.97</v>
      </c>
      <c r="I22" s="112">
        <v>5.48</v>
      </c>
      <c r="J22" s="112">
        <v>0.24</v>
      </c>
      <c r="K22" s="112">
        <v>111.17</v>
      </c>
      <c r="L22" s="112">
        <v>30.06</v>
      </c>
      <c r="M22" s="112">
        <v>59.68</v>
      </c>
      <c r="N22" s="112">
        <v>0</v>
      </c>
      <c r="O22" s="112">
        <v>0</v>
      </c>
      <c r="P22" s="112">
        <v>0.47</v>
      </c>
      <c r="Q22" s="112">
        <v>6.34</v>
      </c>
    </row>
    <row r="23" spans="1:17" customFormat="1">
      <c r="A23" s="80">
        <v>45436.15625</v>
      </c>
      <c r="B23" s="112">
        <v>7.19</v>
      </c>
      <c r="C23" s="112">
        <v>6.08</v>
      </c>
      <c r="D23" s="112">
        <v>13.95</v>
      </c>
      <c r="E23" s="112">
        <v>8.43</v>
      </c>
      <c r="F23" s="112">
        <v>12.84</v>
      </c>
      <c r="G23" s="112">
        <v>29.42</v>
      </c>
      <c r="H23" s="112">
        <v>11.97</v>
      </c>
      <c r="I23" s="112">
        <v>5.22</v>
      </c>
      <c r="J23" s="112">
        <v>0.27</v>
      </c>
      <c r="K23" s="112">
        <v>113.2</v>
      </c>
      <c r="L23" s="112">
        <v>29.91</v>
      </c>
      <c r="M23" s="112">
        <v>60.17</v>
      </c>
      <c r="N23" s="112">
        <v>0</v>
      </c>
      <c r="O23" s="112">
        <v>0</v>
      </c>
      <c r="P23" s="112">
        <v>0.48</v>
      </c>
      <c r="Q23" s="112">
        <v>12.47</v>
      </c>
    </row>
    <row r="24" spans="1:17" customFormat="1">
      <c r="A24" s="80">
        <v>45436.166666666664</v>
      </c>
      <c r="B24" s="112">
        <v>7.19</v>
      </c>
      <c r="C24" s="112">
        <v>6.07</v>
      </c>
      <c r="D24" s="112">
        <v>13.94</v>
      </c>
      <c r="E24" s="112">
        <v>8.34</v>
      </c>
      <c r="F24" s="112">
        <v>11.75</v>
      </c>
      <c r="G24" s="112">
        <v>29.42</v>
      </c>
      <c r="H24" s="112">
        <v>11.97</v>
      </c>
      <c r="I24" s="112">
        <v>4.9800000000000004</v>
      </c>
      <c r="J24" s="112">
        <v>0.39</v>
      </c>
      <c r="K24" s="112">
        <v>118.28</v>
      </c>
      <c r="L24" s="112">
        <v>29.64</v>
      </c>
      <c r="M24" s="112">
        <v>61.36</v>
      </c>
      <c r="N24" s="112">
        <v>0</v>
      </c>
      <c r="O24" s="112">
        <v>0</v>
      </c>
      <c r="P24" s="112">
        <v>0.48</v>
      </c>
      <c r="Q24" s="112">
        <v>12.06</v>
      </c>
    </row>
    <row r="25" spans="1:17" customFormat="1">
      <c r="A25" s="80">
        <v>45436.177083333336</v>
      </c>
      <c r="B25" s="112">
        <v>7.16</v>
      </c>
      <c r="C25" s="112">
        <v>6.09</v>
      </c>
      <c r="D25" s="112">
        <v>13.94</v>
      </c>
      <c r="E25" s="112">
        <v>7.81</v>
      </c>
      <c r="F25" s="112">
        <v>10.9</v>
      </c>
      <c r="G25" s="112">
        <v>29.42</v>
      </c>
      <c r="H25" s="112">
        <v>11.97</v>
      </c>
      <c r="I25" s="112">
        <v>5.0199999999999996</v>
      </c>
      <c r="J25" s="112">
        <v>0.24</v>
      </c>
      <c r="K25" s="112">
        <v>109.05</v>
      </c>
      <c r="L25" s="112">
        <v>29.37</v>
      </c>
      <c r="M25" s="112">
        <v>62.31</v>
      </c>
      <c r="N25" s="112">
        <v>0</v>
      </c>
      <c r="O25" s="112">
        <v>0</v>
      </c>
      <c r="P25" s="112">
        <v>0.48</v>
      </c>
      <c r="Q25" s="112">
        <v>8.4700000000000006</v>
      </c>
    </row>
    <row r="26" spans="1:17" customFormat="1">
      <c r="A26" s="80">
        <v>45436.1875</v>
      </c>
      <c r="B26" s="112">
        <v>7.14</v>
      </c>
      <c r="C26" s="112">
        <v>6.09</v>
      </c>
      <c r="D26" s="112">
        <v>13.92</v>
      </c>
      <c r="E26" s="112">
        <v>8.1</v>
      </c>
      <c r="F26" s="112">
        <v>12.1</v>
      </c>
      <c r="G26" s="112">
        <v>28.88</v>
      </c>
      <c r="H26" s="112">
        <v>9.98</v>
      </c>
      <c r="I26" s="112">
        <v>5.14</v>
      </c>
      <c r="J26" s="112">
        <v>0.15</v>
      </c>
      <c r="K26" s="112">
        <v>158.16</v>
      </c>
      <c r="L26" s="112">
        <v>29.18</v>
      </c>
      <c r="M26" s="112">
        <v>63.56</v>
      </c>
      <c r="N26" s="112">
        <v>0</v>
      </c>
      <c r="O26" s="112">
        <v>0</v>
      </c>
      <c r="P26" s="112">
        <v>0.47</v>
      </c>
      <c r="Q26" s="112">
        <v>5.51</v>
      </c>
    </row>
    <row r="27" spans="1:17" customFormat="1">
      <c r="A27" s="80">
        <v>45436.197916666664</v>
      </c>
      <c r="B27" s="112">
        <v>7.13</v>
      </c>
      <c r="C27" s="112">
        <v>6.08</v>
      </c>
      <c r="D27" s="112">
        <v>13.91</v>
      </c>
      <c r="E27" s="112">
        <v>7.89</v>
      </c>
      <c r="F27" s="112">
        <v>10.98</v>
      </c>
      <c r="G27" s="112">
        <v>28.77</v>
      </c>
      <c r="H27" s="112">
        <v>9.98</v>
      </c>
      <c r="I27" s="112">
        <v>5.09</v>
      </c>
      <c r="J27" s="112">
        <v>0.22</v>
      </c>
      <c r="K27" s="112">
        <v>153.22999999999999</v>
      </c>
      <c r="L27" s="112">
        <v>28.77</v>
      </c>
      <c r="M27" s="112">
        <v>65.290000000000006</v>
      </c>
      <c r="N27" s="112">
        <v>0</v>
      </c>
      <c r="O27" s="112">
        <v>0</v>
      </c>
      <c r="P27" s="112">
        <v>0.48</v>
      </c>
      <c r="Q27" s="112">
        <v>5.28</v>
      </c>
    </row>
    <row r="28" spans="1:17" customFormat="1">
      <c r="A28" s="80">
        <v>45436.208333333336</v>
      </c>
      <c r="B28" s="112">
        <v>7.14</v>
      </c>
      <c r="C28" s="112">
        <v>6.11</v>
      </c>
      <c r="D28" s="112">
        <v>13.92</v>
      </c>
      <c r="E28" s="112">
        <v>8.02</v>
      </c>
      <c r="F28" s="112">
        <v>12.8</v>
      </c>
      <c r="G28" s="112">
        <v>28.77</v>
      </c>
      <c r="H28" s="112">
        <v>9.98</v>
      </c>
      <c r="I28" s="112">
        <v>4.87</v>
      </c>
      <c r="J28" s="112">
        <v>0.14000000000000001</v>
      </c>
      <c r="K28" s="112">
        <v>151.09</v>
      </c>
      <c r="L28" s="112">
        <v>28.73</v>
      </c>
      <c r="M28" s="112">
        <v>65.27</v>
      </c>
      <c r="N28" s="112">
        <v>0</v>
      </c>
      <c r="O28" s="112">
        <v>0</v>
      </c>
      <c r="P28" s="112">
        <v>0.47</v>
      </c>
      <c r="Q28" s="112">
        <v>6.43</v>
      </c>
    </row>
    <row r="29" spans="1:17" customFormat="1">
      <c r="A29" s="80">
        <v>45436.21875</v>
      </c>
      <c r="B29" s="112">
        <v>7.15</v>
      </c>
      <c r="C29" s="112">
        <v>6.09</v>
      </c>
      <c r="D29" s="112">
        <v>13.92</v>
      </c>
      <c r="E29" s="112">
        <v>7.39</v>
      </c>
      <c r="F29" s="112">
        <v>14.56</v>
      </c>
      <c r="G29" s="112">
        <v>28.77</v>
      </c>
      <c r="H29" s="112">
        <v>9.98</v>
      </c>
      <c r="I29" s="112">
        <v>4.8899999999999997</v>
      </c>
      <c r="J29" s="112">
        <v>0.21</v>
      </c>
      <c r="K29" s="112">
        <v>96.81</v>
      </c>
      <c r="L29" s="112">
        <v>28.54</v>
      </c>
      <c r="M29" s="112">
        <v>66.3</v>
      </c>
      <c r="N29" s="112">
        <v>0</v>
      </c>
      <c r="O29" s="112">
        <v>0</v>
      </c>
      <c r="P29" s="112">
        <v>0.44</v>
      </c>
      <c r="Q29" s="112">
        <v>7.04</v>
      </c>
    </row>
    <row r="30" spans="1:17" customFormat="1">
      <c r="A30" s="80">
        <v>45436.229166666664</v>
      </c>
      <c r="B30" s="112">
        <v>7.15</v>
      </c>
      <c r="C30" s="112">
        <v>6.06</v>
      </c>
      <c r="D30" s="112">
        <v>13.91</v>
      </c>
      <c r="E30" s="112">
        <v>7.39</v>
      </c>
      <c r="F30" s="112">
        <v>13.48</v>
      </c>
      <c r="G30" s="112">
        <v>28.2</v>
      </c>
      <c r="H30" s="112">
        <v>11.46</v>
      </c>
      <c r="I30" s="112">
        <v>4.78</v>
      </c>
      <c r="J30" s="112">
        <v>0.15</v>
      </c>
      <c r="K30" s="112">
        <v>113.47</v>
      </c>
      <c r="L30" s="112">
        <v>28.41</v>
      </c>
      <c r="M30" s="112">
        <v>67.010000000000005</v>
      </c>
      <c r="N30" s="112">
        <v>0.8</v>
      </c>
      <c r="O30" s="112">
        <v>0</v>
      </c>
      <c r="P30" s="112">
        <v>0.44</v>
      </c>
      <c r="Q30" s="112">
        <v>14.42</v>
      </c>
    </row>
    <row r="31" spans="1:17" customFormat="1">
      <c r="A31" s="80">
        <v>45436.239583333336</v>
      </c>
      <c r="B31" s="112">
        <v>7.15</v>
      </c>
      <c r="C31" s="112">
        <v>6.04</v>
      </c>
      <c r="D31" s="112">
        <v>13.9</v>
      </c>
      <c r="E31" s="112">
        <v>8.07</v>
      </c>
      <c r="F31" s="112">
        <v>11.61</v>
      </c>
      <c r="G31" s="112">
        <v>28.08</v>
      </c>
      <c r="H31" s="112">
        <v>11.46</v>
      </c>
      <c r="I31" s="112">
        <v>4.59</v>
      </c>
      <c r="J31" s="112">
        <v>7.0000000000000007E-2</v>
      </c>
      <c r="K31" s="112">
        <v>154.56</v>
      </c>
      <c r="L31" s="112">
        <v>28.36</v>
      </c>
      <c r="M31" s="112">
        <v>67.459999999999994</v>
      </c>
      <c r="N31" s="112">
        <v>9.6999999999999993</v>
      </c>
      <c r="O31" s="112">
        <v>0</v>
      </c>
      <c r="P31" s="112">
        <v>0.44</v>
      </c>
      <c r="Q31" s="112">
        <v>25.5</v>
      </c>
    </row>
    <row r="32" spans="1:17" customFormat="1">
      <c r="A32" s="80">
        <v>45436.25</v>
      </c>
      <c r="B32" s="112">
        <v>7.16</v>
      </c>
      <c r="C32" s="112">
        <v>6.05</v>
      </c>
      <c r="D32" s="112">
        <v>13.91</v>
      </c>
      <c r="E32" s="112">
        <v>9.2100000000000009</v>
      </c>
      <c r="F32" s="112">
        <v>12.62</v>
      </c>
      <c r="G32" s="112">
        <v>28.08</v>
      </c>
      <c r="H32" s="112">
        <v>11.46</v>
      </c>
      <c r="I32" s="112">
        <v>4.6100000000000003</v>
      </c>
      <c r="J32" s="112">
        <v>0.15</v>
      </c>
      <c r="K32" s="112">
        <v>177.87</v>
      </c>
      <c r="L32" s="112">
        <v>28.39</v>
      </c>
      <c r="M32" s="112">
        <v>67.88</v>
      </c>
      <c r="N32" s="112">
        <v>21.7</v>
      </c>
      <c r="O32" s="112">
        <v>0</v>
      </c>
      <c r="P32" s="112">
        <v>0.44</v>
      </c>
      <c r="Q32" s="112">
        <v>23.35</v>
      </c>
    </row>
    <row r="33" spans="1:17" customFormat="1">
      <c r="A33" s="80">
        <v>45436.260416666664</v>
      </c>
      <c r="B33" s="112">
        <v>7.16</v>
      </c>
      <c r="C33" s="112">
        <v>6.04</v>
      </c>
      <c r="D33" s="112">
        <v>13.9</v>
      </c>
      <c r="E33" s="112">
        <v>8.33</v>
      </c>
      <c r="F33" s="112">
        <v>7.06</v>
      </c>
      <c r="G33" s="112">
        <v>28.08</v>
      </c>
      <c r="H33" s="112">
        <v>11.46</v>
      </c>
      <c r="I33" s="112">
        <v>4.6500000000000004</v>
      </c>
      <c r="J33" s="112">
        <v>0.18</v>
      </c>
      <c r="K33" s="112">
        <v>161.54</v>
      </c>
      <c r="L33" s="112">
        <v>28.85</v>
      </c>
      <c r="M33" s="112">
        <v>66.12</v>
      </c>
      <c r="N33" s="112">
        <v>34.9</v>
      </c>
      <c r="O33" s="112">
        <v>0</v>
      </c>
      <c r="P33" s="112">
        <v>0.45</v>
      </c>
      <c r="Q33" s="112">
        <v>22.38</v>
      </c>
    </row>
    <row r="34" spans="1:17" customFormat="1">
      <c r="A34" s="80">
        <v>45436.270833333336</v>
      </c>
      <c r="B34" s="112">
        <v>7.15</v>
      </c>
      <c r="C34" s="112">
        <v>6.03</v>
      </c>
      <c r="D34" s="112">
        <v>13.89</v>
      </c>
      <c r="E34" s="112">
        <v>8.3699999999999992</v>
      </c>
      <c r="F34" s="112">
        <v>7.12</v>
      </c>
      <c r="G34" s="112">
        <v>31.01</v>
      </c>
      <c r="H34" s="112">
        <v>9.66</v>
      </c>
      <c r="I34" s="112">
        <v>4.76</v>
      </c>
      <c r="J34" s="112">
        <v>0.16</v>
      </c>
      <c r="K34" s="112">
        <v>114.01</v>
      </c>
      <c r="L34" s="112">
        <v>29.3</v>
      </c>
      <c r="M34" s="112">
        <v>64.930000000000007</v>
      </c>
      <c r="N34" s="112">
        <v>49.2</v>
      </c>
      <c r="O34" s="112">
        <v>0</v>
      </c>
      <c r="P34" s="112">
        <v>0.46</v>
      </c>
      <c r="Q34" s="112">
        <v>30.81</v>
      </c>
    </row>
    <row r="35" spans="1:17" customFormat="1">
      <c r="A35" s="80">
        <v>45436.28125</v>
      </c>
      <c r="B35" s="112">
        <v>7.13</v>
      </c>
      <c r="C35" s="112">
        <v>6.05</v>
      </c>
      <c r="D35" s="112">
        <v>13.89</v>
      </c>
      <c r="E35" s="112">
        <v>7.92</v>
      </c>
      <c r="F35" s="112">
        <v>5.87</v>
      </c>
      <c r="G35" s="112">
        <v>31.64</v>
      </c>
      <c r="H35" s="112">
        <v>9.66</v>
      </c>
      <c r="I35" s="112">
        <v>4.97</v>
      </c>
      <c r="J35" s="112">
        <v>0.4</v>
      </c>
      <c r="K35" s="112">
        <v>359.01</v>
      </c>
      <c r="L35" s="112">
        <v>29.78</v>
      </c>
      <c r="M35" s="112">
        <v>63.17</v>
      </c>
      <c r="N35" s="112">
        <v>63.3</v>
      </c>
      <c r="O35" s="112">
        <v>0</v>
      </c>
      <c r="P35" s="112">
        <v>0.47</v>
      </c>
      <c r="Q35" s="112">
        <v>42.46</v>
      </c>
    </row>
    <row r="36" spans="1:17" customFormat="1">
      <c r="A36" s="80">
        <v>45436.291666666664</v>
      </c>
      <c r="B36" s="112">
        <v>7.14</v>
      </c>
      <c r="C36" s="112">
        <v>6.07</v>
      </c>
      <c r="D36" s="112">
        <v>13.91</v>
      </c>
      <c r="E36" s="112">
        <v>8.48</v>
      </c>
      <c r="F36" s="112">
        <v>7.03</v>
      </c>
      <c r="G36" s="112">
        <v>31.64</v>
      </c>
      <c r="H36" s="112">
        <v>9.66</v>
      </c>
      <c r="I36" s="112">
        <v>4.97</v>
      </c>
      <c r="J36" s="112">
        <v>0.63</v>
      </c>
      <c r="K36" s="112">
        <v>28.1</v>
      </c>
      <c r="L36" s="112">
        <v>29.88</v>
      </c>
      <c r="M36" s="112">
        <v>63.02</v>
      </c>
      <c r="N36" s="112">
        <v>76.7</v>
      </c>
      <c r="O36" s="112">
        <v>0</v>
      </c>
      <c r="P36" s="112">
        <v>0.48</v>
      </c>
      <c r="Q36" s="112">
        <v>40.56</v>
      </c>
    </row>
    <row r="37" spans="1:17" customFormat="1">
      <c r="A37" s="80">
        <v>45436.302083333336</v>
      </c>
      <c r="B37" s="112">
        <v>7.15</v>
      </c>
      <c r="C37" s="112">
        <v>6.09</v>
      </c>
      <c r="D37" s="112">
        <v>13.92</v>
      </c>
      <c r="E37" s="112">
        <v>8.56</v>
      </c>
      <c r="F37" s="112">
        <v>8.9</v>
      </c>
      <c r="G37" s="112">
        <v>31.64</v>
      </c>
      <c r="H37" s="112">
        <v>9.66</v>
      </c>
      <c r="I37" s="112">
        <v>4.9400000000000004</v>
      </c>
      <c r="J37" s="112">
        <v>0.38</v>
      </c>
      <c r="K37" s="112">
        <v>2.65</v>
      </c>
      <c r="L37" s="112">
        <v>30.31</v>
      </c>
      <c r="M37" s="112">
        <v>60.89</v>
      </c>
      <c r="N37" s="112">
        <v>87.5</v>
      </c>
      <c r="O37" s="112">
        <v>0</v>
      </c>
      <c r="P37" s="112">
        <v>0.47</v>
      </c>
      <c r="Q37" s="112">
        <v>32.1</v>
      </c>
    </row>
    <row r="38" spans="1:17" customFormat="1">
      <c r="A38" s="80">
        <v>45436.3125</v>
      </c>
      <c r="B38" s="112">
        <v>7.14</v>
      </c>
      <c r="C38" s="112">
        <v>6.08</v>
      </c>
      <c r="D38" s="112">
        <v>13.91</v>
      </c>
      <c r="E38" s="112">
        <v>7.83</v>
      </c>
      <c r="F38" s="112">
        <v>7.62</v>
      </c>
      <c r="G38" s="112">
        <v>31.97</v>
      </c>
      <c r="H38" s="112">
        <v>9.8000000000000007</v>
      </c>
      <c r="I38" s="112">
        <v>5.01</v>
      </c>
      <c r="J38" s="112">
        <v>0.38</v>
      </c>
      <c r="K38" s="112">
        <v>356.03</v>
      </c>
      <c r="L38" s="112">
        <v>31.26</v>
      </c>
      <c r="M38" s="112">
        <v>57.74</v>
      </c>
      <c r="N38" s="112">
        <v>97.5</v>
      </c>
      <c r="O38" s="112">
        <v>0</v>
      </c>
      <c r="P38" s="112">
        <v>0.48</v>
      </c>
      <c r="Q38" s="112">
        <v>42.73</v>
      </c>
    </row>
    <row r="39" spans="1:17" customFormat="1">
      <c r="A39" s="80">
        <v>45436.322916666664</v>
      </c>
      <c r="B39" s="112">
        <v>7.13</v>
      </c>
      <c r="C39" s="112">
        <v>6.05</v>
      </c>
      <c r="D39" s="112">
        <v>13.89</v>
      </c>
      <c r="E39" s="112">
        <v>8.1</v>
      </c>
      <c r="F39" s="112">
        <v>8.64</v>
      </c>
      <c r="G39" s="112">
        <v>32.04</v>
      </c>
      <c r="H39" s="112">
        <v>9.8000000000000007</v>
      </c>
      <c r="I39" s="112">
        <v>5.03</v>
      </c>
      <c r="J39" s="112">
        <v>0.42</v>
      </c>
      <c r="K39" s="112">
        <v>13.15</v>
      </c>
      <c r="L39" s="112">
        <v>31.91</v>
      </c>
      <c r="M39" s="112">
        <v>55.42</v>
      </c>
      <c r="N39" s="112">
        <v>109.4</v>
      </c>
      <c r="O39" s="112">
        <v>0</v>
      </c>
      <c r="P39" s="112">
        <v>0.49</v>
      </c>
      <c r="Q39" s="112">
        <v>70.25</v>
      </c>
    </row>
    <row r="40" spans="1:17" customFormat="1">
      <c r="A40" s="80">
        <v>45436.333333333336</v>
      </c>
      <c r="B40" s="112">
        <v>7.14</v>
      </c>
      <c r="C40" s="112">
        <v>6.03</v>
      </c>
      <c r="D40" s="112">
        <v>13.88</v>
      </c>
      <c r="E40" s="112">
        <v>8.5399999999999991</v>
      </c>
      <c r="F40" s="112">
        <v>8.67</v>
      </c>
      <c r="G40" s="112">
        <v>32.04</v>
      </c>
      <c r="H40" s="112">
        <v>9.8000000000000007</v>
      </c>
      <c r="I40" s="112">
        <v>5.0199999999999996</v>
      </c>
      <c r="J40" s="112">
        <v>0.35</v>
      </c>
      <c r="K40" s="112">
        <v>53.3</v>
      </c>
      <c r="L40" s="112">
        <v>32.46</v>
      </c>
      <c r="M40" s="112">
        <v>54.13</v>
      </c>
      <c r="N40" s="112">
        <v>119.6</v>
      </c>
      <c r="O40" s="112">
        <v>0</v>
      </c>
      <c r="P40" s="112">
        <v>0.48</v>
      </c>
      <c r="Q40" s="112">
        <v>30</v>
      </c>
    </row>
    <row r="41" spans="1:17" customFormat="1">
      <c r="A41" s="80">
        <v>45436.34375</v>
      </c>
      <c r="B41" s="112">
        <v>7.13</v>
      </c>
      <c r="C41" s="112">
        <v>6.06</v>
      </c>
      <c r="D41" s="112">
        <v>13.89</v>
      </c>
      <c r="E41" s="112">
        <v>8</v>
      </c>
      <c r="F41" s="112">
        <v>7.33</v>
      </c>
      <c r="G41" s="112">
        <v>32.04</v>
      </c>
      <c r="H41" s="112">
        <v>9.8000000000000007</v>
      </c>
      <c r="I41" s="112">
        <v>5.09</v>
      </c>
      <c r="J41" s="112">
        <v>0.4</v>
      </c>
      <c r="K41" s="112">
        <v>54.59</v>
      </c>
      <c r="L41" s="112">
        <v>33.35</v>
      </c>
      <c r="M41" s="112">
        <v>51.32</v>
      </c>
      <c r="N41" s="112">
        <v>127.9</v>
      </c>
      <c r="O41" s="112">
        <v>0</v>
      </c>
      <c r="P41" s="112">
        <v>0.48</v>
      </c>
      <c r="Q41" s="112">
        <v>38.6</v>
      </c>
    </row>
    <row r="42" spans="1:17" customFormat="1">
      <c r="A42" s="80">
        <v>45436.354166666664</v>
      </c>
      <c r="B42" s="112">
        <v>7.15</v>
      </c>
      <c r="C42" s="112">
        <v>6.07</v>
      </c>
      <c r="D42" s="112">
        <v>13.91</v>
      </c>
      <c r="E42" s="112">
        <v>8.34</v>
      </c>
      <c r="F42" s="112">
        <v>9.92</v>
      </c>
      <c r="G42" s="112">
        <v>31.44</v>
      </c>
      <c r="H42" s="112">
        <v>11.77</v>
      </c>
      <c r="I42" s="112">
        <v>5.15</v>
      </c>
      <c r="J42" s="112">
        <v>0.55000000000000004</v>
      </c>
      <c r="K42" s="112">
        <v>36.450000000000003</v>
      </c>
      <c r="L42" s="112">
        <v>33.799999999999997</v>
      </c>
      <c r="M42" s="112">
        <v>50.18</v>
      </c>
      <c r="N42" s="112">
        <v>138.80000000000001</v>
      </c>
      <c r="O42" s="112">
        <v>0</v>
      </c>
      <c r="P42" s="112">
        <v>0.49</v>
      </c>
      <c r="Q42" s="112">
        <v>66.88</v>
      </c>
    </row>
    <row r="43" spans="1:17" customFormat="1">
      <c r="A43" s="80">
        <v>45436.364583333336</v>
      </c>
      <c r="B43" s="112">
        <v>7.16</v>
      </c>
      <c r="C43" s="112">
        <v>6.05</v>
      </c>
      <c r="D43" s="112">
        <v>13.91</v>
      </c>
      <c r="E43" s="112">
        <v>8.41</v>
      </c>
      <c r="F43" s="112">
        <v>8.99</v>
      </c>
      <c r="G43" s="112">
        <v>31.31</v>
      </c>
      <c r="H43" s="112">
        <v>11.77</v>
      </c>
      <c r="I43" s="112">
        <v>5.18</v>
      </c>
      <c r="J43" s="112">
        <v>0.42</v>
      </c>
      <c r="K43" s="112">
        <v>37.36</v>
      </c>
      <c r="L43" s="112">
        <v>34.03</v>
      </c>
      <c r="M43" s="112">
        <v>49.1</v>
      </c>
      <c r="N43" s="112">
        <v>148.1</v>
      </c>
      <c r="O43" s="112">
        <v>0</v>
      </c>
      <c r="P43" s="112">
        <v>0.5</v>
      </c>
      <c r="Q43" s="112">
        <v>85.77</v>
      </c>
    </row>
    <row r="44" spans="1:17" customFormat="1">
      <c r="A44" s="80">
        <v>45436.375</v>
      </c>
      <c r="B44" s="112">
        <v>7.13</v>
      </c>
      <c r="C44" s="112">
        <v>6.06</v>
      </c>
      <c r="D44" s="112">
        <v>13.9</v>
      </c>
      <c r="E44" s="112">
        <v>8.6199999999999992</v>
      </c>
      <c r="F44" s="112">
        <v>7.02</v>
      </c>
      <c r="G44" s="112">
        <v>31.31</v>
      </c>
      <c r="H44" s="112">
        <v>11.77</v>
      </c>
      <c r="I44" s="112">
        <v>5.25</v>
      </c>
      <c r="J44" s="112">
        <v>0.25</v>
      </c>
      <c r="K44" s="112">
        <v>204.15</v>
      </c>
      <c r="L44" s="112">
        <v>34.85</v>
      </c>
      <c r="M44" s="112">
        <v>46.64</v>
      </c>
      <c r="N44" s="112">
        <v>158.4</v>
      </c>
      <c r="O44" s="112">
        <v>0</v>
      </c>
      <c r="P44" s="112">
        <v>0.51</v>
      </c>
      <c r="Q44" s="112">
        <v>65.260000000000005</v>
      </c>
    </row>
    <row r="45" spans="1:17" customFormat="1">
      <c r="A45" s="80">
        <v>45436.385416666664</v>
      </c>
      <c r="B45" s="112">
        <v>7.15</v>
      </c>
      <c r="C45" s="112">
        <v>6.06</v>
      </c>
      <c r="D45" s="112">
        <v>13.91</v>
      </c>
      <c r="E45" s="112">
        <v>9.26</v>
      </c>
      <c r="F45" s="112">
        <v>13.1</v>
      </c>
      <c r="G45" s="112">
        <v>31.31</v>
      </c>
      <c r="H45" s="112">
        <v>11.77</v>
      </c>
      <c r="I45" s="112">
        <v>5.32</v>
      </c>
      <c r="J45" s="112">
        <v>0.53</v>
      </c>
      <c r="K45" s="112">
        <v>14.85</v>
      </c>
      <c r="L45" s="112">
        <v>34.880000000000003</v>
      </c>
      <c r="M45" s="112">
        <v>47.3</v>
      </c>
      <c r="N45" s="112">
        <v>170.4</v>
      </c>
      <c r="O45" s="112">
        <v>0</v>
      </c>
      <c r="P45" s="112">
        <v>0.53</v>
      </c>
      <c r="Q45" s="112">
        <v>74.62</v>
      </c>
    </row>
    <row r="46" spans="1:17" customFormat="1">
      <c r="A46" s="80">
        <v>45436.395833333336</v>
      </c>
      <c r="B46" s="112">
        <v>7.15</v>
      </c>
      <c r="C46" s="112">
        <v>6.06</v>
      </c>
      <c r="D46" s="112">
        <v>13.91</v>
      </c>
      <c r="E46" s="112">
        <v>10.71</v>
      </c>
      <c r="F46" s="112">
        <v>15.31</v>
      </c>
      <c r="G46" s="112">
        <v>35.19</v>
      </c>
      <c r="H46" s="112">
        <v>12.32</v>
      </c>
      <c r="I46" s="112">
        <v>5.4</v>
      </c>
      <c r="J46" s="112">
        <v>0.52</v>
      </c>
      <c r="K46" s="112">
        <v>6.47</v>
      </c>
      <c r="L46" s="112">
        <v>35.06</v>
      </c>
      <c r="M46" s="112">
        <v>46.42</v>
      </c>
      <c r="N46" s="112">
        <v>176.5</v>
      </c>
      <c r="O46" s="112">
        <v>0</v>
      </c>
      <c r="P46" s="112">
        <v>0.55000000000000004</v>
      </c>
      <c r="Q46" s="112">
        <v>72.23</v>
      </c>
    </row>
    <row r="47" spans="1:17" customFormat="1">
      <c r="A47" s="80">
        <v>45436.40625</v>
      </c>
      <c r="B47" s="112">
        <v>7.15</v>
      </c>
      <c r="C47" s="112">
        <v>6.07</v>
      </c>
      <c r="D47" s="112">
        <v>13.91</v>
      </c>
      <c r="E47" s="112">
        <v>10.47</v>
      </c>
      <c r="F47" s="112">
        <v>14.42</v>
      </c>
      <c r="G47" s="112">
        <v>36.03</v>
      </c>
      <c r="H47" s="112">
        <v>12.32</v>
      </c>
      <c r="I47" s="112">
        <v>5.49</v>
      </c>
      <c r="J47" s="112">
        <v>1.1000000000000001</v>
      </c>
      <c r="K47" s="112">
        <v>332.62</v>
      </c>
      <c r="L47" s="112">
        <v>35.44</v>
      </c>
      <c r="M47" s="112">
        <v>45.65</v>
      </c>
      <c r="N47" s="112">
        <v>188.6</v>
      </c>
      <c r="O47" s="112">
        <v>0</v>
      </c>
      <c r="P47" s="112">
        <v>0.56999999999999995</v>
      </c>
      <c r="Q47" s="112">
        <v>99.32</v>
      </c>
    </row>
    <row r="48" spans="1:17" customFormat="1">
      <c r="A48" s="80">
        <v>45436.416666666664</v>
      </c>
      <c r="B48" s="112">
        <v>7.14</v>
      </c>
      <c r="C48" s="112">
        <v>6.07</v>
      </c>
      <c r="D48" s="112">
        <v>13.91</v>
      </c>
      <c r="E48" s="112">
        <v>10.49</v>
      </c>
      <c r="F48" s="112">
        <v>12.1</v>
      </c>
      <c r="G48" s="112">
        <v>36.03</v>
      </c>
      <c r="H48" s="112">
        <v>12.32</v>
      </c>
      <c r="I48" s="112">
        <v>5.65</v>
      </c>
      <c r="J48" s="112">
        <v>0.94</v>
      </c>
      <c r="K48" s="112">
        <v>312.37</v>
      </c>
      <c r="L48" s="112">
        <v>35.35</v>
      </c>
      <c r="M48" s="112">
        <v>45.74</v>
      </c>
      <c r="N48" s="112">
        <v>200.1</v>
      </c>
      <c r="O48" s="112">
        <v>0</v>
      </c>
      <c r="P48" s="112">
        <v>0.56999999999999995</v>
      </c>
      <c r="Q48" s="112">
        <v>25.33</v>
      </c>
    </row>
    <row r="49" spans="1:17" customFormat="1">
      <c r="A49" s="80">
        <v>45436.427083333336</v>
      </c>
      <c r="B49" s="112">
        <v>7.14</v>
      </c>
      <c r="C49" s="112">
        <v>6.08</v>
      </c>
      <c r="D49" s="112">
        <v>13.91</v>
      </c>
      <c r="E49" s="112">
        <v>9.4</v>
      </c>
      <c r="F49" s="112">
        <v>10.93</v>
      </c>
      <c r="G49" s="112">
        <v>36.03</v>
      </c>
      <c r="H49" s="112">
        <v>12.32</v>
      </c>
      <c r="I49" s="112">
        <v>5.76</v>
      </c>
      <c r="J49" s="112">
        <v>1.31</v>
      </c>
      <c r="K49" s="112">
        <v>281.95999999999998</v>
      </c>
      <c r="L49" s="112">
        <v>35.78</v>
      </c>
      <c r="M49" s="112">
        <v>44.86</v>
      </c>
      <c r="N49" s="112">
        <v>208</v>
      </c>
      <c r="O49" s="112">
        <v>0</v>
      </c>
      <c r="P49" s="112">
        <v>0.57999999999999996</v>
      </c>
      <c r="Q49" s="112">
        <v>20.38</v>
      </c>
    </row>
    <row r="50" spans="1:17" customFormat="1">
      <c r="A50" s="80">
        <v>45436.4375</v>
      </c>
      <c r="B50" s="112">
        <v>7.14</v>
      </c>
      <c r="C50" s="112">
        <v>6.05</v>
      </c>
      <c r="D50" s="112">
        <v>13.89</v>
      </c>
      <c r="E50" s="112">
        <v>11.92</v>
      </c>
      <c r="F50" s="112">
        <v>13.09</v>
      </c>
      <c r="G50" s="112">
        <v>44.83</v>
      </c>
      <c r="H50" s="112">
        <v>14.39</v>
      </c>
      <c r="I50" s="112">
        <v>5.86</v>
      </c>
      <c r="J50" s="112">
        <v>1.0900000000000001</v>
      </c>
      <c r="K50" s="112">
        <v>285.32</v>
      </c>
      <c r="L50" s="112">
        <v>35.83</v>
      </c>
      <c r="M50" s="112">
        <v>44.57</v>
      </c>
      <c r="N50" s="112">
        <v>215.2</v>
      </c>
      <c r="O50" s="112">
        <v>0</v>
      </c>
      <c r="P50" s="112">
        <v>0.61</v>
      </c>
      <c r="Q50" s="112">
        <v>15.67</v>
      </c>
    </row>
    <row r="51" spans="1:17" customFormat="1">
      <c r="A51" s="80">
        <v>45436.447916666664</v>
      </c>
      <c r="B51" s="112">
        <v>7.15</v>
      </c>
      <c r="C51" s="112">
        <v>6.02</v>
      </c>
      <c r="D51" s="112">
        <v>13.89</v>
      </c>
      <c r="E51" s="112">
        <v>11.95</v>
      </c>
      <c r="F51" s="112">
        <v>11.04</v>
      </c>
      <c r="G51" s="112">
        <v>46.73</v>
      </c>
      <c r="H51" s="112">
        <v>14.39</v>
      </c>
      <c r="I51" s="112">
        <v>5.92</v>
      </c>
      <c r="J51" s="112">
        <v>0.62</v>
      </c>
      <c r="K51" s="112">
        <v>248.35</v>
      </c>
      <c r="L51" s="112">
        <v>37.01</v>
      </c>
      <c r="M51" s="112">
        <v>42.35</v>
      </c>
      <c r="N51" s="112">
        <v>224.7</v>
      </c>
      <c r="O51" s="112">
        <v>0</v>
      </c>
      <c r="P51" s="112">
        <v>0.6</v>
      </c>
      <c r="Q51" s="112">
        <v>14.59</v>
      </c>
    </row>
    <row r="52" spans="1:17" customFormat="1">
      <c r="A52" s="80">
        <v>45436.458333333336</v>
      </c>
      <c r="B52" s="112">
        <v>7.14</v>
      </c>
      <c r="C52" s="112">
        <v>6.08</v>
      </c>
      <c r="D52" s="112">
        <v>13.91</v>
      </c>
      <c r="E52" s="112">
        <v>14.29</v>
      </c>
      <c r="F52" s="112">
        <v>29.89</v>
      </c>
      <c r="G52" s="112">
        <v>46.73</v>
      </c>
      <c r="H52" s="112">
        <v>14.39</v>
      </c>
      <c r="I52" s="112">
        <v>6</v>
      </c>
      <c r="J52" s="112">
        <v>0.21</v>
      </c>
      <c r="K52" s="112">
        <v>335.12</v>
      </c>
      <c r="L52" s="112">
        <v>37.17</v>
      </c>
      <c r="M52" s="112">
        <v>42.03</v>
      </c>
      <c r="N52" s="112">
        <v>235.4</v>
      </c>
      <c r="O52" s="112">
        <v>0</v>
      </c>
      <c r="P52" s="112">
        <v>0.63</v>
      </c>
      <c r="Q52" s="112">
        <v>16.79</v>
      </c>
    </row>
    <row r="53" spans="1:17" customFormat="1">
      <c r="A53" s="80">
        <v>45436.46875</v>
      </c>
      <c r="B53" s="112">
        <v>7.12</v>
      </c>
      <c r="C53" s="112">
        <v>6.09</v>
      </c>
      <c r="D53" s="112">
        <v>13.9</v>
      </c>
      <c r="E53" s="112">
        <v>19.11</v>
      </c>
      <c r="F53" s="112">
        <v>40.53</v>
      </c>
      <c r="G53" s="112">
        <v>46.73</v>
      </c>
      <c r="H53" s="112">
        <v>14.39</v>
      </c>
      <c r="I53" s="112">
        <v>6.08</v>
      </c>
      <c r="J53" s="112">
        <v>0.89</v>
      </c>
      <c r="K53" s="112">
        <v>319.06</v>
      </c>
      <c r="L53" s="112">
        <v>37.29</v>
      </c>
      <c r="M53" s="112">
        <v>41.49</v>
      </c>
      <c r="N53" s="112">
        <v>244.2</v>
      </c>
      <c r="O53" s="112">
        <v>0</v>
      </c>
      <c r="P53" s="112">
        <v>0.67</v>
      </c>
      <c r="Q53" s="112">
        <v>14.13</v>
      </c>
    </row>
    <row r="54" spans="1:17" customFormat="1">
      <c r="A54" s="80">
        <v>45436.479166666664</v>
      </c>
      <c r="B54" s="112">
        <v>7.12</v>
      </c>
      <c r="C54" s="112">
        <v>6.07</v>
      </c>
      <c r="D54" s="112">
        <v>13.89</v>
      </c>
      <c r="E54" s="112">
        <v>22.77</v>
      </c>
      <c r="F54" s="112">
        <v>47.66</v>
      </c>
      <c r="G54" s="112">
        <v>47.96</v>
      </c>
      <c r="H54" s="112">
        <v>16.72</v>
      </c>
      <c r="I54" s="112">
        <v>6.14</v>
      </c>
      <c r="J54" s="112">
        <v>0.71</v>
      </c>
      <c r="K54" s="112">
        <v>327.08999999999997</v>
      </c>
      <c r="L54" s="112">
        <v>37.97</v>
      </c>
      <c r="M54" s="112">
        <v>40.270000000000003</v>
      </c>
      <c r="N54" s="112">
        <v>367.8</v>
      </c>
      <c r="O54" s="112">
        <v>0</v>
      </c>
      <c r="P54" s="112">
        <v>0.72</v>
      </c>
      <c r="Q54" s="112">
        <v>9.75</v>
      </c>
    </row>
    <row r="55" spans="1:17" customFormat="1">
      <c r="A55" s="80">
        <v>45436.489583333336</v>
      </c>
      <c r="B55" s="112">
        <v>7.1</v>
      </c>
      <c r="C55" s="112">
        <v>6.1</v>
      </c>
      <c r="D55" s="112">
        <v>13.89</v>
      </c>
      <c r="E55" s="112">
        <v>20.5</v>
      </c>
      <c r="F55" s="112">
        <v>40.43</v>
      </c>
      <c r="G55" s="112">
        <v>48.22</v>
      </c>
      <c r="H55" s="112">
        <v>16.72</v>
      </c>
      <c r="I55" s="112">
        <v>6.31</v>
      </c>
      <c r="J55" s="112">
        <v>0.28000000000000003</v>
      </c>
      <c r="K55" s="112">
        <v>268.97000000000003</v>
      </c>
      <c r="L55" s="112">
        <v>38.19</v>
      </c>
      <c r="M55" s="112">
        <v>39.83</v>
      </c>
      <c r="N55" s="112">
        <v>675.9</v>
      </c>
      <c r="O55" s="112">
        <v>0</v>
      </c>
      <c r="P55" s="112">
        <v>0.69</v>
      </c>
      <c r="Q55" s="112">
        <v>6.06</v>
      </c>
    </row>
    <row r="56" spans="1:17" customFormat="1">
      <c r="A56" s="80">
        <v>45436.5</v>
      </c>
      <c r="B56" s="112">
        <v>7.1</v>
      </c>
      <c r="C56" s="112">
        <v>6.05</v>
      </c>
      <c r="D56" s="112">
        <v>13.87</v>
      </c>
      <c r="E56" s="112">
        <v>18.18</v>
      </c>
      <c r="F56" s="112">
        <v>35.39</v>
      </c>
      <c r="G56" s="112">
        <v>48.22</v>
      </c>
      <c r="H56" s="112">
        <v>16.72</v>
      </c>
      <c r="I56" s="112">
        <v>6.44</v>
      </c>
      <c r="J56" s="112">
        <v>0.88</v>
      </c>
      <c r="K56" s="112">
        <v>300.3</v>
      </c>
      <c r="L56" s="112">
        <v>38.32</v>
      </c>
      <c r="M56" s="112">
        <v>39.06</v>
      </c>
      <c r="N56" s="112">
        <v>745.4</v>
      </c>
      <c r="O56" s="112">
        <v>0</v>
      </c>
      <c r="P56" s="112">
        <v>0.69</v>
      </c>
      <c r="Q56" s="112">
        <v>5.03</v>
      </c>
    </row>
    <row r="57" spans="1:17" customFormat="1">
      <c r="A57" s="80">
        <v>45436.510416666664</v>
      </c>
      <c r="B57" s="112">
        <v>7.14</v>
      </c>
      <c r="C57" s="112">
        <v>6.03</v>
      </c>
      <c r="D57" s="112">
        <v>13.88</v>
      </c>
      <c r="E57" s="112">
        <v>17.309999999999999</v>
      </c>
      <c r="F57" s="112">
        <v>41.87</v>
      </c>
      <c r="G57" s="112">
        <v>48.22</v>
      </c>
      <c r="H57" s="112">
        <v>16.72</v>
      </c>
      <c r="I57" s="112">
        <v>6.49</v>
      </c>
      <c r="J57" s="112">
        <v>0.57999999999999996</v>
      </c>
      <c r="K57" s="112">
        <v>294.41000000000003</v>
      </c>
      <c r="L57" s="112">
        <v>38.479999999999997</v>
      </c>
      <c r="M57" s="112">
        <v>38.409999999999997</v>
      </c>
      <c r="N57" s="112">
        <v>751.3</v>
      </c>
      <c r="O57" s="112">
        <v>0</v>
      </c>
      <c r="P57" s="112">
        <v>0.68</v>
      </c>
      <c r="Q57" s="112">
        <v>8.68</v>
      </c>
    </row>
    <row r="58" spans="1:17" customFormat="1">
      <c r="A58" s="80">
        <v>45436.520833333336</v>
      </c>
      <c r="B58" s="112">
        <v>7.17</v>
      </c>
      <c r="C58" s="112">
        <v>6.02</v>
      </c>
      <c r="D58" s="112">
        <v>13.9</v>
      </c>
      <c r="E58" s="112">
        <v>15.96</v>
      </c>
      <c r="F58" s="112">
        <v>39.36</v>
      </c>
      <c r="G58" s="112">
        <v>49.57</v>
      </c>
      <c r="H58" s="112">
        <v>17.73</v>
      </c>
      <c r="I58" s="112">
        <v>6.42</v>
      </c>
      <c r="J58" s="112">
        <v>0.87</v>
      </c>
      <c r="K58" s="112">
        <v>278.11</v>
      </c>
      <c r="L58" s="112">
        <v>38.49</v>
      </c>
      <c r="M58" s="112">
        <v>37.950000000000003</v>
      </c>
      <c r="N58" s="112">
        <v>760.5</v>
      </c>
      <c r="O58" s="112">
        <v>0</v>
      </c>
      <c r="P58" s="112">
        <v>0.66</v>
      </c>
      <c r="Q58" s="112">
        <v>10.7</v>
      </c>
    </row>
    <row r="59" spans="1:17" customFormat="1">
      <c r="A59" s="80">
        <v>45436.53125</v>
      </c>
      <c r="B59" s="112">
        <v>7.16</v>
      </c>
      <c r="C59" s="112">
        <v>6.06</v>
      </c>
      <c r="D59" s="112">
        <v>13.92</v>
      </c>
      <c r="E59" s="112">
        <v>17.84</v>
      </c>
      <c r="F59" s="112">
        <v>37.51</v>
      </c>
      <c r="G59" s="112">
        <v>49.86</v>
      </c>
      <c r="H59" s="112">
        <v>17.73</v>
      </c>
      <c r="I59" s="112">
        <v>6.37</v>
      </c>
      <c r="J59" s="112">
        <v>1.33</v>
      </c>
      <c r="K59" s="112">
        <v>307.39999999999998</v>
      </c>
      <c r="L59" s="112">
        <v>39.22</v>
      </c>
      <c r="M59" s="112">
        <v>35.619999999999997</v>
      </c>
      <c r="N59" s="112">
        <v>762.1</v>
      </c>
      <c r="O59" s="112">
        <v>0</v>
      </c>
      <c r="P59" s="112">
        <v>0.66</v>
      </c>
      <c r="Q59" s="112">
        <v>6.44</v>
      </c>
    </row>
    <row r="60" spans="1:17" customFormat="1">
      <c r="A60" s="80">
        <v>45436.541666666664</v>
      </c>
      <c r="B60" s="112">
        <v>7.18</v>
      </c>
      <c r="C60" s="112">
        <v>6.07</v>
      </c>
      <c r="D60" s="112">
        <v>13.93</v>
      </c>
      <c r="E60" s="112">
        <v>18.260000000000002</v>
      </c>
      <c r="F60" s="112">
        <v>42.37</v>
      </c>
      <c r="G60" s="112">
        <v>49.86</v>
      </c>
      <c r="H60" s="112">
        <v>17.73</v>
      </c>
      <c r="I60" s="112">
        <v>6.23</v>
      </c>
      <c r="J60" s="112">
        <v>0.55000000000000004</v>
      </c>
      <c r="K60" s="112">
        <v>297.52999999999997</v>
      </c>
      <c r="L60" s="112">
        <v>39</v>
      </c>
      <c r="M60" s="112">
        <v>35.68</v>
      </c>
      <c r="N60" s="112">
        <v>754.9</v>
      </c>
      <c r="O60" s="112">
        <v>0</v>
      </c>
      <c r="P60" s="112">
        <v>0.66</v>
      </c>
      <c r="Q60" s="112">
        <v>5.01</v>
      </c>
    </row>
    <row r="61" spans="1:17" customFormat="1">
      <c r="A61" s="80">
        <v>45436.552083333336</v>
      </c>
      <c r="B61" s="112">
        <v>7.18</v>
      </c>
      <c r="C61" s="112">
        <v>6.08</v>
      </c>
      <c r="D61" s="112">
        <v>13.94</v>
      </c>
      <c r="E61" s="112">
        <v>19.48</v>
      </c>
      <c r="F61" s="112">
        <v>34.78</v>
      </c>
      <c r="G61" s="112">
        <v>49.86</v>
      </c>
      <c r="H61" s="112">
        <v>17.73</v>
      </c>
      <c r="I61" s="112">
        <v>6.27</v>
      </c>
      <c r="J61" s="112">
        <v>0.84</v>
      </c>
      <c r="K61" s="112">
        <v>274.38</v>
      </c>
      <c r="L61" s="112">
        <v>39.590000000000003</v>
      </c>
      <c r="M61" s="112">
        <v>34.700000000000003</v>
      </c>
      <c r="N61" s="112">
        <v>730.2</v>
      </c>
      <c r="O61" s="112">
        <v>0</v>
      </c>
      <c r="P61" s="112">
        <v>0.66</v>
      </c>
      <c r="Q61" s="112">
        <v>5</v>
      </c>
    </row>
    <row r="62" spans="1:17" customFormat="1">
      <c r="A62" s="80">
        <v>45436.5625</v>
      </c>
      <c r="B62" s="112">
        <v>7.19</v>
      </c>
      <c r="C62" s="112">
        <v>6.08</v>
      </c>
      <c r="D62" s="112">
        <v>13.95</v>
      </c>
      <c r="E62" s="112">
        <v>28</v>
      </c>
      <c r="F62" s="112">
        <v>65.36</v>
      </c>
      <c r="G62" s="112">
        <v>49.94</v>
      </c>
      <c r="H62" s="112">
        <v>21.34</v>
      </c>
      <c r="I62" s="112">
        <v>6.19</v>
      </c>
      <c r="J62" s="112">
        <v>0.6</v>
      </c>
      <c r="K62" s="112">
        <v>10.02</v>
      </c>
      <c r="L62" s="112">
        <v>39.700000000000003</v>
      </c>
      <c r="M62" s="112">
        <v>34.54</v>
      </c>
      <c r="N62" s="112">
        <v>353.4</v>
      </c>
      <c r="O62" s="112">
        <v>0</v>
      </c>
      <c r="P62" s="112">
        <v>0.69</v>
      </c>
      <c r="Q62" s="112">
        <v>5</v>
      </c>
    </row>
    <row r="63" spans="1:17" customFormat="1">
      <c r="A63" s="80">
        <v>45436.572916666664</v>
      </c>
      <c r="B63" s="112">
        <v>7.22</v>
      </c>
      <c r="C63" s="112">
        <v>6.08</v>
      </c>
      <c r="D63" s="112">
        <v>13.98</v>
      </c>
      <c r="E63" s="112">
        <v>27.3</v>
      </c>
      <c r="F63" s="112">
        <v>60.33</v>
      </c>
      <c r="G63" s="112">
        <v>49.96</v>
      </c>
      <c r="H63" s="112">
        <v>21.34</v>
      </c>
      <c r="I63" s="112">
        <v>6.29</v>
      </c>
      <c r="J63" s="112">
        <v>1.08</v>
      </c>
      <c r="K63" s="112">
        <v>352.18</v>
      </c>
      <c r="L63" s="112">
        <v>39.36</v>
      </c>
      <c r="M63" s="112">
        <v>35.159999999999997</v>
      </c>
      <c r="N63" s="112">
        <v>507.6</v>
      </c>
      <c r="O63" s="112">
        <v>0</v>
      </c>
      <c r="P63" s="112">
        <v>0.7</v>
      </c>
      <c r="Q63" s="112">
        <v>5.16</v>
      </c>
    </row>
    <row r="64" spans="1:17" customFormat="1">
      <c r="A64" s="80">
        <v>45436.583333333336</v>
      </c>
      <c r="B64" s="112">
        <v>7.14</v>
      </c>
      <c r="C64" s="112">
        <v>6.13</v>
      </c>
      <c r="D64" s="112">
        <v>13.94</v>
      </c>
      <c r="E64" s="112">
        <v>23.82</v>
      </c>
      <c r="F64" s="112">
        <v>58.41</v>
      </c>
      <c r="G64" s="112">
        <v>49.96</v>
      </c>
      <c r="H64" s="112">
        <v>21.34</v>
      </c>
      <c r="I64" s="112">
        <v>6.31</v>
      </c>
      <c r="J64" s="112">
        <v>0.22</v>
      </c>
      <c r="K64" s="112">
        <v>316.47000000000003</v>
      </c>
      <c r="L64" s="112">
        <v>39.799999999999997</v>
      </c>
      <c r="M64" s="112">
        <v>33.49</v>
      </c>
      <c r="N64" s="112">
        <v>576.6</v>
      </c>
      <c r="O64" s="112">
        <v>0</v>
      </c>
      <c r="P64" s="112">
        <v>0.7</v>
      </c>
      <c r="Q64" s="112">
        <v>5.13</v>
      </c>
    </row>
    <row r="65" spans="1:17" customFormat="1">
      <c r="A65" s="80">
        <v>45436.59375</v>
      </c>
      <c r="B65" s="112">
        <v>7.12</v>
      </c>
      <c r="C65" s="112">
        <v>6.08</v>
      </c>
      <c r="D65" s="112">
        <v>13.9</v>
      </c>
      <c r="E65" s="112">
        <v>29.19</v>
      </c>
      <c r="F65" s="112">
        <v>77.7</v>
      </c>
      <c r="G65" s="112">
        <v>49.96</v>
      </c>
      <c r="H65" s="112">
        <v>21.34</v>
      </c>
      <c r="I65" s="112">
        <v>6.45</v>
      </c>
      <c r="J65" s="112">
        <v>0.74</v>
      </c>
      <c r="K65" s="112">
        <v>12.29</v>
      </c>
      <c r="L65" s="112">
        <v>39.93</v>
      </c>
      <c r="M65" s="112">
        <v>34.229999999999997</v>
      </c>
      <c r="N65" s="112">
        <v>619.79999999999995</v>
      </c>
      <c r="O65" s="112">
        <v>0</v>
      </c>
      <c r="P65" s="112">
        <v>0.71</v>
      </c>
      <c r="Q65" s="112">
        <v>5.14</v>
      </c>
    </row>
    <row r="66" spans="1:17" customFormat="1">
      <c r="A66" s="80">
        <v>45436.604166666664</v>
      </c>
      <c r="B66" s="112">
        <v>7.11</v>
      </c>
      <c r="C66" s="112">
        <v>6.06</v>
      </c>
      <c r="D66" s="112">
        <v>13.88</v>
      </c>
      <c r="E66" s="112">
        <v>26.53</v>
      </c>
      <c r="F66" s="112">
        <v>50.49</v>
      </c>
      <c r="G66" s="112">
        <v>53.34</v>
      </c>
      <c r="H66" s="112">
        <v>20.62</v>
      </c>
      <c r="I66" s="112">
        <v>6.49</v>
      </c>
      <c r="J66" s="112">
        <v>1.24</v>
      </c>
      <c r="K66" s="112">
        <v>310.22000000000003</v>
      </c>
      <c r="L66" s="112">
        <v>40.119999999999997</v>
      </c>
      <c r="M66" s="112">
        <v>33.700000000000003</v>
      </c>
      <c r="N66" s="112">
        <v>582.1</v>
      </c>
      <c r="O66" s="112">
        <v>0</v>
      </c>
      <c r="P66" s="112">
        <v>0.74</v>
      </c>
      <c r="Q66" s="112">
        <v>5.29</v>
      </c>
    </row>
    <row r="67" spans="1:17" customFormat="1">
      <c r="A67" s="80">
        <v>45436.614583333336</v>
      </c>
      <c r="B67" s="112">
        <v>7.12</v>
      </c>
      <c r="C67" s="112">
        <v>6.08</v>
      </c>
      <c r="D67" s="112">
        <v>13.89</v>
      </c>
      <c r="E67" s="112">
        <v>22.09</v>
      </c>
      <c r="F67" s="112">
        <v>54.45</v>
      </c>
      <c r="G67" s="112">
        <v>54.07</v>
      </c>
      <c r="H67" s="112">
        <v>20.62</v>
      </c>
      <c r="I67" s="112">
        <v>6.55</v>
      </c>
      <c r="J67" s="112">
        <v>0.84</v>
      </c>
      <c r="K67" s="112">
        <v>302.16000000000003</v>
      </c>
      <c r="L67" s="112">
        <v>39.909999999999997</v>
      </c>
      <c r="M67" s="112">
        <v>33.380000000000003</v>
      </c>
      <c r="N67" s="112">
        <v>530.79999999999995</v>
      </c>
      <c r="O67" s="112">
        <v>0</v>
      </c>
      <c r="P67" s="112">
        <v>0.73</v>
      </c>
      <c r="Q67" s="112">
        <v>5.13</v>
      </c>
    </row>
    <row r="68" spans="1:17" customFormat="1">
      <c r="A68" s="80">
        <v>45436.625</v>
      </c>
      <c r="B68" s="112">
        <v>7.11</v>
      </c>
      <c r="C68" s="112">
        <v>6.12</v>
      </c>
      <c r="D68" s="112">
        <v>13.9</v>
      </c>
      <c r="E68" s="112">
        <v>22.63</v>
      </c>
      <c r="F68" s="112">
        <v>50.41</v>
      </c>
      <c r="G68" s="112">
        <v>54.07</v>
      </c>
      <c r="H68" s="112">
        <v>20.62</v>
      </c>
      <c r="I68" s="112">
        <v>6.71</v>
      </c>
      <c r="J68" s="112">
        <v>0.94</v>
      </c>
      <c r="K68" s="112">
        <v>317.56</v>
      </c>
      <c r="L68" s="112">
        <v>40.200000000000003</v>
      </c>
      <c r="M68" s="112">
        <v>32.76</v>
      </c>
      <c r="N68" s="112">
        <v>507.5</v>
      </c>
      <c r="O68" s="112">
        <v>0</v>
      </c>
      <c r="P68" s="112">
        <v>0.7</v>
      </c>
      <c r="Q68" s="112">
        <v>5.09</v>
      </c>
    </row>
    <row r="69" spans="1:17" customFormat="1">
      <c r="A69" s="80">
        <v>45436.635416666664</v>
      </c>
      <c r="B69" s="112">
        <v>7.1</v>
      </c>
      <c r="C69" s="112">
        <v>6.12</v>
      </c>
      <c r="D69" s="112">
        <v>13.9</v>
      </c>
      <c r="E69" s="112">
        <v>24.91</v>
      </c>
      <c r="F69" s="112">
        <v>48.95</v>
      </c>
      <c r="G69" s="112">
        <v>54.07</v>
      </c>
      <c r="H69" s="112">
        <v>20.62</v>
      </c>
      <c r="I69" s="112">
        <v>6.59</v>
      </c>
      <c r="J69" s="112">
        <v>0.56999999999999995</v>
      </c>
      <c r="K69" s="112">
        <v>312.19</v>
      </c>
      <c r="L69" s="112">
        <v>40.32</v>
      </c>
      <c r="M69" s="112">
        <v>32.42</v>
      </c>
      <c r="N69" s="112">
        <v>461.8</v>
      </c>
      <c r="O69" s="112">
        <v>0</v>
      </c>
      <c r="P69" s="112">
        <v>0.71</v>
      </c>
      <c r="Q69" s="112">
        <v>5</v>
      </c>
    </row>
    <row r="70" spans="1:17" customFormat="1">
      <c r="A70" s="80">
        <v>45436.645833333336</v>
      </c>
      <c r="B70" s="112">
        <v>7.14</v>
      </c>
      <c r="C70" s="112">
        <v>6.07</v>
      </c>
      <c r="D70" s="112">
        <v>13.9</v>
      </c>
      <c r="E70" s="112">
        <v>23.5</v>
      </c>
      <c r="F70" s="112">
        <v>50.2</v>
      </c>
      <c r="G70" s="112">
        <v>58.18</v>
      </c>
      <c r="H70" s="112">
        <v>24.1</v>
      </c>
      <c r="I70" s="112">
        <v>6.43</v>
      </c>
      <c r="J70" s="112">
        <v>0.93</v>
      </c>
      <c r="K70" s="112">
        <v>320.17</v>
      </c>
      <c r="L70" s="112">
        <v>39.97</v>
      </c>
      <c r="M70" s="112">
        <v>32.17</v>
      </c>
      <c r="N70" s="112">
        <v>409.7</v>
      </c>
      <c r="O70" s="112">
        <v>0</v>
      </c>
      <c r="P70" s="112">
        <v>0.7</v>
      </c>
      <c r="Q70" s="112">
        <v>5</v>
      </c>
    </row>
    <row r="71" spans="1:17" customFormat="1">
      <c r="A71" s="80">
        <v>45436.65625</v>
      </c>
      <c r="B71" s="112">
        <v>7.13</v>
      </c>
      <c r="C71" s="112">
        <v>6.07</v>
      </c>
      <c r="D71" s="112">
        <v>13.89</v>
      </c>
      <c r="E71" s="112">
        <v>20.03</v>
      </c>
      <c r="F71" s="112">
        <v>24.96</v>
      </c>
      <c r="G71" s="112">
        <v>59.06</v>
      </c>
      <c r="H71" s="112">
        <v>24.1</v>
      </c>
      <c r="I71" s="112">
        <v>6.22</v>
      </c>
      <c r="J71" s="112">
        <v>0.5</v>
      </c>
      <c r="K71" s="112">
        <v>271.86</v>
      </c>
      <c r="L71" s="112">
        <v>40.659999999999997</v>
      </c>
      <c r="M71" s="112">
        <v>30.95</v>
      </c>
      <c r="N71" s="112">
        <v>387.8</v>
      </c>
      <c r="O71" s="112">
        <v>0</v>
      </c>
      <c r="P71" s="112">
        <v>0.7</v>
      </c>
      <c r="Q71" s="112">
        <v>5.15</v>
      </c>
    </row>
    <row r="72" spans="1:17" customFormat="1">
      <c r="A72" s="80">
        <v>45436.666666666664</v>
      </c>
      <c r="B72" s="112">
        <v>7.13</v>
      </c>
      <c r="C72" s="112">
        <v>6.08</v>
      </c>
      <c r="D72" s="112">
        <v>13.91</v>
      </c>
      <c r="E72" s="112">
        <v>19.079999999999998</v>
      </c>
      <c r="F72" s="112">
        <v>33.39</v>
      </c>
      <c r="G72" s="112">
        <v>59.06</v>
      </c>
      <c r="H72" s="112">
        <v>24.1</v>
      </c>
      <c r="I72" s="112">
        <v>6.09</v>
      </c>
      <c r="J72" s="112">
        <v>0.27</v>
      </c>
      <c r="K72" s="112">
        <v>55.65</v>
      </c>
      <c r="L72" s="112">
        <v>40.590000000000003</v>
      </c>
      <c r="M72" s="112">
        <v>30.7</v>
      </c>
      <c r="N72" s="112">
        <v>372.4</v>
      </c>
      <c r="O72" s="112">
        <v>0</v>
      </c>
      <c r="P72" s="112">
        <v>0.66</v>
      </c>
      <c r="Q72" s="112">
        <v>6.39</v>
      </c>
    </row>
    <row r="73" spans="1:17" customFormat="1">
      <c r="A73" s="80">
        <v>45436.677083333336</v>
      </c>
      <c r="B73" s="112">
        <v>7.22</v>
      </c>
      <c r="C73" s="112">
        <v>6.07</v>
      </c>
      <c r="D73" s="112">
        <v>13.97</v>
      </c>
      <c r="E73" s="112">
        <v>14.3</v>
      </c>
      <c r="F73" s="112">
        <v>26.46</v>
      </c>
      <c r="G73" s="112">
        <v>59.06</v>
      </c>
      <c r="H73" s="112">
        <v>24.1</v>
      </c>
      <c r="I73" s="112">
        <v>6.21</v>
      </c>
      <c r="J73" s="112">
        <v>0.62</v>
      </c>
      <c r="K73" s="112">
        <v>112.79</v>
      </c>
      <c r="L73" s="112">
        <v>38.15</v>
      </c>
      <c r="M73" s="112">
        <v>40.26</v>
      </c>
      <c r="N73" s="112">
        <v>257</v>
      </c>
      <c r="O73" s="112">
        <v>0</v>
      </c>
      <c r="P73" s="112">
        <v>0.66</v>
      </c>
      <c r="Q73" s="112">
        <v>0</v>
      </c>
    </row>
    <row r="74" spans="1:17" customFormat="1">
      <c r="A74" s="80">
        <v>45436.6875</v>
      </c>
      <c r="B74" s="112">
        <v>7.23</v>
      </c>
      <c r="C74" s="112">
        <v>6.11</v>
      </c>
      <c r="D74" s="112">
        <v>14</v>
      </c>
      <c r="E74" s="112">
        <v>15.2</v>
      </c>
      <c r="F74" s="112">
        <v>30.75</v>
      </c>
      <c r="G74" s="112">
        <v>60.53</v>
      </c>
      <c r="H74" s="112">
        <v>25.48</v>
      </c>
      <c r="I74" s="112">
        <v>6.2</v>
      </c>
      <c r="J74" s="112">
        <v>0.5</v>
      </c>
      <c r="K74" s="112">
        <v>100.73</v>
      </c>
      <c r="L74" s="112">
        <v>37.869999999999997</v>
      </c>
      <c r="M74" s="112">
        <v>40.369999999999997</v>
      </c>
      <c r="N74" s="112">
        <v>277.5</v>
      </c>
      <c r="O74" s="112">
        <v>0</v>
      </c>
      <c r="P74" s="112">
        <v>0.62</v>
      </c>
      <c r="Q74" s="112">
        <v>7.82</v>
      </c>
    </row>
    <row r="75" spans="1:17" customFormat="1">
      <c r="A75" s="80">
        <v>45436.697916666664</v>
      </c>
      <c r="B75" s="112">
        <v>7.18</v>
      </c>
      <c r="C75" s="112">
        <v>6.1</v>
      </c>
      <c r="D75" s="112">
        <v>13.95</v>
      </c>
      <c r="E75" s="112">
        <v>16.05</v>
      </c>
      <c r="F75" s="112">
        <v>37.83</v>
      </c>
      <c r="G75" s="112">
        <v>60.85</v>
      </c>
      <c r="H75" s="112">
        <v>25.48</v>
      </c>
      <c r="I75" s="112">
        <v>6.08</v>
      </c>
      <c r="J75" s="112">
        <v>0.36</v>
      </c>
      <c r="K75" s="112">
        <v>109.04</v>
      </c>
      <c r="L75" s="112">
        <v>38.76</v>
      </c>
      <c r="M75" s="112">
        <v>37.31</v>
      </c>
      <c r="N75" s="112">
        <v>190.3</v>
      </c>
      <c r="O75" s="112">
        <v>0</v>
      </c>
      <c r="P75" s="112">
        <v>0.6</v>
      </c>
      <c r="Q75" s="112">
        <v>6.01</v>
      </c>
    </row>
    <row r="76" spans="1:17" customFormat="1">
      <c r="A76" s="80">
        <v>45436.708333333336</v>
      </c>
      <c r="B76" s="112">
        <v>7.14</v>
      </c>
      <c r="C76" s="112">
        <v>6.12</v>
      </c>
      <c r="D76" s="112">
        <v>13.93</v>
      </c>
      <c r="E76" s="112">
        <v>16.829999999999998</v>
      </c>
      <c r="F76" s="112">
        <v>33.69</v>
      </c>
      <c r="G76" s="112">
        <v>60.85</v>
      </c>
      <c r="H76" s="112">
        <v>25.48</v>
      </c>
      <c r="I76" s="112">
        <v>5.91</v>
      </c>
      <c r="J76" s="112">
        <v>0.48</v>
      </c>
      <c r="K76" s="112">
        <v>81.13</v>
      </c>
      <c r="L76" s="112">
        <v>39.299999999999997</v>
      </c>
      <c r="M76" s="112">
        <v>34.6</v>
      </c>
      <c r="N76" s="112">
        <v>147</v>
      </c>
      <c r="O76" s="112">
        <v>0</v>
      </c>
      <c r="P76" s="112">
        <v>0.6</v>
      </c>
      <c r="Q76" s="112">
        <v>5.15</v>
      </c>
    </row>
    <row r="77" spans="1:17" customFormat="1">
      <c r="A77" s="80">
        <v>45436.71875</v>
      </c>
      <c r="B77" s="112">
        <v>7.15</v>
      </c>
      <c r="C77" s="112">
        <v>6.08</v>
      </c>
      <c r="D77" s="112">
        <v>13.92</v>
      </c>
      <c r="E77" s="112">
        <v>16.579999999999998</v>
      </c>
      <c r="F77" s="112">
        <v>24.65</v>
      </c>
      <c r="G77" s="112">
        <v>60.85</v>
      </c>
      <c r="H77" s="112">
        <v>25.48</v>
      </c>
      <c r="I77" s="112">
        <v>5.87</v>
      </c>
      <c r="J77" s="112">
        <v>0.62</v>
      </c>
      <c r="K77" s="112">
        <v>79.739999999999995</v>
      </c>
      <c r="L77" s="112">
        <v>39.299999999999997</v>
      </c>
      <c r="M77" s="112">
        <v>33.85</v>
      </c>
      <c r="N77" s="112">
        <v>131</v>
      </c>
      <c r="O77" s="112">
        <v>0</v>
      </c>
      <c r="P77" s="112">
        <v>0.62</v>
      </c>
      <c r="Q77" s="112">
        <v>0.19</v>
      </c>
    </row>
    <row r="78" spans="1:17" customFormat="1">
      <c r="A78" s="80">
        <v>45436.729166666664</v>
      </c>
      <c r="B78" s="112">
        <v>7.14</v>
      </c>
      <c r="C78" s="112">
        <v>6.07</v>
      </c>
      <c r="D78" s="112">
        <v>13.91</v>
      </c>
      <c r="E78" s="112">
        <v>17</v>
      </c>
      <c r="F78" s="112">
        <v>41.48</v>
      </c>
      <c r="G78" s="112">
        <v>63.91</v>
      </c>
      <c r="H78" s="112">
        <v>24.61</v>
      </c>
      <c r="I78" s="112">
        <v>5.67</v>
      </c>
      <c r="J78" s="112">
        <v>0.47</v>
      </c>
      <c r="K78" s="112">
        <v>86.59</v>
      </c>
      <c r="L78" s="112">
        <v>38.49</v>
      </c>
      <c r="M78" s="112">
        <v>38.49</v>
      </c>
      <c r="N78" s="112">
        <v>90.8</v>
      </c>
      <c r="O78" s="112">
        <v>0</v>
      </c>
      <c r="P78" s="112">
        <v>0.59</v>
      </c>
      <c r="Q78" s="112">
        <v>5.01</v>
      </c>
    </row>
    <row r="79" spans="1:17" customFormat="1">
      <c r="A79" s="80">
        <v>45436.739583333336</v>
      </c>
      <c r="B79" s="112">
        <v>7.15</v>
      </c>
      <c r="C79" s="112">
        <v>6.05</v>
      </c>
      <c r="D79" s="112">
        <v>13.9</v>
      </c>
      <c r="E79" s="112">
        <v>18.77</v>
      </c>
      <c r="F79" s="112">
        <v>51.79</v>
      </c>
      <c r="G79" s="112">
        <v>64.569999999999993</v>
      </c>
      <c r="H79" s="112">
        <v>24.61</v>
      </c>
      <c r="I79" s="112">
        <v>5.65</v>
      </c>
      <c r="J79" s="112">
        <v>0.21</v>
      </c>
      <c r="K79" s="112">
        <v>135.41</v>
      </c>
      <c r="L79" s="112">
        <v>37.799999999999997</v>
      </c>
      <c r="M79" s="112">
        <v>39.520000000000003</v>
      </c>
      <c r="N79" s="112">
        <v>36.5</v>
      </c>
      <c r="O79" s="112">
        <v>0</v>
      </c>
      <c r="P79" s="112">
        <v>0.56999999999999995</v>
      </c>
      <c r="Q79" s="112">
        <v>5</v>
      </c>
    </row>
    <row r="80" spans="1:17" customFormat="1">
      <c r="A80" s="80">
        <v>45436.75</v>
      </c>
      <c r="B80" s="112">
        <v>7.13</v>
      </c>
      <c r="C80" s="112">
        <v>6.06</v>
      </c>
      <c r="D80" s="112">
        <v>13.89</v>
      </c>
      <c r="E80" s="112">
        <v>17.28</v>
      </c>
      <c r="F80" s="112">
        <v>29.52</v>
      </c>
      <c r="G80" s="112">
        <v>64.569999999999993</v>
      </c>
      <c r="H80" s="112">
        <v>24.61</v>
      </c>
      <c r="I80" s="112">
        <v>5.43</v>
      </c>
      <c r="J80" s="112">
        <v>0.3</v>
      </c>
      <c r="K80" s="112">
        <v>118.05</v>
      </c>
      <c r="L80" s="112">
        <v>37.17</v>
      </c>
      <c r="M80" s="112">
        <v>40.090000000000003</v>
      </c>
      <c r="N80" s="112">
        <v>14.7</v>
      </c>
      <c r="O80" s="112">
        <v>0</v>
      </c>
      <c r="P80" s="112">
        <v>0.56999999999999995</v>
      </c>
      <c r="Q80" s="112">
        <v>5</v>
      </c>
    </row>
    <row r="81" spans="1:17" customFormat="1">
      <c r="A81" s="80">
        <v>45436.760416666664</v>
      </c>
      <c r="B81" s="112">
        <v>7.1</v>
      </c>
      <c r="C81" s="112">
        <v>6.09</v>
      </c>
      <c r="D81" s="112">
        <v>13.88</v>
      </c>
      <c r="E81" s="112">
        <v>10.18</v>
      </c>
      <c r="F81" s="112">
        <v>21.45</v>
      </c>
      <c r="G81" s="112">
        <v>64.569999999999993</v>
      </c>
      <c r="H81" s="112">
        <v>24.61</v>
      </c>
      <c r="I81" s="112">
        <v>5.1100000000000003</v>
      </c>
      <c r="J81" s="112">
        <v>0.65</v>
      </c>
      <c r="K81" s="112">
        <v>94.42</v>
      </c>
      <c r="L81" s="112">
        <v>36.15</v>
      </c>
      <c r="M81" s="112">
        <v>41.6</v>
      </c>
      <c r="N81" s="112">
        <v>6</v>
      </c>
      <c r="O81" s="112">
        <v>0</v>
      </c>
      <c r="P81" s="112">
        <v>0.6</v>
      </c>
      <c r="Q81" s="112">
        <v>5</v>
      </c>
    </row>
    <row r="82" spans="1:17" customFormat="1">
      <c r="A82" s="80">
        <v>45436.770833333336</v>
      </c>
      <c r="B82" s="112">
        <v>7.09</v>
      </c>
      <c r="C82" s="112">
        <v>6.08</v>
      </c>
      <c r="D82" s="112">
        <v>13.87</v>
      </c>
      <c r="E82" s="112">
        <v>11.72</v>
      </c>
      <c r="F82" s="112">
        <v>14.65</v>
      </c>
      <c r="G82" s="112">
        <v>67.36</v>
      </c>
      <c r="H82" s="112">
        <v>25.95</v>
      </c>
      <c r="I82" s="112">
        <v>5.35</v>
      </c>
      <c r="J82" s="112">
        <v>0.43</v>
      </c>
      <c r="K82" s="112">
        <v>120.04</v>
      </c>
      <c r="L82" s="112">
        <v>35.01</v>
      </c>
      <c r="M82" s="112">
        <v>45.45</v>
      </c>
      <c r="N82" s="112">
        <v>0</v>
      </c>
      <c r="O82" s="112">
        <v>0</v>
      </c>
      <c r="P82" s="112">
        <v>0.6</v>
      </c>
      <c r="Q82" s="112">
        <v>5</v>
      </c>
    </row>
    <row r="83" spans="1:17" customFormat="1">
      <c r="A83" s="80">
        <v>45436.78125</v>
      </c>
      <c r="B83" s="112">
        <v>7.1</v>
      </c>
      <c r="C83" s="112">
        <v>6.08</v>
      </c>
      <c r="D83" s="112">
        <v>13.88</v>
      </c>
      <c r="E83" s="112">
        <v>12.1</v>
      </c>
      <c r="F83" s="112">
        <v>16.34</v>
      </c>
      <c r="G83" s="112">
        <v>67.959999999999994</v>
      </c>
      <c r="H83" s="112">
        <v>25.95</v>
      </c>
      <c r="I83" s="112">
        <v>5.52</v>
      </c>
      <c r="J83" s="112">
        <v>0.27</v>
      </c>
      <c r="K83" s="112">
        <v>138.15</v>
      </c>
      <c r="L83" s="112">
        <v>34.409999999999997</v>
      </c>
      <c r="M83" s="112">
        <v>47.53</v>
      </c>
      <c r="N83" s="112">
        <v>0</v>
      </c>
      <c r="O83" s="112">
        <v>0</v>
      </c>
      <c r="P83" s="112">
        <v>0.6</v>
      </c>
      <c r="Q83" s="112">
        <v>5</v>
      </c>
    </row>
    <row r="84" spans="1:17" customFormat="1">
      <c r="A84" s="80">
        <v>45436.791666666664</v>
      </c>
      <c r="B84" s="112">
        <v>7.11</v>
      </c>
      <c r="C84" s="112">
        <v>6.08</v>
      </c>
      <c r="D84" s="112">
        <v>13.88</v>
      </c>
      <c r="E84" s="112">
        <v>11.74</v>
      </c>
      <c r="F84" s="112">
        <v>25.73</v>
      </c>
      <c r="G84" s="112">
        <v>67.959999999999994</v>
      </c>
      <c r="H84" s="112">
        <v>25.95</v>
      </c>
      <c r="I84" s="112">
        <v>5.52</v>
      </c>
      <c r="J84" s="112">
        <v>0.23</v>
      </c>
      <c r="K84" s="112">
        <v>136.72999999999999</v>
      </c>
      <c r="L84" s="112">
        <v>34.049999999999997</v>
      </c>
      <c r="M84" s="112">
        <v>48.4</v>
      </c>
      <c r="N84" s="112">
        <v>0</v>
      </c>
      <c r="O84" s="112">
        <v>0</v>
      </c>
      <c r="P84" s="112">
        <v>0.6</v>
      </c>
      <c r="Q84" s="112">
        <v>5.07</v>
      </c>
    </row>
    <row r="85" spans="1:17" customFormat="1">
      <c r="A85" s="80">
        <v>45436.802083333336</v>
      </c>
      <c r="B85" s="112">
        <v>7.1</v>
      </c>
      <c r="C85" s="112">
        <v>6.08</v>
      </c>
      <c r="D85" s="112">
        <v>13.88</v>
      </c>
      <c r="E85" s="112">
        <v>12.09</v>
      </c>
      <c r="F85" s="112">
        <v>21.26</v>
      </c>
      <c r="G85" s="112">
        <v>67.959999999999994</v>
      </c>
      <c r="H85" s="112">
        <v>25.95</v>
      </c>
      <c r="I85" s="112">
        <v>5.58</v>
      </c>
      <c r="J85" s="112">
        <v>0.34</v>
      </c>
      <c r="K85" s="112">
        <v>118.51</v>
      </c>
      <c r="L85" s="112">
        <v>33.81</v>
      </c>
      <c r="M85" s="112">
        <v>49.59</v>
      </c>
      <c r="N85" s="112">
        <v>0</v>
      </c>
      <c r="O85" s="112">
        <v>0</v>
      </c>
      <c r="P85" s="112">
        <v>0.6</v>
      </c>
      <c r="Q85" s="112">
        <v>6.34</v>
      </c>
    </row>
    <row r="86" spans="1:17" customFormat="1">
      <c r="A86" s="80">
        <v>45436.8125</v>
      </c>
      <c r="B86" s="112">
        <v>7.09</v>
      </c>
      <c r="C86" s="112">
        <v>6.07</v>
      </c>
      <c r="D86" s="112">
        <v>13.87</v>
      </c>
      <c r="E86" s="112">
        <v>12.33</v>
      </c>
      <c r="F86" s="112">
        <v>26.38</v>
      </c>
      <c r="G86" s="112">
        <v>64.34</v>
      </c>
      <c r="H86" s="112">
        <v>25.29</v>
      </c>
      <c r="I86" s="112">
        <v>5.32</v>
      </c>
      <c r="J86" s="112">
        <v>0.26</v>
      </c>
      <c r="K86" s="112">
        <v>151.66999999999999</v>
      </c>
      <c r="L86" s="112">
        <v>33.65</v>
      </c>
      <c r="M86" s="112">
        <v>50.78</v>
      </c>
      <c r="N86" s="112">
        <v>0</v>
      </c>
      <c r="O86" s="112">
        <v>0</v>
      </c>
      <c r="P86" s="112">
        <v>0.61</v>
      </c>
      <c r="Q86" s="112">
        <v>9.09</v>
      </c>
    </row>
    <row r="87" spans="1:17" customFormat="1">
      <c r="A87" s="80">
        <v>45436.822916666664</v>
      </c>
      <c r="B87" s="112">
        <v>7.09</v>
      </c>
      <c r="C87" s="112">
        <v>6.08</v>
      </c>
      <c r="D87" s="112">
        <v>13.87</v>
      </c>
      <c r="E87" s="112">
        <v>12.41</v>
      </c>
      <c r="F87" s="112">
        <v>17.66</v>
      </c>
      <c r="G87" s="112">
        <v>63.55</v>
      </c>
      <c r="H87" s="112">
        <v>25.29</v>
      </c>
      <c r="I87" s="112">
        <v>5.35</v>
      </c>
      <c r="J87" s="112">
        <v>0.21</v>
      </c>
      <c r="K87" s="112">
        <v>186.98</v>
      </c>
      <c r="L87" s="112">
        <v>33.22</v>
      </c>
      <c r="M87" s="112">
        <v>52.86</v>
      </c>
      <c r="N87" s="112">
        <v>0</v>
      </c>
      <c r="O87" s="112">
        <v>0</v>
      </c>
      <c r="P87" s="112">
        <v>0.62</v>
      </c>
      <c r="Q87" s="112">
        <v>6.31</v>
      </c>
    </row>
    <row r="88" spans="1:17" customFormat="1">
      <c r="A88" s="80">
        <v>45436.833333333336</v>
      </c>
      <c r="B88" s="112">
        <v>7.09</v>
      </c>
      <c r="C88" s="112">
        <v>6.08</v>
      </c>
      <c r="D88" s="112">
        <v>13.87</v>
      </c>
      <c r="E88" s="112">
        <v>12.65</v>
      </c>
      <c r="F88" s="112">
        <v>16.54</v>
      </c>
      <c r="G88" s="112">
        <v>63.55</v>
      </c>
      <c r="H88" s="112">
        <v>25.29</v>
      </c>
      <c r="I88" s="112">
        <v>5.4</v>
      </c>
      <c r="J88" s="112">
        <v>0.2</v>
      </c>
      <c r="K88" s="112">
        <v>141.80000000000001</v>
      </c>
      <c r="L88" s="112">
        <v>33.43</v>
      </c>
      <c r="M88" s="112">
        <v>51.78</v>
      </c>
      <c r="N88" s="112">
        <v>0</v>
      </c>
      <c r="O88" s="112">
        <v>0</v>
      </c>
      <c r="P88" s="112">
        <v>0.63</v>
      </c>
      <c r="Q88" s="112">
        <v>5.48</v>
      </c>
    </row>
    <row r="89" spans="1:17" customFormat="1">
      <c r="A89" s="80">
        <v>45436.84375</v>
      </c>
      <c r="B89" s="112">
        <v>7.09</v>
      </c>
      <c r="C89" s="112">
        <v>6.07</v>
      </c>
      <c r="D89" s="112">
        <v>13.87</v>
      </c>
      <c r="E89" s="112">
        <v>11.54</v>
      </c>
      <c r="F89" s="112">
        <v>21.62</v>
      </c>
      <c r="G89" s="112">
        <v>63.55</v>
      </c>
      <c r="H89" s="112">
        <v>25.29</v>
      </c>
      <c r="I89" s="112">
        <v>5.5</v>
      </c>
      <c r="J89" s="112">
        <v>0.04</v>
      </c>
      <c r="K89" s="112">
        <v>214.34</v>
      </c>
      <c r="L89" s="112">
        <v>32.950000000000003</v>
      </c>
      <c r="M89" s="112">
        <v>54.22</v>
      </c>
      <c r="N89" s="112">
        <v>0</v>
      </c>
      <c r="O89" s="112">
        <v>0</v>
      </c>
      <c r="P89" s="112">
        <v>0.62</v>
      </c>
      <c r="Q89" s="112">
        <v>6.18</v>
      </c>
    </row>
    <row r="90" spans="1:17" customFormat="1">
      <c r="A90" s="80">
        <v>45436.854166666664</v>
      </c>
      <c r="B90" s="112">
        <v>7.12</v>
      </c>
      <c r="C90" s="112">
        <v>6.11</v>
      </c>
      <c r="D90" s="112">
        <v>13.91</v>
      </c>
      <c r="E90" s="112">
        <v>11.23</v>
      </c>
      <c r="F90" s="112">
        <v>17.420000000000002</v>
      </c>
      <c r="G90" s="112">
        <v>58.17</v>
      </c>
      <c r="H90" s="112">
        <v>27.16</v>
      </c>
      <c r="I90" s="112">
        <v>5.61</v>
      </c>
      <c r="J90" s="112">
        <v>0.21</v>
      </c>
      <c r="K90" s="112">
        <v>107.21</v>
      </c>
      <c r="L90" s="112">
        <v>32.729999999999997</v>
      </c>
      <c r="M90" s="112">
        <v>55.01</v>
      </c>
      <c r="N90" s="112">
        <v>0</v>
      </c>
      <c r="O90" s="112">
        <v>0</v>
      </c>
      <c r="P90" s="112">
        <v>0.62</v>
      </c>
      <c r="Q90" s="112">
        <v>5</v>
      </c>
    </row>
    <row r="91" spans="1:17" customFormat="1">
      <c r="A91" s="80">
        <v>45436.864583333336</v>
      </c>
      <c r="B91" s="112">
        <v>7.12</v>
      </c>
      <c r="C91" s="112">
        <v>6.08</v>
      </c>
      <c r="D91" s="112">
        <v>13.89</v>
      </c>
      <c r="E91" s="112">
        <v>12.72</v>
      </c>
      <c r="F91" s="112">
        <v>34.85</v>
      </c>
      <c r="G91" s="112">
        <v>57</v>
      </c>
      <c r="H91" s="112">
        <v>27.16</v>
      </c>
      <c r="I91" s="112">
        <v>5.46</v>
      </c>
      <c r="J91" s="112">
        <v>0.18</v>
      </c>
      <c r="K91" s="112">
        <v>161.80000000000001</v>
      </c>
      <c r="L91" s="112">
        <v>32.43</v>
      </c>
      <c r="M91" s="112">
        <v>55.9</v>
      </c>
      <c r="N91" s="112">
        <v>0</v>
      </c>
      <c r="O91" s="112">
        <v>0</v>
      </c>
      <c r="P91" s="112">
        <v>0.61</v>
      </c>
      <c r="Q91" s="112">
        <v>5</v>
      </c>
    </row>
    <row r="92" spans="1:17" customFormat="1">
      <c r="A92" s="80">
        <v>45436.875</v>
      </c>
      <c r="B92" s="112">
        <v>7.15</v>
      </c>
      <c r="C92" s="112">
        <v>6.07</v>
      </c>
      <c r="D92" s="112">
        <v>13.92</v>
      </c>
      <c r="E92" s="112">
        <v>12.3</v>
      </c>
      <c r="F92" s="112">
        <v>41.15</v>
      </c>
      <c r="G92" s="112">
        <v>57</v>
      </c>
      <c r="H92" s="112">
        <v>27.16</v>
      </c>
      <c r="I92" s="112">
        <v>5.24</v>
      </c>
      <c r="J92" s="112">
        <v>0.09</v>
      </c>
      <c r="K92" s="112">
        <v>192.37</v>
      </c>
      <c r="L92" s="112">
        <v>32.33</v>
      </c>
      <c r="M92" s="112">
        <v>54.88</v>
      </c>
      <c r="N92" s="112">
        <v>0</v>
      </c>
      <c r="O92" s="112">
        <v>0</v>
      </c>
      <c r="P92" s="112">
        <v>0.6</v>
      </c>
      <c r="Q92" s="112">
        <v>0.87</v>
      </c>
    </row>
    <row r="93" spans="1:17" customFormat="1">
      <c r="A93" s="80">
        <v>45436.885416666664</v>
      </c>
      <c r="B93" s="112">
        <v>7.14</v>
      </c>
      <c r="C93" s="112">
        <v>6.06</v>
      </c>
      <c r="D93" s="112">
        <v>13.9</v>
      </c>
      <c r="E93" s="112">
        <v>12.05</v>
      </c>
      <c r="F93" s="112">
        <v>40.729999999999997</v>
      </c>
      <c r="G93" s="112">
        <v>57</v>
      </c>
      <c r="H93" s="112">
        <v>27.16</v>
      </c>
      <c r="I93" s="112">
        <v>4.93</v>
      </c>
      <c r="J93" s="112">
        <v>7.0000000000000007E-2</v>
      </c>
      <c r="K93" s="112">
        <v>181.73</v>
      </c>
      <c r="L93" s="112">
        <v>32.42</v>
      </c>
      <c r="M93" s="112">
        <v>53.52</v>
      </c>
      <c r="N93" s="112">
        <v>0</v>
      </c>
      <c r="O93" s="112">
        <v>0</v>
      </c>
      <c r="P93" s="112">
        <v>0.61</v>
      </c>
      <c r="Q93" s="112">
        <v>5</v>
      </c>
    </row>
    <row r="94" spans="1:17" customFormat="1">
      <c r="A94" s="80">
        <v>45436.895833333336</v>
      </c>
      <c r="B94" s="112">
        <v>7.12</v>
      </c>
      <c r="C94" s="112">
        <v>6.04</v>
      </c>
      <c r="D94" s="112">
        <v>13.87</v>
      </c>
      <c r="E94" s="112">
        <v>12.56</v>
      </c>
      <c r="F94" s="112">
        <v>44.39</v>
      </c>
      <c r="G94" s="112">
        <v>53.48</v>
      </c>
      <c r="H94" s="112">
        <v>22.45</v>
      </c>
      <c r="I94" s="112">
        <v>4.79</v>
      </c>
      <c r="J94" s="112">
        <v>0.14000000000000001</v>
      </c>
      <c r="K94" s="112">
        <v>204.76</v>
      </c>
      <c r="L94" s="112">
        <v>32.26</v>
      </c>
      <c r="M94" s="112">
        <v>52.59</v>
      </c>
      <c r="N94" s="112">
        <v>0</v>
      </c>
      <c r="O94" s="112">
        <v>0</v>
      </c>
      <c r="P94" s="112">
        <v>0.62</v>
      </c>
      <c r="Q94" s="112">
        <v>13.16</v>
      </c>
    </row>
    <row r="95" spans="1:17" customFormat="1">
      <c r="A95" s="80">
        <v>45436.90625</v>
      </c>
      <c r="B95" s="112">
        <v>7.11</v>
      </c>
      <c r="C95" s="112">
        <v>6.08</v>
      </c>
      <c r="D95" s="112">
        <v>13.89</v>
      </c>
      <c r="E95" s="112">
        <v>11.24</v>
      </c>
      <c r="F95" s="112">
        <v>45.21</v>
      </c>
      <c r="G95" s="112">
        <v>52.71</v>
      </c>
      <c r="H95" s="112">
        <v>22.45</v>
      </c>
      <c r="I95" s="112">
        <v>4.8899999999999997</v>
      </c>
      <c r="J95" s="112">
        <v>0.16</v>
      </c>
      <c r="K95" s="112">
        <v>247.64</v>
      </c>
      <c r="L95" s="112">
        <v>32.200000000000003</v>
      </c>
      <c r="M95" s="112">
        <v>50.01</v>
      </c>
      <c r="N95" s="112">
        <v>0</v>
      </c>
      <c r="O95" s="112">
        <v>0</v>
      </c>
      <c r="P95" s="112">
        <v>0.55000000000000004</v>
      </c>
      <c r="Q95" s="112">
        <v>117.55</v>
      </c>
    </row>
    <row r="96" spans="1:17" customFormat="1">
      <c r="A96" s="80">
        <v>45436.916666666664</v>
      </c>
      <c r="B96" s="112">
        <v>7.1</v>
      </c>
      <c r="C96" s="112">
        <v>6.09</v>
      </c>
      <c r="D96" s="112">
        <v>13.89</v>
      </c>
      <c r="E96" s="112">
        <v>10.46</v>
      </c>
      <c r="F96" s="112">
        <v>41.66</v>
      </c>
      <c r="G96" s="112">
        <v>52.71</v>
      </c>
      <c r="H96" s="112">
        <v>22.45</v>
      </c>
      <c r="I96" s="112">
        <v>4.8499999999999996</v>
      </c>
      <c r="J96" s="112">
        <v>0.1</v>
      </c>
      <c r="K96" s="112">
        <v>234.7</v>
      </c>
      <c r="L96" s="112">
        <v>32.020000000000003</v>
      </c>
      <c r="M96" s="112">
        <v>49.94</v>
      </c>
      <c r="N96" s="112">
        <v>0</v>
      </c>
      <c r="O96" s="112">
        <v>0</v>
      </c>
      <c r="P96" s="112">
        <v>0.56000000000000005</v>
      </c>
      <c r="Q96" s="112">
        <v>344.39</v>
      </c>
    </row>
    <row r="97" spans="1:22" customFormat="1">
      <c r="A97" s="80">
        <v>45436.927083333336</v>
      </c>
      <c r="B97" s="112">
        <v>7.11</v>
      </c>
      <c r="C97" s="112">
        <v>6.08</v>
      </c>
      <c r="D97" s="112">
        <v>13.89</v>
      </c>
      <c r="E97" s="112">
        <v>10.41</v>
      </c>
      <c r="F97" s="112">
        <v>42.72</v>
      </c>
      <c r="G97" s="112">
        <v>52.71</v>
      </c>
      <c r="H97" s="112">
        <v>22.45</v>
      </c>
      <c r="I97" s="112">
        <v>4.54</v>
      </c>
      <c r="J97" s="112">
        <v>0.11</v>
      </c>
      <c r="K97" s="112">
        <v>206.23</v>
      </c>
      <c r="L97" s="112">
        <v>31.9</v>
      </c>
      <c r="M97" s="112">
        <v>50.45</v>
      </c>
      <c r="N97" s="112">
        <v>0</v>
      </c>
      <c r="O97" s="112">
        <v>0</v>
      </c>
      <c r="P97" s="112">
        <v>0.54</v>
      </c>
      <c r="Q97" s="112">
        <v>32.24</v>
      </c>
    </row>
    <row r="98" spans="1:22" customFormat="1">
      <c r="A98" s="80">
        <v>45436.9375</v>
      </c>
      <c r="B98" s="112">
        <v>7.11</v>
      </c>
      <c r="C98" s="112">
        <v>6.08</v>
      </c>
      <c r="D98" s="112">
        <v>13.89</v>
      </c>
      <c r="E98" s="112">
        <v>10.44</v>
      </c>
      <c r="F98" s="112">
        <v>43.28</v>
      </c>
      <c r="G98" s="112">
        <v>48.97</v>
      </c>
      <c r="H98" s="112">
        <v>24.3</v>
      </c>
      <c r="I98" s="112">
        <v>4.3600000000000003</v>
      </c>
      <c r="J98" s="112">
        <v>0.15</v>
      </c>
      <c r="K98" s="112">
        <v>181.46</v>
      </c>
      <c r="L98" s="112">
        <v>31.59</v>
      </c>
      <c r="M98" s="112">
        <v>50.98</v>
      </c>
      <c r="N98" s="112">
        <v>0</v>
      </c>
      <c r="O98" s="112">
        <v>0</v>
      </c>
      <c r="P98" s="112">
        <v>0.54</v>
      </c>
      <c r="Q98" s="112">
        <v>483</v>
      </c>
    </row>
    <row r="99" spans="1:22" customFormat="1">
      <c r="A99" s="80">
        <v>45436.947916666664</v>
      </c>
      <c r="B99" s="112">
        <v>7.11</v>
      </c>
      <c r="C99" s="112">
        <v>6.06</v>
      </c>
      <c r="D99" s="112">
        <v>13.88</v>
      </c>
      <c r="E99" s="112">
        <v>10</v>
      </c>
      <c r="F99" s="112">
        <v>45.55</v>
      </c>
      <c r="G99" s="112">
        <v>48.22</v>
      </c>
      <c r="H99" s="112">
        <v>24.3</v>
      </c>
      <c r="I99" s="112">
        <v>4.28</v>
      </c>
      <c r="J99" s="112">
        <v>0.12</v>
      </c>
      <c r="K99" s="112">
        <v>238.15</v>
      </c>
      <c r="L99" s="112">
        <v>31.27</v>
      </c>
      <c r="M99" s="112">
        <v>52.04</v>
      </c>
      <c r="N99" s="112">
        <v>0</v>
      </c>
      <c r="O99" s="112">
        <v>0</v>
      </c>
      <c r="P99" s="112">
        <v>0.52</v>
      </c>
      <c r="Q99" s="112">
        <v>702.55</v>
      </c>
    </row>
    <row r="100" spans="1:22" customFormat="1">
      <c r="A100" s="80">
        <v>45436.958333333336</v>
      </c>
      <c r="B100" s="112">
        <v>7.1</v>
      </c>
      <c r="C100" s="112">
        <v>6.06</v>
      </c>
      <c r="D100" s="112">
        <v>13.87</v>
      </c>
      <c r="E100" s="112">
        <v>9.5299999999999994</v>
      </c>
      <c r="F100" s="112">
        <v>47.01</v>
      </c>
      <c r="G100" s="112">
        <v>48.22</v>
      </c>
      <c r="H100" s="112">
        <v>24.3</v>
      </c>
      <c r="I100" s="112">
        <v>4.3</v>
      </c>
      <c r="J100" s="112">
        <v>0.15</v>
      </c>
      <c r="K100" s="112">
        <v>208.18</v>
      </c>
      <c r="L100" s="112">
        <v>31</v>
      </c>
      <c r="M100" s="112">
        <v>53.08</v>
      </c>
      <c r="N100" s="112">
        <v>0</v>
      </c>
      <c r="O100" s="112">
        <v>0</v>
      </c>
      <c r="P100" s="112">
        <v>0.51</v>
      </c>
      <c r="Q100" s="112">
        <v>236.76</v>
      </c>
    </row>
    <row r="101" spans="1:22" customFormat="1">
      <c r="A101" s="80">
        <v>45436.96875</v>
      </c>
      <c r="B101" s="112">
        <v>7.09</v>
      </c>
      <c r="C101" s="112">
        <v>6.08</v>
      </c>
      <c r="D101" s="112">
        <v>13.87</v>
      </c>
      <c r="E101" s="112">
        <v>9.8000000000000007</v>
      </c>
      <c r="F101" s="112">
        <v>46.97</v>
      </c>
      <c r="G101" s="112">
        <v>48.22</v>
      </c>
      <c r="H101" s="112">
        <v>24.3</v>
      </c>
      <c r="I101" s="112">
        <v>4.1900000000000004</v>
      </c>
      <c r="J101" s="112">
        <v>0.17</v>
      </c>
      <c r="K101" s="112">
        <v>179.42</v>
      </c>
      <c r="L101" s="112">
        <v>30.89</v>
      </c>
      <c r="M101" s="112">
        <v>53.63</v>
      </c>
      <c r="N101" s="112">
        <v>0</v>
      </c>
      <c r="O101" s="112">
        <v>0</v>
      </c>
      <c r="P101" s="112">
        <v>0.49</v>
      </c>
      <c r="Q101" s="112">
        <v>153.47999999999999</v>
      </c>
    </row>
    <row r="102" spans="1:22" customFormat="1">
      <c r="A102" s="80">
        <v>45436.979166666664</v>
      </c>
      <c r="B102" s="112">
        <v>7.12</v>
      </c>
      <c r="C102" s="112">
        <v>6.05</v>
      </c>
      <c r="D102" s="112">
        <v>13.88</v>
      </c>
      <c r="E102" s="112">
        <v>9.64</v>
      </c>
      <c r="F102" s="112">
        <v>48.24</v>
      </c>
      <c r="G102" s="112">
        <v>39.22</v>
      </c>
      <c r="H102" s="112">
        <v>17.25</v>
      </c>
      <c r="I102" s="112">
        <v>4.08</v>
      </c>
      <c r="J102" s="112">
        <v>0.22</v>
      </c>
      <c r="K102" s="112">
        <v>199.1</v>
      </c>
      <c r="L102" s="112">
        <v>30.93</v>
      </c>
      <c r="M102" s="112">
        <v>53.56</v>
      </c>
      <c r="N102" s="112">
        <v>0</v>
      </c>
      <c r="O102" s="112">
        <v>0</v>
      </c>
      <c r="P102" s="112">
        <v>0.49</v>
      </c>
      <c r="Q102" s="112">
        <v>341.89</v>
      </c>
    </row>
    <row r="103" spans="1:22" customFormat="1">
      <c r="A103" s="80">
        <v>45436.989583333336</v>
      </c>
      <c r="B103" s="112">
        <v>7.1</v>
      </c>
      <c r="C103" s="112">
        <v>6.08</v>
      </c>
      <c r="D103" s="112">
        <v>13.88</v>
      </c>
      <c r="E103" s="112">
        <v>9.5299999999999994</v>
      </c>
      <c r="F103" s="112">
        <v>43.12</v>
      </c>
      <c r="G103" s="112">
        <v>37.28</v>
      </c>
      <c r="H103" s="112">
        <v>17.25</v>
      </c>
      <c r="I103" s="112">
        <v>3.96</v>
      </c>
      <c r="J103" s="112">
        <v>0.18</v>
      </c>
      <c r="K103" s="112">
        <v>193.68</v>
      </c>
      <c r="L103" s="112">
        <v>30.44</v>
      </c>
      <c r="M103" s="112">
        <v>55.62</v>
      </c>
      <c r="N103" s="112">
        <v>0</v>
      </c>
      <c r="O103" s="112">
        <v>0</v>
      </c>
      <c r="P103" s="112">
        <v>0.49</v>
      </c>
      <c r="Q103" s="112">
        <v>93.82</v>
      </c>
    </row>
    <row r="104" spans="1:22" customFormat="1">
      <c r="A104" s="80">
        <v>45437</v>
      </c>
      <c r="B104" s="112">
        <v>7.1</v>
      </c>
      <c r="C104" s="112">
        <v>6.12</v>
      </c>
      <c r="D104" s="112">
        <v>13.9</v>
      </c>
      <c r="E104" s="112">
        <v>9.4700000000000006</v>
      </c>
      <c r="F104" s="112">
        <v>43.54</v>
      </c>
      <c r="G104" s="112">
        <v>37.28</v>
      </c>
      <c r="H104" s="112">
        <v>17.25</v>
      </c>
      <c r="I104" s="112">
        <v>3.97</v>
      </c>
      <c r="J104" s="112">
        <v>0.16</v>
      </c>
      <c r="K104" s="112">
        <v>182.19</v>
      </c>
      <c r="L104" s="112">
        <v>30.34</v>
      </c>
      <c r="M104" s="112">
        <v>55.98</v>
      </c>
      <c r="N104" s="112">
        <v>0</v>
      </c>
      <c r="O104" s="112">
        <v>0</v>
      </c>
      <c r="P104" s="112">
        <v>0.49</v>
      </c>
      <c r="Q104" s="112">
        <v>40.229999999999997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7.09</v>
      </c>
      <c r="C106" s="183">
        <f>MIN(C9:C104)</f>
        <v>6.02</v>
      </c>
      <c r="D106" s="183">
        <f t="shared" ref="D106:Q106" si="0">MIN(D9:D104)</f>
        <v>13.87</v>
      </c>
      <c r="E106" s="183">
        <f t="shared" si="0"/>
        <v>7.39</v>
      </c>
      <c r="F106" s="183">
        <f t="shared" si="0"/>
        <v>4.9800000000000004</v>
      </c>
      <c r="G106" s="183">
        <f t="shared" si="0"/>
        <v>28.08</v>
      </c>
      <c r="H106" s="183">
        <f t="shared" si="0"/>
        <v>9.66</v>
      </c>
      <c r="I106" s="183">
        <f t="shared" si="0"/>
        <v>3.96</v>
      </c>
      <c r="J106" s="183">
        <f t="shared" si="0"/>
        <v>0.04</v>
      </c>
      <c r="K106" s="183">
        <f t="shared" si="0"/>
        <v>2.65</v>
      </c>
      <c r="L106" s="183">
        <f t="shared" si="0"/>
        <v>28.36</v>
      </c>
      <c r="M106" s="183">
        <f t="shared" si="0"/>
        <v>30.7</v>
      </c>
      <c r="N106" s="183">
        <f t="shared" si="0"/>
        <v>0</v>
      </c>
      <c r="O106" s="183">
        <f t="shared" si="0"/>
        <v>0</v>
      </c>
      <c r="P106" s="183">
        <f t="shared" si="0"/>
        <v>0.44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7.23</v>
      </c>
      <c r="C107" s="184">
        <f t="shared" ref="C107:Q107" si="1">MAX(C9:C104)</f>
        <v>6.19</v>
      </c>
      <c r="D107" s="184">
        <f t="shared" si="1"/>
        <v>14</v>
      </c>
      <c r="E107" s="184">
        <f t="shared" si="1"/>
        <v>29.19</v>
      </c>
      <c r="F107" s="184">
        <f t="shared" si="1"/>
        <v>77.7</v>
      </c>
      <c r="G107" s="184">
        <f t="shared" si="1"/>
        <v>67.959999999999994</v>
      </c>
      <c r="H107" s="184">
        <f t="shared" si="1"/>
        <v>27.16</v>
      </c>
      <c r="I107" s="184">
        <f t="shared" si="1"/>
        <v>6.71</v>
      </c>
      <c r="J107" s="184">
        <f t="shared" si="1"/>
        <v>1.33</v>
      </c>
      <c r="K107" s="184">
        <f t="shared" si="1"/>
        <v>359.01</v>
      </c>
      <c r="L107" s="184">
        <f t="shared" si="1"/>
        <v>40.659999999999997</v>
      </c>
      <c r="M107" s="184">
        <f t="shared" si="1"/>
        <v>67.88</v>
      </c>
      <c r="N107" s="184">
        <f t="shared" si="1"/>
        <v>762.1</v>
      </c>
      <c r="O107" s="184">
        <f t="shared" si="1"/>
        <v>0</v>
      </c>
      <c r="P107" s="184">
        <f t="shared" si="1"/>
        <v>0.74</v>
      </c>
      <c r="Q107" s="184">
        <f t="shared" si="1"/>
        <v>702.55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7.1387500000000044</v>
      </c>
      <c r="C108" s="183">
        <f t="shared" ref="C108:Q108" si="2">AVERAGE(C9:C104)</f>
        <v>6.0743749999999972</v>
      </c>
      <c r="D108" s="183">
        <f t="shared" si="2"/>
        <v>13.907083333333338</v>
      </c>
      <c r="E108" s="183">
        <f t="shared" si="2"/>
        <v>12.960312500000002</v>
      </c>
      <c r="F108" s="183">
        <f t="shared" si="2"/>
        <v>26.087604166666669</v>
      </c>
      <c r="G108" s="183">
        <f t="shared" si="2"/>
        <v>46.643437500000026</v>
      </c>
      <c r="H108" s="183">
        <f t="shared" si="2"/>
        <v>18.083958333333339</v>
      </c>
      <c r="I108" s="183">
        <f t="shared" si="2"/>
        <v>5.5379166666666686</v>
      </c>
      <c r="J108" s="183">
        <f t="shared" si="2"/>
        <v>0.41791666666666655</v>
      </c>
      <c r="K108" s="183">
        <f t="shared" si="2"/>
        <v>172.75479166666662</v>
      </c>
      <c r="L108" s="183">
        <f t="shared" si="2"/>
        <v>34.061041666666668</v>
      </c>
      <c r="M108" s="183">
        <f t="shared" si="2"/>
        <v>49.244999999999997</v>
      </c>
      <c r="N108" s="183">
        <f t="shared" si="2"/>
        <v>157.44791666666663</v>
      </c>
      <c r="O108" s="183">
        <f t="shared" si="2"/>
        <v>0</v>
      </c>
      <c r="P108" s="183">
        <f t="shared" si="2"/>
        <v>0.58020833333333355</v>
      </c>
      <c r="Q108" s="183">
        <f t="shared" si="2"/>
        <v>40.645937500000009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3.023591451098832E-2</v>
      </c>
      <c r="C109" s="183">
        <f t="shared" ref="C109:Q109" si="3">STDEV(C9:C104)</f>
        <v>2.5165243366282286E-2</v>
      </c>
      <c r="D109" s="183">
        <f t="shared" si="3"/>
        <v>2.5870799091138052E-2</v>
      </c>
      <c r="E109" s="183">
        <f t="shared" si="3"/>
        <v>5.4229517022073459</v>
      </c>
      <c r="F109" s="183">
        <f t="shared" si="3"/>
        <v>17.199902432085057</v>
      </c>
      <c r="G109" s="183">
        <f t="shared" si="3"/>
        <v>12.115630342063232</v>
      </c>
      <c r="H109" s="183">
        <f t="shared" si="3"/>
        <v>5.7912904623493082</v>
      </c>
      <c r="I109" s="183">
        <f t="shared" si="3"/>
        <v>0.70764980436230784</v>
      </c>
      <c r="J109" s="183">
        <f t="shared" si="3"/>
        <v>0.30308212076898339</v>
      </c>
      <c r="K109" s="183">
        <f t="shared" si="3"/>
        <v>96.212232081276596</v>
      </c>
      <c r="L109" s="183">
        <f t="shared" si="3"/>
        <v>3.7741331466671788</v>
      </c>
      <c r="M109" s="183">
        <f t="shared" si="3"/>
        <v>10.307788470758155</v>
      </c>
      <c r="N109" s="183">
        <f t="shared" si="3"/>
        <v>229.43963360609305</v>
      </c>
      <c r="O109" s="183">
        <f t="shared" si="3"/>
        <v>0</v>
      </c>
      <c r="P109" s="183">
        <f t="shared" si="3"/>
        <v>8.4379832545166858E-2</v>
      </c>
      <c r="Q109" s="183">
        <f t="shared" si="3"/>
        <v>100.86847632935961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45437.010416666664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45437.010416666664</v>
      </c>
      <c r="B9" s="112">
        <v>7.24</v>
      </c>
      <c r="C9" s="112">
        <v>6.03</v>
      </c>
      <c r="D9" s="112">
        <v>13.96</v>
      </c>
      <c r="E9" s="112">
        <v>9.4499999999999993</v>
      </c>
      <c r="F9" s="112">
        <v>43.82</v>
      </c>
      <c r="G9" s="112">
        <v>37.28</v>
      </c>
      <c r="H9" s="112">
        <v>17.25</v>
      </c>
      <c r="I9" s="112">
        <v>4.05</v>
      </c>
      <c r="J9" s="112">
        <v>0.16</v>
      </c>
      <c r="K9" s="112">
        <v>169.46</v>
      </c>
      <c r="L9" s="112">
        <v>30.62</v>
      </c>
      <c r="M9" s="112">
        <v>55.17</v>
      </c>
      <c r="N9" s="112">
        <v>0</v>
      </c>
      <c r="O9" s="112">
        <v>0</v>
      </c>
      <c r="P9" s="112">
        <v>0.49</v>
      </c>
      <c r="Q9" s="112">
        <v>6.31</v>
      </c>
    </row>
    <row r="10" spans="1:21" customFormat="1">
      <c r="A10" s="80">
        <v>45437.020833333336</v>
      </c>
      <c r="B10" s="112">
        <v>7.2</v>
      </c>
      <c r="C10" s="112">
        <v>6.07</v>
      </c>
      <c r="D10" s="112">
        <v>13.96</v>
      </c>
      <c r="E10" s="112">
        <v>9.52</v>
      </c>
      <c r="F10" s="112">
        <v>43.63</v>
      </c>
      <c r="G10" s="112">
        <v>36.11</v>
      </c>
      <c r="H10" s="112">
        <v>19.52</v>
      </c>
      <c r="I10" s="112">
        <v>3.97</v>
      </c>
      <c r="J10" s="112">
        <v>0.16</v>
      </c>
      <c r="K10" s="112">
        <v>284.67</v>
      </c>
      <c r="L10" s="112">
        <v>30.25</v>
      </c>
      <c r="M10" s="112">
        <v>56.13</v>
      </c>
      <c r="N10" s="112">
        <v>0</v>
      </c>
      <c r="O10" s="112">
        <v>0</v>
      </c>
      <c r="P10" s="112">
        <v>0.49</v>
      </c>
      <c r="Q10" s="112">
        <v>5.0599999999999996</v>
      </c>
    </row>
    <row r="11" spans="1:21" customFormat="1">
      <c r="A11" s="80">
        <v>45437.03125</v>
      </c>
      <c r="B11" s="112">
        <v>7.21</v>
      </c>
      <c r="C11" s="112">
        <v>6.07</v>
      </c>
      <c r="D11" s="112">
        <v>13.97</v>
      </c>
      <c r="E11" s="112">
        <v>9.84</v>
      </c>
      <c r="F11" s="112">
        <v>30.29</v>
      </c>
      <c r="G11" s="112">
        <v>35.86</v>
      </c>
      <c r="H11" s="112">
        <v>19.52</v>
      </c>
      <c r="I11" s="112">
        <v>3.89</v>
      </c>
      <c r="J11" s="112">
        <v>0.37</v>
      </c>
      <c r="K11" s="112">
        <v>41.15</v>
      </c>
      <c r="L11" s="112">
        <v>30.45</v>
      </c>
      <c r="M11" s="112">
        <v>54.9</v>
      </c>
      <c r="N11" s="112">
        <v>0</v>
      </c>
      <c r="O11" s="112">
        <v>0</v>
      </c>
      <c r="P11" s="112">
        <v>0.52</v>
      </c>
      <c r="Q11" s="112">
        <v>1.07</v>
      </c>
    </row>
    <row r="12" spans="1:21" customFormat="1">
      <c r="A12" s="80">
        <v>45437.041666666664</v>
      </c>
      <c r="B12" s="112">
        <v>7.22</v>
      </c>
      <c r="C12" s="112">
        <v>6.08</v>
      </c>
      <c r="D12" s="112">
        <v>13.98</v>
      </c>
      <c r="E12" s="112">
        <v>9.92</v>
      </c>
      <c r="F12" s="112">
        <v>29.86</v>
      </c>
      <c r="G12" s="112">
        <v>35.86</v>
      </c>
      <c r="H12" s="112">
        <v>19.52</v>
      </c>
      <c r="I12" s="112">
        <v>3.98</v>
      </c>
      <c r="J12" s="112">
        <v>0.18</v>
      </c>
      <c r="K12" s="112">
        <v>68.27</v>
      </c>
      <c r="L12" s="112">
        <v>30.69</v>
      </c>
      <c r="M12" s="112">
        <v>54.75</v>
      </c>
      <c r="N12" s="112">
        <v>0</v>
      </c>
      <c r="O12" s="112">
        <v>0</v>
      </c>
      <c r="P12" s="112">
        <v>0.51</v>
      </c>
      <c r="Q12" s="112">
        <v>5</v>
      </c>
    </row>
    <row r="13" spans="1:21" customFormat="1">
      <c r="A13" s="80">
        <v>45437.052083333336</v>
      </c>
      <c r="B13" s="112">
        <v>7.21</v>
      </c>
      <c r="C13" s="112">
        <v>6.09</v>
      </c>
      <c r="D13" s="112">
        <v>13.97</v>
      </c>
      <c r="E13" s="112">
        <v>8.9499999999999993</v>
      </c>
      <c r="F13" s="112">
        <v>14.63</v>
      </c>
      <c r="G13" s="112">
        <v>35.86</v>
      </c>
      <c r="H13" s="112">
        <v>19.52</v>
      </c>
      <c r="I13" s="112">
        <v>4.0599999999999996</v>
      </c>
      <c r="J13" s="112">
        <v>0.18</v>
      </c>
      <c r="K13" s="112">
        <v>195.84</v>
      </c>
      <c r="L13" s="112">
        <v>30.3</v>
      </c>
      <c r="M13" s="112">
        <v>57.79</v>
      </c>
      <c r="N13" s="112">
        <v>0</v>
      </c>
      <c r="O13" s="112">
        <v>0</v>
      </c>
      <c r="P13" s="112">
        <v>0.53</v>
      </c>
      <c r="Q13" s="112">
        <v>6.24</v>
      </c>
    </row>
    <row r="14" spans="1:21" customFormat="1">
      <c r="A14" s="80">
        <v>45437.0625</v>
      </c>
      <c r="B14" s="112">
        <v>7.2</v>
      </c>
      <c r="C14" s="112">
        <v>6.1</v>
      </c>
      <c r="D14" s="112">
        <v>13.97</v>
      </c>
      <c r="E14" s="112">
        <v>9.31</v>
      </c>
      <c r="F14" s="112">
        <v>15.62</v>
      </c>
      <c r="G14" s="112">
        <v>38.31</v>
      </c>
      <c r="H14" s="112">
        <v>17.91</v>
      </c>
      <c r="I14" s="112">
        <v>4.33</v>
      </c>
      <c r="J14" s="112">
        <v>0.12</v>
      </c>
      <c r="K14" s="112">
        <v>155.47</v>
      </c>
      <c r="L14" s="112">
        <v>30.26</v>
      </c>
      <c r="M14" s="112">
        <v>57.94</v>
      </c>
      <c r="N14" s="112">
        <v>0</v>
      </c>
      <c r="O14" s="112">
        <v>0</v>
      </c>
      <c r="P14" s="112">
        <v>0.53</v>
      </c>
      <c r="Q14" s="112">
        <v>6.92</v>
      </c>
    </row>
    <row r="15" spans="1:21" customFormat="1">
      <c r="A15" s="80">
        <v>45437.072916666664</v>
      </c>
      <c r="B15" s="112">
        <v>7.2</v>
      </c>
      <c r="C15" s="112">
        <v>6.11</v>
      </c>
      <c r="D15" s="112">
        <v>13.98</v>
      </c>
      <c r="E15" s="112">
        <v>8.59</v>
      </c>
      <c r="F15" s="112">
        <v>11.87</v>
      </c>
      <c r="G15" s="112">
        <v>38.840000000000003</v>
      </c>
      <c r="H15" s="112">
        <v>17.91</v>
      </c>
      <c r="I15" s="112">
        <v>4.59</v>
      </c>
      <c r="J15" s="112">
        <v>0.36</v>
      </c>
      <c r="K15" s="112">
        <v>95.57</v>
      </c>
      <c r="L15" s="112">
        <v>30.75</v>
      </c>
      <c r="M15" s="112">
        <v>55.16</v>
      </c>
      <c r="N15" s="112">
        <v>0</v>
      </c>
      <c r="O15" s="112">
        <v>0</v>
      </c>
      <c r="P15" s="112">
        <v>0.53</v>
      </c>
      <c r="Q15" s="112">
        <v>5.09</v>
      </c>
    </row>
    <row r="16" spans="1:21" customFormat="1">
      <c r="A16" s="80">
        <v>45437.083333333336</v>
      </c>
      <c r="B16" s="112">
        <v>7.19</v>
      </c>
      <c r="C16" s="112">
        <v>6.11</v>
      </c>
      <c r="D16" s="112">
        <v>13.97</v>
      </c>
      <c r="E16" s="112">
        <v>8.93</v>
      </c>
      <c r="F16" s="112">
        <v>11.67</v>
      </c>
      <c r="G16" s="112">
        <v>38.840000000000003</v>
      </c>
      <c r="H16" s="112">
        <v>17.91</v>
      </c>
      <c r="I16" s="112">
        <v>4.62</v>
      </c>
      <c r="J16" s="112">
        <v>0.52</v>
      </c>
      <c r="K16" s="112">
        <v>80.040000000000006</v>
      </c>
      <c r="L16" s="112">
        <v>30.88</v>
      </c>
      <c r="M16" s="112">
        <v>54.95</v>
      </c>
      <c r="N16" s="112">
        <v>0</v>
      </c>
      <c r="O16" s="112">
        <v>0</v>
      </c>
      <c r="P16" s="112">
        <v>0.53</v>
      </c>
      <c r="Q16" s="112">
        <v>5</v>
      </c>
    </row>
    <row r="17" spans="1:17" customFormat="1">
      <c r="A17" s="80">
        <v>45437.09375</v>
      </c>
      <c r="B17" s="112">
        <v>7.21</v>
      </c>
      <c r="C17" s="112">
        <v>6.08</v>
      </c>
      <c r="D17" s="112">
        <v>13.96</v>
      </c>
      <c r="E17" s="112">
        <v>8.65</v>
      </c>
      <c r="F17" s="112">
        <v>13.33</v>
      </c>
      <c r="G17" s="112">
        <v>38.840000000000003</v>
      </c>
      <c r="H17" s="112">
        <v>17.91</v>
      </c>
      <c r="I17" s="112">
        <v>4.6399999999999997</v>
      </c>
      <c r="J17" s="112">
        <v>0.62</v>
      </c>
      <c r="K17" s="112">
        <v>73.19</v>
      </c>
      <c r="L17" s="112">
        <v>30.61</v>
      </c>
      <c r="M17" s="112">
        <v>56.56</v>
      </c>
      <c r="N17" s="112">
        <v>0</v>
      </c>
      <c r="O17" s="112">
        <v>0</v>
      </c>
      <c r="P17" s="112">
        <v>0.53</v>
      </c>
      <c r="Q17" s="112">
        <v>5</v>
      </c>
    </row>
    <row r="18" spans="1:17" customFormat="1">
      <c r="A18" s="80">
        <v>45437.104166666664</v>
      </c>
      <c r="B18" s="112">
        <v>7.19</v>
      </c>
      <c r="C18" s="112">
        <v>6.09</v>
      </c>
      <c r="D18" s="112">
        <v>13.96</v>
      </c>
      <c r="E18" s="112">
        <v>9.7200000000000006</v>
      </c>
      <c r="F18" s="112">
        <v>11.18</v>
      </c>
      <c r="G18" s="112">
        <v>40.58</v>
      </c>
      <c r="H18" s="112">
        <v>18.66</v>
      </c>
      <c r="I18" s="112">
        <v>4.66</v>
      </c>
      <c r="J18" s="112">
        <v>0.57999999999999996</v>
      </c>
      <c r="K18" s="112">
        <v>66.92</v>
      </c>
      <c r="L18" s="112">
        <v>30.17</v>
      </c>
      <c r="M18" s="112">
        <v>59.64</v>
      </c>
      <c r="N18" s="112">
        <v>0</v>
      </c>
      <c r="O18" s="112">
        <v>0</v>
      </c>
      <c r="P18" s="112">
        <v>0.53</v>
      </c>
      <c r="Q18" s="112">
        <v>5.31</v>
      </c>
    </row>
    <row r="19" spans="1:17" customFormat="1">
      <c r="A19" s="80">
        <v>45437.114583333336</v>
      </c>
      <c r="B19" s="112">
        <v>7.21</v>
      </c>
      <c r="C19" s="112">
        <v>6.04</v>
      </c>
      <c r="D19" s="112">
        <v>13.94</v>
      </c>
      <c r="E19" s="112">
        <v>9.32</v>
      </c>
      <c r="F19" s="112">
        <v>12.13</v>
      </c>
      <c r="G19" s="112">
        <v>40.950000000000003</v>
      </c>
      <c r="H19" s="112">
        <v>18.66</v>
      </c>
      <c r="I19" s="112">
        <v>4.62</v>
      </c>
      <c r="J19" s="112">
        <v>0.2</v>
      </c>
      <c r="K19" s="112">
        <v>3.85</v>
      </c>
      <c r="L19" s="112">
        <v>30.03</v>
      </c>
      <c r="M19" s="112">
        <v>60.31</v>
      </c>
      <c r="N19" s="112">
        <v>0</v>
      </c>
      <c r="O19" s="112">
        <v>0</v>
      </c>
      <c r="P19" s="112">
        <v>0.52</v>
      </c>
      <c r="Q19" s="112">
        <v>5.14</v>
      </c>
    </row>
    <row r="20" spans="1:17" customFormat="1">
      <c r="A20" s="80">
        <v>45437.125</v>
      </c>
      <c r="B20" s="112">
        <v>7.2</v>
      </c>
      <c r="C20" s="112">
        <v>6.03</v>
      </c>
      <c r="D20" s="112">
        <v>13.94</v>
      </c>
      <c r="E20" s="112">
        <v>9.39</v>
      </c>
      <c r="F20" s="112">
        <v>9.76</v>
      </c>
      <c r="G20" s="112">
        <v>40.950000000000003</v>
      </c>
      <c r="H20" s="112">
        <v>18.66</v>
      </c>
      <c r="I20" s="112">
        <v>4.51</v>
      </c>
      <c r="J20" s="112">
        <v>0.06</v>
      </c>
      <c r="K20" s="112">
        <v>101.12</v>
      </c>
      <c r="L20" s="112">
        <v>30</v>
      </c>
      <c r="M20" s="112">
        <v>60.81</v>
      </c>
      <c r="N20" s="112">
        <v>0</v>
      </c>
      <c r="O20" s="112">
        <v>0</v>
      </c>
      <c r="P20" s="112">
        <v>0.53</v>
      </c>
      <c r="Q20" s="112">
        <v>5</v>
      </c>
    </row>
    <row r="21" spans="1:17" customFormat="1">
      <c r="A21" s="80">
        <v>45437.135416666664</v>
      </c>
      <c r="B21" s="112">
        <v>7.21</v>
      </c>
      <c r="C21" s="112">
        <v>6.06</v>
      </c>
      <c r="D21" s="112">
        <v>13.95</v>
      </c>
      <c r="E21" s="112">
        <v>8.8800000000000008</v>
      </c>
      <c r="F21" s="112">
        <v>10.4</v>
      </c>
      <c r="G21" s="112">
        <v>40.950000000000003</v>
      </c>
      <c r="H21" s="112">
        <v>18.66</v>
      </c>
      <c r="I21" s="112">
        <v>4.45</v>
      </c>
      <c r="J21" s="112">
        <v>0.12</v>
      </c>
      <c r="K21" s="112">
        <v>205.47</v>
      </c>
      <c r="L21" s="112">
        <v>29.52</v>
      </c>
      <c r="M21" s="112">
        <v>63.43</v>
      </c>
      <c r="N21" s="112">
        <v>0</v>
      </c>
      <c r="O21" s="112">
        <v>0</v>
      </c>
      <c r="P21" s="112">
        <v>0.51</v>
      </c>
      <c r="Q21" s="112">
        <v>5</v>
      </c>
    </row>
    <row r="22" spans="1:17" customFormat="1">
      <c r="A22" s="80">
        <v>45437.145833333336</v>
      </c>
      <c r="B22" s="112">
        <v>7.21</v>
      </c>
      <c r="C22" s="112">
        <v>6.06</v>
      </c>
      <c r="D22" s="112">
        <v>13.96</v>
      </c>
      <c r="E22" s="112">
        <v>9.1</v>
      </c>
      <c r="F22" s="112">
        <v>8.2100000000000009</v>
      </c>
      <c r="G22" s="112">
        <v>43.41</v>
      </c>
      <c r="H22" s="112">
        <v>17.5</v>
      </c>
      <c r="I22" s="112">
        <v>4.4800000000000004</v>
      </c>
      <c r="J22" s="112">
        <v>0.17</v>
      </c>
      <c r="K22" s="112">
        <v>183.34</v>
      </c>
      <c r="L22" s="112">
        <v>29.46</v>
      </c>
      <c r="M22" s="112">
        <v>63.59</v>
      </c>
      <c r="N22" s="112">
        <v>0</v>
      </c>
      <c r="O22" s="112">
        <v>0</v>
      </c>
      <c r="P22" s="112">
        <v>0.51</v>
      </c>
      <c r="Q22" s="112">
        <v>5</v>
      </c>
    </row>
    <row r="23" spans="1:17" customFormat="1">
      <c r="A23" s="80">
        <v>45437.15625</v>
      </c>
      <c r="B23" s="112">
        <v>7.21</v>
      </c>
      <c r="C23" s="112">
        <v>6.06</v>
      </c>
      <c r="D23" s="112">
        <v>13.96</v>
      </c>
      <c r="E23" s="112">
        <v>9.11</v>
      </c>
      <c r="F23" s="112">
        <v>8.19</v>
      </c>
      <c r="G23" s="112">
        <v>43.94</v>
      </c>
      <c r="H23" s="112">
        <v>17.5</v>
      </c>
      <c r="I23" s="112">
        <v>4.5</v>
      </c>
      <c r="J23" s="112">
        <v>0.18</v>
      </c>
      <c r="K23" s="112">
        <v>207.88</v>
      </c>
      <c r="L23" s="112">
        <v>29.14</v>
      </c>
      <c r="M23" s="112">
        <v>65.599999999999994</v>
      </c>
      <c r="N23" s="112">
        <v>0</v>
      </c>
      <c r="O23" s="112">
        <v>0</v>
      </c>
      <c r="P23" s="112">
        <v>0.52</v>
      </c>
      <c r="Q23" s="112">
        <v>5</v>
      </c>
    </row>
    <row r="24" spans="1:17" customFormat="1">
      <c r="A24" s="80">
        <v>45437.166666666664</v>
      </c>
      <c r="B24" s="112">
        <v>7.21</v>
      </c>
      <c r="C24" s="112">
        <v>6.07</v>
      </c>
      <c r="D24" s="112">
        <v>13.96</v>
      </c>
      <c r="E24" s="112">
        <v>8.92</v>
      </c>
      <c r="F24" s="112">
        <v>6.92</v>
      </c>
      <c r="G24" s="112">
        <v>43.94</v>
      </c>
      <c r="H24" s="112">
        <v>17.5</v>
      </c>
      <c r="I24" s="112">
        <v>4.5</v>
      </c>
      <c r="J24" s="112">
        <v>0.11</v>
      </c>
      <c r="K24" s="112">
        <v>123.95</v>
      </c>
      <c r="L24" s="112">
        <v>29.32</v>
      </c>
      <c r="M24" s="112">
        <v>64.38</v>
      </c>
      <c r="N24" s="112">
        <v>0</v>
      </c>
      <c r="O24" s="112">
        <v>0</v>
      </c>
      <c r="P24" s="112">
        <v>0.51</v>
      </c>
      <c r="Q24" s="112">
        <v>5</v>
      </c>
    </row>
    <row r="25" spans="1:17" customFormat="1">
      <c r="A25" s="80">
        <v>45437.177083333336</v>
      </c>
      <c r="B25" s="112">
        <v>7.23</v>
      </c>
      <c r="C25" s="112">
        <v>6.06</v>
      </c>
      <c r="D25" s="112">
        <v>13.98</v>
      </c>
      <c r="E25" s="112">
        <v>9.58</v>
      </c>
      <c r="F25" s="112">
        <v>6.43</v>
      </c>
      <c r="G25" s="112">
        <v>43.94</v>
      </c>
      <c r="H25" s="112">
        <v>17.5</v>
      </c>
      <c r="I25" s="112">
        <v>4.53</v>
      </c>
      <c r="J25" s="112">
        <v>0.17</v>
      </c>
      <c r="K25" s="112">
        <v>210.12</v>
      </c>
      <c r="L25" s="112">
        <v>29.31</v>
      </c>
      <c r="M25" s="112">
        <v>64.95</v>
      </c>
      <c r="N25" s="112">
        <v>0</v>
      </c>
      <c r="O25" s="112">
        <v>0</v>
      </c>
      <c r="P25" s="112">
        <v>0.5</v>
      </c>
      <c r="Q25" s="112">
        <v>5</v>
      </c>
    </row>
    <row r="26" spans="1:17" customFormat="1">
      <c r="A26" s="80">
        <v>45437.1875</v>
      </c>
      <c r="B26" s="112">
        <v>7.23</v>
      </c>
      <c r="C26" s="112">
        <v>6.06</v>
      </c>
      <c r="D26" s="112">
        <v>13.98</v>
      </c>
      <c r="E26" s="112">
        <v>8.94</v>
      </c>
      <c r="F26" s="112">
        <v>5.69</v>
      </c>
      <c r="G26" s="112">
        <v>46.05</v>
      </c>
      <c r="H26" s="112">
        <v>18.87</v>
      </c>
      <c r="I26" s="112">
        <v>4.5599999999999996</v>
      </c>
      <c r="J26" s="112">
        <v>0.19</v>
      </c>
      <c r="K26" s="112">
        <v>191.06</v>
      </c>
      <c r="L26" s="112">
        <v>28.97</v>
      </c>
      <c r="M26" s="112">
        <v>66.959999999999994</v>
      </c>
      <c r="N26" s="112">
        <v>0</v>
      </c>
      <c r="O26" s="112">
        <v>0</v>
      </c>
      <c r="P26" s="112">
        <v>0.51</v>
      </c>
      <c r="Q26" s="112">
        <v>5</v>
      </c>
    </row>
    <row r="27" spans="1:17" customFormat="1">
      <c r="A27" s="80">
        <v>45437.197916666664</v>
      </c>
      <c r="B27" s="112">
        <v>7.22</v>
      </c>
      <c r="C27" s="112">
        <v>6.04</v>
      </c>
      <c r="D27" s="112">
        <v>13.96</v>
      </c>
      <c r="E27" s="112">
        <v>9.16</v>
      </c>
      <c r="F27" s="112">
        <v>5.41</v>
      </c>
      <c r="G27" s="112">
        <v>46.51</v>
      </c>
      <c r="H27" s="112">
        <v>18.87</v>
      </c>
      <c r="I27" s="112">
        <v>4.6100000000000003</v>
      </c>
      <c r="J27" s="112">
        <v>0.1</v>
      </c>
      <c r="K27" s="112">
        <v>130.09</v>
      </c>
      <c r="L27" s="112">
        <v>29.08</v>
      </c>
      <c r="M27" s="112">
        <v>66.069999999999993</v>
      </c>
      <c r="N27" s="112">
        <v>0</v>
      </c>
      <c r="O27" s="112">
        <v>0</v>
      </c>
      <c r="P27" s="112">
        <v>0.5</v>
      </c>
      <c r="Q27" s="112">
        <v>5</v>
      </c>
    </row>
    <row r="28" spans="1:17" customFormat="1">
      <c r="A28" s="80">
        <v>45437.208333333336</v>
      </c>
      <c r="B28" s="112">
        <v>7.19</v>
      </c>
      <c r="C28" s="112">
        <v>6.06</v>
      </c>
      <c r="D28" s="112">
        <v>13.94</v>
      </c>
      <c r="E28" s="112">
        <v>9.17</v>
      </c>
      <c r="F28" s="112">
        <v>4.8899999999999997</v>
      </c>
      <c r="G28" s="112">
        <v>46.51</v>
      </c>
      <c r="H28" s="112">
        <v>18.87</v>
      </c>
      <c r="I28" s="112">
        <v>4.59</v>
      </c>
      <c r="J28" s="112">
        <v>0.26</v>
      </c>
      <c r="K28" s="112">
        <v>79.41</v>
      </c>
      <c r="L28" s="112">
        <v>29.37</v>
      </c>
      <c r="M28" s="112">
        <v>63.9</v>
      </c>
      <c r="N28" s="112">
        <v>0</v>
      </c>
      <c r="O28" s="112">
        <v>0</v>
      </c>
      <c r="P28" s="112">
        <v>0.51</v>
      </c>
      <c r="Q28" s="112">
        <v>5</v>
      </c>
    </row>
    <row r="29" spans="1:17" customFormat="1">
      <c r="A29" s="80">
        <v>45437.21875</v>
      </c>
      <c r="B29" s="112">
        <v>7.18</v>
      </c>
      <c r="C29" s="112">
        <v>6.1</v>
      </c>
      <c r="D29" s="112">
        <v>13.96</v>
      </c>
      <c r="E29" s="112">
        <v>9.2200000000000006</v>
      </c>
      <c r="F29" s="112">
        <v>3.68</v>
      </c>
      <c r="G29" s="112">
        <v>46.51</v>
      </c>
      <c r="H29" s="112">
        <v>18.87</v>
      </c>
      <c r="I29" s="112">
        <v>4.66</v>
      </c>
      <c r="J29" s="112">
        <v>0.13</v>
      </c>
      <c r="K29" s="112">
        <v>123.45</v>
      </c>
      <c r="L29" s="112">
        <v>29.17</v>
      </c>
      <c r="M29" s="112">
        <v>65.61</v>
      </c>
      <c r="N29" s="112">
        <v>0</v>
      </c>
      <c r="O29" s="112">
        <v>0</v>
      </c>
      <c r="P29" s="112">
        <v>0.51</v>
      </c>
      <c r="Q29" s="112">
        <v>5</v>
      </c>
    </row>
    <row r="30" spans="1:17" customFormat="1">
      <c r="A30" s="80">
        <v>45437.229166666664</v>
      </c>
      <c r="B30" s="112">
        <v>7.2</v>
      </c>
      <c r="C30" s="112">
        <v>6.08</v>
      </c>
      <c r="D30" s="112">
        <v>13.96</v>
      </c>
      <c r="E30" s="112">
        <v>10.09</v>
      </c>
      <c r="F30" s="112">
        <v>5.7</v>
      </c>
      <c r="G30" s="112">
        <v>50.81</v>
      </c>
      <c r="H30" s="112">
        <v>17.940000000000001</v>
      </c>
      <c r="I30" s="112">
        <v>4.78</v>
      </c>
      <c r="J30" s="112">
        <v>0.21</v>
      </c>
      <c r="K30" s="112">
        <v>110.86</v>
      </c>
      <c r="L30" s="112">
        <v>29.18</v>
      </c>
      <c r="M30" s="112">
        <v>64.92</v>
      </c>
      <c r="N30" s="112">
        <v>0.7</v>
      </c>
      <c r="O30" s="112">
        <v>0</v>
      </c>
      <c r="P30" s="112">
        <v>0.52</v>
      </c>
      <c r="Q30" s="112">
        <v>5</v>
      </c>
    </row>
    <row r="31" spans="1:17" customFormat="1">
      <c r="A31" s="80">
        <v>45437.239583333336</v>
      </c>
      <c r="B31" s="112">
        <v>7.21</v>
      </c>
      <c r="C31" s="112">
        <v>6.08</v>
      </c>
      <c r="D31" s="112">
        <v>13.96</v>
      </c>
      <c r="E31" s="112">
        <v>11.08</v>
      </c>
      <c r="F31" s="112">
        <v>5.67</v>
      </c>
      <c r="G31" s="112">
        <v>51.74</v>
      </c>
      <c r="H31" s="112">
        <v>17.940000000000001</v>
      </c>
      <c r="I31" s="112">
        <v>4.83</v>
      </c>
      <c r="J31" s="112">
        <v>0.27</v>
      </c>
      <c r="K31" s="112">
        <v>82.85</v>
      </c>
      <c r="L31" s="112">
        <v>29.52</v>
      </c>
      <c r="M31" s="112">
        <v>63.71</v>
      </c>
      <c r="N31" s="112">
        <v>9.3000000000000007</v>
      </c>
      <c r="O31" s="112">
        <v>0</v>
      </c>
      <c r="P31" s="112">
        <v>0.52</v>
      </c>
      <c r="Q31" s="112">
        <v>5</v>
      </c>
    </row>
    <row r="32" spans="1:17" customFormat="1">
      <c r="A32" s="80">
        <v>45437.25</v>
      </c>
      <c r="B32" s="112">
        <v>7.19</v>
      </c>
      <c r="C32" s="112">
        <v>6.05</v>
      </c>
      <c r="D32" s="112">
        <v>13.94</v>
      </c>
      <c r="E32" s="112">
        <v>11.44</v>
      </c>
      <c r="F32" s="112">
        <v>6.23</v>
      </c>
      <c r="G32" s="112">
        <v>51.74</v>
      </c>
      <c r="H32" s="112">
        <v>17.940000000000001</v>
      </c>
      <c r="I32" s="112">
        <v>4.93</v>
      </c>
      <c r="J32" s="112">
        <v>0.56000000000000005</v>
      </c>
      <c r="K32" s="112">
        <v>66.319999999999993</v>
      </c>
      <c r="L32" s="112">
        <v>29.7</v>
      </c>
      <c r="M32" s="112">
        <v>63.33</v>
      </c>
      <c r="N32" s="112">
        <v>26.5</v>
      </c>
      <c r="O32" s="112">
        <v>0</v>
      </c>
      <c r="P32" s="112">
        <v>0.53</v>
      </c>
      <c r="Q32" s="112">
        <v>5</v>
      </c>
    </row>
    <row r="33" spans="1:17" customFormat="1">
      <c r="A33" s="80">
        <v>45437.260416666664</v>
      </c>
      <c r="B33" s="112">
        <v>7.19</v>
      </c>
      <c r="C33" s="112">
        <v>6.07</v>
      </c>
      <c r="D33" s="112">
        <v>13.95</v>
      </c>
      <c r="E33" s="112">
        <v>11.66</v>
      </c>
      <c r="F33" s="112">
        <v>9.9600000000000009</v>
      </c>
      <c r="G33" s="112">
        <v>51.74</v>
      </c>
      <c r="H33" s="112">
        <v>17.940000000000001</v>
      </c>
      <c r="I33" s="112">
        <v>5.0199999999999996</v>
      </c>
      <c r="J33" s="112">
        <v>0.43</v>
      </c>
      <c r="K33" s="112">
        <v>74.56</v>
      </c>
      <c r="L33" s="112">
        <v>29.99</v>
      </c>
      <c r="M33" s="112">
        <v>62.44</v>
      </c>
      <c r="N33" s="112">
        <v>39.1</v>
      </c>
      <c r="O33" s="112">
        <v>0</v>
      </c>
      <c r="P33" s="112">
        <v>0.56000000000000005</v>
      </c>
      <c r="Q33" s="112">
        <v>5</v>
      </c>
    </row>
    <row r="34" spans="1:17" customFormat="1">
      <c r="A34" s="80">
        <v>45437.270833333336</v>
      </c>
      <c r="B34" s="112">
        <v>7.2</v>
      </c>
      <c r="C34" s="112">
        <v>6.06</v>
      </c>
      <c r="D34" s="112">
        <v>13.95</v>
      </c>
      <c r="E34" s="112">
        <v>11.44</v>
      </c>
      <c r="F34" s="112">
        <v>10.77</v>
      </c>
      <c r="G34" s="112">
        <v>58.77</v>
      </c>
      <c r="H34" s="112">
        <v>21.55</v>
      </c>
      <c r="I34" s="112">
        <v>5.0599999999999996</v>
      </c>
      <c r="J34" s="112">
        <v>0.5</v>
      </c>
      <c r="K34" s="112">
        <v>80</v>
      </c>
      <c r="L34" s="112">
        <v>30.42</v>
      </c>
      <c r="M34" s="112">
        <v>61.07</v>
      </c>
      <c r="N34" s="112">
        <v>54.2</v>
      </c>
      <c r="O34" s="112">
        <v>0</v>
      </c>
      <c r="P34" s="112">
        <v>0.56999999999999995</v>
      </c>
      <c r="Q34" s="112">
        <v>5</v>
      </c>
    </row>
    <row r="35" spans="1:17" customFormat="1">
      <c r="A35" s="80">
        <v>45437.28125</v>
      </c>
      <c r="B35" s="112">
        <v>7.2</v>
      </c>
      <c r="C35" s="112">
        <v>6.11</v>
      </c>
      <c r="D35" s="112">
        <v>13.98</v>
      </c>
      <c r="E35" s="112">
        <v>10.74</v>
      </c>
      <c r="F35" s="112">
        <v>11.82</v>
      </c>
      <c r="G35" s="112">
        <v>60.3</v>
      </c>
      <c r="H35" s="112">
        <v>21.55</v>
      </c>
      <c r="I35" s="112">
        <v>5.2</v>
      </c>
      <c r="J35" s="112">
        <v>0.68</v>
      </c>
      <c r="K35" s="112">
        <v>62.85</v>
      </c>
      <c r="L35" s="112">
        <v>30.6</v>
      </c>
      <c r="M35" s="112">
        <v>61.47</v>
      </c>
      <c r="N35" s="112">
        <v>72.7</v>
      </c>
      <c r="O35" s="112">
        <v>0</v>
      </c>
      <c r="P35" s="112">
        <v>0.56000000000000005</v>
      </c>
      <c r="Q35" s="112">
        <v>5</v>
      </c>
    </row>
    <row r="36" spans="1:17" customFormat="1">
      <c r="A36" s="80">
        <v>45437.291666666664</v>
      </c>
      <c r="B36" s="112">
        <v>7.2</v>
      </c>
      <c r="C36" s="112">
        <v>6.1</v>
      </c>
      <c r="D36" s="112">
        <v>13.97</v>
      </c>
      <c r="E36" s="112">
        <v>11.95</v>
      </c>
      <c r="F36" s="112">
        <v>10.39</v>
      </c>
      <c r="G36" s="112">
        <v>60.3</v>
      </c>
      <c r="H36" s="112">
        <v>21.55</v>
      </c>
      <c r="I36" s="112">
        <v>5.29</v>
      </c>
      <c r="J36" s="112">
        <v>0.36</v>
      </c>
      <c r="K36" s="112">
        <v>101.77</v>
      </c>
      <c r="L36" s="112">
        <v>31.21</v>
      </c>
      <c r="M36" s="112">
        <v>60.8</v>
      </c>
      <c r="N36" s="112">
        <v>85.8</v>
      </c>
      <c r="O36" s="112">
        <v>0</v>
      </c>
      <c r="P36" s="112">
        <v>0.54</v>
      </c>
      <c r="Q36" s="112">
        <v>5</v>
      </c>
    </row>
    <row r="37" spans="1:17" customFormat="1">
      <c r="A37" s="80">
        <v>45437.302083333336</v>
      </c>
      <c r="B37" s="112">
        <v>7.18</v>
      </c>
      <c r="C37" s="112">
        <v>6.11</v>
      </c>
      <c r="D37" s="112">
        <v>13.96</v>
      </c>
      <c r="E37" s="112">
        <v>16.13</v>
      </c>
      <c r="F37" s="112">
        <v>12.62</v>
      </c>
      <c r="G37" s="112">
        <v>60.3</v>
      </c>
      <c r="H37" s="112">
        <v>21.55</v>
      </c>
      <c r="I37" s="112">
        <v>5.23</v>
      </c>
      <c r="J37" s="112">
        <v>0.31</v>
      </c>
      <c r="K37" s="112">
        <v>87.43</v>
      </c>
      <c r="L37" s="112">
        <v>31.67</v>
      </c>
      <c r="M37" s="112">
        <v>59.35</v>
      </c>
      <c r="N37" s="112">
        <v>94.9</v>
      </c>
      <c r="O37" s="112">
        <v>0</v>
      </c>
      <c r="P37" s="112">
        <v>0.52</v>
      </c>
      <c r="Q37" s="112">
        <v>5</v>
      </c>
    </row>
    <row r="38" spans="1:17" customFormat="1">
      <c r="A38" s="80">
        <v>45437.3125</v>
      </c>
      <c r="B38" s="112">
        <v>7.2</v>
      </c>
      <c r="C38" s="112">
        <v>6.1</v>
      </c>
      <c r="D38" s="112">
        <v>13.96</v>
      </c>
      <c r="E38" s="112">
        <v>11.72</v>
      </c>
      <c r="F38" s="112">
        <v>16.809999999999999</v>
      </c>
      <c r="G38" s="112">
        <v>58.25</v>
      </c>
      <c r="H38" s="112">
        <v>18.75</v>
      </c>
      <c r="I38" s="112">
        <v>5.0999999999999996</v>
      </c>
      <c r="J38" s="112">
        <v>0.51</v>
      </c>
      <c r="K38" s="112">
        <v>88.4</v>
      </c>
      <c r="L38" s="112">
        <v>32.33</v>
      </c>
      <c r="M38" s="112">
        <v>57.94</v>
      </c>
      <c r="N38" s="112">
        <v>101.2</v>
      </c>
      <c r="O38" s="112">
        <v>0</v>
      </c>
      <c r="P38" s="112">
        <v>0.51</v>
      </c>
      <c r="Q38" s="112">
        <v>5</v>
      </c>
    </row>
    <row r="39" spans="1:17" customFormat="1">
      <c r="A39" s="80">
        <v>45437.322916666664</v>
      </c>
      <c r="B39" s="112">
        <v>7.2</v>
      </c>
      <c r="C39" s="112">
        <v>6.07</v>
      </c>
      <c r="D39" s="112">
        <v>13.96</v>
      </c>
      <c r="E39" s="112">
        <v>9.25</v>
      </c>
      <c r="F39" s="112">
        <v>10.08</v>
      </c>
      <c r="G39" s="112">
        <v>57.8</v>
      </c>
      <c r="H39" s="112">
        <v>18.75</v>
      </c>
      <c r="I39" s="112">
        <v>4.9800000000000004</v>
      </c>
      <c r="J39" s="112">
        <v>0.57999999999999996</v>
      </c>
      <c r="K39" s="112">
        <v>75.75</v>
      </c>
      <c r="L39" s="112">
        <v>32.72</v>
      </c>
      <c r="M39" s="112">
        <v>57.14</v>
      </c>
      <c r="N39" s="112">
        <v>119.4</v>
      </c>
      <c r="O39" s="112">
        <v>0</v>
      </c>
      <c r="P39" s="112">
        <v>0.5</v>
      </c>
      <c r="Q39" s="112">
        <v>5</v>
      </c>
    </row>
    <row r="40" spans="1:17" customFormat="1">
      <c r="A40" s="80">
        <v>45437.333333333336</v>
      </c>
      <c r="B40" s="112">
        <v>7.2</v>
      </c>
      <c r="C40" s="112">
        <v>6.08</v>
      </c>
      <c r="D40" s="112">
        <v>13.96</v>
      </c>
      <c r="E40" s="112">
        <v>8.75</v>
      </c>
      <c r="F40" s="112">
        <v>11.84</v>
      </c>
      <c r="G40" s="112">
        <v>57.8</v>
      </c>
      <c r="H40" s="112">
        <v>18.75</v>
      </c>
      <c r="I40" s="112">
        <v>4.96</v>
      </c>
      <c r="J40" s="112">
        <v>0.28000000000000003</v>
      </c>
      <c r="K40" s="112">
        <v>87.37</v>
      </c>
      <c r="L40" s="112">
        <v>32.79</v>
      </c>
      <c r="M40" s="112">
        <v>57.03</v>
      </c>
      <c r="N40" s="112">
        <v>144.4</v>
      </c>
      <c r="O40" s="112">
        <v>0</v>
      </c>
      <c r="P40" s="112">
        <v>0.48</v>
      </c>
      <c r="Q40" s="112">
        <v>5</v>
      </c>
    </row>
    <row r="41" spans="1:17" customFormat="1">
      <c r="A41" s="80">
        <v>45437.34375</v>
      </c>
      <c r="B41" s="112">
        <v>7.22</v>
      </c>
      <c r="C41" s="112">
        <v>6.11</v>
      </c>
      <c r="D41" s="112">
        <v>13.99</v>
      </c>
      <c r="E41" s="112">
        <v>8.0500000000000007</v>
      </c>
      <c r="F41" s="112">
        <v>11.17</v>
      </c>
      <c r="G41" s="112">
        <v>57.8</v>
      </c>
      <c r="H41" s="112">
        <v>18.75</v>
      </c>
      <c r="I41" s="112">
        <v>4.8499999999999996</v>
      </c>
      <c r="J41" s="112">
        <v>0.27</v>
      </c>
      <c r="K41" s="112">
        <v>139.77000000000001</v>
      </c>
      <c r="L41" s="112">
        <v>32.92</v>
      </c>
      <c r="M41" s="112">
        <v>56.22</v>
      </c>
      <c r="N41" s="112">
        <v>163.19999999999999</v>
      </c>
      <c r="O41" s="112">
        <v>0</v>
      </c>
      <c r="P41" s="112">
        <v>0.47</v>
      </c>
      <c r="Q41" s="112">
        <v>5.38</v>
      </c>
    </row>
    <row r="42" spans="1:17" customFormat="1">
      <c r="A42" s="80">
        <v>45437.354166666664</v>
      </c>
      <c r="B42" s="112">
        <v>7.21</v>
      </c>
      <c r="C42" s="112">
        <v>6.09</v>
      </c>
      <c r="D42" s="112">
        <v>13.97</v>
      </c>
      <c r="E42" s="112">
        <v>7.88</v>
      </c>
      <c r="F42" s="112">
        <v>13.67</v>
      </c>
      <c r="G42" s="112">
        <v>48.84</v>
      </c>
      <c r="H42" s="112">
        <v>13.6</v>
      </c>
      <c r="I42" s="112">
        <v>4.7300000000000004</v>
      </c>
      <c r="J42" s="112">
        <v>0.59</v>
      </c>
      <c r="K42" s="112">
        <v>83.01</v>
      </c>
      <c r="L42" s="112">
        <v>33.33</v>
      </c>
      <c r="M42" s="112">
        <v>55.43</v>
      </c>
      <c r="N42" s="112">
        <v>209.4</v>
      </c>
      <c r="O42" s="112">
        <v>0</v>
      </c>
      <c r="P42" s="112">
        <v>0.47</v>
      </c>
      <c r="Q42" s="112">
        <v>7.14</v>
      </c>
    </row>
    <row r="43" spans="1:17" customFormat="1">
      <c r="A43" s="80">
        <v>45437.364583333336</v>
      </c>
      <c r="B43" s="112">
        <v>7.22</v>
      </c>
      <c r="C43" s="112">
        <v>6.06</v>
      </c>
      <c r="D43" s="112">
        <v>13.96</v>
      </c>
      <c r="E43" s="112">
        <v>7.64</v>
      </c>
      <c r="F43" s="112">
        <v>11.16</v>
      </c>
      <c r="G43" s="112">
        <v>46.9</v>
      </c>
      <c r="H43" s="112">
        <v>13.6</v>
      </c>
      <c r="I43" s="112">
        <v>4.7</v>
      </c>
      <c r="J43" s="112">
        <v>0.49</v>
      </c>
      <c r="K43" s="112">
        <v>123.32</v>
      </c>
      <c r="L43" s="112">
        <v>33.590000000000003</v>
      </c>
      <c r="M43" s="112">
        <v>55.02</v>
      </c>
      <c r="N43" s="112">
        <v>232.4</v>
      </c>
      <c r="O43" s="112">
        <v>0</v>
      </c>
      <c r="P43" s="112">
        <v>0.48</v>
      </c>
      <c r="Q43" s="112">
        <v>30.3</v>
      </c>
    </row>
    <row r="44" spans="1:17" customFormat="1">
      <c r="A44" s="80">
        <v>45437.375</v>
      </c>
      <c r="B44" s="112">
        <v>7.21</v>
      </c>
      <c r="C44" s="112">
        <v>6.05</v>
      </c>
      <c r="D44" s="112">
        <v>13.95</v>
      </c>
      <c r="E44" s="112">
        <v>7.85</v>
      </c>
      <c r="F44" s="112">
        <v>9.49</v>
      </c>
      <c r="G44" s="112">
        <v>46.9</v>
      </c>
      <c r="H44" s="112">
        <v>13.6</v>
      </c>
      <c r="I44" s="112">
        <v>4.74</v>
      </c>
      <c r="J44" s="112">
        <v>0.51</v>
      </c>
      <c r="K44" s="112">
        <v>142.88999999999999</v>
      </c>
      <c r="L44" s="112">
        <v>34.03</v>
      </c>
      <c r="M44" s="112">
        <v>54.14</v>
      </c>
      <c r="N44" s="112">
        <v>237.1</v>
      </c>
      <c r="O44" s="112">
        <v>0</v>
      </c>
      <c r="P44" s="112">
        <v>0.48</v>
      </c>
      <c r="Q44" s="112">
        <v>68.92</v>
      </c>
    </row>
    <row r="45" spans="1:17" customFormat="1">
      <c r="A45" s="80">
        <v>45437.385416666664</v>
      </c>
      <c r="B45" s="112">
        <v>7.24</v>
      </c>
      <c r="C45" s="112">
        <v>6.01</v>
      </c>
      <c r="D45" s="112">
        <v>13.95</v>
      </c>
      <c r="E45" s="112">
        <v>7.84</v>
      </c>
      <c r="F45" s="112">
        <v>15.59</v>
      </c>
      <c r="G45" s="112">
        <v>46.9</v>
      </c>
      <c r="H45" s="112">
        <v>13.6</v>
      </c>
      <c r="I45" s="112">
        <v>4.8</v>
      </c>
      <c r="J45" s="112">
        <v>0.57999999999999996</v>
      </c>
      <c r="K45" s="112">
        <v>67.900000000000006</v>
      </c>
      <c r="L45" s="112">
        <v>34.9</v>
      </c>
      <c r="M45" s="112">
        <v>51.27</v>
      </c>
      <c r="N45" s="112">
        <v>246.1</v>
      </c>
      <c r="O45" s="112">
        <v>0</v>
      </c>
      <c r="P45" s="112">
        <v>0.47</v>
      </c>
      <c r="Q45" s="112">
        <v>70.28</v>
      </c>
    </row>
    <row r="46" spans="1:17" customFormat="1">
      <c r="A46" s="80">
        <v>45437.395833333336</v>
      </c>
      <c r="B46" s="112">
        <v>7.22</v>
      </c>
      <c r="C46" s="112">
        <v>6.05</v>
      </c>
      <c r="D46" s="112">
        <v>13.96</v>
      </c>
      <c r="E46" s="112">
        <v>7.48</v>
      </c>
      <c r="F46" s="112">
        <v>15.17</v>
      </c>
      <c r="G46" s="112">
        <v>37.86</v>
      </c>
      <c r="H46" s="112">
        <v>13.79</v>
      </c>
      <c r="I46" s="112">
        <v>4.72</v>
      </c>
      <c r="J46" s="112">
        <v>0.28000000000000003</v>
      </c>
      <c r="K46" s="112">
        <v>123.68</v>
      </c>
      <c r="L46" s="112">
        <v>35.19</v>
      </c>
      <c r="M46" s="112">
        <v>50.94</v>
      </c>
      <c r="N46" s="112">
        <v>285.5</v>
      </c>
      <c r="O46" s="112">
        <v>0</v>
      </c>
      <c r="P46" s="112">
        <v>0.48</v>
      </c>
      <c r="Q46" s="112">
        <v>38.4</v>
      </c>
    </row>
    <row r="47" spans="1:17" customFormat="1">
      <c r="A47" s="80">
        <v>45437.40625</v>
      </c>
      <c r="B47" s="112">
        <v>7.21</v>
      </c>
      <c r="C47" s="112">
        <v>6.09</v>
      </c>
      <c r="D47" s="112">
        <v>13.97</v>
      </c>
      <c r="E47" s="112">
        <v>8.11</v>
      </c>
      <c r="F47" s="112">
        <v>14.13</v>
      </c>
      <c r="G47" s="112">
        <v>35.9</v>
      </c>
      <c r="H47" s="112">
        <v>13.79</v>
      </c>
      <c r="I47" s="112">
        <v>4.7</v>
      </c>
      <c r="J47" s="112">
        <v>0.61</v>
      </c>
      <c r="K47" s="112">
        <v>80.430000000000007</v>
      </c>
      <c r="L47" s="112">
        <v>35.979999999999997</v>
      </c>
      <c r="M47" s="112">
        <v>48.75</v>
      </c>
      <c r="N47" s="112">
        <v>301.7</v>
      </c>
      <c r="O47" s="112">
        <v>0</v>
      </c>
      <c r="P47" s="112">
        <v>0.49</v>
      </c>
      <c r="Q47" s="112">
        <v>7.78</v>
      </c>
    </row>
    <row r="48" spans="1:17" customFormat="1">
      <c r="A48" s="80">
        <v>45437.416666666664</v>
      </c>
      <c r="B48" s="112">
        <v>7.24</v>
      </c>
      <c r="C48" s="112">
        <v>6.11</v>
      </c>
      <c r="D48" s="112">
        <v>14.01</v>
      </c>
      <c r="E48" s="112">
        <v>8.18</v>
      </c>
      <c r="F48" s="112">
        <v>16.48</v>
      </c>
      <c r="G48" s="112">
        <v>35.9</v>
      </c>
      <c r="H48" s="112">
        <v>13.79</v>
      </c>
      <c r="I48" s="112">
        <v>4.72</v>
      </c>
      <c r="J48" s="112">
        <v>0.49</v>
      </c>
      <c r="K48" s="112">
        <v>226.62</v>
      </c>
      <c r="L48" s="112">
        <v>35.71</v>
      </c>
      <c r="M48" s="112">
        <v>50.04</v>
      </c>
      <c r="N48" s="112">
        <v>313.89999999999998</v>
      </c>
      <c r="O48" s="112">
        <v>0</v>
      </c>
      <c r="P48" s="112">
        <v>0.48</v>
      </c>
      <c r="Q48" s="112">
        <v>11.56</v>
      </c>
    </row>
    <row r="49" spans="1:17" customFormat="1">
      <c r="A49" s="80">
        <v>45437.427083333336</v>
      </c>
      <c r="B49" s="112">
        <v>7.25</v>
      </c>
      <c r="C49" s="112">
        <v>6.1</v>
      </c>
      <c r="D49" s="112">
        <v>14.01</v>
      </c>
      <c r="E49" s="112">
        <v>10.029999999999999</v>
      </c>
      <c r="F49" s="112">
        <v>15.11</v>
      </c>
      <c r="G49" s="112">
        <v>35.9</v>
      </c>
      <c r="H49" s="112">
        <v>13.79</v>
      </c>
      <c r="I49" s="112">
        <v>4.76</v>
      </c>
      <c r="J49" s="112">
        <v>0.72</v>
      </c>
      <c r="K49" s="112">
        <v>70.900000000000006</v>
      </c>
      <c r="L49" s="112">
        <v>36.409999999999997</v>
      </c>
      <c r="M49" s="112">
        <v>46.61</v>
      </c>
      <c r="N49" s="112">
        <v>306.8</v>
      </c>
      <c r="O49" s="112">
        <v>0</v>
      </c>
      <c r="P49" s="112">
        <v>0.48</v>
      </c>
      <c r="Q49" s="112">
        <v>5</v>
      </c>
    </row>
    <row r="50" spans="1:17" customFormat="1">
      <c r="A50" s="80">
        <v>45437.4375</v>
      </c>
      <c r="B50" s="112">
        <v>7.28</v>
      </c>
      <c r="C50" s="112">
        <v>6.07</v>
      </c>
      <c r="D50" s="112">
        <v>14.02</v>
      </c>
      <c r="E50" s="112">
        <v>14.21</v>
      </c>
      <c r="F50" s="112">
        <v>20.5</v>
      </c>
      <c r="G50" s="112">
        <v>39.65</v>
      </c>
      <c r="H50" s="112">
        <v>13.89</v>
      </c>
      <c r="I50" s="112">
        <v>4.8099999999999996</v>
      </c>
      <c r="J50" s="112">
        <v>0.66</v>
      </c>
      <c r="K50" s="112">
        <v>53.27</v>
      </c>
      <c r="L50" s="112">
        <v>36.86</v>
      </c>
      <c r="M50" s="112">
        <v>43.99</v>
      </c>
      <c r="N50" s="112">
        <v>296.60000000000002</v>
      </c>
      <c r="O50" s="112">
        <v>0</v>
      </c>
      <c r="P50" s="112">
        <v>0.5</v>
      </c>
      <c r="Q50" s="112">
        <v>55.9</v>
      </c>
    </row>
    <row r="51" spans="1:17" customFormat="1">
      <c r="A51" s="80">
        <v>45437.447916666664</v>
      </c>
      <c r="B51" s="112">
        <v>7.3</v>
      </c>
      <c r="C51" s="112">
        <v>6.08</v>
      </c>
      <c r="D51" s="112">
        <v>14.04</v>
      </c>
      <c r="E51" s="112">
        <v>13.23</v>
      </c>
      <c r="F51" s="112">
        <v>12.38</v>
      </c>
      <c r="G51" s="112">
        <v>40.47</v>
      </c>
      <c r="H51" s="112">
        <v>13.89</v>
      </c>
      <c r="I51" s="112">
        <v>4.6900000000000004</v>
      </c>
      <c r="J51" s="112">
        <v>0.24</v>
      </c>
      <c r="K51" s="112">
        <v>43.67</v>
      </c>
      <c r="L51" s="112">
        <v>37.75</v>
      </c>
      <c r="M51" s="112">
        <v>41.86</v>
      </c>
      <c r="N51" s="112">
        <v>333.5</v>
      </c>
      <c r="O51" s="112">
        <v>0</v>
      </c>
      <c r="P51" s="112">
        <v>0.49</v>
      </c>
      <c r="Q51" s="112">
        <v>37.89</v>
      </c>
    </row>
    <row r="52" spans="1:17" customFormat="1">
      <c r="A52" s="80">
        <v>45437.458333333336</v>
      </c>
      <c r="B52" s="112">
        <v>7.32</v>
      </c>
      <c r="C52" s="112">
        <v>6.04</v>
      </c>
      <c r="D52" s="112">
        <v>14.04</v>
      </c>
      <c r="E52" s="112">
        <v>13.97</v>
      </c>
      <c r="F52" s="112">
        <v>17.670000000000002</v>
      </c>
      <c r="G52" s="112">
        <v>40.47</v>
      </c>
      <c r="H52" s="112">
        <v>13.89</v>
      </c>
      <c r="I52" s="112">
        <v>4.88</v>
      </c>
      <c r="J52" s="112">
        <v>0.14000000000000001</v>
      </c>
      <c r="K52" s="112">
        <v>268.66000000000003</v>
      </c>
      <c r="L52" s="112">
        <v>38.520000000000003</v>
      </c>
      <c r="M52" s="112">
        <v>40.43</v>
      </c>
      <c r="N52" s="112">
        <v>308.60000000000002</v>
      </c>
      <c r="O52" s="112">
        <v>0</v>
      </c>
      <c r="P52" s="112">
        <v>0.47</v>
      </c>
      <c r="Q52" s="112">
        <v>6.5</v>
      </c>
    </row>
    <row r="53" spans="1:17" customFormat="1">
      <c r="A53" s="80">
        <v>45437.46875</v>
      </c>
      <c r="B53" s="112">
        <v>7.33</v>
      </c>
      <c r="C53" s="112">
        <v>6.04</v>
      </c>
      <c r="D53" s="112">
        <v>14.05</v>
      </c>
      <c r="E53" s="112">
        <v>13.92</v>
      </c>
      <c r="F53" s="112">
        <v>17.010000000000002</v>
      </c>
      <c r="G53" s="112">
        <v>40.47</v>
      </c>
      <c r="H53" s="112">
        <v>13.89</v>
      </c>
      <c r="I53" s="112">
        <v>4.95</v>
      </c>
      <c r="J53" s="112">
        <v>0.05</v>
      </c>
      <c r="K53" s="112">
        <v>185.88</v>
      </c>
      <c r="L53" s="112">
        <v>38.86</v>
      </c>
      <c r="M53" s="112">
        <v>39.74</v>
      </c>
      <c r="N53" s="112">
        <v>321.2</v>
      </c>
      <c r="O53" s="112">
        <v>0</v>
      </c>
      <c r="P53" s="112">
        <v>0.45</v>
      </c>
      <c r="Q53" s="112">
        <v>5</v>
      </c>
    </row>
    <row r="54" spans="1:17" customFormat="1">
      <c r="A54" s="80">
        <v>45437.479166666664</v>
      </c>
      <c r="B54" s="112">
        <v>7.3</v>
      </c>
      <c r="C54" s="112">
        <v>6.09</v>
      </c>
      <c r="D54" s="112">
        <v>14.05</v>
      </c>
      <c r="E54" s="112">
        <v>15.81</v>
      </c>
      <c r="F54" s="112">
        <v>16.850000000000001</v>
      </c>
      <c r="G54" s="112">
        <v>35.17</v>
      </c>
      <c r="H54" s="112">
        <v>12.38</v>
      </c>
      <c r="I54" s="112">
        <v>4.87</v>
      </c>
      <c r="J54" s="112">
        <v>0.54</v>
      </c>
      <c r="K54" s="112">
        <v>61.47</v>
      </c>
      <c r="L54" s="112">
        <v>38.9</v>
      </c>
      <c r="M54" s="112">
        <v>37.950000000000003</v>
      </c>
      <c r="N54" s="112">
        <v>393.1</v>
      </c>
      <c r="O54" s="112">
        <v>0</v>
      </c>
      <c r="P54" s="112">
        <v>0.45</v>
      </c>
      <c r="Q54" s="112">
        <v>5</v>
      </c>
    </row>
    <row r="55" spans="1:17" customFormat="1">
      <c r="A55" s="80">
        <v>45437.489583333336</v>
      </c>
      <c r="B55" s="112">
        <v>7.26</v>
      </c>
      <c r="C55" s="112">
        <v>6.06</v>
      </c>
      <c r="D55" s="112">
        <v>14</v>
      </c>
      <c r="E55" s="112">
        <v>15.73</v>
      </c>
      <c r="F55" s="112">
        <v>22.45</v>
      </c>
      <c r="G55" s="112">
        <v>34.03</v>
      </c>
      <c r="H55" s="112">
        <v>12.38</v>
      </c>
      <c r="I55" s="112">
        <v>4.83</v>
      </c>
      <c r="J55" s="112">
        <v>0.54</v>
      </c>
      <c r="K55" s="112">
        <v>47.4</v>
      </c>
      <c r="L55" s="112">
        <v>38.26</v>
      </c>
      <c r="M55" s="112">
        <v>39.54</v>
      </c>
      <c r="N55" s="112">
        <v>541.70000000000005</v>
      </c>
      <c r="O55" s="112">
        <v>0</v>
      </c>
      <c r="P55" s="112">
        <v>0.44</v>
      </c>
      <c r="Q55" s="112">
        <v>5</v>
      </c>
    </row>
    <row r="56" spans="1:17" customFormat="1">
      <c r="A56" s="80">
        <v>45437.5</v>
      </c>
      <c r="B56" s="112">
        <v>7.25</v>
      </c>
      <c r="C56" s="112">
        <v>6.06</v>
      </c>
      <c r="D56" s="112">
        <v>13.98</v>
      </c>
      <c r="E56" s="112">
        <v>16.600000000000001</v>
      </c>
      <c r="F56" s="112">
        <v>18.59</v>
      </c>
      <c r="G56" s="112">
        <v>34.03</v>
      </c>
      <c r="H56" s="112">
        <v>12.38</v>
      </c>
      <c r="I56" s="112">
        <v>4.8600000000000003</v>
      </c>
      <c r="J56" s="112">
        <v>1.43</v>
      </c>
      <c r="K56" s="112">
        <v>51.93</v>
      </c>
      <c r="L56" s="112">
        <v>38.15</v>
      </c>
      <c r="M56" s="112">
        <v>38.28</v>
      </c>
      <c r="N56" s="112">
        <v>507.7</v>
      </c>
      <c r="O56" s="112">
        <v>0</v>
      </c>
      <c r="P56" s="112">
        <v>0.46</v>
      </c>
      <c r="Q56" s="112">
        <v>5</v>
      </c>
    </row>
    <row r="57" spans="1:17" customFormat="1">
      <c r="A57" s="80">
        <v>45437.510416666664</v>
      </c>
      <c r="B57" s="112">
        <v>7.24</v>
      </c>
      <c r="C57" s="112">
        <v>6.05</v>
      </c>
      <c r="D57" s="112">
        <v>13.97</v>
      </c>
      <c r="E57" s="112">
        <v>16.45</v>
      </c>
      <c r="F57" s="112">
        <v>18.12</v>
      </c>
      <c r="G57" s="112">
        <v>34.03</v>
      </c>
      <c r="H57" s="112">
        <v>12.38</v>
      </c>
      <c r="I57" s="112">
        <v>4.8499999999999996</v>
      </c>
      <c r="J57" s="112">
        <v>0.68</v>
      </c>
      <c r="K57" s="112">
        <v>77.760000000000005</v>
      </c>
      <c r="L57" s="112">
        <v>39.19</v>
      </c>
      <c r="M57" s="112">
        <v>36.369999999999997</v>
      </c>
      <c r="N57" s="112">
        <v>665.7</v>
      </c>
      <c r="O57" s="112">
        <v>0</v>
      </c>
      <c r="P57" s="112">
        <v>0.47</v>
      </c>
      <c r="Q57" s="112">
        <v>4.99</v>
      </c>
    </row>
    <row r="58" spans="1:17" customFormat="1">
      <c r="A58" s="80">
        <v>45437.520833333336</v>
      </c>
      <c r="B58" s="112">
        <v>7.21</v>
      </c>
      <c r="C58" s="112">
        <v>6.07</v>
      </c>
      <c r="D58" s="112">
        <v>13.97</v>
      </c>
      <c r="E58" s="112">
        <v>15.1</v>
      </c>
      <c r="F58" s="112">
        <v>22.11</v>
      </c>
      <c r="G58" s="112">
        <v>28.2</v>
      </c>
      <c r="H58" s="112">
        <v>13.89</v>
      </c>
      <c r="I58" s="112">
        <v>4.82</v>
      </c>
      <c r="J58" s="112">
        <v>0.16</v>
      </c>
      <c r="K58" s="112">
        <v>79.760000000000005</v>
      </c>
      <c r="L58" s="112">
        <v>39.32</v>
      </c>
      <c r="M58" s="112">
        <v>36.880000000000003</v>
      </c>
      <c r="N58" s="112">
        <v>624.79999999999995</v>
      </c>
      <c r="O58" s="112">
        <v>0</v>
      </c>
      <c r="P58" s="112">
        <v>0.47</v>
      </c>
      <c r="Q58" s="112">
        <v>4.99</v>
      </c>
    </row>
    <row r="59" spans="1:17" customFormat="1">
      <c r="A59" s="80">
        <v>45437.53125</v>
      </c>
      <c r="B59" s="112">
        <v>7.21</v>
      </c>
      <c r="C59" s="112">
        <v>6.07</v>
      </c>
      <c r="D59" s="112">
        <v>13.96</v>
      </c>
      <c r="E59" s="112">
        <v>14.01</v>
      </c>
      <c r="F59" s="112">
        <v>16.510000000000002</v>
      </c>
      <c r="G59" s="112">
        <v>26.94</v>
      </c>
      <c r="H59" s="112">
        <v>13.89</v>
      </c>
      <c r="I59" s="112">
        <v>4.71</v>
      </c>
      <c r="J59" s="112">
        <v>0.97</v>
      </c>
      <c r="K59" s="112">
        <v>63.68</v>
      </c>
      <c r="L59" s="112">
        <v>39.35</v>
      </c>
      <c r="M59" s="112">
        <v>36.14</v>
      </c>
      <c r="N59" s="112">
        <v>449.4</v>
      </c>
      <c r="O59" s="112">
        <v>0</v>
      </c>
      <c r="P59" s="112">
        <v>0.46</v>
      </c>
      <c r="Q59" s="112">
        <v>5</v>
      </c>
    </row>
    <row r="60" spans="1:17" customFormat="1">
      <c r="A60" s="80">
        <v>45437.541666666664</v>
      </c>
      <c r="B60" s="112">
        <v>7.22</v>
      </c>
      <c r="C60" s="112">
        <v>6.05</v>
      </c>
      <c r="D60" s="112">
        <v>13.96</v>
      </c>
      <c r="E60" s="112">
        <v>14.63</v>
      </c>
      <c r="F60" s="112">
        <v>24.64</v>
      </c>
      <c r="G60" s="112">
        <v>26.94</v>
      </c>
      <c r="H60" s="112">
        <v>13.89</v>
      </c>
      <c r="I60" s="112">
        <v>4.68</v>
      </c>
      <c r="J60" s="112">
        <v>0.5</v>
      </c>
      <c r="K60" s="112">
        <v>61.76</v>
      </c>
      <c r="L60" s="112">
        <v>38.979999999999997</v>
      </c>
      <c r="M60" s="112">
        <v>36.76</v>
      </c>
      <c r="N60" s="112">
        <v>559</v>
      </c>
      <c r="O60" s="112">
        <v>0</v>
      </c>
      <c r="P60" s="112">
        <v>0.43</v>
      </c>
      <c r="Q60" s="112">
        <v>5.05</v>
      </c>
    </row>
    <row r="61" spans="1:17" customFormat="1">
      <c r="A61" s="80">
        <v>45437.552083333336</v>
      </c>
      <c r="B61" s="112">
        <v>7.21</v>
      </c>
      <c r="C61" s="112">
        <v>6.08</v>
      </c>
      <c r="D61" s="112">
        <v>13.96</v>
      </c>
      <c r="E61" s="112">
        <v>13.92</v>
      </c>
      <c r="F61" s="112">
        <v>18.100000000000001</v>
      </c>
      <c r="G61" s="112">
        <v>26.94</v>
      </c>
      <c r="H61" s="112">
        <v>13.89</v>
      </c>
      <c r="I61" s="112">
        <v>4.63</v>
      </c>
      <c r="J61" s="112">
        <v>0.2</v>
      </c>
      <c r="K61" s="112">
        <v>102.37</v>
      </c>
      <c r="L61" s="112">
        <v>40.15</v>
      </c>
      <c r="M61" s="112">
        <v>34.69</v>
      </c>
      <c r="N61" s="112">
        <v>685</v>
      </c>
      <c r="O61" s="112">
        <v>0</v>
      </c>
      <c r="P61" s="112">
        <v>0.45</v>
      </c>
      <c r="Q61" s="112">
        <v>5</v>
      </c>
    </row>
    <row r="62" spans="1:17" customFormat="1">
      <c r="A62" s="80">
        <v>45437.5625</v>
      </c>
      <c r="B62" s="112">
        <v>7.2</v>
      </c>
      <c r="C62" s="112">
        <v>6.08</v>
      </c>
      <c r="D62" s="112">
        <v>13.96</v>
      </c>
      <c r="E62" s="112">
        <v>14.82</v>
      </c>
      <c r="F62" s="112">
        <v>28.7</v>
      </c>
      <c r="G62" s="112">
        <v>32.17</v>
      </c>
      <c r="H62" s="112">
        <v>11.08</v>
      </c>
      <c r="I62" s="112">
        <v>4.42</v>
      </c>
      <c r="J62" s="112">
        <v>0.52</v>
      </c>
      <c r="K62" s="112">
        <v>52.72</v>
      </c>
      <c r="L62" s="112">
        <v>40.049999999999997</v>
      </c>
      <c r="M62" s="112">
        <v>34.67</v>
      </c>
      <c r="N62" s="112">
        <v>464.8</v>
      </c>
      <c r="O62" s="112">
        <v>0</v>
      </c>
      <c r="P62" s="112">
        <v>0.43</v>
      </c>
      <c r="Q62" s="112">
        <v>4.97</v>
      </c>
    </row>
    <row r="63" spans="1:17" customFormat="1">
      <c r="A63" s="80">
        <v>45437.572916666664</v>
      </c>
      <c r="B63" s="112">
        <v>7.2</v>
      </c>
      <c r="C63" s="112">
        <v>6.14</v>
      </c>
      <c r="D63" s="112">
        <v>13.99</v>
      </c>
      <c r="E63" s="112">
        <v>14.25</v>
      </c>
      <c r="F63" s="112">
        <v>16.52</v>
      </c>
      <c r="G63" s="112">
        <v>33.299999999999997</v>
      </c>
      <c r="H63" s="112">
        <v>11.08</v>
      </c>
      <c r="I63" s="112">
        <v>4.41</v>
      </c>
      <c r="J63" s="112">
        <v>0.49</v>
      </c>
      <c r="K63" s="112">
        <v>81.599999999999994</v>
      </c>
      <c r="L63" s="112">
        <v>39.659999999999997</v>
      </c>
      <c r="M63" s="112">
        <v>34.86</v>
      </c>
      <c r="N63" s="112">
        <v>245.3</v>
      </c>
      <c r="O63" s="112">
        <v>0</v>
      </c>
      <c r="P63" s="112">
        <v>0.44</v>
      </c>
      <c r="Q63" s="112">
        <v>5.04</v>
      </c>
    </row>
    <row r="64" spans="1:17" customFormat="1">
      <c r="A64" s="80">
        <v>45437.583333333336</v>
      </c>
      <c r="B64" s="112">
        <v>7.21</v>
      </c>
      <c r="C64" s="112">
        <v>6.1</v>
      </c>
      <c r="D64" s="112">
        <v>13.97</v>
      </c>
      <c r="E64" s="112">
        <v>14.33</v>
      </c>
      <c r="F64" s="112">
        <v>27.33</v>
      </c>
      <c r="G64" s="112">
        <v>33.299999999999997</v>
      </c>
      <c r="H64" s="112">
        <v>11.08</v>
      </c>
      <c r="I64" s="112">
        <v>4.3899999999999997</v>
      </c>
      <c r="J64" s="112">
        <v>0.22</v>
      </c>
      <c r="K64" s="112">
        <v>110.48</v>
      </c>
      <c r="L64" s="112">
        <v>39.44</v>
      </c>
      <c r="M64" s="112">
        <v>35.14</v>
      </c>
      <c r="N64" s="112">
        <v>355.9</v>
      </c>
      <c r="O64" s="112">
        <v>0</v>
      </c>
      <c r="P64" s="112">
        <v>0.42</v>
      </c>
      <c r="Q64" s="112">
        <v>5.04</v>
      </c>
    </row>
    <row r="65" spans="1:17" customFormat="1">
      <c r="A65" s="80">
        <v>45437.59375</v>
      </c>
      <c r="B65" s="112">
        <v>7.2</v>
      </c>
      <c r="C65" s="112">
        <v>6.09</v>
      </c>
      <c r="D65" s="112">
        <v>13.97</v>
      </c>
      <c r="E65" s="112">
        <v>14.3</v>
      </c>
      <c r="F65" s="112">
        <v>25.09</v>
      </c>
      <c r="G65" s="112">
        <v>33.299999999999997</v>
      </c>
      <c r="H65" s="112">
        <v>11.08</v>
      </c>
      <c r="I65" s="112">
        <v>4.37</v>
      </c>
      <c r="J65" s="112">
        <v>0.42</v>
      </c>
      <c r="K65" s="112">
        <v>219.46</v>
      </c>
      <c r="L65" s="112">
        <v>40.409999999999997</v>
      </c>
      <c r="M65" s="112">
        <v>33.22</v>
      </c>
      <c r="N65" s="112">
        <v>695.2</v>
      </c>
      <c r="O65" s="112">
        <v>0</v>
      </c>
      <c r="P65" s="112">
        <v>0.41</v>
      </c>
      <c r="Q65" s="112">
        <v>5.0199999999999996</v>
      </c>
    </row>
    <row r="66" spans="1:17" customFormat="1">
      <c r="A66" s="80">
        <v>45437.604166666664</v>
      </c>
      <c r="B66" s="112">
        <v>7.21</v>
      </c>
      <c r="C66" s="112">
        <v>6.08</v>
      </c>
      <c r="D66" s="112">
        <v>13.97</v>
      </c>
      <c r="E66" s="112">
        <v>14.34</v>
      </c>
      <c r="F66" s="112">
        <v>31.86</v>
      </c>
      <c r="G66" s="112">
        <v>31.12</v>
      </c>
      <c r="H66" s="112">
        <v>10.47</v>
      </c>
      <c r="I66" s="112">
        <v>4.2699999999999996</v>
      </c>
      <c r="J66" s="112">
        <v>0.53</v>
      </c>
      <c r="K66" s="112">
        <v>55.35</v>
      </c>
      <c r="L66" s="112">
        <v>40.880000000000003</v>
      </c>
      <c r="M66" s="112">
        <v>32.22</v>
      </c>
      <c r="N66" s="112">
        <v>599.29999999999995</v>
      </c>
      <c r="O66" s="112">
        <v>0</v>
      </c>
      <c r="P66" s="112">
        <v>0.43</v>
      </c>
      <c r="Q66" s="112">
        <v>5</v>
      </c>
    </row>
    <row r="67" spans="1:17" customFormat="1">
      <c r="A67" s="80">
        <v>45437.614583333336</v>
      </c>
      <c r="B67" s="112">
        <v>7.23</v>
      </c>
      <c r="C67" s="112">
        <v>6.06</v>
      </c>
      <c r="D67" s="112">
        <v>13.97</v>
      </c>
      <c r="E67" s="112">
        <v>15.1</v>
      </c>
      <c r="F67" s="112">
        <v>30.96</v>
      </c>
      <c r="G67" s="112">
        <v>30.64</v>
      </c>
      <c r="H67" s="112">
        <v>10.47</v>
      </c>
      <c r="I67" s="112">
        <v>4.05</v>
      </c>
      <c r="J67" s="112">
        <v>0.82</v>
      </c>
      <c r="K67" s="112">
        <v>30.78</v>
      </c>
      <c r="L67" s="112">
        <v>40.299999999999997</v>
      </c>
      <c r="M67" s="112">
        <v>32.78</v>
      </c>
      <c r="N67" s="112">
        <v>579.9</v>
      </c>
      <c r="O67" s="112">
        <v>0</v>
      </c>
      <c r="P67" s="112">
        <v>0.44</v>
      </c>
      <c r="Q67" s="112">
        <v>5.22</v>
      </c>
    </row>
    <row r="68" spans="1:17" customFormat="1">
      <c r="A68" s="80">
        <v>45437.625</v>
      </c>
      <c r="B68" s="112">
        <v>7.21</v>
      </c>
      <c r="C68" s="112">
        <v>6.08</v>
      </c>
      <c r="D68" s="112">
        <v>13.97</v>
      </c>
      <c r="E68" s="112">
        <v>15.68</v>
      </c>
      <c r="F68" s="112">
        <v>23.96</v>
      </c>
      <c r="G68" s="112">
        <v>30.64</v>
      </c>
      <c r="H68" s="112">
        <v>10.47</v>
      </c>
      <c r="I68" s="112">
        <v>3.94</v>
      </c>
      <c r="J68" s="112">
        <v>1.02</v>
      </c>
      <c r="K68" s="112">
        <v>28.81</v>
      </c>
      <c r="L68" s="112">
        <v>40.42</v>
      </c>
      <c r="M68" s="112">
        <v>31.9</v>
      </c>
      <c r="N68" s="112">
        <v>574.1</v>
      </c>
      <c r="O68" s="112">
        <v>0</v>
      </c>
      <c r="P68" s="112">
        <v>0.45</v>
      </c>
      <c r="Q68" s="112">
        <v>5.34</v>
      </c>
    </row>
    <row r="69" spans="1:17" customFormat="1">
      <c r="A69" s="80">
        <v>45437.635416666664</v>
      </c>
      <c r="B69" s="112">
        <v>7.21</v>
      </c>
      <c r="C69" s="112">
        <v>6.1</v>
      </c>
      <c r="D69" s="112">
        <v>13.98</v>
      </c>
      <c r="E69" s="112">
        <v>15.25</v>
      </c>
      <c r="F69" s="112">
        <v>31.83</v>
      </c>
      <c r="G69" s="112">
        <v>30.64</v>
      </c>
      <c r="H69" s="112">
        <v>10.47</v>
      </c>
      <c r="I69" s="112">
        <v>3.86</v>
      </c>
      <c r="J69" s="112">
        <v>1.42</v>
      </c>
      <c r="K69" s="112">
        <v>42.3</v>
      </c>
      <c r="L69" s="112">
        <v>39.82</v>
      </c>
      <c r="M69" s="112">
        <v>32.25</v>
      </c>
      <c r="N69" s="112">
        <v>546.70000000000005</v>
      </c>
      <c r="O69" s="112">
        <v>0</v>
      </c>
      <c r="P69" s="112">
        <v>0.44</v>
      </c>
      <c r="Q69" s="112">
        <v>5.14</v>
      </c>
    </row>
    <row r="70" spans="1:17" customFormat="1">
      <c r="A70" s="80">
        <v>45437.645833333336</v>
      </c>
      <c r="B70" s="112">
        <v>7.22</v>
      </c>
      <c r="C70" s="112">
        <v>6.06</v>
      </c>
      <c r="D70" s="112">
        <v>13.97</v>
      </c>
      <c r="E70" s="112">
        <v>16.899999999999999</v>
      </c>
      <c r="F70" s="112">
        <v>35.96</v>
      </c>
      <c r="G70" s="112">
        <v>29.56</v>
      </c>
      <c r="H70" s="112">
        <v>9.92</v>
      </c>
      <c r="I70" s="112">
        <v>3.97</v>
      </c>
      <c r="J70" s="112">
        <v>0.11</v>
      </c>
      <c r="K70" s="112">
        <v>149.34</v>
      </c>
      <c r="L70" s="112">
        <v>40.99</v>
      </c>
      <c r="M70" s="112">
        <v>30.64</v>
      </c>
      <c r="N70" s="112">
        <v>500.8</v>
      </c>
      <c r="O70" s="112">
        <v>0</v>
      </c>
      <c r="P70" s="112">
        <v>0.43</v>
      </c>
      <c r="Q70" s="112">
        <v>5.91</v>
      </c>
    </row>
    <row r="71" spans="1:17" customFormat="1">
      <c r="A71" s="80">
        <v>45437.65625</v>
      </c>
      <c r="B71" s="112">
        <v>7.27</v>
      </c>
      <c r="C71" s="112">
        <v>6.09</v>
      </c>
      <c r="D71" s="112">
        <v>14.02</v>
      </c>
      <c r="E71" s="112">
        <v>18.61</v>
      </c>
      <c r="F71" s="112">
        <v>38.42</v>
      </c>
      <c r="G71" s="112">
        <v>29.33</v>
      </c>
      <c r="H71" s="112">
        <v>9.92</v>
      </c>
      <c r="I71" s="112">
        <v>3.88</v>
      </c>
      <c r="J71" s="112">
        <v>0.06</v>
      </c>
      <c r="K71" s="112">
        <v>300.08</v>
      </c>
      <c r="L71" s="112">
        <v>41.22</v>
      </c>
      <c r="M71" s="112">
        <v>30.69</v>
      </c>
      <c r="N71" s="112">
        <v>456.9</v>
      </c>
      <c r="O71" s="112">
        <v>0</v>
      </c>
      <c r="P71" s="112">
        <v>0.44</v>
      </c>
      <c r="Q71" s="112">
        <v>5.31</v>
      </c>
    </row>
    <row r="72" spans="1:17" customFormat="1">
      <c r="A72" s="80">
        <v>45437.666666666664</v>
      </c>
      <c r="B72" s="112">
        <v>7.32</v>
      </c>
      <c r="C72" s="112">
        <v>6.12</v>
      </c>
      <c r="D72" s="112">
        <v>14.07</v>
      </c>
      <c r="E72" s="112">
        <v>18.98</v>
      </c>
      <c r="F72" s="112">
        <v>33.36</v>
      </c>
      <c r="G72" s="112">
        <v>29.33</v>
      </c>
      <c r="H72" s="112">
        <v>9.92</v>
      </c>
      <c r="I72" s="112">
        <v>3.73</v>
      </c>
      <c r="J72" s="112">
        <v>0.38</v>
      </c>
      <c r="K72" s="112">
        <v>94.56</v>
      </c>
      <c r="L72" s="112">
        <v>41.4</v>
      </c>
      <c r="M72" s="112">
        <v>30.28</v>
      </c>
      <c r="N72" s="112">
        <v>374.4</v>
      </c>
      <c r="O72" s="112">
        <v>0</v>
      </c>
      <c r="P72" s="112">
        <v>0.47</v>
      </c>
      <c r="Q72" s="112">
        <v>6.21</v>
      </c>
    </row>
    <row r="73" spans="1:17" customFormat="1">
      <c r="A73" s="80">
        <v>45437.677083333336</v>
      </c>
      <c r="B73" s="112">
        <v>7.3</v>
      </c>
      <c r="C73" s="112">
        <v>6.09</v>
      </c>
      <c r="D73" s="112">
        <v>14.04</v>
      </c>
      <c r="E73" s="112">
        <v>22.11</v>
      </c>
      <c r="F73" s="112">
        <v>72.180000000000007</v>
      </c>
      <c r="G73" s="112">
        <v>29.33</v>
      </c>
      <c r="H73" s="112">
        <v>9.92</v>
      </c>
      <c r="I73" s="112">
        <v>3.95</v>
      </c>
      <c r="J73" s="112">
        <v>0.28000000000000003</v>
      </c>
      <c r="K73" s="112">
        <v>80.55</v>
      </c>
      <c r="L73" s="112">
        <v>40.369999999999997</v>
      </c>
      <c r="M73" s="112">
        <v>31.77</v>
      </c>
      <c r="N73" s="112">
        <v>177.8</v>
      </c>
      <c r="O73" s="112">
        <v>0</v>
      </c>
      <c r="P73" s="112">
        <v>0.44</v>
      </c>
      <c r="Q73" s="112">
        <v>7.37</v>
      </c>
    </row>
    <row r="74" spans="1:17" customFormat="1">
      <c r="A74" s="80">
        <v>45437.6875</v>
      </c>
      <c r="B74" s="112">
        <v>7.29</v>
      </c>
      <c r="C74" s="112">
        <v>6.07</v>
      </c>
      <c r="D74" s="112">
        <v>14.03</v>
      </c>
      <c r="E74" s="112">
        <v>25.74</v>
      </c>
      <c r="F74" s="112">
        <v>83.35</v>
      </c>
      <c r="G74" s="112">
        <v>27.27</v>
      </c>
      <c r="H74" s="112">
        <v>12.18</v>
      </c>
      <c r="I74" s="112">
        <v>4.0599999999999996</v>
      </c>
      <c r="J74" s="112">
        <v>0.18</v>
      </c>
      <c r="K74" s="112">
        <v>127.22</v>
      </c>
      <c r="L74" s="112">
        <v>40.270000000000003</v>
      </c>
      <c r="M74" s="112">
        <v>32.36</v>
      </c>
      <c r="N74" s="112">
        <v>134.5</v>
      </c>
      <c r="O74" s="112">
        <v>0</v>
      </c>
      <c r="P74" s="112">
        <v>0.49</v>
      </c>
      <c r="Q74" s="112">
        <v>6.13</v>
      </c>
    </row>
    <row r="75" spans="1:17" customFormat="1">
      <c r="A75" s="80">
        <v>45437.697916666664</v>
      </c>
      <c r="B75" s="112">
        <v>7.28</v>
      </c>
      <c r="C75" s="112">
        <v>6.07</v>
      </c>
      <c r="D75" s="112">
        <v>14.02</v>
      </c>
      <c r="E75" s="112">
        <v>27.01</v>
      </c>
      <c r="F75" s="112">
        <v>78.31</v>
      </c>
      <c r="G75" s="112">
        <v>26.82</v>
      </c>
      <c r="H75" s="112">
        <v>12.18</v>
      </c>
      <c r="I75" s="112">
        <v>3.7</v>
      </c>
      <c r="J75" s="112">
        <v>0.3</v>
      </c>
      <c r="K75" s="112">
        <v>62.79</v>
      </c>
      <c r="L75" s="112">
        <v>39.619999999999997</v>
      </c>
      <c r="M75" s="112">
        <v>33.28</v>
      </c>
      <c r="N75" s="112">
        <v>106</v>
      </c>
      <c r="O75" s="112">
        <v>0</v>
      </c>
      <c r="P75" s="112">
        <v>0.48</v>
      </c>
      <c r="Q75" s="112">
        <v>5.54</v>
      </c>
    </row>
    <row r="76" spans="1:17" customFormat="1">
      <c r="A76" s="80">
        <v>45437.708333333336</v>
      </c>
      <c r="B76" s="112">
        <v>7.27</v>
      </c>
      <c r="C76" s="112">
        <v>6.08</v>
      </c>
      <c r="D76" s="112">
        <v>14.02</v>
      </c>
      <c r="E76" s="112">
        <v>21.93</v>
      </c>
      <c r="F76" s="112">
        <v>53.12</v>
      </c>
      <c r="G76" s="112">
        <v>26.82</v>
      </c>
      <c r="H76" s="112">
        <v>12.18</v>
      </c>
      <c r="I76" s="112">
        <v>4.07</v>
      </c>
      <c r="J76" s="112">
        <v>0.26</v>
      </c>
      <c r="K76" s="112">
        <v>59.5</v>
      </c>
      <c r="L76" s="112">
        <v>39.25</v>
      </c>
      <c r="M76" s="112">
        <v>33.22</v>
      </c>
      <c r="N76" s="112">
        <v>103.6</v>
      </c>
      <c r="O76" s="112">
        <v>0</v>
      </c>
      <c r="P76" s="112">
        <v>0.48</v>
      </c>
      <c r="Q76" s="112">
        <v>5.19</v>
      </c>
    </row>
    <row r="77" spans="1:17" customFormat="1">
      <c r="A77" s="80">
        <v>45437.71875</v>
      </c>
      <c r="B77" s="112">
        <v>7.28</v>
      </c>
      <c r="C77" s="112">
        <v>6.13</v>
      </c>
      <c r="D77" s="112">
        <v>14.05</v>
      </c>
      <c r="E77" s="112">
        <v>21.48</v>
      </c>
      <c r="F77" s="112">
        <v>43.83</v>
      </c>
      <c r="G77" s="112">
        <v>26.82</v>
      </c>
      <c r="H77" s="112">
        <v>12.18</v>
      </c>
      <c r="I77" s="112">
        <v>3.67</v>
      </c>
      <c r="J77" s="112">
        <v>0.22</v>
      </c>
      <c r="K77" s="112">
        <v>110.61</v>
      </c>
      <c r="L77" s="112">
        <v>39.35</v>
      </c>
      <c r="M77" s="112">
        <v>34.369999999999997</v>
      </c>
      <c r="N77" s="112">
        <v>77.099999999999994</v>
      </c>
      <c r="O77" s="112">
        <v>0</v>
      </c>
      <c r="P77" s="112">
        <v>0.5</v>
      </c>
      <c r="Q77" s="112">
        <v>5.05</v>
      </c>
    </row>
    <row r="78" spans="1:17" customFormat="1">
      <c r="A78" s="80">
        <v>45437.729166666664</v>
      </c>
      <c r="B78" s="112">
        <v>7.3</v>
      </c>
      <c r="C78" s="112">
        <v>6.09</v>
      </c>
      <c r="D78" s="112">
        <v>14.04</v>
      </c>
      <c r="E78" s="112">
        <v>23.52</v>
      </c>
      <c r="F78" s="112">
        <v>43.94</v>
      </c>
      <c r="G78" s="112">
        <v>32.380000000000003</v>
      </c>
      <c r="H78" s="112">
        <v>12.92</v>
      </c>
      <c r="I78" s="112">
        <v>3.4</v>
      </c>
      <c r="J78" s="112">
        <v>0.24</v>
      </c>
      <c r="K78" s="112">
        <v>139.05000000000001</v>
      </c>
      <c r="L78" s="112">
        <v>38.700000000000003</v>
      </c>
      <c r="M78" s="112">
        <v>38.28</v>
      </c>
      <c r="N78" s="112">
        <v>42.8</v>
      </c>
      <c r="O78" s="112">
        <v>0</v>
      </c>
      <c r="P78" s="112">
        <v>0.49</v>
      </c>
      <c r="Q78" s="112">
        <v>5.22</v>
      </c>
    </row>
    <row r="79" spans="1:17" customFormat="1">
      <c r="A79" s="80">
        <v>45437.739583333336</v>
      </c>
      <c r="B79" s="112">
        <v>7.3</v>
      </c>
      <c r="C79" s="112">
        <v>6.07</v>
      </c>
      <c r="D79" s="112">
        <v>14.03</v>
      </c>
      <c r="E79" s="112">
        <v>15.91</v>
      </c>
      <c r="F79" s="112">
        <v>49.76</v>
      </c>
      <c r="G79" s="112">
        <v>33.58</v>
      </c>
      <c r="H79" s="112">
        <v>12.92</v>
      </c>
      <c r="I79" s="112">
        <v>4.47</v>
      </c>
      <c r="J79" s="112">
        <v>0.27</v>
      </c>
      <c r="K79" s="112">
        <v>87.15</v>
      </c>
      <c r="L79" s="112">
        <v>38.28</v>
      </c>
      <c r="M79" s="112">
        <v>41.45</v>
      </c>
      <c r="N79" s="112">
        <v>34.299999999999997</v>
      </c>
      <c r="O79" s="112">
        <v>0</v>
      </c>
      <c r="P79" s="112">
        <v>0.46</v>
      </c>
      <c r="Q79" s="112">
        <v>5.09</v>
      </c>
    </row>
    <row r="80" spans="1:17" customFormat="1">
      <c r="A80" s="80">
        <v>45437.75</v>
      </c>
      <c r="B80" s="112">
        <v>7.28</v>
      </c>
      <c r="C80" s="112">
        <v>6.1</v>
      </c>
      <c r="D80" s="112">
        <v>14.04</v>
      </c>
      <c r="E80" s="112">
        <v>14.83</v>
      </c>
      <c r="F80" s="112">
        <v>51.48</v>
      </c>
      <c r="G80" s="112">
        <v>33.58</v>
      </c>
      <c r="H80" s="112">
        <v>12.92</v>
      </c>
      <c r="I80" s="112">
        <v>4.58</v>
      </c>
      <c r="J80" s="112">
        <v>0.15</v>
      </c>
      <c r="K80" s="112">
        <v>153.49</v>
      </c>
      <c r="L80" s="112">
        <v>38</v>
      </c>
      <c r="M80" s="112">
        <v>45.3</v>
      </c>
      <c r="N80" s="112">
        <v>18.100000000000001</v>
      </c>
      <c r="O80" s="112">
        <v>0</v>
      </c>
      <c r="P80" s="112">
        <v>0.48</v>
      </c>
      <c r="Q80" s="112">
        <v>5.01</v>
      </c>
    </row>
    <row r="81" spans="1:17" customFormat="1">
      <c r="A81" s="80">
        <v>45437.760416666664</v>
      </c>
      <c r="B81" s="112">
        <v>7.3</v>
      </c>
      <c r="C81" s="112">
        <v>6.09</v>
      </c>
      <c r="D81" s="112">
        <v>14.04</v>
      </c>
      <c r="E81" s="112">
        <v>11.44</v>
      </c>
      <c r="F81" s="112">
        <v>55.45</v>
      </c>
      <c r="G81" s="112">
        <v>33.58</v>
      </c>
      <c r="H81" s="112">
        <v>12.92</v>
      </c>
      <c r="I81" s="112">
        <v>4.17</v>
      </c>
      <c r="J81" s="112">
        <v>0.19</v>
      </c>
      <c r="K81" s="112">
        <v>177.27</v>
      </c>
      <c r="L81" s="112">
        <v>37.51</v>
      </c>
      <c r="M81" s="112">
        <v>46.14</v>
      </c>
      <c r="N81" s="112">
        <v>5.7</v>
      </c>
      <c r="O81" s="112">
        <v>0</v>
      </c>
      <c r="P81" s="112">
        <v>0.48</v>
      </c>
      <c r="Q81" s="112">
        <v>5.01</v>
      </c>
    </row>
    <row r="82" spans="1:17" customFormat="1">
      <c r="A82" s="80">
        <v>45437.770833333336</v>
      </c>
      <c r="B82" s="112">
        <v>7.31</v>
      </c>
      <c r="C82" s="112">
        <v>6.05</v>
      </c>
      <c r="D82" s="112">
        <v>14.03</v>
      </c>
      <c r="E82" s="112">
        <v>13.58</v>
      </c>
      <c r="F82" s="112">
        <v>62.64</v>
      </c>
      <c r="G82" s="112">
        <v>34.72</v>
      </c>
      <c r="H82" s="112">
        <v>13.62</v>
      </c>
      <c r="I82" s="112">
        <v>3.93</v>
      </c>
      <c r="J82" s="112">
        <v>0.19</v>
      </c>
      <c r="K82" s="112">
        <v>206.15</v>
      </c>
      <c r="L82" s="112">
        <v>36.659999999999997</v>
      </c>
      <c r="M82" s="112">
        <v>46.8</v>
      </c>
      <c r="N82" s="112">
        <v>0</v>
      </c>
      <c r="O82" s="112">
        <v>0</v>
      </c>
      <c r="P82" s="112">
        <v>0.49</v>
      </c>
      <c r="Q82" s="112">
        <v>5.16</v>
      </c>
    </row>
    <row r="83" spans="1:17" customFormat="1">
      <c r="A83" s="80">
        <v>45437.78125</v>
      </c>
      <c r="B83" s="112">
        <v>7.27</v>
      </c>
      <c r="C83" s="112">
        <v>6.08</v>
      </c>
      <c r="D83" s="112">
        <v>14.01</v>
      </c>
      <c r="E83" s="112">
        <v>13.69</v>
      </c>
      <c r="F83" s="112">
        <v>56.23</v>
      </c>
      <c r="G83" s="112">
        <v>34.97</v>
      </c>
      <c r="H83" s="112">
        <v>13.62</v>
      </c>
      <c r="I83" s="112">
        <v>3.8</v>
      </c>
      <c r="J83" s="112">
        <v>0.14000000000000001</v>
      </c>
      <c r="K83" s="112">
        <v>145.52000000000001</v>
      </c>
      <c r="L83" s="112">
        <v>36.65</v>
      </c>
      <c r="M83" s="112">
        <v>44.15</v>
      </c>
      <c r="N83" s="112">
        <v>0</v>
      </c>
      <c r="O83" s="112">
        <v>0</v>
      </c>
      <c r="P83" s="112">
        <v>0.49</v>
      </c>
      <c r="Q83" s="112">
        <v>5.18</v>
      </c>
    </row>
    <row r="84" spans="1:17" customFormat="1">
      <c r="A84" s="80">
        <v>45437.791666666664</v>
      </c>
      <c r="B84" s="112">
        <v>7.23</v>
      </c>
      <c r="C84" s="112">
        <v>6.09</v>
      </c>
      <c r="D84" s="112">
        <v>13.99</v>
      </c>
      <c r="E84" s="112">
        <v>11.65</v>
      </c>
      <c r="F84" s="112">
        <v>52.4</v>
      </c>
      <c r="G84" s="112">
        <v>34.97</v>
      </c>
      <c r="H84" s="112">
        <v>13.62</v>
      </c>
      <c r="I84" s="112">
        <v>4.1900000000000004</v>
      </c>
      <c r="J84" s="112">
        <v>0.19</v>
      </c>
      <c r="K84" s="112">
        <v>122.08</v>
      </c>
      <c r="L84" s="112">
        <v>36.68</v>
      </c>
      <c r="M84" s="112">
        <v>44.95</v>
      </c>
      <c r="N84" s="112">
        <v>0</v>
      </c>
      <c r="O84" s="112">
        <v>0</v>
      </c>
      <c r="P84" s="112">
        <v>0.47</v>
      </c>
      <c r="Q84" s="112">
        <v>5.55</v>
      </c>
    </row>
    <row r="85" spans="1:17" customFormat="1">
      <c r="A85" s="80">
        <v>45437.802083333336</v>
      </c>
      <c r="B85" s="112">
        <v>7.24</v>
      </c>
      <c r="C85" s="112">
        <v>6.08</v>
      </c>
      <c r="D85" s="112">
        <v>13.99</v>
      </c>
      <c r="E85" s="112">
        <v>11.49</v>
      </c>
      <c r="F85" s="112">
        <v>53.55</v>
      </c>
      <c r="G85" s="112">
        <v>34.97</v>
      </c>
      <c r="H85" s="112">
        <v>13.62</v>
      </c>
      <c r="I85" s="112">
        <v>4.0599999999999996</v>
      </c>
      <c r="J85" s="112">
        <v>0.15</v>
      </c>
      <c r="K85" s="112">
        <v>152.21</v>
      </c>
      <c r="L85" s="112">
        <v>36.119999999999997</v>
      </c>
      <c r="M85" s="112">
        <v>47.8</v>
      </c>
      <c r="N85" s="112">
        <v>0</v>
      </c>
      <c r="O85" s="112">
        <v>0</v>
      </c>
      <c r="P85" s="112">
        <v>0.48</v>
      </c>
      <c r="Q85" s="112">
        <v>5.91</v>
      </c>
    </row>
    <row r="86" spans="1:17" customFormat="1">
      <c r="A86" s="80">
        <v>45437.8125</v>
      </c>
      <c r="B86" s="112">
        <v>7.23</v>
      </c>
      <c r="C86" s="112">
        <v>6.09</v>
      </c>
      <c r="D86" s="112">
        <v>13.98</v>
      </c>
      <c r="E86" s="112">
        <v>12.28</v>
      </c>
      <c r="F86" s="112">
        <v>56.61</v>
      </c>
      <c r="G86" s="112">
        <v>34.72</v>
      </c>
      <c r="H86" s="112">
        <v>11.45</v>
      </c>
      <c r="I86" s="112">
        <v>3.79</v>
      </c>
      <c r="J86" s="112">
        <v>0.18</v>
      </c>
      <c r="K86" s="112">
        <v>152.38999999999999</v>
      </c>
      <c r="L86" s="112">
        <v>35.979999999999997</v>
      </c>
      <c r="M86" s="112">
        <v>51.22</v>
      </c>
      <c r="N86" s="112">
        <v>0</v>
      </c>
      <c r="O86" s="112">
        <v>0</v>
      </c>
      <c r="P86" s="112">
        <v>0.47</v>
      </c>
      <c r="Q86" s="112">
        <v>5.66</v>
      </c>
    </row>
    <row r="87" spans="1:17" customFormat="1">
      <c r="A87" s="80">
        <v>45437.822916666664</v>
      </c>
      <c r="B87" s="112">
        <v>7.25</v>
      </c>
      <c r="C87" s="112">
        <v>6.1</v>
      </c>
      <c r="D87" s="112">
        <v>14.01</v>
      </c>
      <c r="E87" s="112">
        <v>12.38</v>
      </c>
      <c r="F87" s="112">
        <v>51.66</v>
      </c>
      <c r="G87" s="112">
        <v>34.67</v>
      </c>
      <c r="H87" s="112">
        <v>11.45</v>
      </c>
      <c r="I87" s="112">
        <v>3.73</v>
      </c>
      <c r="J87" s="112">
        <v>0.2</v>
      </c>
      <c r="K87" s="112">
        <v>192.77</v>
      </c>
      <c r="L87" s="112">
        <v>35.54</v>
      </c>
      <c r="M87" s="112">
        <v>50.06</v>
      </c>
      <c r="N87" s="112">
        <v>0</v>
      </c>
      <c r="O87" s="112">
        <v>0</v>
      </c>
      <c r="P87" s="112">
        <v>0.5</v>
      </c>
      <c r="Q87" s="112">
        <v>5.46</v>
      </c>
    </row>
    <row r="88" spans="1:17" customFormat="1">
      <c r="A88" s="80">
        <v>45437.833333333336</v>
      </c>
      <c r="B88" s="112">
        <v>7.27</v>
      </c>
      <c r="C88" s="112">
        <v>6.05</v>
      </c>
      <c r="D88" s="112">
        <v>14.01</v>
      </c>
      <c r="E88" s="112">
        <v>13.17</v>
      </c>
      <c r="F88" s="112">
        <v>45.64</v>
      </c>
      <c r="G88" s="112">
        <v>34.67</v>
      </c>
      <c r="H88" s="112">
        <v>11.45</v>
      </c>
      <c r="I88" s="112">
        <v>3.69</v>
      </c>
      <c r="J88" s="112">
        <v>0.12</v>
      </c>
      <c r="K88" s="112">
        <v>223.41</v>
      </c>
      <c r="L88" s="112">
        <v>35.26</v>
      </c>
      <c r="M88" s="112">
        <v>50.26</v>
      </c>
      <c r="N88" s="112">
        <v>0</v>
      </c>
      <c r="O88" s="112">
        <v>0</v>
      </c>
      <c r="P88" s="112">
        <v>0.52</v>
      </c>
      <c r="Q88" s="112">
        <v>5.41</v>
      </c>
    </row>
    <row r="89" spans="1:17" customFormat="1">
      <c r="A89" s="80">
        <v>45437.84375</v>
      </c>
      <c r="B89" s="112">
        <v>7.24</v>
      </c>
      <c r="C89" s="112">
        <v>6.08</v>
      </c>
      <c r="D89" s="112">
        <v>13.99</v>
      </c>
      <c r="E89" s="112">
        <v>13.54</v>
      </c>
      <c r="F89" s="112">
        <v>42.93</v>
      </c>
      <c r="G89" s="112">
        <v>34.67</v>
      </c>
      <c r="H89" s="112">
        <v>11.45</v>
      </c>
      <c r="I89" s="112">
        <v>4.17</v>
      </c>
      <c r="J89" s="112">
        <v>0.13</v>
      </c>
      <c r="K89" s="112">
        <v>174.25</v>
      </c>
      <c r="L89" s="112">
        <v>35.17</v>
      </c>
      <c r="M89" s="112">
        <v>52.29</v>
      </c>
      <c r="N89" s="112">
        <v>0</v>
      </c>
      <c r="O89" s="112">
        <v>0</v>
      </c>
      <c r="P89" s="112">
        <v>0.59</v>
      </c>
      <c r="Q89" s="112">
        <v>5.2</v>
      </c>
    </row>
    <row r="90" spans="1:17" customFormat="1">
      <c r="A90" s="80">
        <v>45437.854166666664</v>
      </c>
      <c r="B90" s="112">
        <v>7.31</v>
      </c>
      <c r="C90" s="112">
        <v>6.05</v>
      </c>
      <c r="D90" s="112">
        <v>14.03</v>
      </c>
      <c r="E90" s="112">
        <v>12.49</v>
      </c>
      <c r="F90" s="112">
        <v>31.32</v>
      </c>
      <c r="G90" s="112">
        <v>33.06</v>
      </c>
      <c r="H90" s="112">
        <v>12.88</v>
      </c>
      <c r="I90" s="112">
        <v>4.72</v>
      </c>
      <c r="J90" s="112">
        <v>0.09</v>
      </c>
      <c r="K90" s="112">
        <v>205.65</v>
      </c>
      <c r="L90" s="112">
        <v>34.79</v>
      </c>
      <c r="M90" s="112">
        <v>53.32</v>
      </c>
      <c r="N90" s="112">
        <v>0</v>
      </c>
      <c r="O90" s="112">
        <v>0</v>
      </c>
      <c r="P90" s="112">
        <v>0.54</v>
      </c>
      <c r="Q90" s="112">
        <v>5.28</v>
      </c>
    </row>
    <row r="91" spans="1:17" customFormat="1">
      <c r="A91" s="80">
        <v>45437.864583333336</v>
      </c>
      <c r="B91" s="112">
        <v>7.3</v>
      </c>
      <c r="C91" s="112">
        <v>6.08</v>
      </c>
      <c r="D91" s="112">
        <v>14.04</v>
      </c>
      <c r="E91" s="112">
        <v>12.36</v>
      </c>
      <c r="F91" s="112">
        <v>32.39</v>
      </c>
      <c r="G91" s="112">
        <v>32.72</v>
      </c>
      <c r="H91" s="112">
        <v>12.88</v>
      </c>
      <c r="I91" s="112">
        <v>5.0999999999999996</v>
      </c>
      <c r="J91" s="112">
        <v>0.14000000000000001</v>
      </c>
      <c r="K91" s="112">
        <v>179.72</v>
      </c>
      <c r="L91" s="112">
        <v>34.42</v>
      </c>
      <c r="M91" s="112">
        <v>52.47</v>
      </c>
      <c r="N91" s="112">
        <v>0</v>
      </c>
      <c r="O91" s="112">
        <v>0</v>
      </c>
      <c r="P91" s="112">
        <v>0.54</v>
      </c>
      <c r="Q91" s="112">
        <v>5.4</v>
      </c>
    </row>
    <row r="92" spans="1:17" customFormat="1">
      <c r="A92" s="80">
        <v>45437.875</v>
      </c>
      <c r="B92" s="112">
        <v>7.26</v>
      </c>
      <c r="C92" s="112">
        <v>6.08</v>
      </c>
      <c r="D92" s="112">
        <v>14</v>
      </c>
      <c r="E92" s="112">
        <v>12.05</v>
      </c>
      <c r="F92" s="112">
        <v>29.98</v>
      </c>
      <c r="G92" s="112">
        <v>32.72</v>
      </c>
      <c r="H92" s="112">
        <v>12.88</v>
      </c>
      <c r="I92" s="112">
        <v>5.27</v>
      </c>
      <c r="J92" s="112">
        <v>0.16</v>
      </c>
      <c r="K92" s="112">
        <v>227.94</v>
      </c>
      <c r="L92" s="112">
        <v>34.200000000000003</v>
      </c>
      <c r="M92" s="112">
        <v>53.2</v>
      </c>
      <c r="N92" s="112">
        <v>0</v>
      </c>
      <c r="O92" s="112">
        <v>0</v>
      </c>
      <c r="P92" s="112">
        <v>0.56000000000000005</v>
      </c>
      <c r="Q92" s="112">
        <v>5.37</v>
      </c>
    </row>
    <row r="93" spans="1:17" customFormat="1">
      <c r="A93" s="80">
        <v>45437.885416666664</v>
      </c>
      <c r="B93" s="112">
        <v>7.25</v>
      </c>
      <c r="C93" s="112">
        <v>6.07</v>
      </c>
      <c r="D93" s="112">
        <v>13.99</v>
      </c>
      <c r="E93" s="112">
        <v>11.87</v>
      </c>
      <c r="F93" s="112">
        <v>25.75</v>
      </c>
      <c r="G93" s="112">
        <v>32.72</v>
      </c>
      <c r="H93" s="112">
        <v>12.88</v>
      </c>
      <c r="I93" s="112">
        <v>5.18</v>
      </c>
      <c r="J93" s="112">
        <v>0.15</v>
      </c>
      <c r="K93" s="112">
        <v>229.02</v>
      </c>
      <c r="L93" s="112">
        <v>34.049999999999997</v>
      </c>
      <c r="M93" s="112">
        <v>53.67</v>
      </c>
      <c r="N93" s="112">
        <v>0</v>
      </c>
      <c r="O93" s="112">
        <v>0</v>
      </c>
      <c r="P93" s="112">
        <v>0.56999999999999995</v>
      </c>
      <c r="Q93" s="112">
        <v>5.56</v>
      </c>
    </row>
    <row r="94" spans="1:17" customFormat="1">
      <c r="A94" s="80">
        <v>45437.895833333336</v>
      </c>
      <c r="B94" s="112">
        <v>7.25</v>
      </c>
      <c r="C94" s="112">
        <v>6.09</v>
      </c>
      <c r="D94" s="112">
        <v>14</v>
      </c>
      <c r="E94" s="112">
        <v>12.27</v>
      </c>
      <c r="F94" s="112">
        <v>22.78</v>
      </c>
      <c r="G94" s="112">
        <v>32.630000000000003</v>
      </c>
      <c r="H94" s="112">
        <v>12.29</v>
      </c>
      <c r="I94" s="112">
        <v>5.16</v>
      </c>
      <c r="J94" s="112">
        <v>0.14000000000000001</v>
      </c>
      <c r="K94" s="112">
        <v>199.64</v>
      </c>
      <c r="L94" s="112">
        <v>33.85</v>
      </c>
      <c r="M94" s="112">
        <v>54.53</v>
      </c>
      <c r="N94" s="112">
        <v>0</v>
      </c>
      <c r="O94" s="112">
        <v>0</v>
      </c>
      <c r="P94" s="112">
        <v>0.62</v>
      </c>
      <c r="Q94" s="112">
        <v>5.49</v>
      </c>
    </row>
    <row r="95" spans="1:17" customFormat="1">
      <c r="A95" s="80">
        <v>45437.90625</v>
      </c>
      <c r="B95" s="112">
        <v>7.24</v>
      </c>
      <c r="C95" s="112">
        <v>6.09</v>
      </c>
      <c r="D95" s="112">
        <v>13.99</v>
      </c>
      <c r="E95" s="112">
        <v>12.83</v>
      </c>
      <c r="F95" s="112">
        <v>28.47</v>
      </c>
      <c r="G95" s="112">
        <v>32.61</v>
      </c>
      <c r="H95" s="112">
        <v>12.29</v>
      </c>
      <c r="I95" s="112">
        <v>5.48</v>
      </c>
      <c r="J95" s="112">
        <v>0.16</v>
      </c>
      <c r="K95" s="112">
        <v>238.88</v>
      </c>
      <c r="L95" s="112">
        <v>33.659999999999997</v>
      </c>
      <c r="M95" s="112">
        <v>54.94</v>
      </c>
      <c r="N95" s="112">
        <v>0</v>
      </c>
      <c r="O95" s="112">
        <v>0</v>
      </c>
      <c r="P95" s="112">
        <v>0.59</v>
      </c>
      <c r="Q95" s="112">
        <v>5.22</v>
      </c>
    </row>
    <row r="96" spans="1:17" customFormat="1">
      <c r="A96" s="80">
        <v>45437.916666666664</v>
      </c>
      <c r="B96" s="112">
        <v>7.21</v>
      </c>
      <c r="C96" s="112">
        <v>6.09</v>
      </c>
      <c r="D96" s="112">
        <v>13.98</v>
      </c>
      <c r="E96" s="112">
        <v>12.5</v>
      </c>
      <c r="F96" s="112">
        <v>21.1</v>
      </c>
      <c r="G96" s="112">
        <v>32.61</v>
      </c>
      <c r="H96" s="112">
        <v>12.29</v>
      </c>
      <c r="I96" s="112">
        <v>5.51</v>
      </c>
      <c r="J96" s="112">
        <v>0.19</v>
      </c>
      <c r="K96" s="112">
        <v>249.52</v>
      </c>
      <c r="L96" s="112">
        <v>33.369999999999997</v>
      </c>
      <c r="M96" s="112">
        <v>57.36</v>
      </c>
      <c r="N96" s="112">
        <v>0</v>
      </c>
      <c r="O96" s="112">
        <v>0</v>
      </c>
      <c r="P96" s="112">
        <v>0.57999999999999996</v>
      </c>
      <c r="Q96" s="112">
        <v>5.24</v>
      </c>
    </row>
    <row r="97" spans="1:22" customFormat="1">
      <c r="A97" s="80">
        <v>45437.927083333336</v>
      </c>
      <c r="B97" s="112">
        <v>7.2</v>
      </c>
      <c r="C97" s="112">
        <v>6.08</v>
      </c>
      <c r="D97" s="112">
        <v>13.96</v>
      </c>
      <c r="E97" s="112">
        <v>11.89</v>
      </c>
      <c r="F97" s="112">
        <v>15.92</v>
      </c>
      <c r="G97" s="112">
        <v>32.61</v>
      </c>
      <c r="H97" s="112">
        <v>12.29</v>
      </c>
      <c r="I97" s="112">
        <v>5.33</v>
      </c>
      <c r="J97" s="112">
        <v>0.15</v>
      </c>
      <c r="K97" s="112">
        <v>223.03</v>
      </c>
      <c r="L97" s="112">
        <v>33.340000000000003</v>
      </c>
      <c r="M97" s="112">
        <v>58.04</v>
      </c>
      <c r="N97" s="112">
        <v>0</v>
      </c>
      <c r="O97" s="112">
        <v>0</v>
      </c>
      <c r="P97" s="112">
        <v>0.57999999999999996</v>
      </c>
      <c r="Q97" s="112">
        <v>5.83</v>
      </c>
    </row>
    <row r="98" spans="1:22" customFormat="1">
      <c r="A98" s="80">
        <v>45437.9375</v>
      </c>
      <c r="B98" s="112">
        <v>7.2</v>
      </c>
      <c r="C98" s="112">
        <v>6.1</v>
      </c>
      <c r="D98" s="112">
        <v>13.97</v>
      </c>
      <c r="E98" s="112">
        <v>12.51</v>
      </c>
      <c r="F98" s="112">
        <v>20.14</v>
      </c>
      <c r="G98" s="112">
        <v>35.65</v>
      </c>
      <c r="H98" s="112">
        <v>14.91</v>
      </c>
      <c r="I98" s="112">
        <v>5.24</v>
      </c>
      <c r="J98" s="112">
        <v>0.11</v>
      </c>
      <c r="K98" s="112">
        <v>208.67</v>
      </c>
      <c r="L98" s="112">
        <v>33.409999999999997</v>
      </c>
      <c r="M98" s="112">
        <v>57.27</v>
      </c>
      <c r="N98" s="112">
        <v>0</v>
      </c>
      <c r="O98" s="112">
        <v>0</v>
      </c>
      <c r="P98" s="112">
        <v>0.61</v>
      </c>
      <c r="Q98" s="112">
        <v>5.69</v>
      </c>
    </row>
    <row r="99" spans="1:22" customFormat="1">
      <c r="A99" s="80">
        <v>45437.947916666664</v>
      </c>
      <c r="B99" s="112">
        <v>7.2</v>
      </c>
      <c r="C99" s="112">
        <v>6.1</v>
      </c>
      <c r="D99" s="112">
        <v>13.97</v>
      </c>
      <c r="E99" s="112">
        <v>11.9</v>
      </c>
      <c r="F99" s="112">
        <v>19.78</v>
      </c>
      <c r="G99" s="112">
        <v>36.31</v>
      </c>
      <c r="H99" s="112">
        <v>14.91</v>
      </c>
      <c r="I99" s="112">
        <v>5.37</v>
      </c>
      <c r="J99" s="112">
        <v>0.17</v>
      </c>
      <c r="K99" s="112">
        <v>193.02</v>
      </c>
      <c r="L99" s="112">
        <v>33.380000000000003</v>
      </c>
      <c r="M99" s="112">
        <v>56.45</v>
      </c>
      <c r="N99" s="112">
        <v>0</v>
      </c>
      <c r="O99" s="112">
        <v>0</v>
      </c>
      <c r="P99" s="112">
        <v>0.62</v>
      </c>
      <c r="Q99" s="112">
        <v>5.63</v>
      </c>
    </row>
    <row r="100" spans="1:22" customFormat="1">
      <c r="A100" s="80">
        <v>45437.958333333336</v>
      </c>
      <c r="B100" s="112">
        <v>7.23</v>
      </c>
      <c r="C100" s="112">
        <v>6.07</v>
      </c>
      <c r="D100" s="112">
        <v>13.97</v>
      </c>
      <c r="E100" s="112">
        <v>12.03</v>
      </c>
      <c r="F100" s="112">
        <v>12.28</v>
      </c>
      <c r="G100" s="112">
        <v>36.31</v>
      </c>
      <c r="H100" s="112">
        <v>14.91</v>
      </c>
      <c r="I100" s="112">
        <v>5.45</v>
      </c>
      <c r="J100" s="112">
        <v>0.18</v>
      </c>
      <c r="K100" s="112">
        <v>232.1</v>
      </c>
      <c r="L100" s="112">
        <v>32.950000000000003</v>
      </c>
      <c r="M100" s="112">
        <v>57.71</v>
      </c>
      <c r="N100" s="112">
        <v>0</v>
      </c>
      <c r="O100" s="112">
        <v>0</v>
      </c>
      <c r="P100" s="112">
        <v>0.6</v>
      </c>
      <c r="Q100" s="112">
        <v>5.67</v>
      </c>
    </row>
    <row r="101" spans="1:22" customFormat="1">
      <c r="A101" s="80">
        <v>45437.96875</v>
      </c>
      <c r="B101" s="112">
        <v>7.22</v>
      </c>
      <c r="C101" s="112">
        <v>6.07</v>
      </c>
      <c r="D101" s="112">
        <v>13.97</v>
      </c>
      <c r="E101" s="112">
        <v>12.02</v>
      </c>
      <c r="F101" s="112">
        <v>13.39</v>
      </c>
      <c r="G101" s="112">
        <v>36.31</v>
      </c>
      <c r="H101" s="112">
        <v>14.91</v>
      </c>
      <c r="I101" s="112">
        <v>5.5</v>
      </c>
      <c r="J101" s="112">
        <v>0.09</v>
      </c>
      <c r="K101" s="112">
        <v>243.8</v>
      </c>
      <c r="L101" s="112">
        <v>32.86</v>
      </c>
      <c r="M101" s="112">
        <v>57.33</v>
      </c>
      <c r="N101" s="112">
        <v>0</v>
      </c>
      <c r="O101" s="112">
        <v>0</v>
      </c>
      <c r="P101" s="112">
        <v>0.6</v>
      </c>
      <c r="Q101" s="112">
        <v>6.2</v>
      </c>
    </row>
    <row r="102" spans="1:22" customFormat="1">
      <c r="A102" s="80">
        <v>45437.979166666664</v>
      </c>
      <c r="B102" s="112">
        <v>7.21</v>
      </c>
      <c r="C102" s="112">
        <v>6.09</v>
      </c>
      <c r="D102" s="112">
        <v>13.97</v>
      </c>
      <c r="E102" s="112">
        <v>12.22</v>
      </c>
      <c r="F102" s="112">
        <v>7.31</v>
      </c>
      <c r="G102" s="112">
        <v>37.94</v>
      </c>
      <c r="H102" s="112">
        <v>15.76</v>
      </c>
      <c r="I102" s="112">
        <v>5.51</v>
      </c>
      <c r="J102" s="112">
        <v>0.25</v>
      </c>
      <c r="K102" s="112">
        <v>356.91</v>
      </c>
      <c r="L102" s="112">
        <v>33.159999999999997</v>
      </c>
      <c r="M102" s="112">
        <v>55.67</v>
      </c>
      <c r="N102" s="112">
        <v>0</v>
      </c>
      <c r="O102" s="112">
        <v>0</v>
      </c>
      <c r="P102" s="112">
        <v>0.7</v>
      </c>
      <c r="Q102" s="112">
        <v>5.73</v>
      </c>
    </row>
    <row r="103" spans="1:22" customFormat="1">
      <c r="A103" s="80">
        <v>45437.989583333336</v>
      </c>
      <c r="B103" s="112">
        <v>7.21</v>
      </c>
      <c r="C103" s="112">
        <v>6.09</v>
      </c>
      <c r="D103" s="112">
        <v>13.97</v>
      </c>
      <c r="E103" s="112">
        <v>12.74</v>
      </c>
      <c r="F103" s="112">
        <v>4.53</v>
      </c>
      <c r="G103" s="112">
        <v>38.29</v>
      </c>
      <c r="H103" s="112">
        <v>15.76</v>
      </c>
      <c r="I103" s="112">
        <v>5.59</v>
      </c>
      <c r="J103" s="112">
        <v>0.21</v>
      </c>
      <c r="K103" s="112">
        <v>179.8</v>
      </c>
      <c r="L103" s="112">
        <v>33.44</v>
      </c>
      <c r="M103" s="112">
        <v>57.57</v>
      </c>
      <c r="N103" s="112">
        <v>0</v>
      </c>
      <c r="O103" s="112">
        <v>0</v>
      </c>
      <c r="P103" s="112">
        <v>0.68</v>
      </c>
      <c r="Q103" s="112">
        <v>5.48</v>
      </c>
    </row>
    <row r="104" spans="1:22" customFormat="1">
      <c r="A104" s="80">
        <v>45438</v>
      </c>
      <c r="B104" s="112">
        <v>7.23</v>
      </c>
      <c r="C104" s="112">
        <v>6.12</v>
      </c>
      <c r="D104" s="112">
        <v>14.01</v>
      </c>
      <c r="E104" s="112">
        <v>12.4</v>
      </c>
      <c r="F104" s="112">
        <v>8.06</v>
      </c>
      <c r="G104" s="112">
        <v>38.29</v>
      </c>
      <c r="H104" s="112">
        <v>15.76</v>
      </c>
      <c r="I104" s="112">
        <v>6.1</v>
      </c>
      <c r="J104" s="112">
        <v>0.16</v>
      </c>
      <c r="K104" s="112">
        <v>187.48</v>
      </c>
      <c r="L104" s="112">
        <v>33.19</v>
      </c>
      <c r="M104" s="112">
        <v>57.27</v>
      </c>
      <c r="N104" s="112">
        <v>0</v>
      </c>
      <c r="O104" s="112">
        <v>0</v>
      </c>
      <c r="P104" s="112">
        <v>0.72</v>
      </c>
      <c r="Q104" s="112">
        <v>5.57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7.18</v>
      </c>
      <c r="C106" s="183">
        <f>MIN(C9:C104)</f>
        <v>6.01</v>
      </c>
      <c r="D106" s="183">
        <f t="shared" ref="D106:Q106" si="0">MIN(D9:D104)</f>
        <v>13.94</v>
      </c>
      <c r="E106" s="183">
        <f t="shared" si="0"/>
        <v>7.48</v>
      </c>
      <c r="F106" s="183">
        <f t="shared" si="0"/>
        <v>3.68</v>
      </c>
      <c r="G106" s="183">
        <f t="shared" si="0"/>
        <v>26.82</v>
      </c>
      <c r="H106" s="183">
        <f t="shared" si="0"/>
        <v>9.92</v>
      </c>
      <c r="I106" s="183">
        <f t="shared" si="0"/>
        <v>3.4</v>
      </c>
      <c r="J106" s="183">
        <f t="shared" si="0"/>
        <v>0.05</v>
      </c>
      <c r="K106" s="183">
        <f t="shared" si="0"/>
        <v>3.85</v>
      </c>
      <c r="L106" s="183">
        <f t="shared" si="0"/>
        <v>28.97</v>
      </c>
      <c r="M106" s="183">
        <f t="shared" si="0"/>
        <v>30.28</v>
      </c>
      <c r="N106" s="183">
        <f t="shared" si="0"/>
        <v>0</v>
      </c>
      <c r="O106" s="183">
        <f t="shared" si="0"/>
        <v>0</v>
      </c>
      <c r="P106" s="183">
        <f t="shared" si="0"/>
        <v>0.41</v>
      </c>
      <c r="Q106" s="183">
        <f t="shared" si="0"/>
        <v>1.07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7.33</v>
      </c>
      <c r="C107" s="184">
        <f t="shared" ref="C107:Q107" si="1">MAX(C9:C104)</f>
        <v>6.14</v>
      </c>
      <c r="D107" s="184">
        <f t="shared" si="1"/>
        <v>14.07</v>
      </c>
      <c r="E107" s="184">
        <f t="shared" si="1"/>
        <v>27.01</v>
      </c>
      <c r="F107" s="184">
        <f t="shared" si="1"/>
        <v>83.35</v>
      </c>
      <c r="G107" s="184">
        <f t="shared" si="1"/>
        <v>60.3</v>
      </c>
      <c r="H107" s="184">
        <f t="shared" si="1"/>
        <v>21.55</v>
      </c>
      <c r="I107" s="184">
        <f t="shared" si="1"/>
        <v>6.1</v>
      </c>
      <c r="J107" s="184">
        <f t="shared" si="1"/>
        <v>1.43</v>
      </c>
      <c r="K107" s="184">
        <f t="shared" si="1"/>
        <v>356.91</v>
      </c>
      <c r="L107" s="184">
        <f t="shared" si="1"/>
        <v>41.4</v>
      </c>
      <c r="M107" s="184">
        <f t="shared" si="1"/>
        <v>66.959999999999994</v>
      </c>
      <c r="N107" s="184">
        <f t="shared" si="1"/>
        <v>695.2</v>
      </c>
      <c r="O107" s="184">
        <f t="shared" si="1"/>
        <v>0</v>
      </c>
      <c r="P107" s="184">
        <f t="shared" si="1"/>
        <v>0.72</v>
      </c>
      <c r="Q107" s="184">
        <f t="shared" si="1"/>
        <v>70.28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7.2326041666666647</v>
      </c>
      <c r="C108" s="183">
        <f t="shared" ref="C108:Q108" si="2">AVERAGE(C9:C104)</f>
        <v>6.0780208333333361</v>
      </c>
      <c r="D108" s="183">
        <f t="shared" si="2"/>
        <v>13.984479166666668</v>
      </c>
      <c r="E108" s="183">
        <f t="shared" si="2"/>
        <v>12.614062500000001</v>
      </c>
      <c r="F108" s="183">
        <f t="shared" si="2"/>
        <v>24.340312500000007</v>
      </c>
      <c r="G108" s="183">
        <f t="shared" si="2"/>
        <v>38.463333333333331</v>
      </c>
      <c r="H108" s="183">
        <f t="shared" si="2"/>
        <v>14.837604166666674</v>
      </c>
      <c r="I108" s="183">
        <f t="shared" si="2"/>
        <v>4.6011458333333346</v>
      </c>
      <c r="J108" s="183">
        <f t="shared" si="2"/>
        <v>0.3334375</v>
      </c>
      <c r="K108" s="183">
        <f t="shared" si="2"/>
        <v>132.83000000000001</v>
      </c>
      <c r="L108" s="183">
        <f t="shared" si="2"/>
        <v>34.717708333333327</v>
      </c>
      <c r="M108" s="183">
        <f t="shared" si="2"/>
        <v>49.874999999999993</v>
      </c>
      <c r="N108" s="183">
        <f t="shared" si="2"/>
        <v>154.4145833333333</v>
      </c>
      <c r="O108" s="183">
        <f t="shared" si="2"/>
        <v>0</v>
      </c>
      <c r="P108" s="183">
        <f t="shared" si="2"/>
        <v>0.5071874999999999</v>
      </c>
      <c r="Q108" s="183">
        <f t="shared" si="2"/>
        <v>8.1866666666666639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3.770368658972402E-2</v>
      </c>
      <c r="C109" s="183">
        <f t="shared" ref="C109:Q109" si="3">STDEV(C9:C104)</f>
        <v>2.2969993775251392E-2</v>
      </c>
      <c r="D109" s="183">
        <f t="shared" si="3"/>
        <v>3.1047325223096976E-2</v>
      </c>
      <c r="E109" s="183">
        <f t="shared" si="3"/>
        <v>3.9348479748938581</v>
      </c>
      <c r="F109" s="183">
        <f t="shared" si="3"/>
        <v>17.834073977590137</v>
      </c>
      <c r="G109" s="183">
        <f t="shared" si="3"/>
        <v>8.6479463539241141</v>
      </c>
      <c r="H109" s="183">
        <f t="shared" si="3"/>
        <v>3.2004880367289918</v>
      </c>
      <c r="I109" s="183">
        <f t="shared" si="3"/>
        <v>0.53087786243593393</v>
      </c>
      <c r="J109" s="183">
        <f t="shared" si="3"/>
        <v>0.26329422455536422</v>
      </c>
      <c r="K109" s="183">
        <f t="shared" si="3"/>
        <v>71.79764662614393</v>
      </c>
      <c r="L109" s="183">
        <f t="shared" si="3"/>
        <v>3.91132484733801</v>
      </c>
      <c r="M109" s="183">
        <f t="shared" si="3"/>
        <v>11.001156398545673</v>
      </c>
      <c r="N109" s="183">
        <f t="shared" si="3"/>
        <v>210.28922488058492</v>
      </c>
      <c r="O109" s="183">
        <f t="shared" si="3"/>
        <v>0</v>
      </c>
      <c r="P109" s="183">
        <f t="shared" si="3"/>
        <v>5.8556371849787139E-2</v>
      </c>
      <c r="Q109" s="183">
        <f t="shared" si="3"/>
        <v>11.652114302533182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8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45438.010416666664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45438.010416666664</v>
      </c>
      <c r="B9" s="112">
        <v>7.25</v>
      </c>
      <c r="C9" s="112">
        <v>6.07</v>
      </c>
      <c r="D9" s="112">
        <v>14</v>
      </c>
      <c r="E9" s="112">
        <v>11.76</v>
      </c>
      <c r="F9" s="112">
        <v>7.18</v>
      </c>
      <c r="G9" s="112">
        <v>38.29</v>
      </c>
      <c r="H9" s="112">
        <v>15.76</v>
      </c>
      <c r="I9" s="112">
        <v>6.24</v>
      </c>
      <c r="J9" s="112">
        <v>0.16</v>
      </c>
      <c r="K9" s="112">
        <v>187.37</v>
      </c>
      <c r="L9" s="112">
        <v>32.9</v>
      </c>
      <c r="M9" s="112">
        <v>63.24</v>
      </c>
      <c r="N9" s="112">
        <v>0</v>
      </c>
      <c r="O9" s="112">
        <v>0</v>
      </c>
      <c r="P9" s="112">
        <v>0.71</v>
      </c>
      <c r="Q9" s="112">
        <v>5.9</v>
      </c>
    </row>
    <row r="10" spans="1:21" customFormat="1">
      <c r="A10" s="80">
        <v>45438.020833333336</v>
      </c>
      <c r="B10" s="112">
        <v>7.25</v>
      </c>
      <c r="C10" s="112">
        <v>6.08</v>
      </c>
      <c r="D10" s="112">
        <v>14</v>
      </c>
      <c r="E10" s="112">
        <v>11.92</v>
      </c>
      <c r="F10" s="112">
        <v>7.19</v>
      </c>
      <c r="G10" s="112">
        <v>47.91</v>
      </c>
      <c r="H10" s="112">
        <v>18.68</v>
      </c>
      <c r="I10" s="112">
        <v>6.17</v>
      </c>
      <c r="J10" s="112">
        <v>0.24</v>
      </c>
      <c r="K10" s="112">
        <v>181.23</v>
      </c>
      <c r="L10" s="112">
        <v>32.47</v>
      </c>
      <c r="M10" s="112">
        <v>64.66</v>
      </c>
      <c r="N10" s="112">
        <v>0</v>
      </c>
      <c r="O10" s="112">
        <v>0</v>
      </c>
      <c r="P10" s="112">
        <v>0.7</v>
      </c>
      <c r="Q10" s="112">
        <v>5.34</v>
      </c>
    </row>
    <row r="11" spans="1:21" customFormat="1">
      <c r="A11" s="80">
        <v>45438.03125</v>
      </c>
      <c r="B11" s="112">
        <v>7.26</v>
      </c>
      <c r="C11" s="112">
        <v>6.04</v>
      </c>
      <c r="D11" s="112">
        <v>13.98</v>
      </c>
      <c r="E11" s="112">
        <v>11.54</v>
      </c>
      <c r="F11" s="112">
        <v>9.17</v>
      </c>
      <c r="G11" s="112">
        <v>49.99</v>
      </c>
      <c r="H11" s="112">
        <v>18.68</v>
      </c>
      <c r="I11" s="112">
        <v>6.19</v>
      </c>
      <c r="J11" s="112">
        <v>0.13</v>
      </c>
      <c r="K11" s="112">
        <v>220.78</v>
      </c>
      <c r="L11" s="112">
        <v>32.200000000000003</v>
      </c>
      <c r="M11" s="112">
        <v>61.46</v>
      </c>
      <c r="N11" s="112">
        <v>0</v>
      </c>
      <c r="O11" s="112">
        <v>0</v>
      </c>
      <c r="P11" s="112">
        <v>0.71</v>
      </c>
      <c r="Q11" s="112">
        <v>5.16</v>
      </c>
    </row>
    <row r="12" spans="1:21" customFormat="1">
      <c r="A12" s="80">
        <v>45438.041666666664</v>
      </c>
      <c r="B12" s="112">
        <v>7.26</v>
      </c>
      <c r="C12" s="112">
        <v>6.05</v>
      </c>
      <c r="D12" s="112">
        <v>13.99</v>
      </c>
      <c r="E12" s="112">
        <v>11.44</v>
      </c>
      <c r="F12" s="112">
        <v>11.8</v>
      </c>
      <c r="G12" s="112">
        <v>49.99</v>
      </c>
      <c r="H12" s="112">
        <v>18.68</v>
      </c>
      <c r="I12" s="112">
        <v>6.28</v>
      </c>
      <c r="J12" s="112">
        <v>0.17</v>
      </c>
      <c r="K12" s="112">
        <v>160.9</v>
      </c>
      <c r="L12" s="112">
        <v>32.18</v>
      </c>
      <c r="M12" s="112">
        <v>62.27</v>
      </c>
      <c r="N12" s="112">
        <v>0</v>
      </c>
      <c r="O12" s="112">
        <v>0</v>
      </c>
      <c r="P12" s="112">
        <v>0.72</v>
      </c>
      <c r="Q12" s="112">
        <v>5.12</v>
      </c>
    </row>
    <row r="13" spans="1:21" customFormat="1">
      <c r="A13" s="80">
        <v>45438.052083333336</v>
      </c>
      <c r="B13" s="112">
        <v>7.27</v>
      </c>
      <c r="C13" s="112">
        <v>6.06</v>
      </c>
      <c r="D13" s="112">
        <v>14.01</v>
      </c>
      <c r="E13" s="112">
        <v>12.4</v>
      </c>
      <c r="F13" s="112">
        <v>18.14</v>
      </c>
      <c r="G13" s="112">
        <v>49.99</v>
      </c>
      <c r="H13" s="112">
        <v>18.68</v>
      </c>
      <c r="I13" s="112">
        <v>6.32</v>
      </c>
      <c r="J13" s="112">
        <v>0.2</v>
      </c>
      <c r="K13" s="112">
        <v>175.35</v>
      </c>
      <c r="L13" s="112">
        <v>32.229999999999997</v>
      </c>
      <c r="M13" s="112">
        <v>62.97</v>
      </c>
      <c r="N13" s="112">
        <v>0</v>
      </c>
      <c r="O13" s="112">
        <v>0</v>
      </c>
      <c r="P13" s="112">
        <v>0.71</v>
      </c>
      <c r="Q13" s="112">
        <v>5.07</v>
      </c>
    </row>
    <row r="14" spans="1:21" customFormat="1">
      <c r="A14" s="80">
        <v>45438.0625</v>
      </c>
      <c r="B14" s="112">
        <v>7.3</v>
      </c>
      <c r="C14" s="112">
        <v>6.07</v>
      </c>
      <c r="D14" s="112">
        <v>14.03</v>
      </c>
      <c r="E14" s="112">
        <v>11.91</v>
      </c>
      <c r="F14" s="112">
        <v>19.29</v>
      </c>
      <c r="G14" s="112">
        <v>51.56</v>
      </c>
      <c r="H14" s="112">
        <v>21.4</v>
      </c>
      <c r="I14" s="112">
        <v>6.17</v>
      </c>
      <c r="J14" s="112">
        <v>0.13</v>
      </c>
      <c r="K14" s="112">
        <v>187.87</v>
      </c>
      <c r="L14" s="112">
        <v>31.64</v>
      </c>
      <c r="M14" s="112">
        <v>63.47</v>
      </c>
      <c r="N14" s="112">
        <v>0</v>
      </c>
      <c r="O14" s="112">
        <v>0</v>
      </c>
      <c r="P14" s="112">
        <v>0.69</v>
      </c>
      <c r="Q14" s="112">
        <v>5.16</v>
      </c>
    </row>
    <row r="15" spans="1:21" customFormat="1">
      <c r="A15" s="80">
        <v>45438.072916666664</v>
      </c>
      <c r="B15" s="112">
        <v>7.28</v>
      </c>
      <c r="C15" s="112">
        <v>6.08</v>
      </c>
      <c r="D15" s="112">
        <v>14.03</v>
      </c>
      <c r="E15" s="112">
        <v>11.56</v>
      </c>
      <c r="F15" s="112">
        <v>22.72</v>
      </c>
      <c r="G15" s="112">
        <v>51.89</v>
      </c>
      <c r="H15" s="112">
        <v>21.4</v>
      </c>
      <c r="I15" s="112">
        <v>5.91</v>
      </c>
      <c r="J15" s="112">
        <v>0.16</v>
      </c>
      <c r="K15" s="112">
        <v>171.53</v>
      </c>
      <c r="L15" s="112">
        <v>31.9</v>
      </c>
      <c r="M15" s="112">
        <v>59.98</v>
      </c>
      <c r="N15" s="112">
        <v>0</v>
      </c>
      <c r="O15" s="112">
        <v>0</v>
      </c>
      <c r="P15" s="112">
        <v>0.66</v>
      </c>
      <c r="Q15" s="112">
        <v>4.67</v>
      </c>
    </row>
    <row r="16" spans="1:21" customFormat="1">
      <c r="A16" s="80">
        <v>45438.083333333336</v>
      </c>
      <c r="B16" s="112">
        <v>7.27</v>
      </c>
      <c r="C16" s="112">
        <v>6.1</v>
      </c>
      <c r="D16" s="112">
        <v>14.03</v>
      </c>
      <c r="E16" s="112">
        <v>11.61</v>
      </c>
      <c r="F16" s="112">
        <v>24.03</v>
      </c>
      <c r="G16" s="112">
        <v>51.89</v>
      </c>
      <c r="H16" s="112">
        <v>21.4</v>
      </c>
      <c r="I16" s="112">
        <v>5.68</v>
      </c>
      <c r="J16" s="112">
        <v>0.14000000000000001</v>
      </c>
      <c r="K16" s="112">
        <v>220.21</v>
      </c>
      <c r="L16" s="112">
        <v>31.79</v>
      </c>
      <c r="M16" s="112">
        <v>60.58</v>
      </c>
      <c r="N16" s="112">
        <v>0</v>
      </c>
      <c r="O16" s="112">
        <v>0</v>
      </c>
      <c r="P16" s="112">
        <v>0.65</v>
      </c>
      <c r="Q16" s="112">
        <v>4.9000000000000004</v>
      </c>
    </row>
    <row r="17" spans="1:17" customFormat="1">
      <c r="A17" s="80">
        <v>45438.09375</v>
      </c>
      <c r="B17" s="112">
        <v>7.26</v>
      </c>
      <c r="C17" s="112">
        <v>6.09</v>
      </c>
      <c r="D17" s="112">
        <v>14.01</v>
      </c>
      <c r="E17" s="112">
        <v>10.32</v>
      </c>
      <c r="F17" s="112">
        <v>23.37</v>
      </c>
      <c r="G17" s="112">
        <v>51.89</v>
      </c>
      <c r="H17" s="112">
        <v>21.4</v>
      </c>
      <c r="I17" s="112">
        <v>5.53</v>
      </c>
      <c r="J17" s="112">
        <v>0.09</v>
      </c>
      <c r="K17" s="112">
        <v>229.6</v>
      </c>
      <c r="L17" s="112">
        <v>31.82</v>
      </c>
      <c r="M17" s="112">
        <v>61.1</v>
      </c>
      <c r="N17" s="112">
        <v>0</v>
      </c>
      <c r="O17" s="112">
        <v>0</v>
      </c>
      <c r="P17" s="112">
        <v>0.66</v>
      </c>
      <c r="Q17" s="112">
        <v>5.0599999999999996</v>
      </c>
    </row>
    <row r="18" spans="1:17" customFormat="1">
      <c r="A18" s="80">
        <v>45438.104166666664</v>
      </c>
      <c r="B18" s="112">
        <v>7.25</v>
      </c>
      <c r="C18" s="112">
        <v>6.07</v>
      </c>
      <c r="D18" s="112">
        <v>13.99</v>
      </c>
      <c r="E18" s="112">
        <v>11.59</v>
      </c>
      <c r="F18" s="112">
        <v>22.33</v>
      </c>
      <c r="G18" s="112">
        <v>51.95</v>
      </c>
      <c r="H18" s="112">
        <v>18.63</v>
      </c>
      <c r="I18" s="112">
        <v>5.52</v>
      </c>
      <c r="J18" s="112">
        <v>0.2</v>
      </c>
      <c r="K18" s="112">
        <v>179.8</v>
      </c>
      <c r="L18" s="112">
        <v>31.85</v>
      </c>
      <c r="M18" s="112">
        <v>61.18</v>
      </c>
      <c r="N18" s="112">
        <v>0</v>
      </c>
      <c r="O18" s="112">
        <v>0</v>
      </c>
      <c r="P18" s="112">
        <v>0.66</v>
      </c>
      <c r="Q18" s="112">
        <v>5.08</v>
      </c>
    </row>
    <row r="19" spans="1:17" customFormat="1">
      <c r="A19" s="80">
        <v>45438.114583333336</v>
      </c>
      <c r="B19" s="112">
        <v>7.25</v>
      </c>
      <c r="C19" s="112">
        <v>6.04</v>
      </c>
      <c r="D19" s="112">
        <v>13.97</v>
      </c>
      <c r="E19" s="112">
        <v>11.65</v>
      </c>
      <c r="F19" s="112">
        <v>19.93</v>
      </c>
      <c r="G19" s="112">
        <v>51.97</v>
      </c>
      <c r="H19" s="112">
        <v>18.63</v>
      </c>
      <c r="I19" s="112">
        <v>5.53</v>
      </c>
      <c r="J19" s="112">
        <v>0.1</v>
      </c>
      <c r="K19" s="112">
        <v>177.93</v>
      </c>
      <c r="L19" s="112">
        <v>31.42</v>
      </c>
      <c r="M19" s="112">
        <v>62.19</v>
      </c>
      <c r="N19" s="112">
        <v>0</v>
      </c>
      <c r="O19" s="112">
        <v>0</v>
      </c>
      <c r="P19" s="112">
        <v>0.65</v>
      </c>
      <c r="Q19" s="112">
        <v>5.08</v>
      </c>
    </row>
    <row r="20" spans="1:17" customFormat="1">
      <c r="A20" s="80">
        <v>45438.125</v>
      </c>
      <c r="B20" s="112">
        <v>7.23</v>
      </c>
      <c r="C20" s="112">
        <v>6.07</v>
      </c>
      <c r="D20" s="112">
        <v>13.98</v>
      </c>
      <c r="E20" s="112">
        <v>12.18</v>
      </c>
      <c r="F20" s="112">
        <v>12.54</v>
      </c>
      <c r="G20" s="112">
        <v>51.97</v>
      </c>
      <c r="H20" s="112">
        <v>18.63</v>
      </c>
      <c r="I20" s="112">
        <v>5.61</v>
      </c>
      <c r="J20" s="112">
        <v>0.09</v>
      </c>
      <c r="K20" s="112">
        <v>317.14</v>
      </c>
      <c r="L20" s="112">
        <v>31.9</v>
      </c>
      <c r="M20" s="112">
        <v>59.52</v>
      </c>
      <c r="N20" s="112">
        <v>0</v>
      </c>
      <c r="O20" s="112">
        <v>0</v>
      </c>
      <c r="P20" s="112">
        <v>0.69</v>
      </c>
      <c r="Q20" s="112">
        <v>5.4</v>
      </c>
    </row>
    <row r="21" spans="1:17" customFormat="1">
      <c r="A21" s="80">
        <v>45438.135416666664</v>
      </c>
      <c r="B21" s="112">
        <v>7.23</v>
      </c>
      <c r="C21" s="112">
        <v>6.1</v>
      </c>
      <c r="D21" s="112">
        <v>13.99</v>
      </c>
      <c r="E21" s="112">
        <v>11.73</v>
      </c>
      <c r="F21" s="112">
        <v>16.22</v>
      </c>
      <c r="G21" s="112">
        <v>51.97</v>
      </c>
      <c r="H21" s="112">
        <v>18.63</v>
      </c>
      <c r="I21" s="112">
        <v>5.64</v>
      </c>
      <c r="J21" s="112">
        <v>0.25</v>
      </c>
      <c r="K21" s="112">
        <v>197.01</v>
      </c>
      <c r="L21" s="112">
        <v>31.7</v>
      </c>
      <c r="M21" s="112">
        <v>62.06</v>
      </c>
      <c r="N21" s="112">
        <v>0</v>
      </c>
      <c r="O21" s="112">
        <v>0</v>
      </c>
      <c r="P21" s="112">
        <v>0.68</v>
      </c>
      <c r="Q21" s="112">
        <v>5.46</v>
      </c>
    </row>
    <row r="22" spans="1:17" customFormat="1">
      <c r="A22" s="80">
        <v>45438.145833333336</v>
      </c>
      <c r="B22" s="112">
        <v>7.23</v>
      </c>
      <c r="C22" s="112">
        <v>6.06</v>
      </c>
      <c r="D22" s="112">
        <v>13.97</v>
      </c>
      <c r="E22" s="112">
        <v>12.02</v>
      </c>
      <c r="F22" s="112">
        <v>24.25</v>
      </c>
      <c r="G22" s="112">
        <v>50.58</v>
      </c>
      <c r="H22" s="112">
        <v>21.52</v>
      </c>
      <c r="I22" s="112">
        <v>5.77</v>
      </c>
      <c r="J22" s="112">
        <v>0.16</v>
      </c>
      <c r="K22" s="112">
        <v>212.35</v>
      </c>
      <c r="L22" s="112">
        <v>31.22</v>
      </c>
      <c r="M22" s="112">
        <v>64.06</v>
      </c>
      <c r="N22" s="112">
        <v>0</v>
      </c>
      <c r="O22" s="112">
        <v>0</v>
      </c>
      <c r="P22" s="112">
        <v>0.67</v>
      </c>
      <c r="Q22" s="112">
        <v>5.58</v>
      </c>
    </row>
    <row r="23" spans="1:17" customFormat="1">
      <c r="A23" s="80">
        <v>45438.15625</v>
      </c>
      <c r="B23" s="112">
        <v>7.22</v>
      </c>
      <c r="C23" s="112">
        <v>6.09</v>
      </c>
      <c r="D23" s="112">
        <v>13.98</v>
      </c>
      <c r="E23" s="112">
        <v>13</v>
      </c>
      <c r="F23" s="112">
        <v>21.72</v>
      </c>
      <c r="G23" s="112">
        <v>50.28</v>
      </c>
      <c r="H23" s="112">
        <v>21.52</v>
      </c>
      <c r="I23" s="112">
        <v>5.84</v>
      </c>
      <c r="J23" s="112">
        <v>0.47</v>
      </c>
      <c r="K23" s="112">
        <v>258.79000000000002</v>
      </c>
      <c r="L23" s="112">
        <v>31.37</v>
      </c>
      <c r="M23" s="112">
        <v>62.3</v>
      </c>
      <c r="N23" s="112">
        <v>0</v>
      </c>
      <c r="O23" s="112">
        <v>0</v>
      </c>
      <c r="P23" s="112">
        <v>0.67</v>
      </c>
      <c r="Q23" s="112">
        <v>6.45</v>
      </c>
    </row>
    <row r="24" spans="1:17" customFormat="1">
      <c r="A24" s="80">
        <v>45438.166666666664</v>
      </c>
      <c r="B24" s="112">
        <v>7.23</v>
      </c>
      <c r="C24" s="112">
        <v>6.09</v>
      </c>
      <c r="D24" s="112">
        <v>13.99</v>
      </c>
      <c r="E24" s="112">
        <v>15.3</v>
      </c>
      <c r="F24" s="112">
        <v>17.350000000000001</v>
      </c>
      <c r="G24" s="112">
        <v>50.28</v>
      </c>
      <c r="H24" s="112">
        <v>21.52</v>
      </c>
      <c r="I24" s="112">
        <v>5.89</v>
      </c>
      <c r="J24" s="112">
        <v>0.76</v>
      </c>
      <c r="K24" s="112">
        <v>288.74</v>
      </c>
      <c r="L24" s="112">
        <v>31.93</v>
      </c>
      <c r="M24" s="112">
        <v>59.54</v>
      </c>
      <c r="N24" s="112">
        <v>0</v>
      </c>
      <c r="O24" s="112">
        <v>0</v>
      </c>
      <c r="P24" s="112">
        <v>0.64</v>
      </c>
      <c r="Q24" s="112">
        <v>6.99</v>
      </c>
    </row>
    <row r="25" spans="1:17" customFormat="1">
      <c r="A25" s="80">
        <v>45438.177083333336</v>
      </c>
      <c r="B25" s="112">
        <v>7.24</v>
      </c>
      <c r="C25" s="112">
        <v>6.09</v>
      </c>
      <c r="D25" s="112">
        <v>14</v>
      </c>
      <c r="E25" s="112">
        <v>16.05</v>
      </c>
      <c r="F25" s="112">
        <v>19.75</v>
      </c>
      <c r="G25" s="112">
        <v>50.28</v>
      </c>
      <c r="H25" s="112">
        <v>21.52</v>
      </c>
      <c r="I25" s="112">
        <v>5.98</v>
      </c>
      <c r="J25" s="112">
        <v>0.62</v>
      </c>
      <c r="K25" s="112">
        <v>316.20999999999998</v>
      </c>
      <c r="L25" s="112">
        <v>32.229999999999997</v>
      </c>
      <c r="M25" s="112">
        <v>58.51</v>
      </c>
      <c r="N25" s="112">
        <v>0</v>
      </c>
      <c r="O25" s="112">
        <v>0</v>
      </c>
      <c r="P25" s="112">
        <v>0.63</v>
      </c>
      <c r="Q25" s="112">
        <v>7.86</v>
      </c>
    </row>
    <row r="26" spans="1:17" customFormat="1">
      <c r="A26" s="80">
        <v>45438.1875</v>
      </c>
      <c r="B26" s="112">
        <v>7.23</v>
      </c>
      <c r="C26" s="112">
        <v>6.08</v>
      </c>
      <c r="D26" s="112">
        <v>13.98</v>
      </c>
      <c r="E26" s="112">
        <v>17.23</v>
      </c>
      <c r="F26" s="112">
        <v>15.03</v>
      </c>
      <c r="G26" s="112">
        <v>49.81</v>
      </c>
      <c r="H26" s="112">
        <v>22.45</v>
      </c>
      <c r="I26" s="112">
        <v>5.91</v>
      </c>
      <c r="J26" s="112">
        <v>0.46</v>
      </c>
      <c r="K26" s="112">
        <v>257.92</v>
      </c>
      <c r="L26" s="112">
        <v>32.049999999999997</v>
      </c>
      <c r="M26" s="112">
        <v>60.14</v>
      </c>
      <c r="N26" s="112">
        <v>0</v>
      </c>
      <c r="O26" s="112">
        <v>0</v>
      </c>
      <c r="P26" s="112">
        <v>0.63</v>
      </c>
      <c r="Q26" s="112">
        <v>7.87</v>
      </c>
    </row>
    <row r="27" spans="1:17" customFormat="1">
      <c r="A27" s="80">
        <v>45438.197916666664</v>
      </c>
      <c r="B27" s="112">
        <v>7.25</v>
      </c>
      <c r="C27" s="112">
        <v>6.04</v>
      </c>
      <c r="D27" s="112">
        <v>13.98</v>
      </c>
      <c r="E27" s="112">
        <v>19.7</v>
      </c>
      <c r="F27" s="112">
        <v>15.17</v>
      </c>
      <c r="G27" s="112">
        <v>49.7</v>
      </c>
      <c r="H27" s="112">
        <v>22.45</v>
      </c>
      <c r="I27" s="112">
        <v>6.15</v>
      </c>
      <c r="J27" s="112">
        <v>0.56000000000000005</v>
      </c>
      <c r="K27" s="112">
        <v>270.97000000000003</v>
      </c>
      <c r="L27" s="112">
        <v>31.94</v>
      </c>
      <c r="M27" s="112">
        <v>61.44</v>
      </c>
      <c r="N27" s="112">
        <v>0</v>
      </c>
      <c r="O27" s="112">
        <v>0</v>
      </c>
      <c r="P27" s="112">
        <v>0.66</v>
      </c>
      <c r="Q27" s="112">
        <v>8.91</v>
      </c>
    </row>
    <row r="28" spans="1:17" customFormat="1">
      <c r="A28" s="80">
        <v>45438.208333333336</v>
      </c>
      <c r="B28" s="112">
        <v>7.25</v>
      </c>
      <c r="C28" s="112">
        <v>6.05</v>
      </c>
      <c r="D28" s="112">
        <v>13.98</v>
      </c>
      <c r="E28" s="112">
        <v>18.89</v>
      </c>
      <c r="F28" s="112">
        <v>12.57</v>
      </c>
      <c r="G28" s="112">
        <v>49.7</v>
      </c>
      <c r="H28" s="112">
        <v>22.45</v>
      </c>
      <c r="I28" s="112">
        <v>7.25</v>
      </c>
      <c r="J28" s="112">
        <v>0.98</v>
      </c>
      <c r="K28" s="112">
        <v>290.23</v>
      </c>
      <c r="L28" s="112">
        <v>32.07</v>
      </c>
      <c r="M28" s="112">
        <v>62.16</v>
      </c>
      <c r="N28" s="112">
        <v>0</v>
      </c>
      <c r="O28" s="112">
        <v>0</v>
      </c>
      <c r="P28" s="112">
        <v>0.68</v>
      </c>
      <c r="Q28" s="112">
        <v>5.6</v>
      </c>
    </row>
    <row r="29" spans="1:17" customFormat="1">
      <c r="A29" s="80">
        <v>45438.21875</v>
      </c>
      <c r="B29" s="112">
        <v>7.25</v>
      </c>
      <c r="C29" s="112">
        <v>6.09</v>
      </c>
      <c r="D29" s="112">
        <v>14.01</v>
      </c>
      <c r="E29" s="112">
        <v>19.37</v>
      </c>
      <c r="F29" s="112">
        <v>13.72</v>
      </c>
      <c r="G29" s="112">
        <v>49.7</v>
      </c>
      <c r="H29" s="112">
        <v>22.45</v>
      </c>
      <c r="I29" s="112">
        <v>8.07</v>
      </c>
      <c r="J29" s="112">
        <v>0.84</v>
      </c>
      <c r="K29" s="112">
        <v>290.58999999999997</v>
      </c>
      <c r="L29" s="112">
        <v>32.01</v>
      </c>
      <c r="M29" s="112">
        <v>62.51</v>
      </c>
      <c r="N29" s="112">
        <v>0</v>
      </c>
      <c r="O29" s="112">
        <v>0</v>
      </c>
      <c r="P29" s="112">
        <v>0.68</v>
      </c>
      <c r="Q29" s="112">
        <v>6.72</v>
      </c>
    </row>
    <row r="30" spans="1:17" customFormat="1">
      <c r="A30" s="80">
        <v>45438.229166666664</v>
      </c>
      <c r="B30" s="112">
        <v>7.26</v>
      </c>
      <c r="C30" s="112">
        <v>6.08</v>
      </c>
      <c r="D30" s="112">
        <v>14.01</v>
      </c>
      <c r="E30" s="112">
        <v>18.16</v>
      </c>
      <c r="F30" s="112">
        <v>13.49</v>
      </c>
      <c r="G30" s="112">
        <v>55.03</v>
      </c>
      <c r="H30" s="112">
        <v>24.53</v>
      </c>
      <c r="I30" s="112">
        <v>8.1300000000000008</v>
      </c>
      <c r="J30" s="112">
        <v>0.85</v>
      </c>
      <c r="K30" s="112">
        <v>268.02999999999997</v>
      </c>
      <c r="L30" s="112">
        <v>31.84</v>
      </c>
      <c r="M30" s="112">
        <v>64.77</v>
      </c>
      <c r="N30" s="112">
        <v>4.5999999999999996</v>
      </c>
      <c r="O30" s="112">
        <v>0</v>
      </c>
      <c r="P30" s="112">
        <v>0.67</v>
      </c>
      <c r="Q30" s="112">
        <v>6.84</v>
      </c>
    </row>
    <row r="31" spans="1:17" customFormat="1">
      <c r="A31" s="80">
        <v>45438.239583333336</v>
      </c>
      <c r="B31" s="112">
        <v>7.26</v>
      </c>
      <c r="C31" s="112">
        <v>6.07</v>
      </c>
      <c r="D31" s="112">
        <v>14</v>
      </c>
      <c r="E31" s="112">
        <v>13.51</v>
      </c>
      <c r="F31" s="112">
        <v>13.85</v>
      </c>
      <c r="G31" s="112">
        <v>56.18</v>
      </c>
      <c r="H31" s="112">
        <v>24.53</v>
      </c>
      <c r="I31" s="112">
        <v>7.93</v>
      </c>
      <c r="J31" s="112">
        <v>0.65</v>
      </c>
      <c r="K31" s="112">
        <v>264.67</v>
      </c>
      <c r="L31" s="112">
        <v>31.83</v>
      </c>
      <c r="M31" s="112">
        <v>65.64</v>
      </c>
      <c r="N31" s="112">
        <v>17.600000000000001</v>
      </c>
      <c r="O31" s="112">
        <v>0</v>
      </c>
      <c r="P31" s="112">
        <v>0.67</v>
      </c>
      <c r="Q31" s="112">
        <v>5.68</v>
      </c>
    </row>
    <row r="32" spans="1:17" customFormat="1">
      <c r="A32" s="80">
        <v>45438.25</v>
      </c>
      <c r="B32" s="112">
        <v>7.26</v>
      </c>
      <c r="C32" s="112">
        <v>6.08</v>
      </c>
      <c r="D32" s="112">
        <v>14.01</v>
      </c>
      <c r="E32" s="112">
        <v>13.43</v>
      </c>
      <c r="F32" s="112">
        <v>10.93</v>
      </c>
      <c r="G32" s="112">
        <v>56.18</v>
      </c>
      <c r="H32" s="112">
        <v>24.53</v>
      </c>
      <c r="I32" s="112">
        <v>7.49</v>
      </c>
      <c r="J32" s="112">
        <v>0.45</v>
      </c>
      <c r="K32" s="112">
        <v>248.6</v>
      </c>
      <c r="L32" s="112">
        <v>31.94</v>
      </c>
      <c r="M32" s="112">
        <v>66.83</v>
      </c>
      <c r="N32" s="112">
        <v>34</v>
      </c>
      <c r="O32" s="112">
        <v>0</v>
      </c>
      <c r="P32" s="112">
        <v>0.72</v>
      </c>
      <c r="Q32" s="112">
        <v>5.21</v>
      </c>
    </row>
    <row r="33" spans="1:17" customFormat="1">
      <c r="A33" s="80">
        <v>45438.260416666664</v>
      </c>
      <c r="B33" s="112">
        <v>7.26</v>
      </c>
      <c r="C33" s="112">
        <v>6.11</v>
      </c>
      <c r="D33" s="112">
        <v>14.02</v>
      </c>
      <c r="E33" s="112">
        <v>13.26</v>
      </c>
      <c r="F33" s="112">
        <v>11.07</v>
      </c>
      <c r="G33" s="112">
        <v>56.18</v>
      </c>
      <c r="H33" s="112">
        <v>24.53</v>
      </c>
      <c r="I33" s="112">
        <v>7.19</v>
      </c>
      <c r="J33" s="112">
        <v>0.89</v>
      </c>
      <c r="K33" s="112">
        <v>278.70999999999998</v>
      </c>
      <c r="L33" s="112">
        <v>32.020000000000003</v>
      </c>
      <c r="M33" s="112">
        <v>66.86</v>
      </c>
      <c r="N33" s="112">
        <v>56</v>
      </c>
      <c r="O33" s="112">
        <v>0</v>
      </c>
      <c r="P33" s="112">
        <v>0.74</v>
      </c>
      <c r="Q33" s="112">
        <v>5.16</v>
      </c>
    </row>
    <row r="34" spans="1:17" customFormat="1">
      <c r="A34" s="80">
        <v>45438.270833333336</v>
      </c>
      <c r="B34" s="112">
        <v>7.28</v>
      </c>
      <c r="C34" s="112">
        <v>6.07</v>
      </c>
      <c r="D34" s="112">
        <v>14.02</v>
      </c>
      <c r="E34" s="112">
        <v>12.38</v>
      </c>
      <c r="F34" s="112">
        <v>10.82</v>
      </c>
      <c r="G34" s="112">
        <v>57.28</v>
      </c>
      <c r="H34" s="112">
        <v>23.91</v>
      </c>
      <c r="I34" s="112">
        <v>7.79</v>
      </c>
      <c r="J34" s="112">
        <v>0.7</v>
      </c>
      <c r="K34" s="112">
        <v>266.63</v>
      </c>
      <c r="L34" s="112">
        <v>32.31</v>
      </c>
      <c r="M34" s="112">
        <v>66.06</v>
      </c>
      <c r="N34" s="112">
        <v>80.900000000000006</v>
      </c>
      <c r="O34" s="112">
        <v>0</v>
      </c>
      <c r="P34" s="112">
        <v>0.77</v>
      </c>
      <c r="Q34" s="112">
        <v>8.92</v>
      </c>
    </row>
    <row r="35" spans="1:17" customFormat="1">
      <c r="A35" s="80">
        <v>45438.28125</v>
      </c>
      <c r="B35" s="112">
        <v>7.3</v>
      </c>
      <c r="C35" s="112">
        <v>6.07</v>
      </c>
      <c r="D35" s="112">
        <v>14.03</v>
      </c>
      <c r="E35" s="112">
        <v>11.86</v>
      </c>
      <c r="F35" s="112">
        <v>9.0500000000000007</v>
      </c>
      <c r="G35" s="112">
        <v>57.51</v>
      </c>
      <c r="H35" s="112">
        <v>23.91</v>
      </c>
      <c r="I35" s="112">
        <v>8.3000000000000007</v>
      </c>
      <c r="J35" s="112">
        <v>1.03</v>
      </c>
      <c r="K35" s="112">
        <v>268.95999999999998</v>
      </c>
      <c r="L35" s="112">
        <v>32.51</v>
      </c>
      <c r="M35" s="112">
        <v>65.569999999999993</v>
      </c>
      <c r="N35" s="112">
        <v>95.3</v>
      </c>
      <c r="O35" s="112">
        <v>0</v>
      </c>
      <c r="P35" s="112">
        <v>0.83</v>
      </c>
      <c r="Q35" s="112">
        <v>15.07</v>
      </c>
    </row>
    <row r="36" spans="1:17" customFormat="1">
      <c r="A36" s="80">
        <v>45438.291666666664</v>
      </c>
      <c r="B36" s="112">
        <v>7.28</v>
      </c>
      <c r="C36" s="112">
        <v>6.09</v>
      </c>
      <c r="D36" s="112">
        <v>14.03</v>
      </c>
      <c r="E36" s="112">
        <v>12.69</v>
      </c>
      <c r="F36" s="112">
        <v>10.83</v>
      </c>
      <c r="G36" s="112">
        <v>57.51</v>
      </c>
      <c r="H36" s="112">
        <v>23.91</v>
      </c>
      <c r="I36" s="112">
        <v>8.3699999999999992</v>
      </c>
      <c r="J36" s="112">
        <v>1.02</v>
      </c>
      <c r="K36" s="112">
        <v>292.08</v>
      </c>
      <c r="L36" s="112">
        <v>32.86</v>
      </c>
      <c r="M36" s="112">
        <v>63.27</v>
      </c>
      <c r="N36" s="112">
        <v>104.1</v>
      </c>
      <c r="O36" s="112">
        <v>0</v>
      </c>
      <c r="P36" s="112">
        <v>0.83</v>
      </c>
      <c r="Q36" s="112">
        <v>9.4499999999999993</v>
      </c>
    </row>
    <row r="37" spans="1:17" customFormat="1">
      <c r="A37" s="80">
        <v>45438.302083333336</v>
      </c>
      <c r="B37" s="112">
        <v>7.25</v>
      </c>
      <c r="C37" s="112">
        <v>6.1</v>
      </c>
      <c r="D37" s="112">
        <v>14.01</v>
      </c>
      <c r="E37" s="112">
        <v>11.7</v>
      </c>
      <c r="F37" s="112">
        <v>10.1</v>
      </c>
      <c r="G37" s="112">
        <v>57.51</v>
      </c>
      <c r="H37" s="112">
        <v>23.91</v>
      </c>
      <c r="I37" s="112">
        <v>8.5299999999999994</v>
      </c>
      <c r="J37" s="112">
        <v>1.38</v>
      </c>
      <c r="K37" s="112">
        <v>301.82</v>
      </c>
      <c r="L37" s="112">
        <v>33.1</v>
      </c>
      <c r="M37" s="112">
        <v>61.25</v>
      </c>
      <c r="N37" s="112">
        <v>110</v>
      </c>
      <c r="O37" s="112">
        <v>0</v>
      </c>
      <c r="P37" s="112">
        <v>0.77</v>
      </c>
      <c r="Q37" s="112">
        <v>7.74</v>
      </c>
    </row>
    <row r="38" spans="1:17" customFormat="1">
      <c r="A38" s="80">
        <v>45438.3125</v>
      </c>
      <c r="B38" s="112">
        <v>7.25</v>
      </c>
      <c r="C38" s="112">
        <v>6.08</v>
      </c>
      <c r="D38" s="112">
        <v>14</v>
      </c>
      <c r="E38" s="112">
        <v>12.08</v>
      </c>
      <c r="F38" s="112">
        <v>11.46</v>
      </c>
      <c r="G38" s="112">
        <v>55.87</v>
      </c>
      <c r="H38" s="112">
        <v>20.95</v>
      </c>
      <c r="I38" s="112">
        <v>8.3000000000000007</v>
      </c>
      <c r="J38" s="112">
        <v>1.64</v>
      </c>
      <c r="K38" s="112">
        <v>301.38</v>
      </c>
      <c r="L38" s="112">
        <v>33.409999999999997</v>
      </c>
      <c r="M38" s="112">
        <v>60.15</v>
      </c>
      <c r="N38" s="112">
        <v>118.8</v>
      </c>
      <c r="O38" s="112">
        <v>0</v>
      </c>
      <c r="P38" s="112">
        <v>0.76</v>
      </c>
      <c r="Q38" s="112">
        <v>7.04</v>
      </c>
    </row>
    <row r="39" spans="1:17" customFormat="1">
      <c r="A39" s="80">
        <v>45438.322916666664</v>
      </c>
      <c r="B39" s="112">
        <v>7.23</v>
      </c>
      <c r="C39" s="112">
        <v>6.08</v>
      </c>
      <c r="D39" s="112">
        <v>13.98</v>
      </c>
      <c r="E39" s="112">
        <v>10.71</v>
      </c>
      <c r="F39" s="112">
        <v>10.9</v>
      </c>
      <c r="G39" s="112">
        <v>55.51</v>
      </c>
      <c r="H39" s="112">
        <v>20.95</v>
      </c>
      <c r="I39" s="112">
        <v>8.1</v>
      </c>
      <c r="J39" s="112">
        <v>1.99</v>
      </c>
      <c r="K39" s="112">
        <v>306.01</v>
      </c>
      <c r="L39" s="112">
        <v>33.61</v>
      </c>
      <c r="M39" s="112">
        <v>59.01</v>
      </c>
      <c r="N39" s="112">
        <v>131.6</v>
      </c>
      <c r="O39" s="112">
        <v>0</v>
      </c>
      <c r="P39" s="112">
        <v>0.75</v>
      </c>
      <c r="Q39" s="112">
        <v>5.96</v>
      </c>
    </row>
    <row r="40" spans="1:17" customFormat="1">
      <c r="A40" s="80">
        <v>45438.333333333336</v>
      </c>
      <c r="B40" s="112">
        <v>7.22</v>
      </c>
      <c r="C40" s="112">
        <v>6.1</v>
      </c>
      <c r="D40" s="112">
        <v>13.98</v>
      </c>
      <c r="E40" s="112">
        <v>11.28</v>
      </c>
      <c r="F40" s="112">
        <v>10.44</v>
      </c>
      <c r="G40" s="112">
        <v>55.51</v>
      </c>
      <c r="H40" s="112">
        <v>20.95</v>
      </c>
      <c r="I40" s="112">
        <v>8.0299999999999994</v>
      </c>
      <c r="J40" s="112">
        <v>1.56</v>
      </c>
      <c r="K40" s="112">
        <v>299.41000000000003</v>
      </c>
      <c r="L40" s="112">
        <v>34.130000000000003</v>
      </c>
      <c r="M40" s="112">
        <v>56.71</v>
      </c>
      <c r="N40" s="112">
        <v>143.5</v>
      </c>
      <c r="O40" s="112">
        <v>0</v>
      </c>
      <c r="P40" s="112">
        <v>0.72</v>
      </c>
      <c r="Q40" s="112">
        <v>8.1199999999999992</v>
      </c>
    </row>
    <row r="41" spans="1:17" customFormat="1">
      <c r="A41" s="80">
        <v>45438.34375</v>
      </c>
      <c r="B41" s="112">
        <v>7.21</v>
      </c>
      <c r="C41" s="112">
        <v>6.12</v>
      </c>
      <c r="D41" s="112">
        <v>13.98</v>
      </c>
      <c r="E41" s="112">
        <v>11.19</v>
      </c>
      <c r="F41" s="112">
        <v>11.11</v>
      </c>
      <c r="G41" s="112">
        <v>55.51</v>
      </c>
      <c r="H41" s="112">
        <v>20.95</v>
      </c>
      <c r="I41" s="112">
        <v>7.76</v>
      </c>
      <c r="J41" s="112">
        <v>1.32</v>
      </c>
      <c r="K41" s="112">
        <v>291.42</v>
      </c>
      <c r="L41" s="112">
        <v>34.53</v>
      </c>
      <c r="M41" s="112">
        <v>55.57</v>
      </c>
      <c r="N41" s="112">
        <v>167.1</v>
      </c>
      <c r="O41" s="112">
        <v>0</v>
      </c>
      <c r="P41" s="112">
        <v>0.71</v>
      </c>
      <c r="Q41" s="112">
        <v>9.94</v>
      </c>
    </row>
    <row r="42" spans="1:17" customFormat="1">
      <c r="A42" s="80">
        <v>45438.354166666664</v>
      </c>
      <c r="B42" s="112">
        <v>7.21</v>
      </c>
      <c r="C42" s="112">
        <v>6.08</v>
      </c>
      <c r="D42" s="112">
        <v>13.97</v>
      </c>
      <c r="E42" s="112">
        <v>11.45</v>
      </c>
      <c r="F42" s="112">
        <v>12.03</v>
      </c>
      <c r="G42" s="112">
        <v>51.97</v>
      </c>
      <c r="H42" s="112">
        <v>18.239999999999998</v>
      </c>
      <c r="I42" s="112">
        <v>7.5</v>
      </c>
      <c r="J42" s="112">
        <v>0.96</v>
      </c>
      <c r="K42" s="112">
        <v>265.54000000000002</v>
      </c>
      <c r="L42" s="112">
        <v>34.909999999999997</v>
      </c>
      <c r="M42" s="112">
        <v>55.13</v>
      </c>
      <c r="N42" s="112">
        <v>178.2</v>
      </c>
      <c r="O42" s="112">
        <v>0</v>
      </c>
      <c r="P42" s="112">
        <v>0.7</v>
      </c>
      <c r="Q42" s="112">
        <v>7.08</v>
      </c>
    </row>
    <row r="43" spans="1:17" customFormat="1">
      <c r="A43" s="80">
        <v>45438.364583333336</v>
      </c>
      <c r="B43" s="112">
        <v>7.21</v>
      </c>
      <c r="C43" s="112">
        <v>6.09</v>
      </c>
      <c r="D43" s="112">
        <v>13.98</v>
      </c>
      <c r="E43" s="112">
        <v>12.66</v>
      </c>
      <c r="F43" s="112">
        <v>12.31</v>
      </c>
      <c r="G43" s="112">
        <v>51.2</v>
      </c>
      <c r="H43" s="112">
        <v>18.239999999999998</v>
      </c>
      <c r="I43" s="112">
        <v>7.31</v>
      </c>
      <c r="J43" s="112">
        <v>1.06</v>
      </c>
      <c r="K43" s="112">
        <v>269.27999999999997</v>
      </c>
      <c r="L43" s="112">
        <v>35.01</v>
      </c>
      <c r="M43" s="112">
        <v>53.82</v>
      </c>
      <c r="N43" s="112">
        <v>176.1</v>
      </c>
      <c r="O43" s="112">
        <v>0</v>
      </c>
      <c r="P43" s="112">
        <v>0.68</v>
      </c>
      <c r="Q43" s="112">
        <v>9.81</v>
      </c>
    </row>
    <row r="44" spans="1:17" customFormat="1">
      <c r="A44" s="80">
        <v>45438.375</v>
      </c>
      <c r="B44" s="112">
        <v>7.21</v>
      </c>
      <c r="C44" s="112">
        <v>6.11</v>
      </c>
      <c r="D44" s="112">
        <v>13.98</v>
      </c>
      <c r="E44" s="112">
        <v>12.36</v>
      </c>
      <c r="F44" s="112">
        <v>13.24</v>
      </c>
      <c r="G44" s="112">
        <v>51.2</v>
      </c>
      <c r="H44" s="112">
        <v>18.239999999999998</v>
      </c>
      <c r="I44" s="112">
        <v>7.14</v>
      </c>
      <c r="J44" s="112">
        <v>0.98</v>
      </c>
      <c r="K44" s="112">
        <v>270.33999999999997</v>
      </c>
      <c r="L44" s="112">
        <v>35.32</v>
      </c>
      <c r="M44" s="112">
        <v>53.32</v>
      </c>
      <c r="N44" s="112">
        <v>186.1</v>
      </c>
      <c r="O44" s="112">
        <v>0</v>
      </c>
      <c r="P44" s="112">
        <v>0.67</v>
      </c>
      <c r="Q44" s="112">
        <v>17.75</v>
      </c>
    </row>
    <row r="45" spans="1:17" customFormat="1">
      <c r="A45" s="80">
        <v>45438.385416666664</v>
      </c>
      <c r="B45" s="112">
        <v>7.19</v>
      </c>
      <c r="C45" s="112">
        <v>6.12</v>
      </c>
      <c r="D45" s="112">
        <v>13.97</v>
      </c>
      <c r="E45" s="112">
        <v>14</v>
      </c>
      <c r="F45" s="112">
        <v>21.03</v>
      </c>
      <c r="G45" s="112">
        <v>51.2</v>
      </c>
      <c r="H45" s="112">
        <v>18.239999999999998</v>
      </c>
      <c r="I45" s="112">
        <v>7.06</v>
      </c>
      <c r="J45" s="112">
        <v>1.1299999999999999</v>
      </c>
      <c r="K45" s="112">
        <v>294.99</v>
      </c>
      <c r="L45" s="112">
        <v>35.96</v>
      </c>
      <c r="M45" s="112">
        <v>50.95</v>
      </c>
      <c r="N45" s="112">
        <v>202.2</v>
      </c>
      <c r="O45" s="112">
        <v>0</v>
      </c>
      <c r="P45" s="112">
        <v>0.66</v>
      </c>
      <c r="Q45" s="112">
        <v>21.43</v>
      </c>
    </row>
    <row r="46" spans="1:17" customFormat="1">
      <c r="A46" s="80">
        <v>45438.395833333336</v>
      </c>
      <c r="B46" s="112">
        <v>7.18</v>
      </c>
      <c r="C46" s="112">
        <v>6.1</v>
      </c>
      <c r="D46" s="112">
        <v>13.95</v>
      </c>
      <c r="E46" s="112">
        <v>13.62</v>
      </c>
      <c r="F46" s="112">
        <v>14.51</v>
      </c>
      <c r="G46" s="112">
        <v>51.84</v>
      </c>
      <c r="H46" s="112">
        <v>19.71</v>
      </c>
      <c r="I46" s="112">
        <v>6.9</v>
      </c>
      <c r="J46" s="112">
        <v>1.35</v>
      </c>
      <c r="K46" s="112">
        <v>304.67</v>
      </c>
      <c r="L46" s="112">
        <v>36.53</v>
      </c>
      <c r="M46" s="112">
        <v>48.77</v>
      </c>
      <c r="N46" s="112">
        <v>227</v>
      </c>
      <c r="O46" s="112">
        <v>0</v>
      </c>
      <c r="P46" s="112">
        <v>0.67</v>
      </c>
      <c r="Q46" s="112">
        <v>9.56</v>
      </c>
    </row>
    <row r="47" spans="1:17" customFormat="1">
      <c r="A47" s="80">
        <v>45438.40625</v>
      </c>
      <c r="B47" s="112">
        <v>7.18</v>
      </c>
      <c r="C47" s="112">
        <v>6.08</v>
      </c>
      <c r="D47" s="112">
        <v>13.94</v>
      </c>
      <c r="E47" s="112">
        <v>14.88</v>
      </c>
      <c r="F47" s="112">
        <v>23.39</v>
      </c>
      <c r="G47" s="112">
        <v>51.98</v>
      </c>
      <c r="H47" s="112">
        <v>19.71</v>
      </c>
      <c r="I47" s="112">
        <v>6.82</v>
      </c>
      <c r="J47" s="112">
        <v>1.03</v>
      </c>
      <c r="K47" s="112">
        <v>295.16000000000003</v>
      </c>
      <c r="L47" s="112">
        <v>36.86</v>
      </c>
      <c r="M47" s="112">
        <v>48.51</v>
      </c>
      <c r="N47" s="112">
        <v>241.2</v>
      </c>
      <c r="O47" s="112">
        <v>0</v>
      </c>
      <c r="P47" s="112">
        <v>0.65</v>
      </c>
      <c r="Q47" s="112">
        <v>10.17</v>
      </c>
    </row>
    <row r="48" spans="1:17" customFormat="1">
      <c r="A48" s="80">
        <v>45438.416666666664</v>
      </c>
      <c r="B48" s="112">
        <v>7.17</v>
      </c>
      <c r="C48" s="112">
        <v>6.1</v>
      </c>
      <c r="D48" s="112">
        <v>13.95</v>
      </c>
      <c r="E48" s="112">
        <v>14.81</v>
      </c>
      <c r="F48" s="112">
        <v>21.32</v>
      </c>
      <c r="G48" s="112">
        <v>51.98</v>
      </c>
      <c r="H48" s="112">
        <v>19.71</v>
      </c>
      <c r="I48" s="112">
        <v>6.79</v>
      </c>
      <c r="J48" s="112">
        <v>1.01</v>
      </c>
      <c r="K48" s="112">
        <v>298.02</v>
      </c>
      <c r="L48" s="112">
        <v>37.409999999999997</v>
      </c>
      <c r="M48" s="112">
        <v>46.41</v>
      </c>
      <c r="N48" s="112">
        <v>230.2</v>
      </c>
      <c r="O48" s="112">
        <v>0</v>
      </c>
      <c r="P48" s="112">
        <v>0.63</v>
      </c>
      <c r="Q48" s="112">
        <v>14.82</v>
      </c>
    </row>
    <row r="49" spans="1:17" customFormat="1">
      <c r="A49" s="80">
        <v>45438.427083333336</v>
      </c>
      <c r="B49" s="112">
        <v>7.17</v>
      </c>
      <c r="C49" s="112">
        <v>6.07</v>
      </c>
      <c r="D49" s="112">
        <v>13.93</v>
      </c>
      <c r="E49" s="112">
        <v>10.33</v>
      </c>
      <c r="F49" s="112">
        <v>21.68</v>
      </c>
      <c r="G49" s="112">
        <v>51.98</v>
      </c>
      <c r="H49" s="112">
        <v>19.71</v>
      </c>
      <c r="I49" s="112">
        <v>6.62</v>
      </c>
      <c r="J49" s="112">
        <v>1.27</v>
      </c>
      <c r="K49" s="112">
        <v>306.23</v>
      </c>
      <c r="L49" s="112">
        <v>37.67</v>
      </c>
      <c r="M49" s="112">
        <v>46.91</v>
      </c>
      <c r="N49" s="112">
        <v>227.6</v>
      </c>
      <c r="O49" s="112">
        <v>0</v>
      </c>
      <c r="P49" s="112">
        <v>0.65</v>
      </c>
      <c r="Q49" s="112">
        <v>15.6</v>
      </c>
    </row>
    <row r="50" spans="1:17" customFormat="1">
      <c r="A50" s="80">
        <v>45438.4375</v>
      </c>
      <c r="B50" s="112">
        <v>7.17</v>
      </c>
      <c r="C50" s="112">
        <v>6.06</v>
      </c>
      <c r="D50" s="112">
        <v>13.92</v>
      </c>
      <c r="E50" s="112">
        <v>16.399999999999999</v>
      </c>
      <c r="F50" s="112">
        <v>34.21</v>
      </c>
      <c r="G50" s="112">
        <v>51.41</v>
      </c>
      <c r="H50" s="112">
        <v>22.42</v>
      </c>
      <c r="I50" s="112">
        <v>6.55</v>
      </c>
      <c r="J50" s="112">
        <v>1.24</v>
      </c>
      <c r="K50" s="112">
        <v>302.02</v>
      </c>
      <c r="L50" s="112">
        <v>37.9</v>
      </c>
      <c r="M50" s="112">
        <v>46.27</v>
      </c>
      <c r="N50" s="112">
        <v>235.4</v>
      </c>
      <c r="O50" s="112">
        <v>0</v>
      </c>
      <c r="P50" s="112">
        <v>0.65</v>
      </c>
      <c r="Q50" s="112">
        <v>19.62</v>
      </c>
    </row>
    <row r="51" spans="1:17" customFormat="1">
      <c r="A51" s="80">
        <v>45438.447916666664</v>
      </c>
      <c r="B51" s="112">
        <v>7.18</v>
      </c>
      <c r="C51" s="112">
        <v>6.09</v>
      </c>
      <c r="D51" s="112">
        <v>13.95</v>
      </c>
      <c r="E51" s="112">
        <v>19.64</v>
      </c>
      <c r="F51" s="112">
        <v>39.47</v>
      </c>
      <c r="G51" s="112">
        <v>51.29</v>
      </c>
      <c r="H51" s="112">
        <v>22.42</v>
      </c>
      <c r="I51" s="112">
        <v>6.44</v>
      </c>
      <c r="J51" s="112">
        <v>0.98</v>
      </c>
      <c r="K51" s="112">
        <v>308.39999999999998</v>
      </c>
      <c r="L51" s="112">
        <v>38.049999999999997</v>
      </c>
      <c r="M51" s="112">
        <v>45.96</v>
      </c>
      <c r="N51" s="112">
        <v>243</v>
      </c>
      <c r="O51" s="112">
        <v>0</v>
      </c>
      <c r="P51" s="112">
        <v>0.65</v>
      </c>
      <c r="Q51" s="112">
        <v>12.02</v>
      </c>
    </row>
    <row r="52" spans="1:17" customFormat="1">
      <c r="A52" s="80">
        <v>45438.458333333336</v>
      </c>
      <c r="B52" s="112">
        <v>7.2</v>
      </c>
      <c r="C52" s="112">
        <v>6.11</v>
      </c>
      <c r="D52" s="112">
        <v>13.98</v>
      </c>
      <c r="E52" s="112">
        <v>19.87</v>
      </c>
      <c r="F52" s="112">
        <v>38.89</v>
      </c>
      <c r="G52" s="112">
        <v>51.29</v>
      </c>
      <c r="H52" s="112">
        <v>22.42</v>
      </c>
      <c r="I52" s="112">
        <v>6.22</v>
      </c>
      <c r="J52" s="112">
        <v>1.17</v>
      </c>
      <c r="K52" s="112">
        <v>299.68</v>
      </c>
      <c r="L52" s="112">
        <v>38.44</v>
      </c>
      <c r="M52" s="112">
        <v>44.76</v>
      </c>
      <c r="N52" s="112">
        <v>262</v>
      </c>
      <c r="O52" s="112">
        <v>0</v>
      </c>
      <c r="P52" s="112">
        <v>0.65</v>
      </c>
      <c r="Q52" s="112">
        <v>8.41</v>
      </c>
    </row>
    <row r="53" spans="1:17" customFormat="1">
      <c r="A53" s="80">
        <v>45438.46875</v>
      </c>
      <c r="B53" s="112">
        <v>7.26</v>
      </c>
      <c r="C53" s="112">
        <v>6.1</v>
      </c>
      <c r="D53" s="112">
        <v>14.02</v>
      </c>
      <c r="E53" s="112">
        <v>18.27</v>
      </c>
      <c r="F53" s="112">
        <v>34.69</v>
      </c>
      <c r="G53" s="112">
        <v>51.29</v>
      </c>
      <c r="H53" s="112">
        <v>22.42</v>
      </c>
      <c r="I53" s="112">
        <v>6.02</v>
      </c>
      <c r="J53" s="112">
        <v>1.46</v>
      </c>
      <c r="K53" s="112">
        <v>308.35000000000002</v>
      </c>
      <c r="L53" s="112">
        <v>38.68</v>
      </c>
      <c r="M53" s="112">
        <v>43.43</v>
      </c>
      <c r="N53" s="112">
        <v>280.89999999999998</v>
      </c>
      <c r="O53" s="112">
        <v>0</v>
      </c>
      <c r="P53" s="112">
        <v>0.65</v>
      </c>
      <c r="Q53" s="112">
        <v>6.53</v>
      </c>
    </row>
    <row r="54" spans="1:17" customFormat="1">
      <c r="A54" s="80">
        <v>45438.479166666664</v>
      </c>
      <c r="B54" s="112">
        <v>7.26</v>
      </c>
      <c r="C54" s="112">
        <v>6.1</v>
      </c>
      <c r="D54" s="112">
        <v>14.02</v>
      </c>
      <c r="E54" s="112">
        <v>18.850000000000001</v>
      </c>
      <c r="F54" s="112">
        <v>39.03</v>
      </c>
      <c r="G54" s="112">
        <v>50.99</v>
      </c>
      <c r="H54" s="112">
        <v>21.66</v>
      </c>
      <c r="I54" s="112">
        <v>6.07</v>
      </c>
      <c r="J54" s="112">
        <v>1.1399999999999999</v>
      </c>
      <c r="K54" s="112">
        <v>280.45999999999998</v>
      </c>
      <c r="L54" s="112">
        <v>39.11</v>
      </c>
      <c r="M54" s="112">
        <v>41.58</v>
      </c>
      <c r="N54" s="112">
        <v>377.4</v>
      </c>
      <c r="O54" s="112">
        <v>0</v>
      </c>
      <c r="P54" s="112">
        <v>0.65</v>
      </c>
      <c r="Q54" s="112">
        <v>5.52</v>
      </c>
    </row>
    <row r="55" spans="1:17" customFormat="1">
      <c r="A55" s="80">
        <v>45438.489583333336</v>
      </c>
      <c r="B55" s="112">
        <v>7.26</v>
      </c>
      <c r="C55" s="112">
        <v>6.11</v>
      </c>
      <c r="D55" s="112">
        <v>14.02</v>
      </c>
      <c r="E55" s="112">
        <v>17.93</v>
      </c>
      <c r="F55" s="112">
        <v>42.68</v>
      </c>
      <c r="G55" s="112">
        <v>50.93</v>
      </c>
      <c r="H55" s="112">
        <v>21.66</v>
      </c>
      <c r="I55" s="112">
        <v>5.88</v>
      </c>
      <c r="J55" s="112">
        <v>1.29</v>
      </c>
      <c r="K55" s="112">
        <v>305.49</v>
      </c>
      <c r="L55" s="112">
        <v>39.21</v>
      </c>
      <c r="M55" s="112">
        <v>39.43</v>
      </c>
      <c r="N55" s="112">
        <v>329.3</v>
      </c>
      <c r="O55" s="112">
        <v>0</v>
      </c>
      <c r="P55" s="112">
        <v>0.64</v>
      </c>
      <c r="Q55" s="112">
        <v>5.0999999999999996</v>
      </c>
    </row>
    <row r="56" spans="1:17" customFormat="1">
      <c r="A56" s="80">
        <v>45438.5</v>
      </c>
      <c r="B56" s="112">
        <v>7.26</v>
      </c>
      <c r="C56" s="112">
        <v>6.08</v>
      </c>
      <c r="D56" s="112">
        <v>14.01</v>
      </c>
      <c r="E56" s="112">
        <v>18.75</v>
      </c>
      <c r="F56" s="112">
        <v>40.49</v>
      </c>
      <c r="G56" s="112">
        <v>50.93</v>
      </c>
      <c r="H56" s="112">
        <v>21.66</v>
      </c>
      <c r="I56" s="112">
        <v>5.83</v>
      </c>
      <c r="J56" s="112">
        <v>1.47</v>
      </c>
      <c r="K56" s="112">
        <v>315.05</v>
      </c>
      <c r="L56" s="112">
        <v>39.49</v>
      </c>
      <c r="M56" s="112">
        <v>37.01</v>
      </c>
      <c r="N56" s="112">
        <v>490.9</v>
      </c>
      <c r="O56" s="112">
        <v>0</v>
      </c>
      <c r="P56" s="112">
        <v>0.65</v>
      </c>
      <c r="Q56" s="112">
        <v>5</v>
      </c>
    </row>
    <row r="57" spans="1:17" customFormat="1">
      <c r="A57" s="80">
        <v>45438.510416666664</v>
      </c>
      <c r="B57" s="112">
        <v>7.28</v>
      </c>
      <c r="C57" s="112">
        <v>6.08</v>
      </c>
      <c r="D57" s="112">
        <v>14.02</v>
      </c>
      <c r="E57" s="112">
        <v>18.86</v>
      </c>
      <c r="F57" s="112">
        <v>43.68</v>
      </c>
      <c r="G57" s="112">
        <v>50.93</v>
      </c>
      <c r="H57" s="112">
        <v>21.66</v>
      </c>
      <c r="I57" s="112">
        <v>5.76</v>
      </c>
      <c r="J57" s="112">
        <v>0.92</v>
      </c>
      <c r="K57" s="112">
        <v>356.28</v>
      </c>
      <c r="L57" s="112">
        <v>39.31</v>
      </c>
      <c r="M57" s="112">
        <v>36.79</v>
      </c>
      <c r="N57" s="112">
        <v>164.2</v>
      </c>
      <c r="O57" s="112">
        <v>0</v>
      </c>
      <c r="P57" s="112">
        <v>0.66</v>
      </c>
      <c r="Q57" s="112">
        <v>5</v>
      </c>
    </row>
    <row r="58" spans="1:17" customFormat="1">
      <c r="A58" s="80">
        <v>45438.520833333336</v>
      </c>
      <c r="B58" s="112">
        <v>7.28</v>
      </c>
      <c r="C58" s="112">
        <v>6.07</v>
      </c>
      <c r="D58" s="112">
        <v>14.02</v>
      </c>
      <c r="E58" s="112">
        <v>22.13</v>
      </c>
      <c r="F58" s="112">
        <v>68.239999999999995</v>
      </c>
      <c r="G58" s="112">
        <v>54.06</v>
      </c>
      <c r="H58" s="112">
        <v>23.73</v>
      </c>
      <c r="I58" s="112">
        <v>5.6</v>
      </c>
      <c r="J58" s="112">
        <v>0.64</v>
      </c>
      <c r="K58" s="112">
        <v>16.010000000000002</v>
      </c>
      <c r="L58" s="112">
        <v>39.409999999999997</v>
      </c>
      <c r="M58" s="112">
        <v>36.69</v>
      </c>
      <c r="N58" s="112">
        <v>349.9</v>
      </c>
      <c r="O58" s="112">
        <v>0</v>
      </c>
      <c r="P58" s="112">
        <v>0.65</v>
      </c>
      <c r="Q58" s="112">
        <v>4.9800000000000004</v>
      </c>
    </row>
    <row r="59" spans="1:17" customFormat="1">
      <c r="A59" s="80">
        <v>45438.53125</v>
      </c>
      <c r="B59" s="112">
        <v>7.26</v>
      </c>
      <c r="C59" s="112">
        <v>6.07</v>
      </c>
      <c r="D59" s="112">
        <v>14.01</v>
      </c>
      <c r="E59" s="112">
        <v>19.52</v>
      </c>
      <c r="F59" s="112">
        <v>47.33</v>
      </c>
      <c r="G59" s="112">
        <v>54.74</v>
      </c>
      <c r="H59" s="112">
        <v>23.73</v>
      </c>
      <c r="I59" s="112">
        <v>5.36</v>
      </c>
      <c r="J59" s="112">
        <v>1.68</v>
      </c>
      <c r="K59" s="112">
        <v>40.36</v>
      </c>
      <c r="L59" s="112">
        <v>40.700000000000003</v>
      </c>
      <c r="M59" s="112">
        <v>28.53</v>
      </c>
      <c r="N59" s="112">
        <v>659.4</v>
      </c>
      <c r="O59" s="112">
        <v>0</v>
      </c>
      <c r="P59" s="112">
        <v>0.63</v>
      </c>
      <c r="Q59" s="112">
        <v>4.9800000000000004</v>
      </c>
    </row>
    <row r="60" spans="1:17" customFormat="1">
      <c r="A60" s="80">
        <v>45438.541666666664</v>
      </c>
      <c r="B60" s="112">
        <v>7.24</v>
      </c>
      <c r="C60" s="112">
        <v>6.1</v>
      </c>
      <c r="D60" s="112">
        <v>14</v>
      </c>
      <c r="E60" s="112">
        <v>15.21</v>
      </c>
      <c r="F60" s="112">
        <v>44.91</v>
      </c>
      <c r="G60" s="112">
        <v>54.74</v>
      </c>
      <c r="H60" s="112">
        <v>23.73</v>
      </c>
      <c r="I60" s="112">
        <v>5.1100000000000003</v>
      </c>
      <c r="J60" s="112">
        <v>2.11</v>
      </c>
      <c r="K60" s="112">
        <v>45.66</v>
      </c>
      <c r="L60" s="112">
        <v>41.09</v>
      </c>
      <c r="M60" s="112">
        <v>26.84</v>
      </c>
      <c r="N60" s="112">
        <v>657.7</v>
      </c>
      <c r="O60" s="112">
        <v>0</v>
      </c>
      <c r="P60" s="112">
        <v>0.62</v>
      </c>
      <c r="Q60" s="112">
        <v>4.97</v>
      </c>
    </row>
    <row r="61" spans="1:17" customFormat="1">
      <c r="A61" s="80">
        <v>45438.552083333336</v>
      </c>
      <c r="B61" s="112">
        <v>7.24</v>
      </c>
      <c r="C61" s="112">
        <v>6.07</v>
      </c>
      <c r="D61" s="112">
        <v>13.98</v>
      </c>
      <c r="E61" s="112">
        <v>13.47</v>
      </c>
      <c r="F61" s="112">
        <v>45.25</v>
      </c>
      <c r="G61" s="112">
        <v>54.74</v>
      </c>
      <c r="H61" s="112">
        <v>23.73</v>
      </c>
      <c r="I61" s="112">
        <v>5.05</v>
      </c>
      <c r="J61" s="112">
        <v>2.2799999999999998</v>
      </c>
      <c r="K61" s="112">
        <v>40.130000000000003</v>
      </c>
      <c r="L61" s="112">
        <v>41.45</v>
      </c>
      <c r="M61" s="112">
        <v>24.4</v>
      </c>
      <c r="N61" s="112">
        <v>679.2</v>
      </c>
      <c r="O61" s="112">
        <v>0</v>
      </c>
      <c r="P61" s="112">
        <v>0.61</v>
      </c>
      <c r="Q61" s="112">
        <v>4.96</v>
      </c>
    </row>
    <row r="62" spans="1:17" customFormat="1">
      <c r="A62" s="80">
        <v>45438.5625</v>
      </c>
      <c r="B62" s="112">
        <v>7.24</v>
      </c>
      <c r="C62" s="112">
        <v>6.05</v>
      </c>
      <c r="D62" s="112">
        <v>13.98</v>
      </c>
      <c r="E62" s="112">
        <v>14.51</v>
      </c>
      <c r="F62" s="112">
        <v>44.62</v>
      </c>
      <c r="G62" s="112">
        <v>51.14</v>
      </c>
      <c r="H62" s="112">
        <v>23.61</v>
      </c>
      <c r="I62" s="112">
        <v>5.15</v>
      </c>
      <c r="J62" s="112">
        <v>2.27</v>
      </c>
      <c r="K62" s="112">
        <v>43.59</v>
      </c>
      <c r="L62" s="112">
        <v>41.84</v>
      </c>
      <c r="M62" s="112">
        <v>24.71</v>
      </c>
      <c r="N62" s="112">
        <v>485.5</v>
      </c>
      <c r="O62" s="112">
        <v>0</v>
      </c>
      <c r="P62" s="112">
        <v>0.61</v>
      </c>
      <c r="Q62" s="112">
        <v>4.96</v>
      </c>
    </row>
    <row r="63" spans="1:17" customFormat="1">
      <c r="A63" s="80">
        <v>45438.572916666664</v>
      </c>
      <c r="B63" s="112">
        <v>7.24</v>
      </c>
      <c r="C63" s="112">
        <v>6.06</v>
      </c>
      <c r="D63" s="112">
        <v>13.98</v>
      </c>
      <c r="E63" s="112">
        <v>14.84</v>
      </c>
      <c r="F63" s="112">
        <v>43.46</v>
      </c>
      <c r="G63" s="112">
        <v>50.36</v>
      </c>
      <c r="H63" s="112">
        <v>23.61</v>
      </c>
      <c r="I63" s="112">
        <v>5.12</v>
      </c>
      <c r="J63" s="112">
        <v>2.21</v>
      </c>
      <c r="K63" s="112">
        <v>38.21</v>
      </c>
      <c r="L63" s="112">
        <v>41.5</v>
      </c>
      <c r="M63" s="112">
        <v>25.46</v>
      </c>
      <c r="N63" s="112">
        <v>291.10000000000002</v>
      </c>
      <c r="O63" s="112">
        <v>0</v>
      </c>
      <c r="P63" s="112">
        <v>0.61</v>
      </c>
      <c r="Q63" s="112">
        <v>4.95</v>
      </c>
    </row>
    <row r="64" spans="1:17" customFormat="1">
      <c r="A64" s="80">
        <v>45438.583333333336</v>
      </c>
      <c r="B64" s="112">
        <v>7.26</v>
      </c>
      <c r="C64" s="112">
        <v>6.11</v>
      </c>
      <c r="D64" s="112">
        <v>14.02</v>
      </c>
      <c r="E64" s="112">
        <v>16.86</v>
      </c>
      <c r="F64" s="112">
        <v>48.29</v>
      </c>
      <c r="G64" s="112">
        <v>50.36</v>
      </c>
      <c r="H64" s="112">
        <v>23.61</v>
      </c>
      <c r="I64" s="112">
        <v>5.15</v>
      </c>
      <c r="J64" s="112">
        <v>1.56</v>
      </c>
      <c r="K64" s="112">
        <v>20.420000000000002</v>
      </c>
      <c r="L64" s="112">
        <v>41.93</v>
      </c>
      <c r="M64" s="112">
        <v>24.6</v>
      </c>
      <c r="N64" s="112">
        <v>582.70000000000005</v>
      </c>
      <c r="O64" s="112">
        <v>0</v>
      </c>
      <c r="P64" s="112">
        <v>0.61</v>
      </c>
      <c r="Q64" s="112">
        <v>4.9400000000000004</v>
      </c>
    </row>
    <row r="65" spans="1:17" customFormat="1">
      <c r="A65" s="80">
        <v>45438.59375</v>
      </c>
      <c r="B65" s="112">
        <v>7.28</v>
      </c>
      <c r="C65" s="112">
        <v>6.06</v>
      </c>
      <c r="D65" s="112">
        <v>14.01</v>
      </c>
      <c r="E65" s="112">
        <v>15.12</v>
      </c>
      <c r="F65" s="112">
        <v>43.32</v>
      </c>
      <c r="G65" s="112">
        <v>50.36</v>
      </c>
      <c r="H65" s="112">
        <v>23.61</v>
      </c>
      <c r="I65" s="112">
        <v>5.22</v>
      </c>
      <c r="J65" s="112">
        <v>1.69</v>
      </c>
      <c r="K65" s="112">
        <v>44.22</v>
      </c>
      <c r="L65" s="112">
        <v>42.26</v>
      </c>
      <c r="M65" s="112">
        <v>23.91</v>
      </c>
      <c r="N65" s="112">
        <v>513.29999999999995</v>
      </c>
      <c r="O65" s="112">
        <v>0</v>
      </c>
      <c r="P65" s="112">
        <v>0.54</v>
      </c>
      <c r="Q65" s="112">
        <v>4.9800000000000004</v>
      </c>
    </row>
    <row r="66" spans="1:17" customFormat="1">
      <c r="A66" s="80">
        <v>45438.604166666664</v>
      </c>
      <c r="B66" s="112">
        <v>7.29</v>
      </c>
      <c r="C66" s="112">
        <v>6.07</v>
      </c>
      <c r="D66" s="112">
        <v>14.02</v>
      </c>
      <c r="E66" s="112">
        <v>14.27</v>
      </c>
      <c r="F66" s="112">
        <v>37.15</v>
      </c>
      <c r="G66" s="112">
        <v>49.36</v>
      </c>
      <c r="H66" s="112">
        <v>22.28</v>
      </c>
      <c r="I66" s="112">
        <v>5.13</v>
      </c>
      <c r="J66" s="112">
        <v>1.99</v>
      </c>
      <c r="K66" s="112">
        <v>45.53</v>
      </c>
      <c r="L66" s="112">
        <v>42.21</v>
      </c>
      <c r="M66" s="112">
        <v>23.24</v>
      </c>
      <c r="N66" s="112">
        <v>548.9</v>
      </c>
      <c r="O66" s="112">
        <v>0</v>
      </c>
      <c r="P66" s="112">
        <v>0.56999999999999995</v>
      </c>
      <c r="Q66" s="112">
        <v>4.99</v>
      </c>
    </row>
    <row r="67" spans="1:17" customFormat="1">
      <c r="A67" s="80">
        <v>45438.614583333336</v>
      </c>
      <c r="B67" s="112">
        <v>7.26</v>
      </c>
      <c r="C67" s="112">
        <v>6.08</v>
      </c>
      <c r="D67" s="112">
        <v>14.01</v>
      </c>
      <c r="E67" s="112">
        <v>14.33</v>
      </c>
      <c r="F67" s="112">
        <v>42.36</v>
      </c>
      <c r="G67" s="112">
        <v>49.14</v>
      </c>
      <c r="H67" s="112">
        <v>22.28</v>
      </c>
      <c r="I67" s="112">
        <v>5.17</v>
      </c>
      <c r="J67" s="112">
        <v>1.64</v>
      </c>
      <c r="K67" s="112">
        <v>40.11</v>
      </c>
      <c r="L67" s="112">
        <v>42.4</v>
      </c>
      <c r="M67" s="112">
        <v>22.98</v>
      </c>
      <c r="N67" s="112">
        <v>487.5</v>
      </c>
      <c r="O67" s="112">
        <v>0</v>
      </c>
      <c r="P67" s="112">
        <v>0.55000000000000004</v>
      </c>
      <c r="Q67" s="112">
        <v>4.96</v>
      </c>
    </row>
    <row r="68" spans="1:17" customFormat="1">
      <c r="A68" s="80">
        <v>45438.625</v>
      </c>
      <c r="B68" s="112">
        <v>7.21</v>
      </c>
      <c r="C68" s="112">
        <v>6.05</v>
      </c>
      <c r="D68" s="112">
        <v>13.95</v>
      </c>
      <c r="E68" s="112">
        <v>14.3</v>
      </c>
      <c r="F68" s="112">
        <v>31.78</v>
      </c>
      <c r="G68" s="112">
        <v>49.14</v>
      </c>
      <c r="H68" s="112">
        <v>22.28</v>
      </c>
      <c r="I68" s="112">
        <v>5.26</v>
      </c>
      <c r="J68" s="112">
        <v>1.52</v>
      </c>
      <c r="K68" s="112">
        <v>25.94</v>
      </c>
      <c r="L68" s="112">
        <v>42.25</v>
      </c>
      <c r="M68" s="112">
        <v>31.24</v>
      </c>
      <c r="N68" s="112">
        <v>417.7</v>
      </c>
      <c r="O68" s="112">
        <v>0</v>
      </c>
      <c r="P68" s="112">
        <v>0.56999999999999995</v>
      </c>
      <c r="Q68" s="112">
        <v>5.01</v>
      </c>
    </row>
    <row r="69" spans="1:17" customFormat="1">
      <c r="A69" s="80">
        <v>45438.635416666664</v>
      </c>
      <c r="B69" s="112">
        <v>7.21</v>
      </c>
      <c r="C69" s="112">
        <v>6.08</v>
      </c>
      <c r="D69" s="112">
        <v>13.97</v>
      </c>
      <c r="E69" s="112">
        <v>13.1</v>
      </c>
      <c r="F69" s="112">
        <v>24.46</v>
      </c>
      <c r="G69" s="112">
        <v>49.14</v>
      </c>
      <c r="H69" s="112">
        <v>22.28</v>
      </c>
      <c r="I69" s="112">
        <v>5.24</v>
      </c>
      <c r="J69" s="112">
        <v>0.97</v>
      </c>
      <c r="K69" s="112">
        <v>357.06</v>
      </c>
      <c r="L69" s="112">
        <v>41.65</v>
      </c>
      <c r="M69" s="112">
        <v>37.619999999999997</v>
      </c>
      <c r="N69" s="112">
        <v>197</v>
      </c>
      <c r="O69" s="112">
        <v>0</v>
      </c>
      <c r="P69" s="112">
        <v>0.56000000000000005</v>
      </c>
      <c r="Q69" s="112">
        <v>5.01</v>
      </c>
    </row>
    <row r="70" spans="1:17" customFormat="1">
      <c r="A70" s="80">
        <v>45438.645833333336</v>
      </c>
      <c r="B70" s="112">
        <v>7.28</v>
      </c>
      <c r="C70" s="112">
        <v>6.1</v>
      </c>
      <c r="D70" s="112">
        <v>14.03</v>
      </c>
      <c r="E70" s="112">
        <v>12.69</v>
      </c>
      <c r="F70" s="112">
        <v>29.06</v>
      </c>
      <c r="G70" s="112">
        <v>48.13</v>
      </c>
      <c r="H70" s="112">
        <v>24.13</v>
      </c>
      <c r="I70" s="112">
        <v>5.51</v>
      </c>
      <c r="J70" s="112">
        <v>1.39</v>
      </c>
      <c r="K70" s="112">
        <v>310.54000000000002</v>
      </c>
      <c r="L70" s="112">
        <v>40.409999999999997</v>
      </c>
      <c r="M70" s="112">
        <v>41.26</v>
      </c>
      <c r="N70" s="112">
        <v>114.4</v>
      </c>
      <c r="O70" s="112">
        <v>0</v>
      </c>
      <c r="P70" s="112">
        <v>0.5</v>
      </c>
      <c r="Q70" s="112">
        <v>5.16</v>
      </c>
    </row>
    <row r="71" spans="1:17" customFormat="1">
      <c r="A71" s="80">
        <v>45438.65625</v>
      </c>
      <c r="B71" s="112">
        <v>7.33</v>
      </c>
      <c r="C71" s="112">
        <v>6.06</v>
      </c>
      <c r="D71" s="112">
        <v>14.05</v>
      </c>
      <c r="E71" s="112">
        <v>13.29</v>
      </c>
      <c r="F71" s="112">
        <v>35.25</v>
      </c>
      <c r="G71" s="112">
        <v>47.91</v>
      </c>
      <c r="H71" s="112">
        <v>24.13</v>
      </c>
      <c r="I71" s="112">
        <v>5.41</v>
      </c>
      <c r="J71" s="112">
        <v>0.94</v>
      </c>
      <c r="K71" s="112">
        <v>319.64999999999998</v>
      </c>
      <c r="L71" s="112">
        <v>39.950000000000003</v>
      </c>
      <c r="M71" s="112">
        <v>36.9</v>
      </c>
      <c r="N71" s="112">
        <v>107.7</v>
      </c>
      <c r="O71" s="112">
        <v>0</v>
      </c>
      <c r="P71" s="112">
        <v>0.48</v>
      </c>
      <c r="Q71" s="112">
        <v>5.15</v>
      </c>
    </row>
    <row r="72" spans="1:17" customFormat="1">
      <c r="A72" s="80">
        <v>45438.666666666664</v>
      </c>
      <c r="B72" s="112">
        <v>7.36</v>
      </c>
      <c r="C72" s="112">
        <v>6.1</v>
      </c>
      <c r="D72" s="112">
        <v>14.1</v>
      </c>
      <c r="E72" s="112">
        <v>14.12</v>
      </c>
      <c r="F72" s="112">
        <v>43.77</v>
      </c>
      <c r="G72" s="112">
        <v>47.91</v>
      </c>
      <c r="H72" s="112">
        <v>24.13</v>
      </c>
      <c r="I72" s="112">
        <v>5.09</v>
      </c>
      <c r="J72" s="112">
        <v>0.65</v>
      </c>
      <c r="K72" s="112">
        <v>328.44</v>
      </c>
      <c r="L72" s="112">
        <v>40.17</v>
      </c>
      <c r="M72" s="112">
        <v>30.26</v>
      </c>
      <c r="N72" s="112">
        <v>161.1</v>
      </c>
      <c r="O72" s="112">
        <v>0</v>
      </c>
      <c r="P72" s="112">
        <v>0.45</v>
      </c>
      <c r="Q72" s="112">
        <v>5.07</v>
      </c>
    </row>
    <row r="73" spans="1:17" customFormat="1">
      <c r="A73" s="80">
        <v>45438.677083333336</v>
      </c>
      <c r="B73" s="112">
        <v>7.35</v>
      </c>
      <c r="C73" s="112">
        <v>6.05</v>
      </c>
      <c r="D73" s="112">
        <v>14.07</v>
      </c>
      <c r="E73" s="112">
        <v>15.13</v>
      </c>
      <c r="F73" s="112">
        <v>48.59</v>
      </c>
      <c r="G73" s="112">
        <v>47.91</v>
      </c>
      <c r="H73" s="112">
        <v>24.13</v>
      </c>
      <c r="I73" s="112">
        <v>4.74</v>
      </c>
      <c r="J73" s="112">
        <v>0.56999999999999995</v>
      </c>
      <c r="K73" s="112">
        <v>7.13</v>
      </c>
      <c r="L73" s="112">
        <v>40.619999999999997</v>
      </c>
      <c r="M73" s="112">
        <v>29.65</v>
      </c>
      <c r="N73" s="112">
        <v>173.2</v>
      </c>
      <c r="O73" s="112">
        <v>0</v>
      </c>
      <c r="P73" s="112">
        <v>0.46</v>
      </c>
      <c r="Q73" s="112">
        <v>5.05</v>
      </c>
    </row>
    <row r="74" spans="1:17" customFormat="1">
      <c r="A74" s="80">
        <v>45438.6875</v>
      </c>
      <c r="B74" s="112">
        <v>7.3</v>
      </c>
      <c r="C74" s="112">
        <v>6.02</v>
      </c>
      <c r="D74" s="112">
        <v>14.01</v>
      </c>
      <c r="E74" s="112">
        <v>22.65</v>
      </c>
      <c r="F74" s="112">
        <v>33.96</v>
      </c>
      <c r="G74" s="112">
        <v>50.26</v>
      </c>
      <c r="H74" s="112">
        <v>20.76</v>
      </c>
      <c r="I74" s="112">
        <v>4.45</v>
      </c>
      <c r="J74" s="112">
        <v>0.77</v>
      </c>
      <c r="K74" s="112">
        <v>22.59</v>
      </c>
      <c r="L74" s="112">
        <v>40.619999999999997</v>
      </c>
      <c r="M74" s="112">
        <v>30.2</v>
      </c>
      <c r="N74" s="112">
        <v>142.1</v>
      </c>
      <c r="O74" s="112">
        <v>0</v>
      </c>
      <c r="P74" s="112">
        <v>0.49</v>
      </c>
      <c r="Q74" s="112">
        <v>5.18</v>
      </c>
    </row>
    <row r="75" spans="1:17" customFormat="1">
      <c r="A75" s="80">
        <v>45438.697916666664</v>
      </c>
      <c r="B75" s="112">
        <v>7.24</v>
      </c>
      <c r="C75" s="112">
        <v>6.07</v>
      </c>
      <c r="D75" s="112">
        <v>13.99</v>
      </c>
      <c r="E75" s="112">
        <v>36.369999999999997</v>
      </c>
      <c r="F75" s="112">
        <v>41.91</v>
      </c>
      <c r="G75" s="112">
        <v>50.77</v>
      </c>
      <c r="H75" s="112">
        <v>20.76</v>
      </c>
      <c r="I75" s="112">
        <v>4.33</v>
      </c>
      <c r="J75" s="112">
        <v>0.76</v>
      </c>
      <c r="K75" s="112">
        <v>40.869999999999997</v>
      </c>
      <c r="L75" s="112">
        <v>40.450000000000003</v>
      </c>
      <c r="M75" s="112">
        <v>29.97</v>
      </c>
      <c r="N75" s="112">
        <v>109.4</v>
      </c>
      <c r="O75" s="112">
        <v>0</v>
      </c>
      <c r="P75" s="112">
        <v>0.5</v>
      </c>
      <c r="Q75" s="112">
        <v>5.28</v>
      </c>
    </row>
    <row r="76" spans="1:17" customFormat="1">
      <c r="A76" s="80">
        <v>45438.708333333336</v>
      </c>
      <c r="B76" s="112">
        <v>7.22</v>
      </c>
      <c r="C76" s="112">
        <v>6.08</v>
      </c>
      <c r="D76" s="112">
        <v>13.98</v>
      </c>
      <c r="E76" s="112">
        <v>43.48</v>
      </c>
      <c r="F76" s="112">
        <v>36.82</v>
      </c>
      <c r="G76" s="112">
        <v>50.77</v>
      </c>
      <c r="H76" s="112">
        <v>20.76</v>
      </c>
      <c r="I76" s="112">
        <v>4.4000000000000004</v>
      </c>
      <c r="J76" s="112">
        <v>1.1000000000000001</v>
      </c>
      <c r="K76" s="112">
        <v>51.76</v>
      </c>
      <c r="L76" s="112">
        <v>40.51</v>
      </c>
      <c r="M76" s="112">
        <v>29.21</v>
      </c>
      <c r="N76" s="112">
        <v>89.3</v>
      </c>
      <c r="O76" s="112">
        <v>0</v>
      </c>
      <c r="P76" s="112">
        <v>0.55000000000000004</v>
      </c>
      <c r="Q76" s="112">
        <v>5.85</v>
      </c>
    </row>
    <row r="77" spans="1:17" customFormat="1">
      <c r="A77" s="80">
        <v>45438.71875</v>
      </c>
      <c r="B77" s="112">
        <v>7.23</v>
      </c>
      <c r="C77" s="112">
        <v>6.08</v>
      </c>
      <c r="D77" s="112">
        <v>13.98</v>
      </c>
      <c r="E77" s="112">
        <v>40.69</v>
      </c>
      <c r="F77" s="112">
        <v>38.79</v>
      </c>
      <c r="G77" s="112">
        <v>50.77</v>
      </c>
      <c r="H77" s="112">
        <v>20.76</v>
      </c>
      <c r="I77" s="112">
        <v>4.8099999999999996</v>
      </c>
      <c r="J77" s="112">
        <v>1</v>
      </c>
      <c r="K77" s="112">
        <v>50.61</v>
      </c>
      <c r="L77" s="112">
        <v>40.549999999999997</v>
      </c>
      <c r="M77" s="112">
        <v>28.49</v>
      </c>
      <c r="N77" s="112">
        <v>73.400000000000006</v>
      </c>
      <c r="O77" s="112">
        <v>0</v>
      </c>
      <c r="P77" s="112">
        <v>0.53</v>
      </c>
      <c r="Q77" s="112">
        <v>5.8</v>
      </c>
    </row>
    <row r="78" spans="1:17" customFormat="1">
      <c r="A78" s="80">
        <v>45438.729166666664</v>
      </c>
      <c r="B78" s="112">
        <v>7.21</v>
      </c>
      <c r="C78" s="112">
        <v>6.06</v>
      </c>
      <c r="D78" s="112">
        <v>13.96</v>
      </c>
      <c r="E78" s="112">
        <v>21.35</v>
      </c>
      <c r="F78" s="112">
        <v>44.07</v>
      </c>
      <c r="G78" s="112">
        <v>58.29</v>
      </c>
      <c r="H78" s="112">
        <v>22.82</v>
      </c>
      <c r="I78" s="112">
        <v>4.96</v>
      </c>
      <c r="J78" s="112">
        <v>0.9</v>
      </c>
      <c r="K78" s="112">
        <v>47.84</v>
      </c>
      <c r="L78" s="112">
        <v>40.53</v>
      </c>
      <c r="M78" s="112">
        <v>28.54</v>
      </c>
      <c r="N78" s="112">
        <v>58.5</v>
      </c>
      <c r="O78" s="112">
        <v>0</v>
      </c>
      <c r="P78" s="112">
        <v>0.59</v>
      </c>
      <c r="Q78" s="112">
        <v>6.02</v>
      </c>
    </row>
    <row r="79" spans="1:17" customFormat="1">
      <c r="A79" s="80">
        <v>45438.739583333336</v>
      </c>
      <c r="B79" s="112">
        <v>7.22</v>
      </c>
      <c r="C79" s="112">
        <v>6.07</v>
      </c>
      <c r="D79" s="112">
        <v>13.97</v>
      </c>
      <c r="E79" s="112">
        <v>16.170000000000002</v>
      </c>
      <c r="F79" s="112">
        <v>38.590000000000003</v>
      </c>
      <c r="G79" s="112">
        <v>59.91</v>
      </c>
      <c r="H79" s="112">
        <v>22.82</v>
      </c>
      <c r="I79" s="112">
        <v>4.74</v>
      </c>
      <c r="J79" s="112">
        <v>0.66</v>
      </c>
      <c r="K79" s="112">
        <v>41.76</v>
      </c>
      <c r="L79" s="112">
        <v>40.270000000000003</v>
      </c>
      <c r="M79" s="112">
        <v>29.36</v>
      </c>
      <c r="N79" s="112">
        <v>40.9</v>
      </c>
      <c r="O79" s="112">
        <v>0</v>
      </c>
      <c r="P79" s="112">
        <v>0.59</v>
      </c>
      <c r="Q79" s="112">
        <v>5.8</v>
      </c>
    </row>
    <row r="80" spans="1:17" customFormat="1">
      <c r="A80" s="80">
        <v>45438.75</v>
      </c>
      <c r="B80" s="112">
        <v>7.23</v>
      </c>
      <c r="C80" s="112">
        <v>6.06</v>
      </c>
      <c r="D80" s="112">
        <v>13.97</v>
      </c>
      <c r="E80" s="112">
        <v>14.95</v>
      </c>
      <c r="F80" s="112">
        <v>25.98</v>
      </c>
      <c r="G80" s="112">
        <v>59.91</v>
      </c>
      <c r="H80" s="112">
        <v>22.82</v>
      </c>
      <c r="I80" s="112">
        <v>4.63</v>
      </c>
      <c r="J80" s="112">
        <v>0.31</v>
      </c>
      <c r="K80" s="112">
        <v>79.709999999999994</v>
      </c>
      <c r="L80" s="112">
        <v>40</v>
      </c>
      <c r="M80" s="112">
        <v>30.88</v>
      </c>
      <c r="N80" s="112">
        <v>21.2</v>
      </c>
      <c r="O80" s="112">
        <v>0</v>
      </c>
      <c r="P80" s="112">
        <v>0.62</v>
      </c>
      <c r="Q80" s="112">
        <v>5.44</v>
      </c>
    </row>
    <row r="81" spans="1:17" customFormat="1">
      <c r="A81" s="80">
        <v>45438.760416666664</v>
      </c>
      <c r="B81" s="112">
        <v>7.21</v>
      </c>
      <c r="C81" s="112">
        <v>6.09</v>
      </c>
      <c r="D81" s="112">
        <v>13.98</v>
      </c>
      <c r="E81" s="112">
        <v>12.41</v>
      </c>
      <c r="F81" s="112">
        <v>39.590000000000003</v>
      </c>
      <c r="G81" s="112">
        <v>59.91</v>
      </c>
      <c r="H81" s="112">
        <v>22.82</v>
      </c>
      <c r="I81" s="112">
        <v>4.83</v>
      </c>
      <c r="J81" s="112">
        <v>0.2</v>
      </c>
      <c r="K81" s="112">
        <v>187.98</v>
      </c>
      <c r="L81" s="112">
        <v>38.770000000000003</v>
      </c>
      <c r="M81" s="112">
        <v>43.11</v>
      </c>
      <c r="N81" s="112">
        <v>5.8</v>
      </c>
      <c r="O81" s="112">
        <v>0</v>
      </c>
      <c r="P81" s="112">
        <v>0.5</v>
      </c>
      <c r="Q81" s="112">
        <v>5.85</v>
      </c>
    </row>
    <row r="82" spans="1:17" customFormat="1">
      <c r="A82" s="80">
        <v>45438.770833333336</v>
      </c>
      <c r="B82" s="112">
        <v>7.21</v>
      </c>
      <c r="C82" s="112">
        <v>6.09</v>
      </c>
      <c r="D82" s="112">
        <v>13.97</v>
      </c>
      <c r="E82" s="112">
        <v>14.69</v>
      </c>
      <c r="F82" s="112">
        <v>47.59</v>
      </c>
      <c r="G82" s="112">
        <v>61.07</v>
      </c>
      <c r="H82" s="112">
        <v>21.29</v>
      </c>
      <c r="I82" s="112">
        <v>4.92</v>
      </c>
      <c r="J82" s="112">
        <v>0.15</v>
      </c>
      <c r="K82" s="112">
        <v>224.28</v>
      </c>
      <c r="L82" s="112">
        <v>37.93</v>
      </c>
      <c r="M82" s="112">
        <v>41.85</v>
      </c>
      <c r="N82" s="112">
        <v>0</v>
      </c>
      <c r="O82" s="112">
        <v>0</v>
      </c>
      <c r="P82" s="112">
        <v>0.53</v>
      </c>
      <c r="Q82" s="112">
        <v>7.17</v>
      </c>
    </row>
    <row r="83" spans="1:17" customFormat="1">
      <c r="A83" s="80">
        <v>45438.78125</v>
      </c>
      <c r="B83" s="112">
        <v>7.2</v>
      </c>
      <c r="C83" s="112">
        <v>6.11</v>
      </c>
      <c r="D83" s="112">
        <v>13.98</v>
      </c>
      <c r="E83" s="112">
        <v>13.54</v>
      </c>
      <c r="F83" s="112">
        <v>37.409999999999997</v>
      </c>
      <c r="G83" s="112">
        <v>61.32</v>
      </c>
      <c r="H83" s="112">
        <v>21.29</v>
      </c>
      <c r="I83" s="112">
        <v>4.51</v>
      </c>
      <c r="J83" s="112">
        <v>0.16</v>
      </c>
      <c r="K83" s="112">
        <v>191.2</v>
      </c>
      <c r="L83" s="112">
        <v>37.14</v>
      </c>
      <c r="M83" s="112">
        <v>43.62</v>
      </c>
      <c r="N83" s="112">
        <v>0</v>
      </c>
      <c r="O83" s="112">
        <v>0</v>
      </c>
      <c r="P83" s="112">
        <v>0.49</v>
      </c>
      <c r="Q83" s="112">
        <v>7.02</v>
      </c>
    </row>
    <row r="84" spans="1:17" customFormat="1">
      <c r="A84" s="80">
        <v>45438.791666666664</v>
      </c>
      <c r="B84" s="112">
        <v>7.19</v>
      </c>
      <c r="C84" s="112">
        <v>6.11</v>
      </c>
      <c r="D84" s="112">
        <v>13.97</v>
      </c>
      <c r="E84" s="112">
        <v>13.97</v>
      </c>
      <c r="F84" s="112">
        <v>37.729999999999997</v>
      </c>
      <c r="G84" s="112">
        <v>61.32</v>
      </c>
      <c r="H84" s="112">
        <v>21.29</v>
      </c>
      <c r="I84" s="112">
        <v>4.3</v>
      </c>
      <c r="J84" s="112">
        <v>0.18</v>
      </c>
      <c r="K84" s="112">
        <v>217.7</v>
      </c>
      <c r="L84" s="112">
        <v>36.74</v>
      </c>
      <c r="M84" s="112">
        <v>45.29</v>
      </c>
      <c r="N84" s="112">
        <v>0</v>
      </c>
      <c r="O84" s="112">
        <v>0</v>
      </c>
      <c r="P84" s="112">
        <v>0.52</v>
      </c>
      <c r="Q84" s="112">
        <v>7.07</v>
      </c>
    </row>
    <row r="85" spans="1:17" customFormat="1">
      <c r="A85" s="80">
        <v>45438.802083333336</v>
      </c>
      <c r="B85" s="112">
        <v>7.21</v>
      </c>
      <c r="C85" s="112">
        <v>6.09</v>
      </c>
      <c r="D85" s="112">
        <v>13.97</v>
      </c>
      <c r="E85" s="112">
        <v>12.79</v>
      </c>
      <c r="F85" s="112">
        <v>18.829999999999998</v>
      </c>
      <c r="G85" s="112">
        <v>61.32</v>
      </c>
      <c r="H85" s="112">
        <v>21.29</v>
      </c>
      <c r="I85" s="112">
        <v>4.51</v>
      </c>
      <c r="J85" s="112">
        <v>0.14000000000000001</v>
      </c>
      <c r="K85" s="112">
        <v>167.96</v>
      </c>
      <c r="L85" s="112">
        <v>35.92</v>
      </c>
      <c r="M85" s="112">
        <v>43.93</v>
      </c>
      <c r="N85" s="112">
        <v>0</v>
      </c>
      <c r="O85" s="112">
        <v>0</v>
      </c>
      <c r="P85" s="112">
        <v>0.6</v>
      </c>
      <c r="Q85" s="112">
        <v>7.29</v>
      </c>
    </row>
    <row r="86" spans="1:17" customFormat="1">
      <c r="A86" s="80">
        <v>45438.8125</v>
      </c>
      <c r="B86" s="112">
        <v>7.19</v>
      </c>
      <c r="C86" s="112">
        <v>6.12</v>
      </c>
      <c r="D86" s="112">
        <v>13.97</v>
      </c>
      <c r="E86" s="112">
        <v>15.15</v>
      </c>
      <c r="F86" s="112">
        <v>30.92</v>
      </c>
      <c r="G86" s="112">
        <v>60.49</v>
      </c>
      <c r="H86" s="112">
        <v>21.36</v>
      </c>
      <c r="I86" s="112">
        <v>4.9000000000000004</v>
      </c>
      <c r="J86" s="112">
        <v>0.17</v>
      </c>
      <c r="K86" s="112">
        <v>203.99</v>
      </c>
      <c r="L86" s="112">
        <v>35.9</v>
      </c>
      <c r="M86" s="112">
        <v>43.12</v>
      </c>
      <c r="N86" s="112">
        <v>0</v>
      </c>
      <c r="O86" s="112">
        <v>0</v>
      </c>
      <c r="P86" s="112">
        <v>0.61</v>
      </c>
      <c r="Q86" s="112">
        <v>6.96</v>
      </c>
    </row>
    <row r="87" spans="1:17" customFormat="1">
      <c r="A87" s="80">
        <v>45438.822916666664</v>
      </c>
      <c r="B87" s="112">
        <v>7.19</v>
      </c>
      <c r="C87" s="112">
        <v>6.08</v>
      </c>
      <c r="D87" s="112">
        <v>13.95</v>
      </c>
      <c r="E87" s="112">
        <v>16.02</v>
      </c>
      <c r="F87" s="112">
        <v>15.94</v>
      </c>
      <c r="G87" s="112">
        <v>60.31</v>
      </c>
      <c r="H87" s="112">
        <v>21.36</v>
      </c>
      <c r="I87" s="112">
        <v>5.47</v>
      </c>
      <c r="J87" s="112">
        <v>0.21</v>
      </c>
      <c r="K87" s="112">
        <v>163.77000000000001</v>
      </c>
      <c r="L87" s="112">
        <v>35.880000000000003</v>
      </c>
      <c r="M87" s="112">
        <v>46.8</v>
      </c>
      <c r="N87" s="112">
        <v>0</v>
      </c>
      <c r="O87" s="112">
        <v>0</v>
      </c>
      <c r="P87" s="112">
        <v>0.66</v>
      </c>
      <c r="Q87" s="112">
        <v>6.59</v>
      </c>
    </row>
    <row r="88" spans="1:17" customFormat="1">
      <c r="A88" s="80">
        <v>45438.833333333336</v>
      </c>
      <c r="B88" s="112">
        <v>7.18</v>
      </c>
      <c r="C88" s="112">
        <v>6.07</v>
      </c>
      <c r="D88" s="112">
        <v>13.94</v>
      </c>
      <c r="E88" s="112">
        <v>22.44</v>
      </c>
      <c r="F88" s="112">
        <v>8.39</v>
      </c>
      <c r="G88" s="112">
        <v>60.31</v>
      </c>
      <c r="H88" s="112">
        <v>21.36</v>
      </c>
      <c r="I88" s="112">
        <v>6.27</v>
      </c>
      <c r="J88" s="112">
        <v>0.15</v>
      </c>
      <c r="K88" s="112">
        <v>134.52000000000001</v>
      </c>
      <c r="L88" s="112">
        <v>35.590000000000003</v>
      </c>
      <c r="M88" s="112">
        <v>45</v>
      </c>
      <c r="N88" s="112">
        <v>0</v>
      </c>
      <c r="O88" s="112">
        <v>0</v>
      </c>
      <c r="P88" s="112">
        <v>1.1100000000000001</v>
      </c>
      <c r="Q88" s="112">
        <v>6.13</v>
      </c>
    </row>
    <row r="89" spans="1:17" customFormat="1">
      <c r="A89" s="80">
        <v>45438.84375</v>
      </c>
      <c r="B89" s="112">
        <v>7.23</v>
      </c>
      <c r="C89" s="112">
        <v>6.05</v>
      </c>
      <c r="D89" s="112">
        <v>13.97</v>
      </c>
      <c r="E89" s="112">
        <v>24.84</v>
      </c>
      <c r="F89" s="112">
        <v>5.0999999999999996</v>
      </c>
      <c r="G89" s="112">
        <v>60.31</v>
      </c>
      <c r="H89" s="112">
        <v>21.36</v>
      </c>
      <c r="I89" s="112">
        <v>7.61</v>
      </c>
      <c r="J89" s="112">
        <v>0.21</v>
      </c>
      <c r="K89" s="112">
        <v>46.39</v>
      </c>
      <c r="L89" s="112">
        <v>36.11</v>
      </c>
      <c r="M89" s="112">
        <v>42.37</v>
      </c>
      <c r="N89" s="112">
        <v>0</v>
      </c>
      <c r="O89" s="112">
        <v>0</v>
      </c>
      <c r="P89" s="112">
        <v>1.36</v>
      </c>
      <c r="Q89" s="112">
        <v>5.59</v>
      </c>
    </row>
    <row r="90" spans="1:17" customFormat="1">
      <c r="A90" s="80">
        <v>45438.854166666664</v>
      </c>
      <c r="B90" s="112">
        <v>7.28</v>
      </c>
      <c r="C90" s="112">
        <v>6.08</v>
      </c>
      <c r="D90" s="112">
        <v>14.03</v>
      </c>
      <c r="E90" s="112">
        <v>25.58</v>
      </c>
      <c r="F90" s="112">
        <v>6.31</v>
      </c>
      <c r="G90" s="112">
        <v>78.819999999999993</v>
      </c>
      <c r="H90" s="112">
        <v>24.61</v>
      </c>
      <c r="I90" s="112">
        <v>10.44</v>
      </c>
      <c r="J90" s="112">
        <v>0.19</v>
      </c>
      <c r="K90" s="112">
        <v>143.52000000000001</v>
      </c>
      <c r="L90" s="112">
        <v>35.979999999999997</v>
      </c>
      <c r="M90" s="112">
        <v>46.51</v>
      </c>
      <c r="N90" s="112">
        <v>0</v>
      </c>
      <c r="O90" s="112">
        <v>0</v>
      </c>
      <c r="P90" s="112">
        <v>1.32</v>
      </c>
      <c r="Q90" s="112">
        <v>5.5</v>
      </c>
    </row>
    <row r="91" spans="1:17" customFormat="1">
      <c r="A91" s="80">
        <v>45438.864583333336</v>
      </c>
      <c r="B91" s="112">
        <v>7.25</v>
      </c>
      <c r="C91" s="112">
        <v>6.11</v>
      </c>
      <c r="D91" s="112">
        <v>14.01</v>
      </c>
      <c r="E91" s="112">
        <v>23.69</v>
      </c>
      <c r="F91" s="112">
        <v>5.73</v>
      </c>
      <c r="G91" s="112">
        <v>82.82</v>
      </c>
      <c r="H91" s="112">
        <v>24.61</v>
      </c>
      <c r="I91" s="112">
        <v>12.5</v>
      </c>
      <c r="J91" s="112">
        <v>0.27</v>
      </c>
      <c r="K91" s="112">
        <v>201.17</v>
      </c>
      <c r="L91" s="112">
        <v>34.85</v>
      </c>
      <c r="M91" s="112">
        <v>48.35</v>
      </c>
      <c r="N91" s="112">
        <v>0</v>
      </c>
      <c r="O91" s="112">
        <v>0</v>
      </c>
      <c r="P91" s="112">
        <v>1.17</v>
      </c>
      <c r="Q91" s="112">
        <v>5.28</v>
      </c>
    </row>
    <row r="92" spans="1:17" customFormat="1">
      <c r="A92" s="80">
        <v>45438.875</v>
      </c>
      <c r="B92" s="112">
        <v>7.23</v>
      </c>
      <c r="C92" s="112">
        <v>6.11</v>
      </c>
      <c r="D92" s="112">
        <v>14</v>
      </c>
      <c r="E92" s="112">
        <v>18.84</v>
      </c>
      <c r="F92" s="112">
        <v>10.1</v>
      </c>
      <c r="G92" s="112">
        <v>82.82</v>
      </c>
      <c r="H92" s="112">
        <v>24.61</v>
      </c>
      <c r="I92" s="112">
        <v>12.51</v>
      </c>
      <c r="J92" s="112">
        <v>0.27</v>
      </c>
      <c r="K92" s="112">
        <v>174.91</v>
      </c>
      <c r="L92" s="112">
        <v>34.06</v>
      </c>
      <c r="M92" s="112">
        <v>50.14</v>
      </c>
      <c r="N92" s="112">
        <v>0</v>
      </c>
      <c r="O92" s="112">
        <v>0</v>
      </c>
      <c r="P92" s="112">
        <v>1.03</v>
      </c>
      <c r="Q92" s="112">
        <v>5.17</v>
      </c>
    </row>
    <row r="93" spans="1:17" customFormat="1">
      <c r="A93" s="80">
        <v>45438.885416666664</v>
      </c>
      <c r="B93" s="112">
        <v>7.22</v>
      </c>
      <c r="C93" s="112">
        <v>6.07</v>
      </c>
      <c r="D93" s="112">
        <v>13.97</v>
      </c>
      <c r="E93" s="112">
        <v>18.38</v>
      </c>
      <c r="F93" s="112">
        <v>17.3</v>
      </c>
      <c r="G93" s="112">
        <v>82.82</v>
      </c>
      <c r="H93" s="112">
        <v>24.61</v>
      </c>
      <c r="I93" s="112">
        <v>11.33</v>
      </c>
      <c r="J93" s="112">
        <v>0.13</v>
      </c>
      <c r="K93" s="112">
        <v>190.99</v>
      </c>
      <c r="L93" s="112">
        <v>34.18</v>
      </c>
      <c r="M93" s="112">
        <v>48.34</v>
      </c>
      <c r="N93" s="112">
        <v>0</v>
      </c>
      <c r="O93" s="112">
        <v>0</v>
      </c>
      <c r="P93" s="112">
        <v>0.99</v>
      </c>
      <c r="Q93" s="112">
        <v>5.1100000000000003</v>
      </c>
    </row>
    <row r="94" spans="1:17" customFormat="1">
      <c r="A94" s="80">
        <v>45438.895833333336</v>
      </c>
      <c r="B94" s="112">
        <v>7.22</v>
      </c>
      <c r="C94" s="112">
        <v>6.06</v>
      </c>
      <c r="D94" s="112">
        <v>13.96</v>
      </c>
      <c r="E94" s="112">
        <v>19.54</v>
      </c>
      <c r="F94" s="112">
        <v>26.2</v>
      </c>
      <c r="G94" s="112">
        <v>86.33</v>
      </c>
      <c r="H94" s="112">
        <v>27.24</v>
      </c>
      <c r="I94" s="112">
        <v>10.39</v>
      </c>
      <c r="J94" s="112">
        <v>0.15</v>
      </c>
      <c r="K94" s="112">
        <v>191.65</v>
      </c>
      <c r="L94" s="112">
        <v>34</v>
      </c>
      <c r="M94" s="112">
        <v>47.81</v>
      </c>
      <c r="N94" s="112">
        <v>0</v>
      </c>
      <c r="O94" s="112">
        <v>0</v>
      </c>
      <c r="P94" s="112">
        <v>0.88</v>
      </c>
      <c r="Q94" s="112">
        <v>5.13</v>
      </c>
    </row>
    <row r="95" spans="1:17" customFormat="1">
      <c r="A95" s="80">
        <v>45438.90625</v>
      </c>
      <c r="B95" s="112">
        <v>7.23</v>
      </c>
      <c r="C95" s="112">
        <v>6.06</v>
      </c>
      <c r="D95" s="112">
        <v>13.97</v>
      </c>
      <c r="E95" s="112">
        <v>18.38</v>
      </c>
      <c r="F95" s="112">
        <v>29.48</v>
      </c>
      <c r="G95" s="112">
        <v>87.09</v>
      </c>
      <c r="H95" s="112">
        <v>27.24</v>
      </c>
      <c r="I95" s="112">
        <v>9.77</v>
      </c>
      <c r="J95" s="112">
        <v>0.15</v>
      </c>
      <c r="K95" s="112">
        <v>214.57</v>
      </c>
      <c r="L95" s="112">
        <v>33.76</v>
      </c>
      <c r="M95" s="112">
        <v>48.48</v>
      </c>
      <c r="N95" s="112">
        <v>0</v>
      </c>
      <c r="O95" s="112">
        <v>0</v>
      </c>
      <c r="P95" s="112">
        <v>0.81</v>
      </c>
      <c r="Q95" s="112">
        <v>5.1100000000000003</v>
      </c>
    </row>
    <row r="96" spans="1:17" customFormat="1">
      <c r="A96" s="80">
        <v>45438.916666666664</v>
      </c>
      <c r="B96" s="112">
        <v>7.21</v>
      </c>
      <c r="C96" s="112">
        <v>6.08</v>
      </c>
      <c r="D96" s="112">
        <v>13.97</v>
      </c>
      <c r="E96" s="112">
        <v>17.72</v>
      </c>
      <c r="F96" s="112">
        <v>30.99</v>
      </c>
      <c r="G96" s="112">
        <v>87.09</v>
      </c>
      <c r="H96" s="112">
        <v>27.24</v>
      </c>
      <c r="I96" s="112">
        <v>8.8699999999999992</v>
      </c>
      <c r="J96" s="112">
        <v>0.21</v>
      </c>
      <c r="K96" s="112">
        <v>227.94</v>
      </c>
      <c r="L96" s="112">
        <v>33.69</v>
      </c>
      <c r="M96" s="112">
        <v>49.9</v>
      </c>
      <c r="N96" s="112">
        <v>0</v>
      </c>
      <c r="O96" s="112">
        <v>0</v>
      </c>
      <c r="P96" s="112">
        <v>0.82</v>
      </c>
      <c r="Q96" s="112">
        <v>5.0199999999999996</v>
      </c>
    </row>
    <row r="97" spans="1:22" customFormat="1">
      <c r="A97" s="80">
        <v>45438.927083333336</v>
      </c>
      <c r="B97" s="112">
        <v>7.18</v>
      </c>
      <c r="C97" s="112">
        <v>6.1</v>
      </c>
      <c r="D97" s="112">
        <v>13.96</v>
      </c>
      <c r="E97" s="112">
        <v>17.75</v>
      </c>
      <c r="F97" s="112">
        <v>29.44</v>
      </c>
      <c r="G97" s="112">
        <v>87.09</v>
      </c>
      <c r="H97" s="112">
        <v>27.24</v>
      </c>
      <c r="I97" s="112">
        <v>7.97</v>
      </c>
      <c r="J97" s="112">
        <v>0.22</v>
      </c>
      <c r="K97" s="112">
        <v>218.93</v>
      </c>
      <c r="L97" s="112">
        <v>33.619999999999997</v>
      </c>
      <c r="M97" s="112">
        <v>50.21</v>
      </c>
      <c r="N97" s="112">
        <v>0</v>
      </c>
      <c r="O97" s="112">
        <v>0</v>
      </c>
      <c r="P97" s="112">
        <v>0.84</v>
      </c>
      <c r="Q97" s="112">
        <v>5</v>
      </c>
    </row>
    <row r="98" spans="1:22" customFormat="1">
      <c r="A98" s="80">
        <v>45438.9375</v>
      </c>
      <c r="B98" s="112">
        <v>7.18</v>
      </c>
      <c r="C98" s="112">
        <v>6.11</v>
      </c>
      <c r="D98" s="112">
        <v>13.96</v>
      </c>
      <c r="E98" s="112">
        <v>18.47</v>
      </c>
      <c r="F98" s="112">
        <v>30.52</v>
      </c>
      <c r="G98" s="112">
        <v>84.09</v>
      </c>
      <c r="H98" s="112">
        <v>29.75</v>
      </c>
      <c r="I98" s="112">
        <v>7.6</v>
      </c>
      <c r="J98" s="112">
        <v>0.16</v>
      </c>
      <c r="K98" s="112">
        <v>207.7</v>
      </c>
      <c r="L98" s="112">
        <v>33.520000000000003</v>
      </c>
      <c r="M98" s="112">
        <v>50.28</v>
      </c>
      <c r="N98" s="112">
        <v>0</v>
      </c>
      <c r="O98" s="112">
        <v>0</v>
      </c>
      <c r="P98" s="112">
        <v>0.86</v>
      </c>
      <c r="Q98" s="112">
        <v>5.01</v>
      </c>
    </row>
    <row r="99" spans="1:22" customFormat="1">
      <c r="A99" s="80">
        <v>45438.947916666664</v>
      </c>
      <c r="B99" s="112">
        <v>7.18</v>
      </c>
      <c r="C99" s="112">
        <v>6.09</v>
      </c>
      <c r="D99" s="112">
        <v>13.95</v>
      </c>
      <c r="E99" s="112">
        <v>18.260000000000002</v>
      </c>
      <c r="F99" s="112">
        <v>29.26</v>
      </c>
      <c r="G99" s="112">
        <v>83.44</v>
      </c>
      <c r="H99" s="112">
        <v>29.75</v>
      </c>
      <c r="I99" s="112">
        <v>7.52</v>
      </c>
      <c r="J99" s="112">
        <v>0.17</v>
      </c>
      <c r="K99" s="112">
        <v>218.16</v>
      </c>
      <c r="L99" s="112">
        <v>33.32</v>
      </c>
      <c r="M99" s="112">
        <v>50.58</v>
      </c>
      <c r="N99" s="112">
        <v>0</v>
      </c>
      <c r="O99" s="112">
        <v>0</v>
      </c>
      <c r="P99" s="112">
        <v>0.86</v>
      </c>
      <c r="Q99" s="112">
        <v>5.0199999999999996</v>
      </c>
    </row>
    <row r="100" spans="1:22" customFormat="1">
      <c r="A100" s="80">
        <v>45438.958333333336</v>
      </c>
      <c r="B100" s="112">
        <v>7.19</v>
      </c>
      <c r="C100" s="112">
        <v>6.06</v>
      </c>
      <c r="D100" s="112">
        <v>13.94</v>
      </c>
      <c r="E100" s="112">
        <v>18.68</v>
      </c>
      <c r="F100" s="112">
        <v>29.46</v>
      </c>
      <c r="G100" s="112">
        <v>83.44</v>
      </c>
      <c r="H100" s="112">
        <v>29.75</v>
      </c>
      <c r="I100" s="112">
        <v>7.63</v>
      </c>
      <c r="J100" s="112">
        <v>0.16</v>
      </c>
      <c r="K100" s="112">
        <v>241.64</v>
      </c>
      <c r="L100" s="112">
        <v>33.159999999999997</v>
      </c>
      <c r="M100" s="112">
        <v>51.47</v>
      </c>
      <c r="N100" s="112">
        <v>0</v>
      </c>
      <c r="O100" s="112">
        <v>0</v>
      </c>
      <c r="P100" s="112">
        <v>0.88</v>
      </c>
      <c r="Q100" s="112">
        <v>5</v>
      </c>
    </row>
    <row r="101" spans="1:22" customFormat="1">
      <c r="A101" s="80">
        <v>45438.96875</v>
      </c>
      <c r="B101" s="112">
        <v>7.2</v>
      </c>
      <c r="C101" s="112">
        <v>6.05</v>
      </c>
      <c r="D101" s="112">
        <v>13.94</v>
      </c>
      <c r="E101" s="112">
        <v>17.399999999999999</v>
      </c>
      <c r="F101" s="112">
        <v>29.15</v>
      </c>
      <c r="G101" s="112">
        <v>83.44</v>
      </c>
      <c r="H101" s="112">
        <v>29.75</v>
      </c>
      <c r="I101" s="112">
        <v>7.75</v>
      </c>
      <c r="J101" s="112">
        <v>0.2</v>
      </c>
      <c r="K101" s="112">
        <v>246.85</v>
      </c>
      <c r="L101" s="112">
        <v>32.950000000000003</v>
      </c>
      <c r="M101" s="112">
        <v>51.71</v>
      </c>
      <c r="N101" s="112">
        <v>0</v>
      </c>
      <c r="O101" s="112">
        <v>0</v>
      </c>
      <c r="P101" s="112">
        <v>0.85</v>
      </c>
      <c r="Q101" s="112">
        <v>5</v>
      </c>
    </row>
    <row r="102" spans="1:22" customFormat="1">
      <c r="A102" s="80">
        <v>45438.979166666664</v>
      </c>
      <c r="B102" s="112">
        <v>7.21</v>
      </c>
      <c r="C102" s="112">
        <v>6.07</v>
      </c>
      <c r="D102" s="112">
        <v>13.96</v>
      </c>
      <c r="E102" s="112">
        <v>17.21</v>
      </c>
      <c r="F102" s="112">
        <v>30.68</v>
      </c>
      <c r="G102" s="112">
        <v>74.97</v>
      </c>
      <c r="H102" s="112">
        <v>30.77</v>
      </c>
      <c r="I102" s="112">
        <v>7.71</v>
      </c>
      <c r="J102" s="112">
        <v>0.23</v>
      </c>
      <c r="K102" s="112">
        <v>216.8</v>
      </c>
      <c r="L102" s="112">
        <v>32.840000000000003</v>
      </c>
      <c r="M102" s="112">
        <v>52.12</v>
      </c>
      <c r="N102" s="112">
        <v>0</v>
      </c>
      <c r="O102" s="112">
        <v>0</v>
      </c>
      <c r="P102" s="112">
        <v>0.85</v>
      </c>
      <c r="Q102" s="112">
        <v>5.0199999999999996</v>
      </c>
    </row>
    <row r="103" spans="1:22" customFormat="1">
      <c r="A103" s="80">
        <v>45438.989583333336</v>
      </c>
      <c r="B103" s="112">
        <v>7.2</v>
      </c>
      <c r="C103" s="112">
        <v>6.09</v>
      </c>
      <c r="D103" s="112">
        <v>13.97</v>
      </c>
      <c r="E103" s="112">
        <v>16.88</v>
      </c>
      <c r="F103" s="112">
        <v>28.67</v>
      </c>
      <c r="G103" s="112">
        <v>73.13</v>
      </c>
      <c r="H103" s="112">
        <v>30.77</v>
      </c>
      <c r="I103" s="112">
        <v>7.54</v>
      </c>
      <c r="J103" s="112">
        <v>0.19</v>
      </c>
      <c r="K103" s="112">
        <v>226.3</v>
      </c>
      <c r="L103" s="112">
        <v>32.72</v>
      </c>
      <c r="M103" s="112">
        <v>52.75</v>
      </c>
      <c r="N103" s="112">
        <v>0</v>
      </c>
      <c r="O103" s="112">
        <v>0</v>
      </c>
      <c r="P103" s="112">
        <v>0.85</v>
      </c>
      <c r="Q103" s="112">
        <v>5</v>
      </c>
    </row>
    <row r="104" spans="1:22" customFormat="1">
      <c r="A104" s="80">
        <v>45439</v>
      </c>
      <c r="B104" s="112">
        <v>7.21</v>
      </c>
      <c r="C104" s="112">
        <v>6.07</v>
      </c>
      <c r="D104" s="112">
        <v>13.96</v>
      </c>
      <c r="E104" s="112">
        <v>16.100000000000001</v>
      </c>
      <c r="F104" s="112">
        <v>27.52</v>
      </c>
      <c r="G104" s="112">
        <v>73.13</v>
      </c>
      <c r="H104" s="112">
        <v>30.77</v>
      </c>
      <c r="I104" s="112">
        <v>7.53</v>
      </c>
      <c r="J104" s="112">
        <v>0.21</v>
      </c>
      <c r="K104" s="112">
        <v>184.47</v>
      </c>
      <c r="L104" s="112">
        <v>32.35</v>
      </c>
      <c r="M104" s="112">
        <v>54.98</v>
      </c>
      <c r="N104" s="112">
        <v>0</v>
      </c>
      <c r="O104" s="112">
        <v>0</v>
      </c>
      <c r="P104" s="112">
        <v>0.85</v>
      </c>
      <c r="Q104" s="112">
        <v>4.97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7.17</v>
      </c>
      <c r="C106" s="183">
        <f>MIN(C9:C104)</f>
        <v>6.02</v>
      </c>
      <c r="D106" s="183">
        <f t="shared" ref="D106:Q106" si="0">MIN(D9:D104)</f>
        <v>13.92</v>
      </c>
      <c r="E106" s="183">
        <f t="shared" si="0"/>
        <v>10.32</v>
      </c>
      <c r="F106" s="183">
        <f t="shared" si="0"/>
        <v>5.0999999999999996</v>
      </c>
      <c r="G106" s="183">
        <f t="shared" si="0"/>
        <v>38.29</v>
      </c>
      <c r="H106" s="183">
        <f t="shared" si="0"/>
        <v>15.76</v>
      </c>
      <c r="I106" s="183">
        <f t="shared" si="0"/>
        <v>4.3</v>
      </c>
      <c r="J106" s="183">
        <f t="shared" si="0"/>
        <v>0.09</v>
      </c>
      <c r="K106" s="183">
        <f t="shared" si="0"/>
        <v>7.13</v>
      </c>
      <c r="L106" s="183">
        <f t="shared" si="0"/>
        <v>31.22</v>
      </c>
      <c r="M106" s="183">
        <f t="shared" si="0"/>
        <v>22.98</v>
      </c>
      <c r="N106" s="183">
        <f t="shared" si="0"/>
        <v>0</v>
      </c>
      <c r="O106" s="183">
        <f t="shared" si="0"/>
        <v>0</v>
      </c>
      <c r="P106" s="183">
        <f t="shared" si="0"/>
        <v>0.45</v>
      </c>
      <c r="Q106" s="183">
        <f t="shared" si="0"/>
        <v>4.67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7.36</v>
      </c>
      <c r="C107" s="184">
        <f t="shared" ref="C107:Q107" si="1">MAX(C9:C104)</f>
        <v>6.12</v>
      </c>
      <c r="D107" s="184">
        <f t="shared" si="1"/>
        <v>14.1</v>
      </c>
      <c r="E107" s="184">
        <f t="shared" si="1"/>
        <v>43.48</v>
      </c>
      <c r="F107" s="184">
        <f t="shared" si="1"/>
        <v>68.239999999999995</v>
      </c>
      <c r="G107" s="184">
        <f t="shared" si="1"/>
        <v>87.09</v>
      </c>
      <c r="H107" s="184">
        <f t="shared" si="1"/>
        <v>30.77</v>
      </c>
      <c r="I107" s="184">
        <f t="shared" si="1"/>
        <v>12.51</v>
      </c>
      <c r="J107" s="184">
        <f t="shared" si="1"/>
        <v>2.2799999999999998</v>
      </c>
      <c r="K107" s="184">
        <f t="shared" si="1"/>
        <v>357.06</v>
      </c>
      <c r="L107" s="184">
        <f t="shared" si="1"/>
        <v>42.4</v>
      </c>
      <c r="M107" s="184">
        <f t="shared" si="1"/>
        <v>66.86</v>
      </c>
      <c r="N107" s="184">
        <f t="shared" si="1"/>
        <v>679.2</v>
      </c>
      <c r="O107" s="184">
        <f t="shared" si="1"/>
        <v>0</v>
      </c>
      <c r="P107" s="184">
        <f t="shared" si="1"/>
        <v>1.36</v>
      </c>
      <c r="Q107" s="184">
        <f t="shared" si="1"/>
        <v>21.43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7.2363541666666711</v>
      </c>
      <c r="C108" s="183">
        <f t="shared" ref="C108:Q108" si="2">AVERAGE(C9:C104)</f>
        <v>6.080000000000001</v>
      </c>
      <c r="D108" s="183">
        <f t="shared" si="2"/>
        <v>13.988437500000009</v>
      </c>
      <c r="E108" s="183">
        <f t="shared" si="2"/>
        <v>16.201875000000005</v>
      </c>
      <c r="F108" s="183">
        <f t="shared" si="2"/>
        <v>25.837916666666658</v>
      </c>
      <c r="G108" s="183">
        <f t="shared" si="2"/>
        <v>57.463333333333317</v>
      </c>
      <c r="H108" s="183">
        <f t="shared" si="2"/>
        <v>22.61239583333332</v>
      </c>
      <c r="I108" s="183">
        <f t="shared" si="2"/>
        <v>6.5467708333333334</v>
      </c>
      <c r="J108" s="183">
        <f t="shared" si="2"/>
        <v>0.75979166666666664</v>
      </c>
      <c r="K108" s="183">
        <f t="shared" si="2"/>
        <v>204.8096875</v>
      </c>
      <c r="L108" s="183">
        <f t="shared" si="2"/>
        <v>35.859583333333333</v>
      </c>
      <c r="M108" s="183">
        <f t="shared" si="2"/>
        <v>48.018124999999991</v>
      </c>
      <c r="N108" s="183">
        <f t="shared" si="2"/>
        <v>125.85520833333332</v>
      </c>
      <c r="O108" s="183">
        <f t="shared" si="2"/>
        <v>0</v>
      </c>
      <c r="P108" s="183">
        <f t="shared" si="2"/>
        <v>0.69510416666666641</v>
      </c>
      <c r="Q108" s="183">
        <f t="shared" si="2"/>
        <v>6.7440624999999992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3.8637854132053236E-2</v>
      </c>
      <c r="C109" s="183">
        <f t="shared" ref="C109:Q109" si="3">STDEV(C9:C104)</f>
        <v>2.0723746867073251E-2</v>
      </c>
      <c r="D109" s="183">
        <f t="shared" si="3"/>
        <v>3.0515850066205726E-2</v>
      </c>
      <c r="E109" s="183">
        <f t="shared" si="3"/>
        <v>5.5726911787469326</v>
      </c>
      <c r="F109" s="183">
        <f t="shared" si="3"/>
        <v>13.442969825127875</v>
      </c>
      <c r="G109" s="183">
        <f t="shared" si="3"/>
        <v>11.457150896565329</v>
      </c>
      <c r="H109" s="183">
        <f t="shared" si="3"/>
        <v>3.0440415464319788</v>
      </c>
      <c r="I109" s="183">
        <f t="shared" si="3"/>
        <v>1.693668391573163</v>
      </c>
      <c r="J109" s="183">
        <f t="shared" si="3"/>
        <v>0.60553930580697468</v>
      </c>
      <c r="K109" s="183">
        <f t="shared" si="3"/>
        <v>98.523385003423996</v>
      </c>
      <c r="L109" s="183">
        <f t="shared" si="3"/>
        <v>3.618692673696803</v>
      </c>
      <c r="M109" s="183">
        <f t="shared" si="3"/>
        <v>13.018757100713142</v>
      </c>
      <c r="N109" s="183">
        <f t="shared" si="3"/>
        <v>177.54768780885865</v>
      </c>
      <c r="O109" s="183">
        <f t="shared" si="3"/>
        <v>0</v>
      </c>
      <c r="P109" s="183">
        <f t="shared" si="3"/>
        <v>0.16078095456513913</v>
      </c>
      <c r="Q109" s="183">
        <f t="shared" si="3"/>
        <v>3.1830936881643268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8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45439.010416666664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45439.010416666664</v>
      </c>
      <c r="B9" s="112">
        <v>7.23</v>
      </c>
      <c r="C9" s="112">
        <v>6.06</v>
      </c>
      <c r="D9" s="112">
        <v>13.97</v>
      </c>
      <c r="E9" s="112">
        <v>15.56</v>
      </c>
      <c r="F9" s="112">
        <v>22.66</v>
      </c>
      <c r="G9" s="112">
        <v>73.13</v>
      </c>
      <c r="H9" s="112">
        <v>30.77</v>
      </c>
      <c r="I9" s="112">
        <v>7.52</v>
      </c>
      <c r="J9" s="112">
        <v>0.18</v>
      </c>
      <c r="K9" s="112">
        <v>197.45</v>
      </c>
      <c r="L9" s="112">
        <v>32.04</v>
      </c>
      <c r="M9" s="112">
        <v>55.69</v>
      </c>
      <c r="N9" s="112">
        <v>0</v>
      </c>
      <c r="O9" s="112">
        <v>0</v>
      </c>
      <c r="P9" s="112">
        <v>0.87</v>
      </c>
      <c r="Q9" s="112">
        <v>4.96</v>
      </c>
    </row>
    <row r="10" spans="1:21" customFormat="1">
      <c r="A10" s="80">
        <v>45439.020833333336</v>
      </c>
      <c r="B10" s="112">
        <v>7.24</v>
      </c>
      <c r="C10" s="112">
        <v>6.07</v>
      </c>
      <c r="D10" s="112">
        <v>13.99</v>
      </c>
      <c r="E10" s="112">
        <v>15.55</v>
      </c>
      <c r="F10" s="112">
        <v>19.29</v>
      </c>
      <c r="G10" s="112">
        <v>74.27</v>
      </c>
      <c r="H10" s="112">
        <v>33.909999999999997</v>
      </c>
      <c r="I10" s="112">
        <v>7.55</v>
      </c>
      <c r="J10" s="112">
        <v>0.2</v>
      </c>
      <c r="K10" s="112">
        <v>176.15</v>
      </c>
      <c r="L10" s="112">
        <v>31.95</v>
      </c>
      <c r="M10" s="112">
        <v>55.62</v>
      </c>
      <c r="N10" s="112">
        <v>0</v>
      </c>
      <c r="O10" s="112">
        <v>0</v>
      </c>
      <c r="P10" s="112">
        <v>0.86</v>
      </c>
      <c r="Q10" s="112">
        <v>4.96</v>
      </c>
    </row>
    <row r="11" spans="1:21" customFormat="1">
      <c r="A11" s="80">
        <v>45439.03125</v>
      </c>
      <c r="B11" s="112">
        <v>7.25</v>
      </c>
      <c r="C11" s="112">
        <v>6.1</v>
      </c>
      <c r="D11" s="112">
        <v>14.01</v>
      </c>
      <c r="E11" s="112">
        <v>13.24</v>
      </c>
      <c r="F11" s="112">
        <v>16.010000000000002</v>
      </c>
      <c r="G11" s="112">
        <v>74.52</v>
      </c>
      <c r="H11" s="112">
        <v>33.909999999999997</v>
      </c>
      <c r="I11" s="112">
        <v>7.61</v>
      </c>
      <c r="J11" s="112">
        <v>0.2</v>
      </c>
      <c r="K11" s="112">
        <v>197.85</v>
      </c>
      <c r="L11" s="112">
        <v>31.79</v>
      </c>
      <c r="M11" s="112">
        <v>56.57</v>
      </c>
      <c r="N11" s="112">
        <v>0</v>
      </c>
      <c r="O11" s="112">
        <v>0</v>
      </c>
      <c r="P11" s="112">
        <v>0.85</v>
      </c>
      <c r="Q11" s="112">
        <v>4.9800000000000004</v>
      </c>
    </row>
    <row r="12" spans="1:21" customFormat="1">
      <c r="A12" s="80">
        <v>45439.041666666664</v>
      </c>
      <c r="B12" s="112">
        <v>7.25</v>
      </c>
      <c r="C12" s="112">
        <v>6.1</v>
      </c>
      <c r="D12" s="112">
        <v>14</v>
      </c>
      <c r="E12" s="112">
        <v>11.99</v>
      </c>
      <c r="F12" s="112">
        <v>14.48</v>
      </c>
      <c r="G12" s="112">
        <v>74.52</v>
      </c>
      <c r="H12" s="112">
        <v>33.909999999999997</v>
      </c>
      <c r="I12" s="112">
        <v>7.85</v>
      </c>
      <c r="J12" s="112">
        <v>0.15</v>
      </c>
      <c r="K12" s="112">
        <v>209.01</v>
      </c>
      <c r="L12" s="112">
        <v>31.66</v>
      </c>
      <c r="M12" s="112">
        <v>56.4</v>
      </c>
      <c r="N12" s="112">
        <v>0</v>
      </c>
      <c r="O12" s="112">
        <v>0</v>
      </c>
      <c r="P12" s="112">
        <v>0.83</v>
      </c>
      <c r="Q12" s="112">
        <v>4.97</v>
      </c>
    </row>
    <row r="13" spans="1:21" customFormat="1">
      <c r="A13" s="80">
        <v>45439.052083333336</v>
      </c>
      <c r="B13" s="112">
        <v>7.25</v>
      </c>
      <c r="C13" s="112">
        <v>6.08</v>
      </c>
      <c r="D13" s="112">
        <v>14</v>
      </c>
      <c r="E13" s="112">
        <v>11.8</v>
      </c>
      <c r="F13" s="112">
        <v>16.809999999999999</v>
      </c>
      <c r="G13" s="112">
        <v>74.52</v>
      </c>
      <c r="H13" s="112">
        <v>33.909999999999997</v>
      </c>
      <c r="I13" s="112">
        <v>7.87</v>
      </c>
      <c r="J13" s="112">
        <v>0.17</v>
      </c>
      <c r="K13" s="112">
        <v>218.86</v>
      </c>
      <c r="L13" s="112">
        <v>31.66</v>
      </c>
      <c r="M13" s="112">
        <v>56.04</v>
      </c>
      <c r="N13" s="112">
        <v>0</v>
      </c>
      <c r="O13" s="112">
        <v>0</v>
      </c>
      <c r="P13" s="112">
        <v>0.81</v>
      </c>
      <c r="Q13" s="112">
        <v>4.97</v>
      </c>
    </row>
    <row r="14" spans="1:21" customFormat="1">
      <c r="A14" s="80">
        <v>45439.0625</v>
      </c>
      <c r="B14" s="112">
        <v>7.26</v>
      </c>
      <c r="C14" s="112">
        <v>6.1</v>
      </c>
      <c r="D14" s="112">
        <v>14.02</v>
      </c>
      <c r="E14" s="112">
        <v>11.71</v>
      </c>
      <c r="F14" s="112">
        <v>18.03</v>
      </c>
      <c r="G14" s="112">
        <v>68.48</v>
      </c>
      <c r="H14" s="112">
        <v>32.96</v>
      </c>
      <c r="I14" s="112">
        <v>7.78</v>
      </c>
      <c r="J14" s="112">
        <v>0.17</v>
      </c>
      <c r="K14" s="112">
        <v>203.98</v>
      </c>
      <c r="L14" s="112">
        <v>31.57</v>
      </c>
      <c r="M14" s="112">
        <v>56.76</v>
      </c>
      <c r="N14" s="112">
        <v>0</v>
      </c>
      <c r="O14" s="112">
        <v>0</v>
      </c>
      <c r="P14" s="112">
        <v>0.78</v>
      </c>
      <c r="Q14" s="112">
        <v>4.95</v>
      </c>
    </row>
    <row r="15" spans="1:21" customFormat="1">
      <c r="A15" s="80">
        <v>45439.072916666664</v>
      </c>
      <c r="B15" s="112">
        <v>7.24</v>
      </c>
      <c r="C15" s="112">
        <v>6.08</v>
      </c>
      <c r="D15" s="112">
        <v>13.99</v>
      </c>
      <c r="E15" s="112">
        <v>11.33</v>
      </c>
      <c r="F15" s="112">
        <v>12.29</v>
      </c>
      <c r="G15" s="112">
        <v>67.17</v>
      </c>
      <c r="H15" s="112">
        <v>32.96</v>
      </c>
      <c r="I15" s="112">
        <v>7.5</v>
      </c>
      <c r="J15" s="112">
        <v>0.11</v>
      </c>
      <c r="K15" s="112">
        <v>188.37</v>
      </c>
      <c r="L15" s="112">
        <v>31.48</v>
      </c>
      <c r="M15" s="112">
        <v>57.08</v>
      </c>
      <c r="N15" s="112">
        <v>0</v>
      </c>
      <c r="O15" s="112">
        <v>0</v>
      </c>
      <c r="P15" s="112">
        <v>0.79</v>
      </c>
      <c r="Q15" s="112">
        <v>4.97</v>
      </c>
    </row>
    <row r="16" spans="1:21" customFormat="1">
      <c r="A16" s="80">
        <v>45439.083333333336</v>
      </c>
      <c r="B16" s="112">
        <v>7.25</v>
      </c>
      <c r="C16" s="112">
        <v>6.09</v>
      </c>
      <c r="D16" s="112">
        <v>14</v>
      </c>
      <c r="E16" s="112">
        <v>10.94</v>
      </c>
      <c r="F16" s="112">
        <v>15.11</v>
      </c>
      <c r="G16" s="112">
        <v>67.17</v>
      </c>
      <c r="H16" s="112">
        <v>32.96</v>
      </c>
      <c r="I16" s="112">
        <v>7.41</v>
      </c>
      <c r="J16" s="112">
        <v>0.17</v>
      </c>
      <c r="K16" s="112">
        <v>243.1</v>
      </c>
      <c r="L16" s="112">
        <v>31.35</v>
      </c>
      <c r="M16" s="112">
        <v>57.02</v>
      </c>
      <c r="N16" s="112">
        <v>0</v>
      </c>
      <c r="O16" s="112">
        <v>0</v>
      </c>
      <c r="P16" s="112">
        <v>0.78</v>
      </c>
      <c r="Q16" s="112">
        <v>4.97</v>
      </c>
    </row>
    <row r="17" spans="1:17" customFormat="1">
      <c r="A17" s="80">
        <v>45439.09375</v>
      </c>
      <c r="B17" s="112">
        <v>7.25</v>
      </c>
      <c r="C17" s="112">
        <v>6.06</v>
      </c>
      <c r="D17" s="112">
        <v>13.99</v>
      </c>
      <c r="E17" s="112">
        <v>9.6</v>
      </c>
      <c r="F17" s="112">
        <v>13.92</v>
      </c>
      <c r="G17" s="112">
        <v>67.17</v>
      </c>
      <c r="H17" s="112">
        <v>32.96</v>
      </c>
      <c r="I17" s="112">
        <v>7.29</v>
      </c>
      <c r="J17" s="112">
        <v>0.23</v>
      </c>
      <c r="K17" s="112">
        <v>233.05</v>
      </c>
      <c r="L17" s="112">
        <v>31.28</v>
      </c>
      <c r="M17" s="112">
        <v>56.94</v>
      </c>
      <c r="N17" s="112">
        <v>0</v>
      </c>
      <c r="O17" s="112">
        <v>0</v>
      </c>
      <c r="P17" s="112">
        <v>0.76</v>
      </c>
      <c r="Q17" s="112">
        <v>4.99</v>
      </c>
    </row>
    <row r="18" spans="1:17" customFormat="1">
      <c r="A18" s="80">
        <v>45439.104166666664</v>
      </c>
      <c r="B18" s="112">
        <v>7.24</v>
      </c>
      <c r="C18" s="112">
        <v>6.06</v>
      </c>
      <c r="D18" s="112">
        <v>13.98</v>
      </c>
      <c r="E18" s="112">
        <v>10.75</v>
      </c>
      <c r="F18" s="112">
        <v>12.89</v>
      </c>
      <c r="G18" s="112">
        <v>62.08</v>
      </c>
      <c r="H18" s="112">
        <v>30.36</v>
      </c>
      <c r="I18" s="112">
        <v>7.19</v>
      </c>
      <c r="J18" s="112">
        <v>0.16</v>
      </c>
      <c r="K18" s="112">
        <v>180.79</v>
      </c>
      <c r="L18" s="112">
        <v>31.28</v>
      </c>
      <c r="M18" s="112">
        <v>57.14</v>
      </c>
      <c r="N18" s="112">
        <v>0</v>
      </c>
      <c r="O18" s="112">
        <v>0</v>
      </c>
      <c r="P18" s="112">
        <v>0.75</v>
      </c>
      <c r="Q18" s="112">
        <v>4.9800000000000004</v>
      </c>
    </row>
    <row r="19" spans="1:17" customFormat="1">
      <c r="A19" s="80">
        <v>45439.114583333336</v>
      </c>
      <c r="B19" s="112">
        <v>7.23</v>
      </c>
      <c r="C19" s="112">
        <v>6.1</v>
      </c>
      <c r="D19" s="112">
        <v>13.99</v>
      </c>
      <c r="E19" s="112">
        <v>10.27</v>
      </c>
      <c r="F19" s="112">
        <v>12.55</v>
      </c>
      <c r="G19" s="112">
        <v>60.98</v>
      </c>
      <c r="H19" s="112">
        <v>30.36</v>
      </c>
      <c r="I19" s="112">
        <v>7.18</v>
      </c>
      <c r="J19" s="112">
        <v>0.2</v>
      </c>
      <c r="K19" s="112">
        <v>178.27</v>
      </c>
      <c r="L19" s="112">
        <v>31.16</v>
      </c>
      <c r="M19" s="112">
        <v>58.69</v>
      </c>
      <c r="N19" s="112">
        <v>0</v>
      </c>
      <c r="O19" s="112">
        <v>0</v>
      </c>
      <c r="P19" s="112">
        <v>0.75</v>
      </c>
      <c r="Q19" s="112">
        <v>4.9800000000000004</v>
      </c>
    </row>
    <row r="20" spans="1:17" customFormat="1">
      <c r="A20" s="80">
        <v>45439.125</v>
      </c>
      <c r="B20" s="112">
        <v>7.23</v>
      </c>
      <c r="C20" s="112">
        <v>6.09</v>
      </c>
      <c r="D20" s="112">
        <v>13.99</v>
      </c>
      <c r="E20" s="112">
        <v>10.54</v>
      </c>
      <c r="F20" s="112">
        <v>13.99</v>
      </c>
      <c r="G20" s="112">
        <v>60.98</v>
      </c>
      <c r="H20" s="112">
        <v>30.36</v>
      </c>
      <c r="I20" s="112">
        <v>7.1</v>
      </c>
      <c r="J20" s="112">
        <v>0.22</v>
      </c>
      <c r="K20" s="112">
        <v>205.33</v>
      </c>
      <c r="L20" s="112">
        <v>30.71</v>
      </c>
      <c r="M20" s="112">
        <v>60.38</v>
      </c>
      <c r="N20" s="112">
        <v>0</v>
      </c>
      <c r="O20" s="112">
        <v>0</v>
      </c>
      <c r="P20" s="112">
        <v>0.72</v>
      </c>
      <c r="Q20" s="112">
        <v>4.99</v>
      </c>
    </row>
    <row r="21" spans="1:17" customFormat="1">
      <c r="A21" s="80">
        <v>45439.135416666664</v>
      </c>
      <c r="B21" s="112">
        <v>7.24</v>
      </c>
      <c r="C21" s="112">
        <v>6.09</v>
      </c>
      <c r="D21" s="112">
        <v>13.99</v>
      </c>
      <c r="E21" s="112">
        <v>10.48</v>
      </c>
      <c r="F21" s="112">
        <v>12.53</v>
      </c>
      <c r="G21" s="112">
        <v>60.98</v>
      </c>
      <c r="H21" s="112">
        <v>30.36</v>
      </c>
      <c r="I21" s="112">
        <v>7.02</v>
      </c>
      <c r="J21" s="112">
        <v>0.14000000000000001</v>
      </c>
      <c r="K21" s="112">
        <v>231.31</v>
      </c>
      <c r="L21" s="112">
        <v>30.7</v>
      </c>
      <c r="M21" s="112">
        <v>59.76</v>
      </c>
      <c r="N21" s="112">
        <v>0</v>
      </c>
      <c r="O21" s="112">
        <v>0</v>
      </c>
      <c r="P21" s="112">
        <v>0.71</v>
      </c>
      <c r="Q21" s="112">
        <v>5</v>
      </c>
    </row>
    <row r="22" spans="1:17" customFormat="1">
      <c r="A22" s="80">
        <v>45439.145833333336</v>
      </c>
      <c r="B22" s="112">
        <v>7.25</v>
      </c>
      <c r="C22" s="112">
        <v>6.08</v>
      </c>
      <c r="D22" s="112">
        <v>14</v>
      </c>
      <c r="E22" s="112">
        <v>9.98</v>
      </c>
      <c r="F22" s="112">
        <v>11.24</v>
      </c>
      <c r="G22" s="112">
        <v>55.74</v>
      </c>
      <c r="H22" s="112">
        <v>29.35</v>
      </c>
      <c r="I22" s="112">
        <v>6.95</v>
      </c>
      <c r="J22" s="112">
        <v>0.23</v>
      </c>
      <c r="K22" s="112">
        <v>219.81</v>
      </c>
      <c r="L22" s="112">
        <v>30.95</v>
      </c>
      <c r="M22" s="112">
        <v>58.68</v>
      </c>
      <c r="N22" s="112">
        <v>0</v>
      </c>
      <c r="O22" s="112">
        <v>0</v>
      </c>
      <c r="P22" s="112">
        <v>0.72</v>
      </c>
      <c r="Q22" s="112">
        <v>5.04</v>
      </c>
    </row>
    <row r="23" spans="1:17" customFormat="1">
      <c r="A23" s="80">
        <v>45439.15625</v>
      </c>
      <c r="B23" s="112">
        <v>7.23</v>
      </c>
      <c r="C23" s="112">
        <v>6.11</v>
      </c>
      <c r="D23" s="112">
        <v>14</v>
      </c>
      <c r="E23" s="112">
        <v>10.54</v>
      </c>
      <c r="F23" s="112">
        <v>12.99</v>
      </c>
      <c r="G23" s="112">
        <v>54.61</v>
      </c>
      <c r="H23" s="112">
        <v>29.35</v>
      </c>
      <c r="I23" s="112">
        <v>6.88</v>
      </c>
      <c r="J23" s="112">
        <v>0.24</v>
      </c>
      <c r="K23" s="112">
        <v>162.55000000000001</v>
      </c>
      <c r="L23" s="112">
        <v>31</v>
      </c>
      <c r="M23" s="112">
        <v>59.05</v>
      </c>
      <c r="N23" s="112">
        <v>0</v>
      </c>
      <c r="O23" s="112">
        <v>0</v>
      </c>
      <c r="P23" s="112">
        <v>0.7</v>
      </c>
      <c r="Q23" s="112">
        <v>5.07</v>
      </c>
    </row>
    <row r="24" spans="1:17" customFormat="1">
      <c r="A24" s="80">
        <v>45439.166666666664</v>
      </c>
      <c r="B24" s="112">
        <v>7.24</v>
      </c>
      <c r="C24" s="112">
        <v>6.07</v>
      </c>
      <c r="D24" s="112">
        <v>13.98</v>
      </c>
      <c r="E24" s="112">
        <v>10.39</v>
      </c>
      <c r="F24" s="112">
        <v>11.78</v>
      </c>
      <c r="G24" s="112">
        <v>54.61</v>
      </c>
      <c r="H24" s="112">
        <v>29.35</v>
      </c>
      <c r="I24" s="112">
        <v>6.75</v>
      </c>
      <c r="J24" s="112">
        <v>0.19</v>
      </c>
      <c r="K24" s="112">
        <v>98.16</v>
      </c>
      <c r="L24" s="112">
        <v>30.55</v>
      </c>
      <c r="M24" s="112">
        <v>61.5</v>
      </c>
      <c r="N24" s="112">
        <v>0</v>
      </c>
      <c r="O24" s="112">
        <v>0</v>
      </c>
      <c r="P24" s="112">
        <v>0.69</v>
      </c>
      <c r="Q24" s="112">
        <v>5.0599999999999996</v>
      </c>
    </row>
    <row r="25" spans="1:17" customFormat="1">
      <c r="A25" s="80">
        <v>45439.177083333336</v>
      </c>
      <c r="B25" s="112">
        <v>7.26</v>
      </c>
      <c r="C25" s="112">
        <v>6.07</v>
      </c>
      <c r="D25" s="112">
        <v>14</v>
      </c>
      <c r="E25" s="112">
        <v>10.25</v>
      </c>
      <c r="F25" s="112">
        <v>9.86</v>
      </c>
      <c r="G25" s="112">
        <v>54.61</v>
      </c>
      <c r="H25" s="112">
        <v>29.35</v>
      </c>
      <c r="I25" s="112">
        <v>6.64</v>
      </c>
      <c r="J25" s="112">
        <v>0.21</v>
      </c>
      <c r="K25" s="112">
        <v>179</v>
      </c>
      <c r="L25" s="112">
        <v>30.27</v>
      </c>
      <c r="M25" s="112">
        <v>61.86</v>
      </c>
      <c r="N25" s="112">
        <v>0</v>
      </c>
      <c r="O25" s="112">
        <v>0</v>
      </c>
      <c r="P25" s="112">
        <v>0.7</v>
      </c>
      <c r="Q25" s="112">
        <v>5.05</v>
      </c>
    </row>
    <row r="26" spans="1:17" customFormat="1">
      <c r="A26" s="80">
        <v>45439.1875</v>
      </c>
      <c r="B26" s="112">
        <v>7.27</v>
      </c>
      <c r="C26" s="112">
        <v>6.03</v>
      </c>
      <c r="D26" s="112">
        <v>13.99</v>
      </c>
      <c r="E26" s="112">
        <v>10.17</v>
      </c>
      <c r="F26" s="112">
        <v>10.97</v>
      </c>
      <c r="G26" s="112">
        <v>54.86</v>
      </c>
      <c r="H26" s="112">
        <v>27.33</v>
      </c>
      <c r="I26" s="112">
        <v>6.65</v>
      </c>
      <c r="J26" s="112">
        <v>0.11</v>
      </c>
      <c r="K26" s="112">
        <v>188.19</v>
      </c>
      <c r="L26" s="112">
        <v>29.73</v>
      </c>
      <c r="M26" s="112">
        <v>64.040000000000006</v>
      </c>
      <c r="N26" s="112">
        <v>0</v>
      </c>
      <c r="O26" s="112">
        <v>0</v>
      </c>
      <c r="P26" s="112">
        <v>0.67</v>
      </c>
      <c r="Q26" s="112">
        <v>5.03</v>
      </c>
    </row>
    <row r="27" spans="1:17" customFormat="1">
      <c r="A27" s="80">
        <v>45439.197916666664</v>
      </c>
      <c r="B27" s="112">
        <v>7.27</v>
      </c>
      <c r="C27" s="112">
        <v>6.04</v>
      </c>
      <c r="D27" s="112">
        <v>13.99</v>
      </c>
      <c r="E27" s="112">
        <v>9.89</v>
      </c>
      <c r="F27" s="112">
        <v>7.97</v>
      </c>
      <c r="G27" s="112">
        <v>54.91</v>
      </c>
      <c r="H27" s="112">
        <v>27.33</v>
      </c>
      <c r="I27" s="112">
        <v>6.54</v>
      </c>
      <c r="J27" s="112">
        <v>0.18</v>
      </c>
      <c r="K27" s="112">
        <v>191.67</v>
      </c>
      <c r="L27" s="112">
        <v>29.76</v>
      </c>
      <c r="M27" s="112">
        <v>63.23</v>
      </c>
      <c r="N27" s="112">
        <v>0</v>
      </c>
      <c r="O27" s="112">
        <v>0</v>
      </c>
      <c r="P27" s="112">
        <v>0.67</v>
      </c>
      <c r="Q27" s="112">
        <v>5</v>
      </c>
    </row>
    <row r="28" spans="1:17" customFormat="1">
      <c r="A28" s="80">
        <v>45439.208333333336</v>
      </c>
      <c r="B28" s="112">
        <v>7.28</v>
      </c>
      <c r="C28" s="112">
        <v>6.06</v>
      </c>
      <c r="D28" s="112">
        <v>14.01</v>
      </c>
      <c r="E28" s="112">
        <v>10.54</v>
      </c>
      <c r="F28" s="112">
        <v>5.33</v>
      </c>
      <c r="G28" s="112">
        <v>54.91</v>
      </c>
      <c r="H28" s="112">
        <v>27.33</v>
      </c>
      <c r="I28" s="112">
        <v>6.51</v>
      </c>
      <c r="J28" s="112">
        <v>0.21</v>
      </c>
      <c r="K28" s="112">
        <v>119.9</v>
      </c>
      <c r="L28" s="112">
        <v>29.67</v>
      </c>
      <c r="M28" s="112">
        <v>63.83</v>
      </c>
      <c r="N28" s="112">
        <v>0</v>
      </c>
      <c r="O28" s="112">
        <v>0</v>
      </c>
      <c r="P28" s="112">
        <v>0.67</v>
      </c>
      <c r="Q28" s="112">
        <v>5.0199999999999996</v>
      </c>
    </row>
    <row r="29" spans="1:17" customFormat="1">
      <c r="A29" s="80">
        <v>45439.21875</v>
      </c>
      <c r="B29" s="112">
        <v>7.28</v>
      </c>
      <c r="C29" s="112">
        <v>6.08</v>
      </c>
      <c r="D29" s="112">
        <v>14.03</v>
      </c>
      <c r="E29" s="112">
        <v>9.9499999999999993</v>
      </c>
      <c r="F29" s="112">
        <v>6.61</v>
      </c>
      <c r="G29" s="112">
        <v>54.91</v>
      </c>
      <c r="H29" s="112">
        <v>27.33</v>
      </c>
      <c r="I29" s="112">
        <v>6.62</v>
      </c>
      <c r="J29" s="112">
        <v>0.09</v>
      </c>
      <c r="K29" s="112">
        <v>221</v>
      </c>
      <c r="L29" s="112">
        <v>29.18</v>
      </c>
      <c r="M29" s="112">
        <v>65.86</v>
      </c>
      <c r="N29" s="112">
        <v>0</v>
      </c>
      <c r="O29" s="112">
        <v>0</v>
      </c>
      <c r="P29" s="112">
        <v>0.65</v>
      </c>
      <c r="Q29" s="112">
        <v>5.03</v>
      </c>
    </row>
    <row r="30" spans="1:17" customFormat="1">
      <c r="A30" s="80">
        <v>45439.229166666664</v>
      </c>
      <c r="B30" s="112">
        <v>7.27</v>
      </c>
      <c r="C30" s="112">
        <v>6.07</v>
      </c>
      <c r="D30" s="112">
        <v>14.01</v>
      </c>
      <c r="E30" s="112">
        <v>10.26</v>
      </c>
      <c r="F30" s="112">
        <v>13.36</v>
      </c>
      <c r="G30" s="112">
        <v>49.62</v>
      </c>
      <c r="H30" s="112">
        <v>23.64</v>
      </c>
      <c r="I30" s="112">
        <v>6.61</v>
      </c>
      <c r="J30" s="112">
        <v>0.15</v>
      </c>
      <c r="K30" s="112">
        <v>217.57</v>
      </c>
      <c r="L30" s="112">
        <v>29.04</v>
      </c>
      <c r="M30" s="112">
        <v>65.95</v>
      </c>
      <c r="N30" s="112">
        <v>0.1</v>
      </c>
      <c r="O30" s="112">
        <v>0</v>
      </c>
      <c r="P30" s="112">
        <v>0.64</v>
      </c>
      <c r="Q30" s="112">
        <v>5.04</v>
      </c>
    </row>
    <row r="31" spans="1:17" customFormat="1">
      <c r="A31" s="80">
        <v>45439.239583333336</v>
      </c>
      <c r="B31" s="112">
        <v>7.26</v>
      </c>
      <c r="C31" s="112">
        <v>6.1</v>
      </c>
      <c r="D31" s="112">
        <v>14.02</v>
      </c>
      <c r="E31" s="112">
        <v>10.71</v>
      </c>
      <c r="F31" s="112">
        <v>12.92</v>
      </c>
      <c r="G31" s="112">
        <v>48.48</v>
      </c>
      <c r="H31" s="112">
        <v>23.64</v>
      </c>
      <c r="I31" s="112">
        <v>6.39</v>
      </c>
      <c r="J31" s="112">
        <v>0.1</v>
      </c>
      <c r="K31" s="112">
        <v>236.36</v>
      </c>
      <c r="L31" s="112">
        <v>28.95</v>
      </c>
      <c r="M31" s="112">
        <v>67.17</v>
      </c>
      <c r="N31" s="112">
        <v>5.6</v>
      </c>
      <c r="O31" s="112">
        <v>0</v>
      </c>
      <c r="P31" s="112">
        <v>0.64</v>
      </c>
      <c r="Q31" s="112">
        <v>5.5</v>
      </c>
    </row>
    <row r="32" spans="1:17" customFormat="1">
      <c r="A32" s="80">
        <v>45439.25</v>
      </c>
      <c r="B32" s="112">
        <v>7.29</v>
      </c>
      <c r="C32" s="112">
        <v>6.11</v>
      </c>
      <c r="D32" s="112">
        <v>14.05</v>
      </c>
      <c r="E32" s="112">
        <v>10.76</v>
      </c>
      <c r="F32" s="112">
        <v>15.28</v>
      </c>
      <c r="G32" s="112">
        <v>48.48</v>
      </c>
      <c r="H32" s="112">
        <v>23.64</v>
      </c>
      <c r="I32" s="112">
        <v>6.17</v>
      </c>
      <c r="J32" s="112">
        <v>0.27</v>
      </c>
      <c r="K32" s="112">
        <v>261.70999999999998</v>
      </c>
      <c r="L32" s="112">
        <v>29.27</v>
      </c>
      <c r="M32" s="112">
        <v>66.64</v>
      </c>
      <c r="N32" s="112">
        <v>16</v>
      </c>
      <c r="O32" s="112">
        <v>0</v>
      </c>
      <c r="P32" s="112">
        <v>0.64</v>
      </c>
      <c r="Q32" s="112">
        <v>5.53</v>
      </c>
    </row>
    <row r="33" spans="1:17" customFormat="1">
      <c r="A33" s="80">
        <v>45439.260416666664</v>
      </c>
      <c r="B33" s="112">
        <v>7.28</v>
      </c>
      <c r="C33" s="112">
        <v>6.11</v>
      </c>
      <c r="D33" s="112">
        <v>14.04</v>
      </c>
      <c r="E33" s="112">
        <v>10.84</v>
      </c>
      <c r="F33" s="112">
        <v>16.04</v>
      </c>
      <c r="G33" s="112">
        <v>48.48</v>
      </c>
      <c r="H33" s="112">
        <v>23.64</v>
      </c>
      <c r="I33" s="112">
        <v>6.01</v>
      </c>
      <c r="J33" s="112">
        <v>0.32</v>
      </c>
      <c r="K33" s="112">
        <v>253.94</v>
      </c>
      <c r="L33" s="112">
        <v>29.71</v>
      </c>
      <c r="M33" s="112">
        <v>66.849999999999994</v>
      </c>
      <c r="N33" s="112">
        <v>27.8</v>
      </c>
      <c r="O33" s="112">
        <v>0</v>
      </c>
      <c r="P33" s="112">
        <v>0.63</v>
      </c>
      <c r="Q33" s="112">
        <v>5.19</v>
      </c>
    </row>
    <row r="34" spans="1:17" customFormat="1">
      <c r="A34" s="80">
        <v>45439.270833333336</v>
      </c>
      <c r="B34" s="112">
        <v>7.29</v>
      </c>
      <c r="C34" s="112">
        <v>6.08</v>
      </c>
      <c r="D34" s="112">
        <v>14.03</v>
      </c>
      <c r="E34" s="112">
        <v>11.29</v>
      </c>
      <c r="F34" s="112">
        <v>18.62</v>
      </c>
      <c r="G34" s="112">
        <v>48.54</v>
      </c>
      <c r="H34" s="112">
        <v>24.26</v>
      </c>
      <c r="I34" s="112">
        <v>6.04</v>
      </c>
      <c r="J34" s="112">
        <v>0.53</v>
      </c>
      <c r="K34" s="112">
        <v>260.14999999999998</v>
      </c>
      <c r="L34" s="112">
        <v>30.16</v>
      </c>
      <c r="M34" s="112">
        <v>66.08</v>
      </c>
      <c r="N34" s="112">
        <v>40.4</v>
      </c>
      <c r="O34" s="112">
        <v>0</v>
      </c>
      <c r="P34" s="112">
        <v>0.62</v>
      </c>
      <c r="Q34" s="112">
        <v>5.05</v>
      </c>
    </row>
    <row r="35" spans="1:17" customFormat="1">
      <c r="A35" s="80">
        <v>45439.28125</v>
      </c>
      <c r="B35" s="112">
        <v>7.29</v>
      </c>
      <c r="C35" s="112">
        <v>6.05</v>
      </c>
      <c r="D35" s="112">
        <v>14.02</v>
      </c>
      <c r="E35" s="112">
        <v>11.81</v>
      </c>
      <c r="F35" s="112">
        <v>17.760000000000002</v>
      </c>
      <c r="G35" s="112">
        <v>48.55</v>
      </c>
      <c r="H35" s="112">
        <v>24.26</v>
      </c>
      <c r="I35" s="112">
        <v>6.11</v>
      </c>
      <c r="J35" s="112">
        <v>0.56000000000000005</v>
      </c>
      <c r="K35" s="112">
        <v>263.2</v>
      </c>
      <c r="L35" s="112">
        <v>30.75</v>
      </c>
      <c r="M35" s="112">
        <v>65.83</v>
      </c>
      <c r="N35" s="112">
        <v>54.7</v>
      </c>
      <c r="O35" s="112">
        <v>0</v>
      </c>
      <c r="P35" s="112">
        <v>0.66</v>
      </c>
      <c r="Q35" s="112">
        <v>5.05</v>
      </c>
    </row>
    <row r="36" spans="1:17" customFormat="1">
      <c r="A36" s="80">
        <v>45439.291666666664</v>
      </c>
      <c r="B36" s="112">
        <v>7.27</v>
      </c>
      <c r="C36" s="112">
        <v>6.07</v>
      </c>
      <c r="D36" s="112">
        <v>14.01</v>
      </c>
      <c r="E36" s="112">
        <v>14.6</v>
      </c>
      <c r="F36" s="112">
        <v>20.74</v>
      </c>
      <c r="G36" s="112">
        <v>48.55</v>
      </c>
      <c r="H36" s="112">
        <v>24.26</v>
      </c>
      <c r="I36" s="112">
        <v>6.18</v>
      </c>
      <c r="J36" s="112">
        <v>0.31</v>
      </c>
      <c r="K36" s="112">
        <v>282.20999999999998</v>
      </c>
      <c r="L36" s="112">
        <v>31.18</v>
      </c>
      <c r="M36" s="112">
        <v>63.95</v>
      </c>
      <c r="N36" s="112">
        <v>69</v>
      </c>
      <c r="O36" s="112">
        <v>0</v>
      </c>
      <c r="P36" s="112">
        <v>0.84</v>
      </c>
      <c r="Q36" s="112">
        <v>4.97</v>
      </c>
    </row>
    <row r="37" spans="1:17" customFormat="1">
      <c r="A37" s="80">
        <v>45439.302083333336</v>
      </c>
      <c r="B37" s="112">
        <v>7.25</v>
      </c>
      <c r="C37" s="112">
        <v>6.08</v>
      </c>
      <c r="D37" s="112">
        <v>14</v>
      </c>
      <c r="E37" s="112">
        <v>18.43</v>
      </c>
      <c r="F37" s="112">
        <v>17.23</v>
      </c>
      <c r="G37" s="112">
        <v>48.55</v>
      </c>
      <c r="H37" s="112">
        <v>24.26</v>
      </c>
      <c r="I37" s="112">
        <v>6.6</v>
      </c>
      <c r="J37" s="112">
        <v>0.22</v>
      </c>
      <c r="K37" s="112">
        <v>267.76</v>
      </c>
      <c r="L37" s="112">
        <v>31.54</v>
      </c>
      <c r="M37" s="112">
        <v>62.98</v>
      </c>
      <c r="N37" s="112">
        <v>84.9</v>
      </c>
      <c r="O37" s="112">
        <v>0</v>
      </c>
      <c r="P37" s="112">
        <v>1.01</v>
      </c>
      <c r="Q37" s="112">
        <v>4.97</v>
      </c>
    </row>
    <row r="38" spans="1:17" customFormat="1">
      <c r="A38" s="80">
        <v>45439.3125</v>
      </c>
      <c r="B38" s="112">
        <v>7.25</v>
      </c>
      <c r="C38" s="112">
        <v>6.08</v>
      </c>
      <c r="D38" s="112">
        <v>14</v>
      </c>
      <c r="E38" s="112">
        <v>21.93</v>
      </c>
      <c r="F38" s="112">
        <v>22.27</v>
      </c>
      <c r="G38" s="112">
        <v>49.62</v>
      </c>
      <c r="H38" s="112">
        <v>27.16</v>
      </c>
      <c r="I38" s="112">
        <v>7.79</v>
      </c>
      <c r="J38" s="112">
        <v>0.22</v>
      </c>
      <c r="K38" s="112">
        <v>355.25</v>
      </c>
      <c r="L38" s="112">
        <v>31.97</v>
      </c>
      <c r="M38" s="112">
        <v>61.22</v>
      </c>
      <c r="N38" s="112">
        <v>102.2</v>
      </c>
      <c r="O38" s="112">
        <v>0</v>
      </c>
      <c r="P38" s="112">
        <v>1.1599999999999999</v>
      </c>
      <c r="Q38" s="112">
        <v>4.97</v>
      </c>
    </row>
    <row r="39" spans="1:17" customFormat="1">
      <c r="A39" s="80">
        <v>45439.322916666664</v>
      </c>
      <c r="B39" s="112">
        <v>7.26</v>
      </c>
      <c r="C39" s="112">
        <v>6.05</v>
      </c>
      <c r="D39" s="112">
        <v>13.99</v>
      </c>
      <c r="E39" s="112">
        <v>22.37</v>
      </c>
      <c r="F39" s="112">
        <v>22.46</v>
      </c>
      <c r="G39" s="112">
        <v>49.85</v>
      </c>
      <c r="H39" s="112">
        <v>27.16</v>
      </c>
      <c r="I39" s="112">
        <v>9.4</v>
      </c>
      <c r="J39" s="112">
        <v>0.28999999999999998</v>
      </c>
      <c r="K39" s="112">
        <v>272.52999999999997</v>
      </c>
      <c r="L39" s="112">
        <v>32.380000000000003</v>
      </c>
      <c r="M39" s="112">
        <v>59.61</v>
      </c>
      <c r="N39" s="112">
        <v>117.2</v>
      </c>
      <c r="O39" s="112">
        <v>0</v>
      </c>
      <c r="P39" s="112">
        <v>1</v>
      </c>
      <c r="Q39" s="112">
        <v>4.99</v>
      </c>
    </row>
    <row r="40" spans="1:17" customFormat="1">
      <c r="A40" s="80">
        <v>45439.333333333336</v>
      </c>
      <c r="B40" s="112">
        <v>7.26</v>
      </c>
      <c r="C40" s="112">
        <v>6.07</v>
      </c>
      <c r="D40" s="112">
        <v>14</v>
      </c>
      <c r="E40" s="112">
        <v>22.06</v>
      </c>
      <c r="F40" s="112">
        <v>22.31</v>
      </c>
      <c r="G40" s="112">
        <v>49.85</v>
      </c>
      <c r="H40" s="112">
        <v>27.16</v>
      </c>
      <c r="I40" s="112">
        <v>10.11</v>
      </c>
      <c r="J40" s="112">
        <v>0.53</v>
      </c>
      <c r="K40" s="112">
        <v>297.92</v>
      </c>
      <c r="L40" s="112">
        <v>32.68</v>
      </c>
      <c r="M40" s="112">
        <v>56.42</v>
      </c>
      <c r="N40" s="112">
        <v>130</v>
      </c>
      <c r="O40" s="112">
        <v>0</v>
      </c>
      <c r="P40" s="112">
        <v>0.92</v>
      </c>
      <c r="Q40" s="112">
        <v>4.9800000000000004</v>
      </c>
    </row>
    <row r="41" spans="1:17" customFormat="1">
      <c r="A41" s="80">
        <v>45439.34375</v>
      </c>
      <c r="B41" s="112">
        <v>7.24</v>
      </c>
      <c r="C41" s="112">
        <v>6.08</v>
      </c>
      <c r="D41" s="112">
        <v>13.99</v>
      </c>
      <c r="E41" s="112">
        <v>19.04</v>
      </c>
      <c r="F41" s="112">
        <v>24.48</v>
      </c>
      <c r="G41" s="112">
        <v>49.85</v>
      </c>
      <c r="H41" s="112">
        <v>27.16</v>
      </c>
      <c r="I41" s="112">
        <v>9.8800000000000008</v>
      </c>
      <c r="J41" s="112">
        <v>0.7</v>
      </c>
      <c r="K41" s="112">
        <v>293.69</v>
      </c>
      <c r="L41" s="112">
        <v>32.83</v>
      </c>
      <c r="M41" s="112">
        <v>53.96</v>
      </c>
      <c r="N41" s="112">
        <v>144.9</v>
      </c>
      <c r="O41" s="112">
        <v>0</v>
      </c>
      <c r="P41" s="112">
        <v>0.82</v>
      </c>
      <c r="Q41" s="112">
        <v>4.99</v>
      </c>
    </row>
    <row r="42" spans="1:17" customFormat="1">
      <c r="A42" s="80">
        <v>45439.354166666664</v>
      </c>
      <c r="B42" s="112">
        <v>7.24</v>
      </c>
      <c r="C42" s="112">
        <v>6.08</v>
      </c>
      <c r="D42" s="112">
        <v>13.99</v>
      </c>
      <c r="E42" s="112">
        <v>18.98</v>
      </c>
      <c r="F42" s="112">
        <v>29.42</v>
      </c>
      <c r="G42" s="112">
        <v>58</v>
      </c>
      <c r="H42" s="112">
        <v>25.92</v>
      </c>
      <c r="I42" s="112">
        <v>9.19</v>
      </c>
      <c r="J42" s="112">
        <v>0.43</v>
      </c>
      <c r="K42" s="112">
        <v>259.19</v>
      </c>
      <c r="L42" s="112">
        <v>32.96</v>
      </c>
      <c r="M42" s="112">
        <v>55.04</v>
      </c>
      <c r="N42" s="112">
        <v>159.19999999999999</v>
      </c>
      <c r="O42" s="112">
        <v>0</v>
      </c>
      <c r="P42" s="112">
        <v>0.78</v>
      </c>
      <c r="Q42" s="112">
        <v>4.9800000000000004</v>
      </c>
    </row>
    <row r="43" spans="1:17" customFormat="1">
      <c r="A43" s="80">
        <v>45439.364583333336</v>
      </c>
      <c r="B43" s="112">
        <v>7.24</v>
      </c>
      <c r="C43" s="112">
        <v>6.09</v>
      </c>
      <c r="D43" s="112">
        <v>13.99</v>
      </c>
      <c r="E43" s="112">
        <v>17.62</v>
      </c>
      <c r="F43" s="112">
        <v>24.27</v>
      </c>
      <c r="G43" s="112">
        <v>59.76</v>
      </c>
      <c r="H43" s="112">
        <v>25.92</v>
      </c>
      <c r="I43" s="112">
        <v>8.93</v>
      </c>
      <c r="J43" s="112">
        <v>0.54</v>
      </c>
      <c r="K43" s="112">
        <v>285.05</v>
      </c>
      <c r="L43" s="112">
        <v>33.28</v>
      </c>
      <c r="M43" s="112">
        <v>54.28</v>
      </c>
      <c r="N43" s="112">
        <v>175.2</v>
      </c>
      <c r="O43" s="112">
        <v>0</v>
      </c>
      <c r="P43" s="112">
        <v>0.81</v>
      </c>
      <c r="Q43" s="112">
        <v>4.97</v>
      </c>
    </row>
    <row r="44" spans="1:17" customFormat="1">
      <c r="A44" s="80">
        <v>45439.375</v>
      </c>
      <c r="B44" s="112">
        <v>7.22</v>
      </c>
      <c r="C44" s="112">
        <v>6.11</v>
      </c>
      <c r="D44" s="112">
        <v>13.99</v>
      </c>
      <c r="E44" s="112">
        <v>18.59</v>
      </c>
      <c r="F44" s="112">
        <v>26.93</v>
      </c>
      <c r="G44" s="112">
        <v>59.76</v>
      </c>
      <c r="H44" s="112">
        <v>25.92</v>
      </c>
      <c r="I44" s="112">
        <v>9.18</v>
      </c>
      <c r="J44" s="112">
        <v>0.57999999999999996</v>
      </c>
      <c r="K44" s="112">
        <v>289.39</v>
      </c>
      <c r="L44" s="112">
        <v>33.58</v>
      </c>
      <c r="M44" s="112">
        <v>52.33</v>
      </c>
      <c r="N44" s="112">
        <v>191</v>
      </c>
      <c r="O44" s="112">
        <v>0</v>
      </c>
      <c r="P44" s="112">
        <v>0.86</v>
      </c>
      <c r="Q44" s="112">
        <v>4.9800000000000004</v>
      </c>
    </row>
    <row r="45" spans="1:17" customFormat="1">
      <c r="A45" s="80">
        <v>45439.385416666664</v>
      </c>
      <c r="B45" s="112">
        <v>7.23</v>
      </c>
      <c r="C45" s="112">
        <v>6.11</v>
      </c>
      <c r="D45" s="112">
        <v>13.99</v>
      </c>
      <c r="E45" s="112">
        <v>17.739999999999998</v>
      </c>
      <c r="F45" s="112">
        <v>27.83</v>
      </c>
      <c r="G45" s="112">
        <v>59.76</v>
      </c>
      <c r="H45" s="112">
        <v>25.92</v>
      </c>
      <c r="I45" s="112">
        <v>9.44</v>
      </c>
      <c r="J45" s="112">
        <v>0.63</v>
      </c>
      <c r="K45" s="112">
        <v>274.25</v>
      </c>
      <c r="L45" s="112">
        <v>33.82</v>
      </c>
      <c r="M45" s="112">
        <v>50.89</v>
      </c>
      <c r="N45" s="112">
        <v>213.5</v>
      </c>
      <c r="O45" s="112">
        <v>0</v>
      </c>
      <c r="P45" s="112">
        <v>0.81</v>
      </c>
      <c r="Q45" s="112">
        <v>4.9800000000000004</v>
      </c>
    </row>
    <row r="46" spans="1:17" customFormat="1">
      <c r="A46" s="80">
        <v>45439.395833333336</v>
      </c>
      <c r="B46" s="112">
        <v>7.23</v>
      </c>
      <c r="C46" s="112">
        <v>6.09</v>
      </c>
      <c r="D46" s="112">
        <v>13.99</v>
      </c>
      <c r="E46" s="112">
        <v>18.21</v>
      </c>
      <c r="F46" s="112">
        <v>34.909999999999997</v>
      </c>
      <c r="G46" s="112">
        <v>63.16</v>
      </c>
      <c r="H46" s="112">
        <v>25.59</v>
      </c>
      <c r="I46" s="112">
        <v>9.56</v>
      </c>
      <c r="J46" s="112">
        <v>0.62</v>
      </c>
      <c r="K46" s="112">
        <v>294.33999999999997</v>
      </c>
      <c r="L46" s="112">
        <v>34.25</v>
      </c>
      <c r="M46" s="112">
        <v>48.02</v>
      </c>
      <c r="N46" s="112">
        <v>238.6</v>
      </c>
      <c r="O46" s="112">
        <v>0</v>
      </c>
      <c r="P46" s="112">
        <v>0.8</v>
      </c>
      <c r="Q46" s="112">
        <v>4.9800000000000004</v>
      </c>
    </row>
    <row r="47" spans="1:17" customFormat="1">
      <c r="A47" s="80">
        <v>45439.40625</v>
      </c>
      <c r="B47" s="112">
        <v>7.24</v>
      </c>
      <c r="C47" s="112">
        <v>6.06</v>
      </c>
      <c r="D47" s="112">
        <v>13.98</v>
      </c>
      <c r="E47" s="112">
        <v>18.21</v>
      </c>
      <c r="F47" s="112">
        <v>28.1</v>
      </c>
      <c r="G47" s="112">
        <v>63.9</v>
      </c>
      <c r="H47" s="112">
        <v>25.59</v>
      </c>
      <c r="I47" s="112">
        <v>9.33</v>
      </c>
      <c r="J47" s="112">
        <v>0.7</v>
      </c>
      <c r="K47" s="112">
        <v>311.85000000000002</v>
      </c>
      <c r="L47" s="112">
        <v>35.01</v>
      </c>
      <c r="M47" s="112">
        <v>45.65</v>
      </c>
      <c r="N47" s="112">
        <v>259.89999999999998</v>
      </c>
      <c r="O47" s="112">
        <v>0</v>
      </c>
      <c r="P47" s="112">
        <v>0.89</v>
      </c>
      <c r="Q47" s="112">
        <v>4.97</v>
      </c>
    </row>
    <row r="48" spans="1:17" customFormat="1">
      <c r="A48" s="80">
        <v>45439.416666666664</v>
      </c>
      <c r="B48" s="112">
        <v>7.25</v>
      </c>
      <c r="C48" s="112">
        <v>6.07</v>
      </c>
      <c r="D48" s="112">
        <v>13.99</v>
      </c>
      <c r="E48" s="112">
        <v>15.46</v>
      </c>
      <c r="F48" s="112">
        <v>22.42</v>
      </c>
      <c r="G48" s="112">
        <v>63.9</v>
      </c>
      <c r="H48" s="112">
        <v>25.59</v>
      </c>
      <c r="I48" s="112">
        <v>9.0299999999999994</v>
      </c>
      <c r="J48" s="112">
        <v>0.88</v>
      </c>
      <c r="K48" s="112">
        <v>296.51</v>
      </c>
      <c r="L48" s="112">
        <v>35.43</v>
      </c>
      <c r="M48" s="112">
        <v>44.12</v>
      </c>
      <c r="N48" s="112">
        <v>277.89999999999998</v>
      </c>
      <c r="O48" s="112">
        <v>0</v>
      </c>
      <c r="P48" s="112">
        <v>0.85</v>
      </c>
      <c r="Q48" s="112">
        <v>4.9800000000000004</v>
      </c>
    </row>
    <row r="49" spans="1:17" customFormat="1">
      <c r="A49" s="80">
        <v>45439.427083333336</v>
      </c>
      <c r="B49" s="112">
        <v>7.27</v>
      </c>
      <c r="C49" s="112">
        <v>6.06</v>
      </c>
      <c r="D49" s="112">
        <v>14</v>
      </c>
      <c r="E49" s="112">
        <v>10.02</v>
      </c>
      <c r="F49" s="112">
        <v>21.48</v>
      </c>
      <c r="G49" s="112">
        <v>63.9</v>
      </c>
      <c r="H49" s="112">
        <v>25.59</v>
      </c>
      <c r="I49" s="112">
        <v>8.9700000000000006</v>
      </c>
      <c r="J49" s="112">
        <v>1.02</v>
      </c>
      <c r="K49" s="112">
        <v>297.57</v>
      </c>
      <c r="L49" s="112">
        <v>35.75</v>
      </c>
      <c r="M49" s="112">
        <v>43.04</v>
      </c>
      <c r="N49" s="112">
        <v>290.5</v>
      </c>
      <c r="O49" s="112">
        <v>0</v>
      </c>
      <c r="P49" s="112">
        <v>0.85</v>
      </c>
      <c r="Q49" s="112">
        <v>5</v>
      </c>
    </row>
    <row r="50" spans="1:17" customFormat="1">
      <c r="A50" s="80">
        <v>45439.4375</v>
      </c>
      <c r="B50" s="112">
        <v>7.26</v>
      </c>
      <c r="C50" s="112">
        <v>6.07</v>
      </c>
      <c r="D50" s="112">
        <v>14</v>
      </c>
      <c r="E50" s="112">
        <v>14.02</v>
      </c>
      <c r="F50" s="112">
        <v>24.77</v>
      </c>
      <c r="G50" s="112">
        <v>67.88</v>
      </c>
      <c r="H50" s="112">
        <v>28.7</v>
      </c>
      <c r="I50" s="112">
        <v>9.06</v>
      </c>
      <c r="J50" s="112">
        <v>1</v>
      </c>
      <c r="K50" s="112">
        <v>295.43</v>
      </c>
      <c r="L50" s="112">
        <v>36.36</v>
      </c>
      <c r="M50" s="112">
        <v>42.12</v>
      </c>
      <c r="N50" s="112">
        <v>295.2</v>
      </c>
      <c r="O50" s="112">
        <v>0</v>
      </c>
      <c r="P50" s="112">
        <v>0.85</v>
      </c>
      <c r="Q50" s="112">
        <v>5</v>
      </c>
    </row>
    <row r="51" spans="1:17" customFormat="1">
      <c r="A51" s="80">
        <v>45439.447916666664</v>
      </c>
      <c r="B51" s="112">
        <v>7.29</v>
      </c>
      <c r="C51" s="112">
        <v>6.06</v>
      </c>
      <c r="D51" s="112">
        <v>14.02</v>
      </c>
      <c r="E51" s="112">
        <v>14.4</v>
      </c>
      <c r="F51" s="112">
        <v>29.24</v>
      </c>
      <c r="G51" s="112">
        <v>68.739999999999995</v>
      </c>
      <c r="H51" s="112">
        <v>28.7</v>
      </c>
      <c r="I51" s="112">
        <v>9.15</v>
      </c>
      <c r="J51" s="112">
        <v>0.67</v>
      </c>
      <c r="K51" s="112">
        <v>307.37</v>
      </c>
      <c r="L51" s="112">
        <v>37.25</v>
      </c>
      <c r="M51" s="112">
        <v>40.549999999999997</v>
      </c>
      <c r="N51" s="112">
        <v>298.8</v>
      </c>
      <c r="O51" s="112">
        <v>0</v>
      </c>
      <c r="P51" s="112">
        <v>0.85</v>
      </c>
      <c r="Q51" s="112">
        <v>4.99</v>
      </c>
    </row>
    <row r="52" spans="1:17" customFormat="1">
      <c r="A52" s="80">
        <v>45439.458333333336</v>
      </c>
      <c r="B52" s="112">
        <v>7.32</v>
      </c>
      <c r="C52" s="112">
        <v>6.09</v>
      </c>
      <c r="D52" s="112">
        <v>14.06</v>
      </c>
      <c r="E52" s="112">
        <v>16.52</v>
      </c>
      <c r="F52" s="112">
        <v>30.75</v>
      </c>
      <c r="G52" s="112">
        <v>68.739999999999995</v>
      </c>
      <c r="H52" s="112">
        <v>28.7</v>
      </c>
      <c r="I52" s="112">
        <v>9.2200000000000006</v>
      </c>
      <c r="J52" s="112">
        <v>0.85</v>
      </c>
      <c r="K52" s="112">
        <v>288.77999999999997</v>
      </c>
      <c r="L52" s="112">
        <v>37.83</v>
      </c>
      <c r="M52" s="112">
        <v>39.19</v>
      </c>
      <c r="N52" s="112">
        <v>301</v>
      </c>
      <c r="O52" s="112">
        <v>0</v>
      </c>
      <c r="P52" s="112">
        <v>0.85</v>
      </c>
      <c r="Q52" s="112">
        <v>4.97</v>
      </c>
    </row>
    <row r="53" spans="1:17" customFormat="1">
      <c r="A53" s="80">
        <v>45439.46875</v>
      </c>
      <c r="B53" s="112">
        <v>7.33</v>
      </c>
      <c r="C53" s="112">
        <v>6.12</v>
      </c>
      <c r="D53" s="112">
        <v>14.09</v>
      </c>
      <c r="E53" s="112">
        <v>18.3</v>
      </c>
      <c r="F53" s="112">
        <v>29.74</v>
      </c>
      <c r="G53" s="112">
        <v>68.739999999999995</v>
      </c>
      <c r="H53" s="112">
        <v>28.7</v>
      </c>
      <c r="I53" s="112">
        <v>9.33</v>
      </c>
      <c r="J53" s="112">
        <v>1</v>
      </c>
      <c r="K53" s="112">
        <v>301.19</v>
      </c>
      <c r="L53" s="112">
        <v>38.32</v>
      </c>
      <c r="M53" s="112">
        <v>38.6</v>
      </c>
      <c r="N53" s="112">
        <v>315.39999999999998</v>
      </c>
      <c r="O53" s="112">
        <v>0</v>
      </c>
      <c r="P53" s="112">
        <v>0.85</v>
      </c>
      <c r="Q53" s="112">
        <v>4.9800000000000004</v>
      </c>
    </row>
    <row r="54" spans="1:17" customFormat="1">
      <c r="A54" s="80">
        <v>45439.479166666664</v>
      </c>
      <c r="B54" s="112">
        <v>7.29</v>
      </c>
      <c r="C54" s="112">
        <v>6.09</v>
      </c>
      <c r="D54" s="112">
        <v>14.04</v>
      </c>
      <c r="E54" s="112">
        <v>20.420000000000002</v>
      </c>
      <c r="F54" s="112">
        <v>41.14</v>
      </c>
      <c r="G54" s="112">
        <v>75.88</v>
      </c>
      <c r="H54" s="112">
        <v>32.729999999999997</v>
      </c>
      <c r="I54" s="112">
        <v>9.19</v>
      </c>
      <c r="J54" s="112">
        <v>0.97</v>
      </c>
      <c r="K54" s="112">
        <v>298.43</v>
      </c>
      <c r="L54" s="112">
        <v>38.909999999999997</v>
      </c>
      <c r="M54" s="112">
        <v>37.409999999999997</v>
      </c>
      <c r="N54" s="112">
        <v>356.6</v>
      </c>
      <c r="O54" s="112">
        <v>0</v>
      </c>
      <c r="P54" s="112">
        <v>0.87</v>
      </c>
      <c r="Q54" s="112">
        <v>4.97</v>
      </c>
    </row>
    <row r="55" spans="1:17" customFormat="1">
      <c r="A55" s="80">
        <v>45439.489583333336</v>
      </c>
      <c r="B55" s="112">
        <v>7.26</v>
      </c>
      <c r="C55" s="112">
        <v>6.09</v>
      </c>
      <c r="D55" s="112">
        <v>14.01</v>
      </c>
      <c r="E55" s="112">
        <v>20.3</v>
      </c>
      <c r="F55" s="112">
        <v>35.43</v>
      </c>
      <c r="G55" s="112">
        <v>77.42</v>
      </c>
      <c r="H55" s="112">
        <v>32.729999999999997</v>
      </c>
      <c r="I55" s="112">
        <v>9.11</v>
      </c>
      <c r="J55" s="112">
        <v>1.1000000000000001</v>
      </c>
      <c r="K55" s="112">
        <v>305.08999999999997</v>
      </c>
      <c r="L55" s="112">
        <v>39.67</v>
      </c>
      <c r="M55" s="112">
        <v>35.1</v>
      </c>
      <c r="N55" s="112">
        <v>530.1</v>
      </c>
      <c r="O55" s="112">
        <v>0</v>
      </c>
      <c r="P55" s="112">
        <v>0.86</v>
      </c>
      <c r="Q55" s="112">
        <v>4.9800000000000004</v>
      </c>
    </row>
    <row r="56" spans="1:17" customFormat="1">
      <c r="A56" s="80">
        <v>45439.5</v>
      </c>
      <c r="B56" s="112">
        <v>7.25</v>
      </c>
      <c r="C56" s="112">
        <v>6.08</v>
      </c>
      <c r="D56" s="112">
        <v>14</v>
      </c>
      <c r="E56" s="112">
        <v>19.899999999999999</v>
      </c>
      <c r="F56" s="112">
        <v>37.22</v>
      </c>
      <c r="G56" s="112">
        <v>77.42</v>
      </c>
      <c r="H56" s="112">
        <v>32.729999999999997</v>
      </c>
      <c r="I56" s="112">
        <v>8.99</v>
      </c>
      <c r="J56" s="112">
        <v>1.1000000000000001</v>
      </c>
      <c r="K56" s="112">
        <v>296.44</v>
      </c>
      <c r="L56" s="112">
        <v>40.24</v>
      </c>
      <c r="M56" s="112">
        <v>33.93</v>
      </c>
      <c r="N56" s="112">
        <v>764.7</v>
      </c>
      <c r="O56" s="112">
        <v>0</v>
      </c>
      <c r="P56" s="112">
        <v>0.84</v>
      </c>
      <c r="Q56" s="112">
        <v>5</v>
      </c>
    </row>
    <row r="57" spans="1:17" customFormat="1">
      <c r="A57" s="80">
        <v>45439.510416666664</v>
      </c>
      <c r="B57" s="112">
        <v>7.25</v>
      </c>
      <c r="C57" s="112">
        <v>6.1</v>
      </c>
      <c r="D57" s="112">
        <v>14.02</v>
      </c>
      <c r="E57" s="112">
        <v>20.28</v>
      </c>
      <c r="F57" s="112">
        <v>35.22</v>
      </c>
      <c r="G57" s="112">
        <v>77.42</v>
      </c>
      <c r="H57" s="112">
        <v>32.729999999999997</v>
      </c>
      <c r="I57" s="112">
        <v>8.84</v>
      </c>
      <c r="J57" s="112">
        <v>1.05</v>
      </c>
      <c r="K57" s="112">
        <v>299.91000000000003</v>
      </c>
      <c r="L57" s="112">
        <v>41.33</v>
      </c>
      <c r="M57" s="112">
        <v>29.99</v>
      </c>
      <c r="N57" s="112">
        <v>819.5</v>
      </c>
      <c r="O57" s="112">
        <v>0</v>
      </c>
      <c r="P57" s="112">
        <v>0.81</v>
      </c>
      <c r="Q57" s="112">
        <v>5</v>
      </c>
    </row>
    <row r="58" spans="1:17" customFormat="1">
      <c r="A58" s="80">
        <v>45439.520833333336</v>
      </c>
      <c r="B58" s="112">
        <v>7.25</v>
      </c>
      <c r="C58" s="112">
        <v>6.09</v>
      </c>
      <c r="D58" s="112">
        <v>14.01</v>
      </c>
      <c r="E58" s="112">
        <v>18.47</v>
      </c>
      <c r="F58" s="112">
        <v>35.909999999999997</v>
      </c>
      <c r="G58" s="112">
        <v>101.4</v>
      </c>
      <c r="H58" s="112">
        <v>33.18</v>
      </c>
      <c r="I58" s="112">
        <v>8.57</v>
      </c>
      <c r="J58" s="112">
        <v>1.29</v>
      </c>
      <c r="K58" s="112">
        <v>290.08999999999997</v>
      </c>
      <c r="L58" s="112">
        <v>41.46</v>
      </c>
      <c r="M58" s="112">
        <v>29.11</v>
      </c>
      <c r="N58" s="112">
        <v>807.5</v>
      </c>
      <c r="O58" s="112">
        <v>0</v>
      </c>
      <c r="P58" s="112">
        <v>0.78</v>
      </c>
      <c r="Q58" s="112">
        <v>4.99</v>
      </c>
    </row>
    <row r="59" spans="1:17" customFormat="1">
      <c r="A59" s="80">
        <v>45439.53125</v>
      </c>
      <c r="B59" s="112">
        <v>7.25</v>
      </c>
      <c r="C59" s="112">
        <v>6.08</v>
      </c>
      <c r="D59" s="112">
        <v>14</v>
      </c>
      <c r="E59" s="112">
        <v>15.71</v>
      </c>
      <c r="F59" s="112">
        <v>31.54</v>
      </c>
      <c r="G59" s="112">
        <v>106.59</v>
      </c>
      <c r="H59" s="112">
        <v>33.18</v>
      </c>
      <c r="I59" s="112">
        <v>8.2100000000000009</v>
      </c>
      <c r="J59" s="112">
        <v>1.44</v>
      </c>
      <c r="K59" s="112">
        <v>280.54000000000002</v>
      </c>
      <c r="L59" s="112">
        <v>41.81</v>
      </c>
      <c r="M59" s="112">
        <v>27.98</v>
      </c>
      <c r="N59" s="112">
        <v>793.5</v>
      </c>
      <c r="O59" s="112">
        <v>0</v>
      </c>
      <c r="P59" s="112">
        <v>0.75</v>
      </c>
      <c r="Q59" s="112">
        <v>4.9800000000000004</v>
      </c>
    </row>
    <row r="60" spans="1:17" customFormat="1">
      <c r="A60" s="80">
        <v>45439.541666666664</v>
      </c>
      <c r="B60" s="112">
        <v>7.26</v>
      </c>
      <c r="C60" s="112">
        <v>6.07</v>
      </c>
      <c r="D60" s="112">
        <v>14</v>
      </c>
      <c r="E60" s="112">
        <v>15.32</v>
      </c>
      <c r="F60" s="112">
        <v>33.92</v>
      </c>
      <c r="G60" s="112">
        <v>106.59</v>
      </c>
      <c r="H60" s="112">
        <v>33.18</v>
      </c>
      <c r="I60" s="112">
        <v>8.0399999999999991</v>
      </c>
      <c r="J60" s="112">
        <v>1.36</v>
      </c>
      <c r="K60" s="112">
        <v>296.63</v>
      </c>
      <c r="L60" s="112">
        <v>42.2</v>
      </c>
      <c r="M60" s="112">
        <v>26.56</v>
      </c>
      <c r="N60" s="112">
        <v>783.5</v>
      </c>
      <c r="O60" s="112">
        <v>0</v>
      </c>
      <c r="P60" s="112">
        <v>0.73</v>
      </c>
      <c r="Q60" s="112">
        <v>4.99</v>
      </c>
    </row>
    <row r="61" spans="1:17" customFormat="1">
      <c r="A61" s="80">
        <v>45439.552083333336</v>
      </c>
      <c r="B61" s="112">
        <v>7.26</v>
      </c>
      <c r="C61" s="112">
        <v>6.1</v>
      </c>
      <c r="D61" s="112">
        <v>14.01</v>
      </c>
      <c r="E61" s="112">
        <v>17.61</v>
      </c>
      <c r="F61" s="112">
        <v>41.98</v>
      </c>
      <c r="G61" s="112">
        <v>106.59</v>
      </c>
      <c r="H61" s="112">
        <v>33.18</v>
      </c>
      <c r="I61" s="112">
        <v>7.87</v>
      </c>
      <c r="J61" s="112">
        <v>1.1499999999999999</v>
      </c>
      <c r="K61" s="112">
        <v>311.38</v>
      </c>
      <c r="L61" s="112">
        <v>42.66</v>
      </c>
      <c r="M61" s="112">
        <v>25.33</v>
      </c>
      <c r="N61" s="112">
        <v>695.7</v>
      </c>
      <c r="O61" s="112">
        <v>0</v>
      </c>
      <c r="P61" s="112">
        <v>0.68</v>
      </c>
      <c r="Q61" s="112">
        <v>4.97</v>
      </c>
    </row>
    <row r="62" spans="1:17" customFormat="1">
      <c r="A62" s="80">
        <v>45439.5625</v>
      </c>
      <c r="B62" s="112">
        <v>7.25</v>
      </c>
      <c r="C62" s="112">
        <v>6.07</v>
      </c>
      <c r="D62" s="112">
        <v>13.99</v>
      </c>
      <c r="E62" s="112">
        <v>16.149999999999999</v>
      </c>
      <c r="F62" s="112">
        <v>40.44</v>
      </c>
      <c r="G62" s="112">
        <v>86</v>
      </c>
      <c r="H62" s="112">
        <v>31.5</v>
      </c>
      <c r="I62" s="112">
        <v>7.37</v>
      </c>
      <c r="J62" s="112">
        <v>1.37</v>
      </c>
      <c r="K62" s="112">
        <v>295.02</v>
      </c>
      <c r="L62" s="112">
        <v>42.4</v>
      </c>
      <c r="M62" s="112">
        <v>25.11</v>
      </c>
      <c r="N62" s="112">
        <v>396.6</v>
      </c>
      <c r="O62" s="112">
        <v>0</v>
      </c>
      <c r="P62" s="112">
        <v>0.68</v>
      </c>
      <c r="Q62" s="112">
        <v>4.9800000000000004</v>
      </c>
    </row>
    <row r="63" spans="1:17" customFormat="1">
      <c r="A63" s="80">
        <v>45439.572916666664</v>
      </c>
      <c r="B63" s="112">
        <v>7.25</v>
      </c>
      <c r="C63" s="112">
        <v>6.04</v>
      </c>
      <c r="D63" s="112">
        <v>13.98</v>
      </c>
      <c r="E63" s="112">
        <v>16.53</v>
      </c>
      <c r="F63" s="112">
        <v>44.76</v>
      </c>
      <c r="G63" s="112">
        <v>81.55</v>
      </c>
      <c r="H63" s="112">
        <v>31.5</v>
      </c>
      <c r="I63" s="112">
        <v>7.16</v>
      </c>
      <c r="J63" s="112">
        <v>1.0900000000000001</v>
      </c>
      <c r="K63" s="112">
        <v>326.88</v>
      </c>
      <c r="L63" s="112">
        <v>42.53</v>
      </c>
      <c r="M63" s="112">
        <v>24.64</v>
      </c>
      <c r="N63" s="112">
        <v>413.5</v>
      </c>
      <c r="O63" s="112">
        <v>0</v>
      </c>
      <c r="P63" s="112">
        <v>0.67</v>
      </c>
      <c r="Q63" s="112">
        <v>4.9800000000000004</v>
      </c>
    </row>
    <row r="64" spans="1:17" customFormat="1">
      <c r="A64" s="80">
        <v>45439.583333333336</v>
      </c>
      <c r="B64" s="112">
        <v>7.25</v>
      </c>
      <c r="C64" s="112">
        <v>6.07</v>
      </c>
      <c r="D64" s="112">
        <v>14</v>
      </c>
      <c r="E64" s="112">
        <v>18.920000000000002</v>
      </c>
      <c r="F64" s="112">
        <v>46.23</v>
      </c>
      <c r="G64" s="112">
        <v>81.55</v>
      </c>
      <c r="H64" s="112">
        <v>31.5</v>
      </c>
      <c r="I64" s="112">
        <v>7.21</v>
      </c>
      <c r="J64" s="112">
        <v>0.86</v>
      </c>
      <c r="K64" s="112">
        <v>337.01</v>
      </c>
      <c r="L64" s="112">
        <v>42.5</v>
      </c>
      <c r="M64" s="112">
        <v>24.6</v>
      </c>
      <c r="N64" s="112">
        <v>506.9</v>
      </c>
      <c r="O64" s="112">
        <v>0</v>
      </c>
      <c r="P64" s="112">
        <v>0.65</v>
      </c>
      <c r="Q64" s="112">
        <v>4.9800000000000004</v>
      </c>
    </row>
    <row r="65" spans="1:17" customFormat="1">
      <c r="A65" s="80">
        <v>45439.59375</v>
      </c>
      <c r="B65" s="112">
        <v>7.24</v>
      </c>
      <c r="C65" s="112">
        <v>6.1</v>
      </c>
      <c r="D65" s="112">
        <v>14</v>
      </c>
      <c r="E65" s="112">
        <v>16.39</v>
      </c>
      <c r="F65" s="112">
        <v>39.07</v>
      </c>
      <c r="G65" s="112">
        <v>81.55</v>
      </c>
      <c r="H65" s="112">
        <v>31.5</v>
      </c>
      <c r="I65" s="112">
        <v>6.82</v>
      </c>
      <c r="J65" s="112">
        <v>1.07</v>
      </c>
      <c r="K65" s="112">
        <v>287.02999999999997</v>
      </c>
      <c r="L65" s="112">
        <v>42.65</v>
      </c>
      <c r="M65" s="112">
        <v>24.25</v>
      </c>
      <c r="N65" s="112">
        <v>564.5</v>
      </c>
      <c r="O65" s="112">
        <v>0</v>
      </c>
      <c r="P65" s="112">
        <v>0.62</v>
      </c>
      <c r="Q65" s="112">
        <v>4.97</v>
      </c>
    </row>
    <row r="66" spans="1:17" customFormat="1">
      <c r="A66" s="80">
        <v>45439.604166666664</v>
      </c>
      <c r="B66" s="112">
        <v>7.24</v>
      </c>
      <c r="C66" s="112">
        <v>6.12</v>
      </c>
      <c r="D66" s="112">
        <v>14.01</v>
      </c>
      <c r="E66" s="112">
        <v>16.97</v>
      </c>
      <c r="F66" s="112">
        <v>47.91</v>
      </c>
      <c r="G66" s="112">
        <v>74.709999999999994</v>
      </c>
      <c r="H66" s="112">
        <v>27.72</v>
      </c>
      <c r="I66" s="112">
        <v>6.63</v>
      </c>
      <c r="J66" s="112">
        <v>1.0900000000000001</v>
      </c>
      <c r="K66" s="112">
        <v>335.8</v>
      </c>
      <c r="L66" s="112">
        <v>42.89</v>
      </c>
      <c r="M66" s="112">
        <v>23.31</v>
      </c>
      <c r="N66" s="112">
        <v>480.2</v>
      </c>
      <c r="O66" s="112">
        <v>0</v>
      </c>
      <c r="P66" s="112">
        <v>0.64</v>
      </c>
      <c r="Q66" s="112">
        <v>4.97</v>
      </c>
    </row>
    <row r="67" spans="1:17" customFormat="1">
      <c r="A67" s="80">
        <v>45439.614583333336</v>
      </c>
      <c r="B67" s="112">
        <v>7.25</v>
      </c>
      <c r="C67" s="112">
        <v>6.1</v>
      </c>
      <c r="D67" s="112">
        <v>14.01</v>
      </c>
      <c r="E67" s="112">
        <v>19.100000000000001</v>
      </c>
      <c r="F67" s="112">
        <v>54.24</v>
      </c>
      <c r="G67" s="112">
        <v>73.239999999999995</v>
      </c>
      <c r="H67" s="112">
        <v>27.72</v>
      </c>
      <c r="I67" s="112">
        <v>6.61</v>
      </c>
      <c r="J67" s="112">
        <v>0.91</v>
      </c>
      <c r="K67" s="112">
        <v>33.840000000000003</v>
      </c>
      <c r="L67" s="112">
        <v>42.57</v>
      </c>
      <c r="M67" s="112">
        <v>23.56</v>
      </c>
      <c r="N67" s="112">
        <v>289.89999999999998</v>
      </c>
      <c r="O67" s="112">
        <v>0</v>
      </c>
      <c r="P67" s="112">
        <v>0.62</v>
      </c>
      <c r="Q67" s="112">
        <v>4.9800000000000004</v>
      </c>
    </row>
    <row r="68" spans="1:17" customFormat="1">
      <c r="A68" s="80">
        <v>45439.625</v>
      </c>
      <c r="B68" s="112">
        <v>7.26</v>
      </c>
      <c r="C68" s="112">
        <v>6.11</v>
      </c>
      <c r="D68" s="112">
        <v>14.02</v>
      </c>
      <c r="E68" s="112">
        <v>18.95</v>
      </c>
      <c r="F68" s="112">
        <v>42.37</v>
      </c>
      <c r="G68" s="112">
        <v>73.239999999999995</v>
      </c>
      <c r="H68" s="112">
        <v>27.72</v>
      </c>
      <c r="I68" s="112">
        <v>6.36</v>
      </c>
      <c r="J68" s="112">
        <v>1.48</v>
      </c>
      <c r="K68" s="112">
        <v>309.27999999999997</v>
      </c>
      <c r="L68" s="112">
        <v>41.97</v>
      </c>
      <c r="M68" s="112">
        <v>22.79</v>
      </c>
      <c r="N68" s="112">
        <v>266.8</v>
      </c>
      <c r="O68" s="112">
        <v>0</v>
      </c>
      <c r="P68" s="112">
        <v>0.63</v>
      </c>
      <c r="Q68" s="112">
        <v>4.96</v>
      </c>
    </row>
    <row r="69" spans="1:17" customFormat="1">
      <c r="A69" s="80">
        <v>45439.635416666664</v>
      </c>
      <c r="B69" s="112">
        <v>7.3</v>
      </c>
      <c r="C69" s="112">
        <v>6.07</v>
      </c>
      <c r="D69" s="112">
        <v>14.03</v>
      </c>
      <c r="E69" s="112">
        <v>21.52</v>
      </c>
      <c r="F69" s="112">
        <v>69.73</v>
      </c>
      <c r="G69" s="112">
        <v>73.239999999999995</v>
      </c>
      <c r="H69" s="112">
        <v>27.72</v>
      </c>
      <c r="I69" s="112">
        <v>6.03</v>
      </c>
      <c r="J69" s="112">
        <v>1.25</v>
      </c>
      <c r="K69" s="112">
        <v>38</v>
      </c>
      <c r="L69" s="112">
        <v>41.97</v>
      </c>
      <c r="M69" s="112">
        <v>22.74</v>
      </c>
      <c r="N69" s="112">
        <v>312.2</v>
      </c>
      <c r="O69" s="112">
        <v>0</v>
      </c>
      <c r="P69" s="112">
        <v>0.61</v>
      </c>
      <c r="Q69" s="112">
        <v>4.95</v>
      </c>
    </row>
    <row r="70" spans="1:17" customFormat="1">
      <c r="A70" s="80">
        <v>45439.645833333336</v>
      </c>
      <c r="B70" s="112">
        <v>7.35</v>
      </c>
      <c r="C70" s="112">
        <v>6.07</v>
      </c>
      <c r="D70" s="112">
        <v>14.07</v>
      </c>
      <c r="E70" s="112">
        <v>24.98</v>
      </c>
      <c r="F70" s="112">
        <v>75.209999999999994</v>
      </c>
      <c r="G70" s="112">
        <v>70.349999999999994</v>
      </c>
      <c r="H70" s="112">
        <v>27.13</v>
      </c>
      <c r="I70" s="112">
        <v>5.86</v>
      </c>
      <c r="J70" s="112">
        <v>0.43</v>
      </c>
      <c r="K70" s="112">
        <v>5.23</v>
      </c>
      <c r="L70" s="112">
        <v>42.2</v>
      </c>
      <c r="M70" s="112">
        <v>22.72</v>
      </c>
      <c r="N70" s="112">
        <v>276.7</v>
      </c>
      <c r="O70" s="112">
        <v>0</v>
      </c>
      <c r="P70" s="112">
        <v>0.6</v>
      </c>
      <c r="Q70" s="112">
        <v>4.9400000000000004</v>
      </c>
    </row>
    <row r="71" spans="1:17" customFormat="1">
      <c r="A71" s="80">
        <v>45439.65625</v>
      </c>
      <c r="B71" s="112">
        <v>7.32</v>
      </c>
      <c r="C71" s="112">
        <v>6.09</v>
      </c>
      <c r="D71" s="112">
        <v>14.06</v>
      </c>
      <c r="E71" s="112">
        <v>23.05</v>
      </c>
      <c r="F71" s="112">
        <v>54.33</v>
      </c>
      <c r="G71" s="112">
        <v>69.73</v>
      </c>
      <c r="H71" s="112">
        <v>27.13</v>
      </c>
      <c r="I71" s="112">
        <v>5.45</v>
      </c>
      <c r="J71" s="112">
        <v>0.86</v>
      </c>
      <c r="K71" s="112">
        <v>292.02999999999997</v>
      </c>
      <c r="L71" s="112">
        <v>42.38</v>
      </c>
      <c r="M71" s="112">
        <v>22.8</v>
      </c>
      <c r="N71" s="112">
        <v>256.60000000000002</v>
      </c>
      <c r="O71" s="112">
        <v>0</v>
      </c>
      <c r="P71" s="112">
        <v>0.61</v>
      </c>
      <c r="Q71" s="112">
        <v>4.95</v>
      </c>
    </row>
    <row r="72" spans="1:17" customFormat="1">
      <c r="A72" s="80">
        <v>45439.666666666664</v>
      </c>
      <c r="B72" s="112">
        <v>7.28</v>
      </c>
      <c r="C72" s="112">
        <v>6.1</v>
      </c>
      <c r="D72" s="112">
        <v>14.03</v>
      </c>
      <c r="E72" s="112">
        <v>19.07</v>
      </c>
      <c r="F72" s="112">
        <v>45.42</v>
      </c>
      <c r="G72" s="112">
        <v>69.73</v>
      </c>
      <c r="H72" s="112">
        <v>27.13</v>
      </c>
      <c r="I72" s="112">
        <v>5.13</v>
      </c>
      <c r="J72" s="112">
        <v>1.1100000000000001</v>
      </c>
      <c r="K72" s="112">
        <v>281.89999999999998</v>
      </c>
      <c r="L72" s="112">
        <v>42.13</v>
      </c>
      <c r="M72" s="112">
        <v>22.64</v>
      </c>
      <c r="N72" s="112">
        <v>203.5</v>
      </c>
      <c r="O72" s="112">
        <v>0</v>
      </c>
      <c r="P72" s="112">
        <v>0.62</v>
      </c>
      <c r="Q72" s="112">
        <v>4.95</v>
      </c>
    </row>
    <row r="73" spans="1:17" customFormat="1">
      <c r="A73" s="80">
        <v>45439.677083333336</v>
      </c>
      <c r="B73" s="112">
        <v>7.28</v>
      </c>
      <c r="C73" s="112">
        <v>6.1</v>
      </c>
      <c r="D73" s="112">
        <v>14.03</v>
      </c>
      <c r="E73" s="112">
        <v>15.15</v>
      </c>
      <c r="F73" s="112">
        <v>53.23</v>
      </c>
      <c r="G73" s="112">
        <v>69.73</v>
      </c>
      <c r="H73" s="112">
        <v>27.13</v>
      </c>
      <c r="I73" s="112">
        <v>5.33</v>
      </c>
      <c r="J73" s="112">
        <v>0.8</v>
      </c>
      <c r="K73" s="112">
        <v>264.08999999999997</v>
      </c>
      <c r="L73" s="112">
        <v>41.53</v>
      </c>
      <c r="M73" s="112">
        <v>23.46</v>
      </c>
      <c r="N73" s="112">
        <v>150.6</v>
      </c>
      <c r="O73" s="112">
        <v>0</v>
      </c>
      <c r="P73" s="112">
        <v>0.59</v>
      </c>
      <c r="Q73" s="112">
        <v>4.95</v>
      </c>
    </row>
    <row r="74" spans="1:17" customFormat="1">
      <c r="A74" s="80">
        <v>45439.6875</v>
      </c>
      <c r="B74" s="112">
        <v>7.26</v>
      </c>
      <c r="C74" s="112">
        <v>6.1</v>
      </c>
      <c r="D74" s="112">
        <v>14.02</v>
      </c>
      <c r="E74" s="112">
        <v>16.48</v>
      </c>
      <c r="F74" s="112">
        <v>73.17</v>
      </c>
      <c r="G74" s="112">
        <v>69.349999999999994</v>
      </c>
      <c r="H74" s="112">
        <v>23.7</v>
      </c>
      <c r="I74" s="112">
        <v>5.57</v>
      </c>
      <c r="J74" s="112">
        <v>0.41</v>
      </c>
      <c r="K74" s="112">
        <v>244.31</v>
      </c>
      <c r="L74" s="112">
        <v>41.55</v>
      </c>
      <c r="M74" s="112">
        <v>23.8</v>
      </c>
      <c r="N74" s="112">
        <v>128.4</v>
      </c>
      <c r="O74" s="112">
        <v>0</v>
      </c>
      <c r="P74" s="112">
        <v>0.54</v>
      </c>
      <c r="Q74" s="112">
        <v>4.9400000000000004</v>
      </c>
    </row>
    <row r="75" spans="1:17" customFormat="1">
      <c r="A75" s="80">
        <v>45439.697916666664</v>
      </c>
      <c r="B75" s="112">
        <v>7.24</v>
      </c>
      <c r="C75" s="112">
        <v>6.1</v>
      </c>
      <c r="D75" s="112">
        <v>14.01</v>
      </c>
      <c r="E75" s="112">
        <v>16.27</v>
      </c>
      <c r="F75" s="112">
        <v>71.58</v>
      </c>
      <c r="G75" s="112">
        <v>69.27</v>
      </c>
      <c r="H75" s="112">
        <v>23.7</v>
      </c>
      <c r="I75" s="112">
        <v>5.15</v>
      </c>
      <c r="J75" s="112">
        <v>0.28000000000000003</v>
      </c>
      <c r="K75" s="112">
        <v>232.72</v>
      </c>
      <c r="L75" s="112">
        <v>41.57</v>
      </c>
      <c r="M75" s="112">
        <v>24.32</v>
      </c>
      <c r="N75" s="112">
        <v>98.6</v>
      </c>
      <c r="O75" s="112">
        <v>0</v>
      </c>
      <c r="P75" s="112">
        <v>0.52</v>
      </c>
      <c r="Q75" s="112">
        <v>4.9400000000000004</v>
      </c>
    </row>
    <row r="76" spans="1:17" customFormat="1">
      <c r="A76" s="80">
        <v>45439.708333333336</v>
      </c>
      <c r="B76" s="112">
        <v>7.25</v>
      </c>
      <c r="C76" s="112">
        <v>6.12</v>
      </c>
      <c r="D76" s="112">
        <v>14.02</v>
      </c>
      <c r="E76" s="112">
        <v>16.52</v>
      </c>
      <c r="F76" s="112">
        <v>77.2</v>
      </c>
      <c r="G76" s="112">
        <v>69.27</v>
      </c>
      <c r="H76" s="112">
        <v>23.7</v>
      </c>
      <c r="I76" s="112">
        <v>4.55</v>
      </c>
      <c r="J76" s="112">
        <v>0.2</v>
      </c>
      <c r="K76" s="112">
        <v>190.21</v>
      </c>
      <c r="L76" s="112">
        <v>41.29</v>
      </c>
      <c r="M76" s="112">
        <v>25.28</v>
      </c>
      <c r="N76" s="112">
        <v>78.8</v>
      </c>
      <c r="O76" s="112">
        <v>0</v>
      </c>
      <c r="P76" s="112">
        <v>0.5</v>
      </c>
      <c r="Q76" s="112">
        <v>4.95</v>
      </c>
    </row>
    <row r="77" spans="1:17" customFormat="1">
      <c r="A77" s="80">
        <v>45439.71875</v>
      </c>
      <c r="B77" s="112">
        <v>7.23</v>
      </c>
      <c r="C77" s="112">
        <v>6.07</v>
      </c>
      <c r="D77" s="112">
        <v>13.97</v>
      </c>
      <c r="E77" s="112">
        <v>16.57</v>
      </c>
      <c r="F77" s="112">
        <v>75.59</v>
      </c>
      <c r="G77" s="112">
        <v>69.27</v>
      </c>
      <c r="H77" s="112">
        <v>23.7</v>
      </c>
      <c r="I77" s="112">
        <v>4.3</v>
      </c>
      <c r="J77" s="112">
        <v>0.18</v>
      </c>
      <c r="K77" s="112">
        <v>186.85</v>
      </c>
      <c r="L77" s="112">
        <v>40.94</v>
      </c>
      <c r="M77" s="112">
        <v>25.75</v>
      </c>
      <c r="N77" s="112">
        <v>62.4</v>
      </c>
      <c r="O77" s="112">
        <v>0</v>
      </c>
      <c r="P77" s="112">
        <v>0.5</v>
      </c>
      <c r="Q77" s="112">
        <v>4.95</v>
      </c>
    </row>
    <row r="78" spans="1:17" customFormat="1">
      <c r="A78" s="80">
        <v>45439.729166666664</v>
      </c>
      <c r="B78" s="112">
        <v>7.2</v>
      </c>
      <c r="C78" s="112">
        <v>6.08</v>
      </c>
      <c r="D78" s="112">
        <v>13.96</v>
      </c>
      <c r="E78" s="112">
        <v>16.87</v>
      </c>
      <c r="F78" s="112">
        <v>81.319999999999993</v>
      </c>
      <c r="G78" s="112">
        <v>58.14</v>
      </c>
      <c r="H78" s="112">
        <v>23.39</v>
      </c>
      <c r="I78" s="112">
        <v>4.0999999999999996</v>
      </c>
      <c r="J78" s="112">
        <v>0.18</v>
      </c>
      <c r="K78" s="112">
        <v>160.27000000000001</v>
      </c>
      <c r="L78" s="112">
        <v>40.69</v>
      </c>
      <c r="M78" s="112">
        <v>26.52</v>
      </c>
      <c r="N78" s="112">
        <v>46.9</v>
      </c>
      <c r="O78" s="112">
        <v>0</v>
      </c>
      <c r="P78" s="112">
        <v>0.53</v>
      </c>
      <c r="Q78" s="112">
        <v>4.95</v>
      </c>
    </row>
    <row r="79" spans="1:17" customFormat="1">
      <c r="A79" s="80">
        <v>45439.739583333336</v>
      </c>
      <c r="B79" s="112">
        <v>7.2</v>
      </c>
      <c r="C79" s="112">
        <v>6.1</v>
      </c>
      <c r="D79" s="112">
        <v>13.96</v>
      </c>
      <c r="E79" s="112">
        <v>16.329999999999998</v>
      </c>
      <c r="F79" s="112">
        <v>78.52</v>
      </c>
      <c r="G79" s="112">
        <v>55.73</v>
      </c>
      <c r="H79" s="112">
        <v>23.39</v>
      </c>
      <c r="I79" s="112">
        <v>3.9</v>
      </c>
      <c r="J79" s="112">
        <v>0.22</v>
      </c>
      <c r="K79" s="112">
        <v>158.96</v>
      </c>
      <c r="L79" s="112">
        <v>40.03</v>
      </c>
      <c r="M79" s="112">
        <v>27.43</v>
      </c>
      <c r="N79" s="112">
        <v>30</v>
      </c>
      <c r="O79" s="112">
        <v>0</v>
      </c>
      <c r="P79" s="112">
        <v>0.52</v>
      </c>
      <c r="Q79" s="112">
        <v>4.9400000000000004</v>
      </c>
    </row>
    <row r="80" spans="1:17" customFormat="1">
      <c r="A80" s="80">
        <v>45439.75</v>
      </c>
      <c r="B80" s="112">
        <v>7.19</v>
      </c>
      <c r="C80" s="112">
        <v>6.07</v>
      </c>
      <c r="D80" s="112">
        <v>13.95</v>
      </c>
      <c r="E80" s="112">
        <v>16.38</v>
      </c>
      <c r="F80" s="112">
        <v>77.819999999999993</v>
      </c>
      <c r="G80" s="112">
        <v>55.73</v>
      </c>
      <c r="H80" s="112">
        <v>23.39</v>
      </c>
      <c r="I80" s="112">
        <v>4.08</v>
      </c>
      <c r="J80" s="112">
        <v>0.2</v>
      </c>
      <c r="K80" s="112">
        <v>153.99</v>
      </c>
      <c r="L80" s="112">
        <v>39.74</v>
      </c>
      <c r="M80" s="112">
        <v>28.53</v>
      </c>
      <c r="N80" s="112">
        <v>13.4</v>
      </c>
      <c r="O80" s="112">
        <v>0</v>
      </c>
      <c r="P80" s="112">
        <v>0.49</v>
      </c>
      <c r="Q80" s="112">
        <v>4.96</v>
      </c>
    </row>
    <row r="81" spans="1:17" customFormat="1">
      <c r="A81" s="80">
        <v>45439.760416666664</v>
      </c>
      <c r="B81" s="112">
        <v>7.19</v>
      </c>
      <c r="C81" s="112">
        <v>6.08</v>
      </c>
      <c r="D81" s="112">
        <v>13.95</v>
      </c>
      <c r="E81" s="112">
        <v>12.05</v>
      </c>
      <c r="F81" s="112">
        <v>70.900000000000006</v>
      </c>
      <c r="G81" s="112">
        <v>55.73</v>
      </c>
      <c r="H81" s="112">
        <v>23.39</v>
      </c>
      <c r="I81" s="112">
        <v>4.12</v>
      </c>
      <c r="J81" s="112">
        <v>0.19</v>
      </c>
      <c r="K81" s="112">
        <v>157.84</v>
      </c>
      <c r="L81" s="112">
        <v>39.06</v>
      </c>
      <c r="M81" s="112">
        <v>29.85</v>
      </c>
      <c r="N81" s="112">
        <v>2.9</v>
      </c>
      <c r="O81" s="112">
        <v>0</v>
      </c>
      <c r="P81" s="112">
        <v>0.52</v>
      </c>
      <c r="Q81" s="112">
        <v>4.9400000000000004</v>
      </c>
    </row>
    <row r="82" spans="1:17" customFormat="1">
      <c r="A82" s="80">
        <v>45439.770833333336</v>
      </c>
      <c r="B82" s="112">
        <v>7.22</v>
      </c>
      <c r="C82" s="112">
        <v>6.07</v>
      </c>
      <c r="D82" s="112">
        <v>13.97</v>
      </c>
      <c r="E82" s="112">
        <v>16.63</v>
      </c>
      <c r="F82" s="112">
        <v>63.47</v>
      </c>
      <c r="G82" s="112">
        <v>54.85</v>
      </c>
      <c r="H82" s="112">
        <v>24.5</v>
      </c>
      <c r="I82" s="112">
        <v>4.1900000000000004</v>
      </c>
      <c r="J82" s="112">
        <v>0.16</v>
      </c>
      <c r="K82" s="112">
        <v>162.61000000000001</v>
      </c>
      <c r="L82" s="112">
        <v>38.33</v>
      </c>
      <c r="M82" s="112">
        <v>31.99</v>
      </c>
      <c r="N82" s="112">
        <v>0</v>
      </c>
      <c r="O82" s="112">
        <v>0</v>
      </c>
      <c r="P82" s="112">
        <v>0.6</v>
      </c>
      <c r="Q82" s="112">
        <v>4.95</v>
      </c>
    </row>
    <row r="83" spans="1:17" customFormat="1">
      <c r="A83" s="80">
        <v>45439.78125</v>
      </c>
      <c r="B83" s="112">
        <v>7.25</v>
      </c>
      <c r="C83" s="112">
        <v>6.08</v>
      </c>
      <c r="D83" s="112">
        <v>14</v>
      </c>
      <c r="E83" s="112">
        <v>16.63</v>
      </c>
      <c r="F83" s="112">
        <v>56.82</v>
      </c>
      <c r="G83" s="112">
        <v>54.66</v>
      </c>
      <c r="H83" s="112">
        <v>24.5</v>
      </c>
      <c r="I83" s="112">
        <v>4.6500000000000004</v>
      </c>
      <c r="J83" s="112">
        <v>0.2</v>
      </c>
      <c r="K83" s="112">
        <v>164.76</v>
      </c>
      <c r="L83" s="112">
        <v>37.590000000000003</v>
      </c>
      <c r="M83" s="112">
        <v>34.01</v>
      </c>
      <c r="N83" s="112">
        <v>0</v>
      </c>
      <c r="O83" s="112">
        <v>0</v>
      </c>
      <c r="P83" s="112">
        <v>0.61</v>
      </c>
      <c r="Q83" s="112">
        <v>4.97</v>
      </c>
    </row>
    <row r="84" spans="1:17" customFormat="1">
      <c r="A84" s="80">
        <v>45439.791666666664</v>
      </c>
      <c r="B84" s="112">
        <v>7.27</v>
      </c>
      <c r="C84" s="112">
        <v>6.07</v>
      </c>
      <c r="D84" s="112">
        <v>14.01</v>
      </c>
      <c r="E84" s="112">
        <v>17.02</v>
      </c>
      <c r="F84" s="112">
        <v>55.84</v>
      </c>
      <c r="G84" s="112">
        <v>54.66</v>
      </c>
      <c r="H84" s="112">
        <v>24.5</v>
      </c>
      <c r="I84" s="112">
        <v>5.4</v>
      </c>
      <c r="J84" s="112">
        <v>0.16</v>
      </c>
      <c r="K84" s="112">
        <v>181.77</v>
      </c>
      <c r="L84" s="112">
        <v>36.92</v>
      </c>
      <c r="M84" s="112">
        <v>34.85</v>
      </c>
      <c r="N84" s="112">
        <v>0</v>
      </c>
      <c r="O84" s="112">
        <v>0</v>
      </c>
      <c r="P84" s="112">
        <v>0.61</v>
      </c>
      <c r="Q84" s="112">
        <v>4.95</v>
      </c>
    </row>
    <row r="85" spans="1:17" customFormat="1">
      <c r="A85" s="80">
        <v>45439.802083333336</v>
      </c>
      <c r="B85" s="112">
        <v>7.3</v>
      </c>
      <c r="C85" s="112">
        <v>6.06</v>
      </c>
      <c r="D85" s="112">
        <v>14.02</v>
      </c>
      <c r="E85" s="112">
        <v>17.38</v>
      </c>
      <c r="F85" s="112">
        <v>51.29</v>
      </c>
      <c r="G85" s="112">
        <v>54.66</v>
      </c>
      <c r="H85" s="112">
        <v>24.5</v>
      </c>
      <c r="I85" s="112">
        <v>5.69</v>
      </c>
      <c r="J85" s="112">
        <v>0.17</v>
      </c>
      <c r="K85" s="112">
        <v>180.26</v>
      </c>
      <c r="L85" s="112">
        <v>36.74</v>
      </c>
      <c r="M85" s="112">
        <v>35.53</v>
      </c>
      <c r="N85" s="112">
        <v>0</v>
      </c>
      <c r="O85" s="112">
        <v>0</v>
      </c>
      <c r="P85" s="112">
        <v>0.68</v>
      </c>
      <c r="Q85" s="112">
        <v>4.97</v>
      </c>
    </row>
    <row r="86" spans="1:17" customFormat="1">
      <c r="A86" s="80">
        <v>45439.8125</v>
      </c>
      <c r="B86" s="112">
        <v>7.28</v>
      </c>
      <c r="C86" s="112">
        <v>6.09</v>
      </c>
      <c r="D86" s="112">
        <v>14.03</v>
      </c>
      <c r="E86" s="112">
        <v>20.48</v>
      </c>
      <c r="F86" s="112">
        <v>30.1</v>
      </c>
      <c r="G86" s="112">
        <v>63.53</v>
      </c>
      <c r="H86" s="112">
        <v>22.1</v>
      </c>
      <c r="I86" s="112">
        <v>6.05</v>
      </c>
      <c r="J86" s="112">
        <v>0.16</v>
      </c>
      <c r="K86" s="112">
        <v>176.07</v>
      </c>
      <c r="L86" s="112">
        <v>36.4</v>
      </c>
      <c r="M86" s="112">
        <v>37.31</v>
      </c>
      <c r="N86" s="112">
        <v>0</v>
      </c>
      <c r="O86" s="112">
        <v>0</v>
      </c>
      <c r="P86" s="112">
        <v>0.72</v>
      </c>
      <c r="Q86" s="112">
        <v>4.9800000000000004</v>
      </c>
    </row>
    <row r="87" spans="1:17" customFormat="1">
      <c r="A87" s="80">
        <v>45439.822916666664</v>
      </c>
      <c r="B87" s="112">
        <v>7.31</v>
      </c>
      <c r="C87" s="112">
        <v>6.13</v>
      </c>
      <c r="D87" s="112">
        <v>14.08</v>
      </c>
      <c r="E87" s="112">
        <v>19.989999999999998</v>
      </c>
      <c r="F87" s="112">
        <v>30.72</v>
      </c>
      <c r="G87" s="112">
        <v>65.45</v>
      </c>
      <c r="H87" s="112">
        <v>22.1</v>
      </c>
      <c r="I87" s="112">
        <v>6.93</v>
      </c>
      <c r="J87" s="112">
        <v>0.22</v>
      </c>
      <c r="K87" s="112">
        <v>158.6</v>
      </c>
      <c r="L87" s="112">
        <v>36.380000000000003</v>
      </c>
      <c r="M87" s="112">
        <v>38.909999999999997</v>
      </c>
      <c r="N87" s="112">
        <v>0</v>
      </c>
      <c r="O87" s="112">
        <v>0</v>
      </c>
      <c r="P87" s="112">
        <v>0.71</v>
      </c>
      <c r="Q87" s="112">
        <v>4.99</v>
      </c>
    </row>
    <row r="88" spans="1:17" customFormat="1">
      <c r="A88" s="80">
        <v>45439.833333333336</v>
      </c>
      <c r="B88" s="112">
        <v>7.37</v>
      </c>
      <c r="C88" s="112">
        <v>6.08</v>
      </c>
      <c r="D88" s="112">
        <v>14.1</v>
      </c>
      <c r="E88" s="112">
        <v>16.350000000000001</v>
      </c>
      <c r="F88" s="112">
        <v>25.27</v>
      </c>
      <c r="G88" s="112">
        <v>65.45</v>
      </c>
      <c r="H88" s="112">
        <v>22.1</v>
      </c>
      <c r="I88" s="112">
        <v>7.66</v>
      </c>
      <c r="J88" s="112">
        <v>0.12</v>
      </c>
      <c r="K88" s="112">
        <v>208.16</v>
      </c>
      <c r="L88" s="112">
        <v>35.729999999999997</v>
      </c>
      <c r="M88" s="112">
        <v>40.18</v>
      </c>
      <c r="N88" s="112">
        <v>0</v>
      </c>
      <c r="O88" s="112">
        <v>0</v>
      </c>
      <c r="P88" s="112">
        <v>0.76</v>
      </c>
      <c r="Q88" s="112">
        <v>4.9800000000000004</v>
      </c>
    </row>
    <row r="89" spans="1:17" customFormat="1">
      <c r="A89" s="80">
        <v>45439.84375</v>
      </c>
      <c r="B89" s="112">
        <v>7.35</v>
      </c>
      <c r="C89" s="112">
        <v>6.08</v>
      </c>
      <c r="D89" s="112">
        <v>14.08</v>
      </c>
      <c r="E89" s="112">
        <v>16.73</v>
      </c>
      <c r="F89" s="112">
        <v>22.31</v>
      </c>
      <c r="G89" s="112">
        <v>65.45</v>
      </c>
      <c r="H89" s="112">
        <v>22.1</v>
      </c>
      <c r="I89" s="112">
        <v>7.83</v>
      </c>
      <c r="J89" s="112">
        <v>0.17</v>
      </c>
      <c r="K89" s="112">
        <v>218.26</v>
      </c>
      <c r="L89" s="112">
        <v>35.35</v>
      </c>
      <c r="M89" s="112">
        <v>40.19</v>
      </c>
      <c r="N89" s="112">
        <v>0</v>
      </c>
      <c r="O89" s="112">
        <v>0</v>
      </c>
      <c r="P89" s="112">
        <v>0.74</v>
      </c>
      <c r="Q89" s="112">
        <v>4.9800000000000004</v>
      </c>
    </row>
    <row r="90" spans="1:17" customFormat="1">
      <c r="A90" s="80">
        <v>45439.854166666664</v>
      </c>
      <c r="B90" s="112">
        <v>7.35</v>
      </c>
      <c r="C90" s="112">
        <v>6.05</v>
      </c>
      <c r="D90" s="112">
        <v>14.07</v>
      </c>
      <c r="E90" s="112">
        <v>16.95</v>
      </c>
      <c r="F90" s="112">
        <v>22.52</v>
      </c>
      <c r="G90" s="112">
        <v>64.02</v>
      </c>
      <c r="H90" s="112">
        <v>21.04</v>
      </c>
      <c r="I90" s="112">
        <v>7.88</v>
      </c>
      <c r="J90" s="112">
        <v>0.17</v>
      </c>
      <c r="K90" s="112">
        <v>145.41</v>
      </c>
      <c r="L90" s="112">
        <v>35.32</v>
      </c>
      <c r="M90" s="112">
        <v>41.15</v>
      </c>
      <c r="N90" s="112">
        <v>0</v>
      </c>
      <c r="O90" s="112">
        <v>0</v>
      </c>
      <c r="P90" s="112">
        <v>0.83</v>
      </c>
      <c r="Q90" s="112">
        <v>4.97</v>
      </c>
    </row>
    <row r="91" spans="1:17" customFormat="1">
      <c r="A91" s="80">
        <v>45439.864583333336</v>
      </c>
      <c r="B91" s="112">
        <v>7.33</v>
      </c>
      <c r="C91" s="112">
        <v>6.06</v>
      </c>
      <c r="D91" s="112">
        <v>14.05</v>
      </c>
      <c r="E91" s="112">
        <v>17.5</v>
      </c>
      <c r="F91" s="112">
        <v>18.86</v>
      </c>
      <c r="G91" s="112">
        <v>63.71</v>
      </c>
      <c r="H91" s="112">
        <v>21.04</v>
      </c>
      <c r="I91" s="112">
        <v>8</v>
      </c>
      <c r="J91" s="112">
        <v>0.17</v>
      </c>
      <c r="K91" s="112">
        <v>173.32</v>
      </c>
      <c r="L91" s="112">
        <v>35.4</v>
      </c>
      <c r="M91" s="112">
        <v>40.06</v>
      </c>
      <c r="N91" s="112">
        <v>0</v>
      </c>
      <c r="O91" s="112">
        <v>0</v>
      </c>
      <c r="P91" s="112">
        <v>0.86</v>
      </c>
      <c r="Q91" s="112">
        <v>4.97</v>
      </c>
    </row>
    <row r="92" spans="1:17" customFormat="1">
      <c r="A92" s="80">
        <v>45439.875</v>
      </c>
      <c r="B92" s="112">
        <v>7.32</v>
      </c>
      <c r="C92" s="112">
        <v>6.07</v>
      </c>
      <c r="D92" s="112">
        <v>14.05</v>
      </c>
      <c r="E92" s="112">
        <v>16.5</v>
      </c>
      <c r="F92" s="112">
        <v>14.83</v>
      </c>
      <c r="G92" s="112">
        <v>63.71</v>
      </c>
      <c r="H92" s="112">
        <v>21.04</v>
      </c>
      <c r="I92" s="112">
        <v>8.23</v>
      </c>
      <c r="J92" s="112">
        <v>0.13</v>
      </c>
      <c r="K92" s="112">
        <v>187.69</v>
      </c>
      <c r="L92" s="112">
        <v>34.950000000000003</v>
      </c>
      <c r="M92" s="112">
        <v>42.87</v>
      </c>
      <c r="N92" s="112">
        <v>0</v>
      </c>
      <c r="O92" s="112">
        <v>0</v>
      </c>
      <c r="P92" s="112">
        <v>0.92</v>
      </c>
      <c r="Q92" s="112">
        <v>4.97</v>
      </c>
    </row>
    <row r="93" spans="1:17" customFormat="1">
      <c r="A93" s="80">
        <v>45439.885416666664</v>
      </c>
      <c r="B93" s="112">
        <v>7.32</v>
      </c>
      <c r="C93" s="112">
        <v>6.08</v>
      </c>
      <c r="D93" s="112">
        <v>14.05</v>
      </c>
      <c r="E93" s="112">
        <v>15.14</v>
      </c>
      <c r="F93" s="112">
        <v>17.059999999999999</v>
      </c>
      <c r="G93" s="112">
        <v>63.71</v>
      </c>
      <c r="H93" s="112">
        <v>21.04</v>
      </c>
      <c r="I93" s="112">
        <v>8.81</v>
      </c>
      <c r="J93" s="112">
        <v>0.14000000000000001</v>
      </c>
      <c r="K93" s="112">
        <v>196</v>
      </c>
      <c r="L93" s="112">
        <v>34.65</v>
      </c>
      <c r="M93" s="112">
        <v>41.38</v>
      </c>
      <c r="N93" s="112">
        <v>0</v>
      </c>
      <c r="O93" s="112">
        <v>0</v>
      </c>
      <c r="P93" s="112">
        <v>0.84</v>
      </c>
      <c r="Q93" s="112">
        <v>4.99</v>
      </c>
    </row>
    <row r="94" spans="1:17" customFormat="1">
      <c r="A94" s="80">
        <v>45439.895833333336</v>
      </c>
      <c r="B94" s="112">
        <v>7.31</v>
      </c>
      <c r="C94" s="112">
        <v>6.07</v>
      </c>
      <c r="D94" s="112">
        <v>14.04</v>
      </c>
      <c r="E94" s="112">
        <v>16.260000000000002</v>
      </c>
      <c r="F94" s="112">
        <v>20.5</v>
      </c>
      <c r="G94" s="112">
        <v>76.709999999999994</v>
      </c>
      <c r="H94" s="112">
        <v>25.13</v>
      </c>
      <c r="I94" s="112">
        <v>8.83</v>
      </c>
      <c r="J94" s="112">
        <v>0.11</v>
      </c>
      <c r="K94" s="112">
        <v>184.03</v>
      </c>
      <c r="L94" s="112">
        <v>34.76</v>
      </c>
      <c r="M94" s="112">
        <v>39.24</v>
      </c>
      <c r="N94" s="112">
        <v>0</v>
      </c>
      <c r="O94" s="112">
        <v>0</v>
      </c>
      <c r="P94" s="112">
        <v>0.9</v>
      </c>
      <c r="Q94" s="112">
        <v>4.9800000000000004</v>
      </c>
    </row>
    <row r="95" spans="1:17" customFormat="1">
      <c r="A95" s="80">
        <v>45439.90625</v>
      </c>
      <c r="B95" s="112">
        <v>7.3</v>
      </c>
      <c r="C95" s="112">
        <v>6.07</v>
      </c>
      <c r="D95" s="112">
        <v>14.03</v>
      </c>
      <c r="E95" s="112">
        <v>17.22</v>
      </c>
      <c r="F95" s="112">
        <v>21.25</v>
      </c>
      <c r="G95" s="112">
        <v>79.52</v>
      </c>
      <c r="H95" s="112">
        <v>25.13</v>
      </c>
      <c r="I95" s="112">
        <v>8.5</v>
      </c>
      <c r="J95" s="112">
        <v>0.1</v>
      </c>
      <c r="K95" s="112">
        <v>196.18</v>
      </c>
      <c r="L95" s="112">
        <v>35.06</v>
      </c>
      <c r="M95" s="112">
        <v>35.840000000000003</v>
      </c>
      <c r="N95" s="112">
        <v>0</v>
      </c>
      <c r="O95" s="112">
        <v>0</v>
      </c>
      <c r="P95" s="112">
        <v>0.85</v>
      </c>
      <c r="Q95" s="112">
        <v>4.9800000000000004</v>
      </c>
    </row>
    <row r="96" spans="1:17" customFormat="1">
      <c r="A96" s="80">
        <v>45439.916666666664</v>
      </c>
      <c r="B96" s="112">
        <v>7.29</v>
      </c>
      <c r="C96" s="112">
        <v>6.08</v>
      </c>
      <c r="D96" s="112">
        <v>14.03</v>
      </c>
      <c r="E96" s="112">
        <v>16.84</v>
      </c>
      <c r="F96" s="112">
        <v>25.17</v>
      </c>
      <c r="G96" s="112">
        <v>79.52</v>
      </c>
      <c r="H96" s="112">
        <v>25.13</v>
      </c>
      <c r="I96" s="112">
        <v>8.51</v>
      </c>
      <c r="J96" s="112">
        <v>0.13</v>
      </c>
      <c r="K96" s="112">
        <v>192.65</v>
      </c>
      <c r="L96" s="112">
        <v>35.299999999999997</v>
      </c>
      <c r="M96" s="112">
        <v>34.1</v>
      </c>
      <c r="N96" s="112">
        <v>0</v>
      </c>
      <c r="O96" s="112">
        <v>0</v>
      </c>
      <c r="P96" s="112">
        <v>0.81</v>
      </c>
      <c r="Q96" s="112">
        <v>4.99</v>
      </c>
    </row>
    <row r="97" spans="1:22" customFormat="1">
      <c r="A97" s="80">
        <v>45439.927083333336</v>
      </c>
      <c r="B97" s="112">
        <v>7.3</v>
      </c>
      <c r="C97" s="112">
        <v>6.06</v>
      </c>
      <c r="D97" s="112">
        <v>14.03</v>
      </c>
      <c r="E97" s="112">
        <v>15.7</v>
      </c>
      <c r="F97" s="112">
        <v>27.45</v>
      </c>
      <c r="G97" s="112">
        <v>79.52</v>
      </c>
      <c r="H97" s="112">
        <v>25.13</v>
      </c>
      <c r="I97" s="112">
        <v>8.2899999999999991</v>
      </c>
      <c r="J97" s="112">
        <v>0.23</v>
      </c>
      <c r="K97" s="112">
        <v>232.7</v>
      </c>
      <c r="L97" s="112">
        <v>35.31</v>
      </c>
      <c r="M97" s="112">
        <v>34.03</v>
      </c>
      <c r="N97" s="112">
        <v>0</v>
      </c>
      <c r="O97" s="112">
        <v>0</v>
      </c>
      <c r="P97" s="112">
        <v>0.79</v>
      </c>
      <c r="Q97" s="112">
        <v>4.9800000000000004</v>
      </c>
    </row>
    <row r="98" spans="1:22" customFormat="1">
      <c r="A98" s="80">
        <v>45439.9375</v>
      </c>
      <c r="B98" s="112">
        <v>7.31</v>
      </c>
      <c r="C98" s="112">
        <v>6.03</v>
      </c>
      <c r="D98" s="112">
        <v>14.02</v>
      </c>
      <c r="E98" s="112">
        <v>15.69</v>
      </c>
      <c r="F98" s="112">
        <v>24.4</v>
      </c>
      <c r="G98" s="112">
        <v>78.3</v>
      </c>
      <c r="H98" s="112">
        <v>26.37</v>
      </c>
      <c r="I98" s="112">
        <v>7.88</v>
      </c>
      <c r="J98" s="112">
        <v>0.28000000000000003</v>
      </c>
      <c r="K98" s="112">
        <v>244.95</v>
      </c>
      <c r="L98" s="112">
        <v>35.19</v>
      </c>
      <c r="M98" s="112">
        <v>34.520000000000003</v>
      </c>
      <c r="N98" s="112">
        <v>0</v>
      </c>
      <c r="O98" s="112">
        <v>0</v>
      </c>
      <c r="P98" s="112">
        <v>0.79</v>
      </c>
      <c r="Q98" s="112">
        <v>4.9800000000000004</v>
      </c>
    </row>
    <row r="99" spans="1:22" customFormat="1">
      <c r="A99" s="80">
        <v>45439.947916666664</v>
      </c>
      <c r="B99" s="112">
        <v>7.31</v>
      </c>
      <c r="C99" s="112">
        <v>6.06</v>
      </c>
      <c r="D99" s="112">
        <v>14.04</v>
      </c>
      <c r="E99" s="112">
        <v>14.58</v>
      </c>
      <c r="F99" s="112">
        <v>24.02</v>
      </c>
      <c r="G99" s="112">
        <v>78.06</v>
      </c>
      <c r="H99" s="112">
        <v>26.37</v>
      </c>
      <c r="I99" s="112">
        <v>7.61</v>
      </c>
      <c r="J99" s="112">
        <v>0.31</v>
      </c>
      <c r="K99" s="112">
        <v>236.06</v>
      </c>
      <c r="L99" s="112">
        <v>35.020000000000003</v>
      </c>
      <c r="M99" s="112">
        <v>35.53</v>
      </c>
      <c r="N99" s="112">
        <v>0</v>
      </c>
      <c r="O99" s="112">
        <v>0</v>
      </c>
      <c r="P99" s="112">
        <v>0.78</v>
      </c>
      <c r="Q99" s="112">
        <v>4.99</v>
      </c>
    </row>
    <row r="100" spans="1:22" customFormat="1">
      <c r="A100" s="80">
        <v>45439.958333333336</v>
      </c>
      <c r="B100" s="112">
        <v>7.31</v>
      </c>
      <c r="C100" s="112">
        <v>6.06</v>
      </c>
      <c r="D100" s="112">
        <v>14.04</v>
      </c>
      <c r="E100" s="112">
        <v>13.76</v>
      </c>
      <c r="F100" s="112">
        <v>26.12</v>
      </c>
      <c r="G100" s="112">
        <v>78.06</v>
      </c>
      <c r="H100" s="112">
        <v>26.37</v>
      </c>
      <c r="I100" s="112">
        <v>7.58</v>
      </c>
      <c r="J100" s="112">
        <v>0.33</v>
      </c>
      <c r="K100" s="112">
        <v>247.88</v>
      </c>
      <c r="L100" s="112">
        <v>34.799999999999997</v>
      </c>
      <c r="M100" s="112">
        <v>36.76</v>
      </c>
      <c r="N100" s="112">
        <v>0</v>
      </c>
      <c r="O100" s="112">
        <v>0</v>
      </c>
      <c r="P100" s="112">
        <v>0.76</v>
      </c>
      <c r="Q100" s="112">
        <v>4.97</v>
      </c>
    </row>
    <row r="101" spans="1:22" customFormat="1">
      <c r="A101" s="80">
        <v>45439.96875</v>
      </c>
      <c r="B101" s="112">
        <v>7.31</v>
      </c>
      <c r="C101" s="112">
        <v>6.08</v>
      </c>
      <c r="D101" s="112">
        <v>14.05</v>
      </c>
      <c r="E101" s="112">
        <v>13.89</v>
      </c>
      <c r="F101" s="112">
        <v>23.61</v>
      </c>
      <c r="G101" s="112">
        <v>78.06</v>
      </c>
      <c r="H101" s="112">
        <v>26.37</v>
      </c>
      <c r="I101" s="112">
        <v>7.53</v>
      </c>
      <c r="J101" s="112">
        <v>0.26</v>
      </c>
      <c r="K101" s="112">
        <v>234.08</v>
      </c>
      <c r="L101" s="112">
        <v>34.770000000000003</v>
      </c>
      <c r="M101" s="112">
        <v>37.700000000000003</v>
      </c>
      <c r="N101" s="112">
        <v>0</v>
      </c>
      <c r="O101" s="112">
        <v>0</v>
      </c>
      <c r="P101" s="112">
        <v>0.75</v>
      </c>
      <c r="Q101" s="112">
        <v>4.9800000000000004</v>
      </c>
    </row>
    <row r="102" spans="1:22" customFormat="1">
      <c r="A102" s="80">
        <v>45439.979166666664</v>
      </c>
      <c r="B102" s="112">
        <v>7.32</v>
      </c>
      <c r="C102" s="112">
        <v>6.08</v>
      </c>
      <c r="D102" s="112">
        <v>14.05</v>
      </c>
      <c r="E102" s="112">
        <v>14.46</v>
      </c>
      <c r="F102" s="112">
        <v>26.56</v>
      </c>
      <c r="G102" s="112">
        <v>71.489999999999995</v>
      </c>
      <c r="H102" s="112">
        <v>26.03</v>
      </c>
      <c r="I102" s="112">
        <v>7.36</v>
      </c>
      <c r="J102" s="112">
        <v>0.2</v>
      </c>
      <c r="K102" s="112">
        <v>226.74</v>
      </c>
      <c r="L102" s="112">
        <v>34.369999999999997</v>
      </c>
      <c r="M102" s="112">
        <v>39.57</v>
      </c>
      <c r="N102" s="112">
        <v>0</v>
      </c>
      <c r="O102" s="112">
        <v>0</v>
      </c>
      <c r="P102" s="112">
        <v>0.71</v>
      </c>
      <c r="Q102" s="112">
        <v>4.96</v>
      </c>
    </row>
    <row r="103" spans="1:22" customFormat="1">
      <c r="A103" s="80">
        <v>45439.989583333336</v>
      </c>
      <c r="B103" s="112">
        <v>7.32</v>
      </c>
      <c r="C103" s="112">
        <v>6.07</v>
      </c>
      <c r="D103" s="112">
        <v>14.05</v>
      </c>
      <c r="E103" s="112">
        <v>13.66</v>
      </c>
      <c r="F103" s="112">
        <v>22.61</v>
      </c>
      <c r="G103" s="112">
        <v>70.180000000000007</v>
      </c>
      <c r="H103" s="112">
        <v>26.03</v>
      </c>
      <c r="I103" s="112">
        <v>7.13</v>
      </c>
      <c r="J103" s="112">
        <v>0.21</v>
      </c>
      <c r="K103" s="112">
        <v>233.04</v>
      </c>
      <c r="L103" s="112">
        <v>34.01</v>
      </c>
      <c r="M103" s="112">
        <v>41.35</v>
      </c>
      <c r="N103" s="112">
        <v>0</v>
      </c>
      <c r="O103" s="112">
        <v>0</v>
      </c>
      <c r="P103" s="112">
        <v>0.73</v>
      </c>
      <c r="Q103" s="112">
        <v>4.9800000000000004</v>
      </c>
    </row>
    <row r="104" spans="1:22" customFormat="1">
      <c r="A104" s="80">
        <v>45440</v>
      </c>
      <c r="B104" s="112">
        <v>7.31</v>
      </c>
      <c r="C104" s="112">
        <v>6.08</v>
      </c>
      <c r="D104" s="112">
        <v>14.05</v>
      </c>
      <c r="E104" s="112">
        <v>13.27</v>
      </c>
      <c r="F104" s="112">
        <v>18.39</v>
      </c>
      <c r="G104" s="112">
        <v>70.180000000000007</v>
      </c>
      <c r="H104" s="112">
        <v>26.03</v>
      </c>
      <c r="I104" s="112">
        <v>7.09</v>
      </c>
      <c r="J104" s="112">
        <v>0.2</v>
      </c>
      <c r="K104" s="112">
        <v>231.71</v>
      </c>
      <c r="L104" s="112">
        <v>33.81</v>
      </c>
      <c r="M104" s="112">
        <v>42.47</v>
      </c>
      <c r="N104" s="112">
        <v>0</v>
      </c>
      <c r="O104" s="112">
        <v>0</v>
      </c>
      <c r="P104" s="112">
        <v>0.73</v>
      </c>
      <c r="Q104" s="112">
        <v>4.99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7.19</v>
      </c>
      <c r="C106" s="183">
        <f>MIN(C9:C104)</f>
        <v>6.03</v>
      </c>
      <c r="D106" s="183">
        <f t="shared" ref="D106:Q106" si="0">MIN(D9:D104)</f>
        <v>13.95</v>
      </c>
      <c r="E106" s="183">
        <f t="shared" si="0"/>
        <v>9.6</v>
      </c>
      <c r="F106" s="183">
        <f t="shared" si="0"/>
        <v>5.33</v>
      </c>
      <c r="G106" s="183">
        <f t="shared" si="0"/>
        <v>48.48</v>
      </c>
      <c r="H106" s="183">
        <f t="shared" si="0"/>
        <v>21.04</v>
      </c>
      <c r="I106" s="183">
        <f t="shared" si="0"/>
        <v>3.9</v>
      </c>
      <c r="J106" s="183">
        <f t="shared" si="0"/>
        <v>0.09</v>
      </c>
      <c r="K106" s="183">
        <f t="shared" si="0"/>
        <v>5.23</v>
      </c>
      <c r="L106" s="183">
        <f t="shared" si="0"/>
        <v>28.95</v>
      </c>
      <c r="M106" s="183">
        <f t="shared" si="0"/>
        <v>22.64</v>
      </c>
      <c r="N106" s="183">
        <f t="shared" si="0"/>
        <v>0</v>
      </c>
      <c r="O106" s="183">
        <f t="shared" si="0"/>
        <v>0</v>
      </c>
      <c r="P106" s="183">
        <f t="shared" si="0"/>
        <v>0.49</v>
      </c>
      <c r="Q106" s="183">
        <f t="shared" si="0"/>
        <v>4.9400000000000004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7.37</v>
      </c>
      <c r="C107" s="184">
        <f t="shared" ref="C107:Q107" si="1">MAX(C9:C104)</f>
        <v>6.13</v>
      </c>
      <c r="D107" s="184">
        <f t="shared" si="1"/>
        <v>14.1</v>
      </c>
      <c r="E107" s="184">
        <f t="shared" si="1"/>
        <v>24.98</v>
      </c>
      <c r="F107" s="184">
        <f t="shared" si="1"/>
        <v>81.319999999999993</v>
      </c>
      <c r="G107" s="184">
        <f t="shared" si="1"/>
        <v>106.59</v>
      </c>
      <c r="H107" s="184">
        <f t="shared" si="1"/>
        <v>33.909999999999997</v>
      </c>
      <c r="I107" s="184">
        <f t="shared" si="1"/>
        <v>10.11</v>
      </c>
      <c r="J107" s="184">
        <f t="shared" si="1"/>
        <v>1.48</v>
      </c>
      <c r="K107" s="184">
        <f t="shared" si="1"/>
        <v>355.25</v>
      </c>
      <c r="L107" s="184">
        <f t="shared" si="1"/>
        <v>42.89</v>
      </c>
      <c r="M107" s="184">
        <f t="shared" si="1"/>
        <v>67.17</v>
      </c>
      <c r="N107" s="184">
        <f t="shared" si="1"/>
        <v>819.5</v>
      </c>
      <c r="O107" s="184">
        <f t="shared" si="1"/>
        <v>0</v>
      </c>
      <c r="P107" s="184">
        <f t="shared" si="1"/>
        <v>1.1599999999999999</v>
      </c>
      <c r="Q107" s="184">
        <f t="shared" si="1"/>
        <v>5.53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7.268020833333332</v>
      </c>
      <c r="C108" s="183">
        <f t="shared" ref="C108:Q108" si="2">AVERAGE(C9:C104)</f>
        <v>6.080208333333335</v>
      </c>
      <c r="D108" s="183">
        <f t="shared" si="2"/>
        <v>14.013229166666656</v>
      </c>
      <c r="E108" s="183">
        <f t="shared" si="2"/>
        <v>15.547187500000001</v>
      </c>
      <c r="F108" s="183">
        <f t="shared" si="2"/>
        <v>31.366770833333334</v>
      </c>
      <c r="G108" s="183">
        <f t="shared" si="2"/>
        <v>66.559062500000024</v>
      </c>
      <c r="H108" s="183">
        <f t="shared" si="2"/>
        <v>27.286875000000013</v>
      </c>
      <c r="I108" s="183">
        <f t="shared" si="2"/>
        <v>7.2528124999999983</v>
      </c>
      <c r="J108" s="183">
        <f t="shared" si="2"/>
        <v>0.46718749999999992</v>
      </c>
      <c r="K108" s="183">
        <f t="shared" si="2"/>
        <v>230.10114583333333</v>
      </c>
      <c r="L108" s="183">
        <f t="shared" si="2"/>
        <v>35.636145833333345</v>
      </c>
      <c r="M108" s="183">
        <f t="shared" si="2"/>
        <v>43.350833333333334</v>
      </c>
      <c r="N108" s="183">
        <f t="shared" si="2"/>
        <v>145.20312500000003</v>
      </c>
      <c r="O108" s="183">
        <f t="shared" si="2"/>
        <v>0</v>
      </c>
      <c r="P108" s="183">
        <f t="shared" si="2"/>
        <v>0.73770833333333385</v>
      </c>
      <c r="Q108" s="183">
        <f t="shared" si="2"/>
        <v>4.9941666666666702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3.6580690669047705E-2</v>
      </c>
      <c r="C109" s="183">
        <f t="shared" ref="C109:Q109" si="3">STDEV(C9:C104)</f>
        <v>1.9787245581922155E-2</v>
      </c>
      <c r="D109" s="183">
        <f t="shared" si="3"/>
        <v>3.0174746906597057E-2</v>
      </c>
      <c r="E109" s="183">
        <f t="shared" si="3"/>
        <v>3.6310305056408945</v>
      </c>
      <c r="F109" s="183">
        <f t="shared" si="3"/>
        <v>19.511991643186295</v>
      </c>
      <c r="G109" s="183">
        <f t="shared" si="3"/>
        <v>12.756878522512848</v>
      </c>
      <c r="H109" s="183">
        <f t="shared" si="3"/>
        <v>3.6288311334004852</v>
      </c>
      <c r="I109" s="183">
        <f t="shared" si="3"/>
        <v>1.492120852396988</v>
      </c>
      <c r="J109" s="183">
        <f t="shared" si="3"/>
        <v>0.39653420407324252</v>
      </c>
      <c r="K109" s="183">
        <f t="shared" si="3"/>
        <v>66.298975190456986</v>
      </c>
      <c r="L109" s="183">
        <f t="shared" si="3"/>
        <v>4.379063194647733</v>
      </c>
      <c r="M109" s="183">
        <f t="shared" si="3"/>
        <v>14.564375258371525</v>
      </c>
      <c r="N109" s="183">
        <f t="shared" si="3"/>
        <v>218.21582047578732</v>
      </c>
      <c r="O109" s="183">
        <f t="shared" si="3"/>
        <v>0</v>
      </c>
      <c r="P109" s="183">
        <f t="shared" si="3"/>
        <v>0.12295895050288692</v>
      </c>
      <c r="Q109" s="183">
        <f t="shared" si="3"/>
        <v>8.3686968949239701E-2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45440.010416666664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45440.010416666664</v>
      </c>
      <c r="B9" s="112">
        <v>7.14</v>
      </c>
      <c r="C9" s="112">
        <v>6.22</v>
      </c>
      <c r="D9" s="112">
        <v>13.98</v>
      </c>
      <c r="E9" s="112">
        <v>13.52</v>
      </c>
      <c r="F9" s="112">
        <v>26.22</v>
      </c>
      <c r="G9" s="112">
        <v>70.180000000000007</v>
      </c>
      <c r="H9" s="112">
        <v>26.03</v>
      </c>
      <c r="I9" s="112">
        <v>7.08</v>
      </c>
      <c r="J9" s="112">
        <v>0.18</v>
      </c>
      <c r="K9" s="112">
        <v>220.49</v>
      </c>
      <c r="L9" s="112">
        <v>33.61</v>
      </c>
      <c r="M9" s="112">
        <v>43.94</v>
      </c>
      <c r="N9" s="112">
        <v>0</v>
      </c>
      <c r="O9" s="112">
        <v>0</v>
      </c>
      <c r="P9" s="112">
        <v>0.71</v>
      </c>
      <c r="Q9" s="112">
        <v>4.9800000000000004</v>
      </c>
    </row>
    <row r="10" spans="1:21" customFormat="1">
      <c r="A10" s="80">
        <v>45440.020833333336</v>
      </c>
      <c r="B10" s="112">
        <v>7.18</v>
      </c>
      <c r="C10" s="112">
        <v>6.11</v>
      </c>
      <c r="D10" s="112">
        <v>13.96</v>
      </c>
      <c r="E10" s="112">
        <v>15.32</v>
      </c>
      <c r="F10" s="112">
        <v>34.28</v>
      </c>
      <c r="G10" s="112">
        <v>66.89</v>
      </c>
      <c r="H10" s="112">
        <v>26.94</v>
      </c>
      <c r="I10" s="112">
        <v>6.99</v>
      </c>
      <c r="J10" s="112">
        <v>0.13</v>
      </c>
      <c r="K10" s="112">
        <v>215.78</v>
      </c>
      <c r="L10" s="112">
        <v>33.26</v>
      </c>
      <c r="M10" s="112">
        <v>45.43</v>
      </c>
      <c r="N10" s="112">
        <v>0</v>
      </c>
      <c r="O10" s="112">
        <v>0</v>
      </c>
      <c r="P10" s="112">
        <v>0.68</v>
      </c>
      <c r="Q10" s="112">
        <v>4.96</v>
      </c>
    </row>
    <row r="11" spans="1:21" customFormat="1">
      <c r="A11" s="80">
        <v>45440.03125</v>
      </c>
      <c r="B11" s="112">
        <v>7.16</v>
      </c>
      <c r="C11" s="112">
        <v>6.1</v>
      </c>
      <c r="D11" s="112">
        <v>13.94</v>
      </c>
      <c r="E11" s="112">
        <v>14.75</v>
      </c>
      <c r="F11" s="112">
        <v>32.700000000000003</v>
      </c>
      <c r="G11" s="112">
        <v>66.180000000000007</v>
      </c>
      <c r="H11" s="112">
        <v>26.94</v>
      </c>
      <c r="I11" s="112">
        <v>6.59</v>
      </c>
      <c r="J11" s="112">
        <v>0.1</v>
      </c>
      <c r="K11" s="112">
        <v>205.75</v>
      </c>
      <c r="L11" s="112">
        <v>32.9</v>
      </c>
      <c r="M11" s="112">
        <v>46.52</v>
      </c>
      <c r="N11" s="112">
        <v>0</v>
      </c>
      <c r="O11" s="112">
        <v>0</v>
      </c>
      <c r="P11" s="112">
        <v>0.67</v>
      </c>
      <c r="Q11" s="112">
        <v>4.9400000000000004</v>
      </c>
    </row>
    <row r="12" spans="1:21" customFormat="1">
      <c r="A12" s="80">
        <v>45440.041666666664</v>
      </c>
      <c r="B12" s="112">
        <v>7.14</v>
      </c>
      <c r="C12" s="112">
        <v>6.05</v>
      </c>
      <c r="D12" s="112">
        <v>13.9</v>
      </c>
      <c r="E12" s="112">
        <v>15.11</v>
      </c>
      <c r="F12" s="112">
        <v>30.07</v>
      </c>
      <c r="G12" s="112">
        <v>66.180000000000007</v>
      </c>
      <c r="H12" s="112">
        <v>26.94</v>
      </c>
      <c r="I12" s="112">
        <v>6.25</v>
      </c>
      <c r="J12" s="112">
        <v>0.13</v>
      </c>
      <c r="K12" s="112">
        <v>147.06</v>
      </c>
      <c r="L12" s="112">
        <v>32.659999999999997</v>
      </c>
      <c r="M12" s="112">
        <v>47.81</v>
      </c>
      <c r="N12" s="112">
        <v>0</v>
      </c>
      <c r="O12" s="112">
        <v>0</v>
      </c>
      <c r="P12" s="112">
        <v>0.68</v>
      </c>
      <c r="Q12" s="112">
        <v>4.96</v>
      </c>
    </row>
    <row r="13" spans="1:21" customFormat="1">
      <c r="A13" s="80">
        <v>45440.052083333336</v>
      </c>
      <c r="B13" s="112">
        <v>7.13</v>
      </c>
      <c r="C13" s="112">
        <v>6.06</v>
      </c>
      <c r="D13" s="112">
        <v>13.89</v>
      </c>
      <c r="E13" s="112">
        <v>13.53</v>
      </c>
      <c r="F13" s="112">
        <v>27.16</v>
      </c>
      <c r="G13" s="112">
        <v>66.180000000000007</v>
      </c>
      <c r="H13" s="112">
        <v>26.94</v>
      </c>
      <c r="I13" s="112">
        <v>6.09</v>
      </c>
      <c r="J13" s="112">
        <v>0.19</v>
      </c>
      <c r="K13" s="112">
        <v>162.69</v>
      </c>
      <c r="L13" s="112">
        <v>32.479999999999997</v>
      </c>
      <c r="M13" s="112">
        <v>49.28</v>
      </c>
      <c r="N13" s="112">
        <v>0</v>
      </c>
      <c r="O13" s="112">
        <v>0</v>
      </c>
      <c r="P13" s="112">
        <v>0.67</v>
      </c>
      <c r="Q13" s="112">
        <v>4.9800000000000004</v>
      </c>
    </row>
    <row r="14" spans="1:21" customFormat="1">
      <c r="A14" s="80">
        <v>45440.0625</v>
      </c>
      <c r="B14" s="112">
        <v>7.14</v>
      </c>
      <c r="C14" s="112">
        <v>6.04</v>
      </c>
      <c r="D14" s="112">
        <v>13.89</v>
      </c>
      <c r="E14" s="112">
        <v>13.98</v>
      </c>
      <c r="F14" s="112">
        <v>36.17</v>
      </c>
      <c r="G14" s="112">
        <v>59.55</v>
      </c>
      <c r="H14" s="112">
        <v>24.72</v>
      </c>
      <c r="I14" s="112">
        <v>6.09</v>
      </c>
      <c r="J14" s="112">
        <v>0.16</v>
      </c>
      <c r="K14" s="112">
        <v>161.66999999999999</v>
      </c>
      <c r="L14" s="112">
        <v>32.299999999999997</v>
      </c>
      <c r="M14" s="112">
        <v>49.23</v>
      </c>
      <c r="N14" s="112">
        <v>0</v>
      </c>
      <c r="O14" s="112">
        <v>0</v>
      </c>
      <c r="P14" s="112">
        <v>0.62</v>
      </c>
      <c r="Q14" s="112">
        <v>4.96</v>
      </c>
    </row>
    <row r="15" spans="1:21" customFormat="1">
      <c r="A15" s="80">
        <v>45440.072916666664</v>
      </c>
      <c r="B15" s="112">
        <v>7.13</v>
      </c>
      <c r="C15" s="112">
        <v>6.04</v>
      </c>
      <c r="D15" s="112">
        <v>13.88</v>
      </c>
      <c r="E15" s="112">
        <v>13.62</v>
      </c>
      <c r="F15" s="112">
        <v>29.94</v>
      </c>
      <c r="G15" s="112">
        <v>58.11</v>
      </c>
      <c r="H15" s="112">
        <v>24.72</v>
      </c>
      <c r="I15" s="112">
        <v>5.85</v>
      </c>
      <c r="J15" s="112">
        <v>0.09</v>
      </c>
      <c r="K15" s="112">
        <v>121.24</v>
      </c>
      <c r="L15" s="112">
        <v>32.22</v>
      </c>
      <c r="M15" s="112">
        <v>48.7</v>
      </c>
      <c r="N15" s="112">
        <v>0</v>
      </c>
      <c r="O15" s="112">
        <v>0</v>
      </c>
      <c r="P15" s="112">
        <v>0.62</v>
      </c>
      <c r="Q15" s="112">
        <v>4.9800000000000004</v>
      </c>
    </row>
    <row r="16" spans="1:21" customFormat="1">
      <c r="A16" s="80">
        <v>45440.083333333336</v>
      </c>
      <c r="B16" s="112">
        <v>7.13</v>
      </c>
      <c r="C16" s="112">
        <v>6.07</v>
      </c>
      <c r="D16" s="112">
        <v>13.9</v>
      </c>
      <c r="E16" s="112">
        <v>13.35</v>
      </c>
      <c r="F16" s="112">
        <v>28.19</v>
      </c>
      <c r="G16" s="112">
        <v>58.11</v>
      </c>
      <c r="H16" s="112">
        <v>24.72</v>
      </c>
      <c r="I16" s="112">
        <v>5.63</v>
      </c>
      <c r="J16" s="112">
        <v>0.16</v>
      </c>
      <c r="K16" s="112">
        <v>127.44</v>
      </c>
      <c r="L16" s="112">
        <v>32.04</v>
      </c>
      <c r="M16" s="112">
        <v>50.27</v>
      </c>
      <c r="N16" s="112">
        <v>0</v>
      </c>
      <c r="O16" s="112">
        <v>0</v>
      </c>
      <c r="P16" s="112">
        <v>0.62</v>
      </c>
      <c r="Q16" s="112">
        <v>4.97</v>
      </c>
    </row>
    <row r="17" spans="1:17" customFormat="1">
      <c r="A17" s="80">
        <v>45440.09375</v>
      </c>
      <c r="B17" s="112">
        <v>7.13</v>
      </c>
      <c r="C17" s="112">
        <v>6.09</v>
      </c>
      <c r="D17" s="112">
        <v>13.9</v>
      </c>
      <c r="E17" s="112">
        <v>11.48</v>
      </c>
      <c r="F17" s="112">
        <v>25.27</v>
      </c>
      <c r="G17" s="112">
        <v>58.11</v>
      </c>
      <c r="H17" s="112">
        <v>24.72</v>
      </c>
      <c r="I17" s="112">
        <v>5.62</v>
      </c>
      <c r="J17" s="112">
        <v>0.1</v>
      </c>
      <c r="K17" s="112">
        <v>112.53</v>
      </c>
      <c r="L17" s="112">
        <v>31.52</v>
      </c>
      <c r="M17" s="112">
        <v>53.38</v>
      </c>
      <c r="N17" s="112">
        <v>0</v>
      </c>
      <c r="O17" s="112">
        <v>0</v>
      </c>
      <c r="P17" s="112">
        <v>0.63</v>
      </c>
      <c r="Q17" s="112">
        <v>4.96</v>
      </c>
    </row>
    <row r="18" spans="1:17" customFormat="1">
      <c r="A18" s="80">
        <v>45440.104166666664</v>
      </c>
      <c r="B18" s="112">
        <v>7.12</v>
      </c>
      <c r="C18" s="112">
        <v>6.07</v>
      </c>
      <c r="D18" s="112">
        <v>13.89</v>
      </c>
      <c r="E18" s="112">
        <v>13.38</v>
      </c>
      <c r="F18" s="112">
        <v>27.56</v>
      </c>
      <c r="G18" s="112">
        <v>48.19</v>
      </c>
      <c r="H18" s="112">
        <v>21.65</v>
      </c>
      <c r="I18" s="112">
        <v>5.74</v>
      </c>
      <c r="J18" s="112">
        <v>0.12</v>
      </c>
      <c r="K18" s="112">
        <v>181.05</v>
      </c>
      <c r="L18" s="112">
        <v>31.43</v>
      </c>
      <c r="M18" s="112">
        <v>53.68</v>
      </c>
      <c r="N18" s="112">
        <v>0</v>
      </c>
      <c r="O18" s="112">
        <v>0</v>
      </c>
      <c r="P18" s="112">
        <v>0.62</v>
      </c>
      <c r="Q18" s="112">
        <v>4.9800000000000004</v>
      </c>
    </row>
    <row r="19" spans="1:17" customFormat="1">
      <c r="A19" s="80">
        <v>45440.114583333336</v>
      </c>
      <c r="B19" s="112">
        <v>7.11</v>
      </c>
      <c r="C19" s="112">
        <v>6.07</v>
      </c>
      <c r="D19" s="112">
        <v>13.89</v>
      </c>
      <c r="E19" s="112">
        <v>13.07</v>
      </c>
      <c r="F19" s="112">
        <v>25.34</v>
      </c>
      <c r="G19" s="112">
        <v>46.05</v>
      </c>
      <c r="H19" s="112">
        <v>21.65</v>
      </c>
      <c r="I19" s="112">
        <v>5.69</v>
      </c>
      <c r="J19" s="112">
        <v>0.16</v>
      </c>
      <c r="K19" s="112">
        <v>116.92</v>
      </c>
      <c r="L19" s="112">
        <v>31.32</v>
      </c>
      <c r="M19" s="112">
        <v>54.67</v>
      </c>
      <c r="N19" s="112">
        <v>0</v>
      </c>
      <c r="O19" s="112">
        <v>0</v>
      </c>
      <c r="P19" s="112">
        <v>0.6</v>
      </c>
      <c r="Q19" s="112">
        <v>4.9800000000000004</v>
      </c>
    </row>
    <row r="20" spans="1:17" customFormat="1">
      <c r="A20" s="80">
        <v>45440.125</v>
      </c>
      <c r="B20" s="112">
        <v>7.12</v>
      </c>
      <c r="C20" s="112">
        <v>6.08</v>
      </c>
      <c r="D20" s="112">
        <v>13.9</v>
      </c>
      <c r="E20" s="112">
        <v>12.14</v>
      </c>
      <c r="F20" s="112">
        <v>22.21</v>
      </c>
      <c r="G20" s="112">
        <v>46.05</v>
      </c>
      <c r="H20" s="112">
        <v>21.65</v>
      </c>
      <c r="I20" s="112">
        <v>5.58</v>
      </c>
      <c r="J20" s="112">
        <v>0.12</v>
      </c>
      <c r="K20" s="112">
        <v>177.23</v>
      </c>
      <c r="L20" s="112">
        <v>31.03</v>
      </c>
      <c r="M20" s="112">
        <v>58.39</v>
      </c>
      <c r="N20" s="112">
        <v>0</v>
      </c>
      <c r="O20" s="112">
        <v>0</v>
      </c>
      <c r="P20" s="112">
        <v>0.6</v>
      </c>
      <c r="Q20" s="112">
        <v>4.97</v>
      </c>
    </row>
    <row r="21" spans="1:17" customFormat="1">
      <c r="A21" s="80">
        <v>45440.135416666664</v>
      </c>
      <c r="B21" s="112">
        <v>7.11</v>
      </c>
      <c r="C21" s="112">
        <v>6.07</v>
      </c>
      <c r="D21" s="112">
        <v>13.88</v>
      </c>
      <c r="E21" s="112">
        <v>12.59</v>
      </c>
      <c r="F21" s="112">
        <v>24.33</v>
      </c>
      <c r="G21" s="112">
        <v>46.05</v>
      </c>
      <c r="H21" s="112">
        <v>21.65</v>
      </c>
      <c r="I21" s="112">
        <v>5.52</v>
      </c>
      <c r="J21" s="112">
        <v>7.0000000000000007E-2</v>
      </c>
      <c r="K21" s="112">
        <v>161.41</v>
      </c>
      <c r="L21" s="112">
        <v>30.95</v>
      </c>
      <c r="M21" s="112">
        <v>53.27</v>
      </c>
      <c r="N21" s="112">
        <v>0</v>
      </c>
      <c r="O21" s="112">
        <v>0</v>
      </c>
      <c r="P21" s="112">
        <v>0.57999999999999996</v>
      </c>
      <c r="Q21" s="112">
        <v>4.96</v>
      </c>
    </row>
    <row r="22" spans="1:17" customFormat="1">
      <c r="A22" s="80">
        <v>45440.145833333336</v>
      </c>
      <c r="B22" s="112">
        <v>7.1</v>
      </c>
      <c r="C22" s="112">
        <v>6.06</v>
      </c>
      <c r="D22" s="112">
        <v>13.86</v>
      </c>
      <c r="E22" s="112">
        <v>12.62</v>
      </c>
      <c r="F22" s="112">
        <v>28.03</v>
      </c>
      <c r="G22" s="112">
        <v>46.18</v>
      </c>
      <c r="H22" s="112">
        <v>20.54</v>
      </c>
      <c r="I22" s="112">
        <v>5.48</v>
      </c>
      <c r="J22" s="112">
        <v>0.14000000000000001</v>
      </c>
      <c r="K22" s="112">
        <v>172.89</v>
      </c>
      <c r="L22" s="112">
        <v>30.79</v>
      </c>
      <c r="M22" s="112">
        <v>54.47</v>
      </c>
      <c r="N22" s="112">
        <v>0</v>
      </c>
      <c r="O22" s="112">
        <v>0</v>
      </c>
      <c r="P22" s="112">
        <v>0.56000000000000005</v>
      </c>
      <c r="Q22" s="112">
        <v>4.99</v>
      </c>
    </row>
    <row r="23" spans="1:17" customFormat="1">
      <c r="A23" s="80">
        <v>45440.15625</v>
      </c>
      <c r="B23" s="112">
        <v>7.11</v>
      </c>
      <c r="C23" s="112">
        <v>6.06</v>
      </c>
      <c r="D23" s="112">
        <v>13.87</v>
      </c>
      <c r="E23" s="112">
        <v>12.21</v>
      </c>
      <c r="F23" s="112">
        <v>25.48</v>
      </c>
      <c r="G23" s="112">
        <v>46.21</v>
      </c>
      <c r="H23" s="112">
        <v>20.54</v>
      </c>
      <c r="I23" s="112">
        <v>5.25</v>
      </c>
      <c r="J23" s="112">
        <v>0.1</v>
      </c>
      <c r="K23" s="112">
        <v>140.36000000000001</v>
      </c>
      <c r="L23" s="112">
        <v>30.76</v>
      </c>
      <c r="M23" s="112">
        <v>55.08</v>
      </c>
      <c r="N23" s="112">
        <v>0</v>
      </c>
      <c r="O23" s="112">
        <v>0</v>
      </c>
      <c r="P23" s="112">
        <v>0.55000000000000004</v>
      </c>
      <c r="Q23" s="112">
        <v>4.9800000000000004</v>
      </c>
    </row>
    <row r="24" spans="1:17" customFormat="1">
      <c r="A24" s="80">
        <v>45440.166666666664</v>
      </c>
      <c r="B24" s="112">
        <v>7.13</v>
      </c>
      <c r="C24" s="112">
        <v>6.04</v>
      </c>
      <c r="D24" s="112">
        <v>13.88</v>
      </c>
      <c r="E24" s="112">
        <v>12.09</v>
      </c>
      <c r="F24" s="112">
        <v>25.55</v>
      </c>
      <c r="G24" s="112">
        <v>46.21</v>
      </c>
      <c r="H24" s="112">
        <v>20.54</v>
      </c>
      <c r="I24" s="112">
        <v>5.12</v>
      </c>
      <c r="J24" s="112">
        <v>0.12</v>
      </c>
      <c r="K24" s="112">
        <v>170.28</v>
      </c>
      <c r="L24" s="112">
        <v>30.72</v>
      </c>
      <c r="M24" s="112">
        <v>55.77</v>
      </c>
      <c r="N24" s="112">
        <v>0</v>
      </c>
      <c r="O24" s="112">
        <v>0</v>
      </c>
      <c r="P24" s="112">
        <v>0.55000000000000004</v>
      </c>
      <c r="Q24" s="112">
        <v>4.97</v>
      </c>
    </row>
    <row r="25" spans="1:17" customFormat="1">
      <c r="A25" s="80">
        <v>45440.177083333336</v>
      </c>
      <c r="B25" s="112">
        <v>7.12</v>
      </c>
      <c r="C25" s="112">
        <v>6.02</v>
      </c>
      <c r="D25" s="112">
        <v>13.86</v>
      </c>
      <c r="E25" s="112">
        <v>12.19</v>
      </c>
      <c r="F25" s="112">
        <v>28.06</v>
      </c>
      <c r="G25" s="112">
        <v>46.21</v>
      </c>
      <c r="H25" s="112">
        <v>20.54</v>
      </c>
      <c r="I25" s="112">
        <v>5.09</v>
      </c>
      <c r="J25" s="112">
        <v>0.19</v>
      </c>
      <c r="K25" s="112">
        <v>240.78</v>
      </c>
      <c r="L25" s="112">
        <v>30.59</v>
      </c>
      <c r="M25" s="112">
        <v>56.29</v>
      </c>
      <c r="N25" s="112">
        <v>0</v>
      </c>
      <c r="O25" s="112">
        <v>0</v>
      </c>
      <c r="P25" s="112">
        <v>0.54</v>
      </c>
      <c r="Q25" s="112">
        <v>4.97</v>
      </c>
    </row>
    <row r="26" spans="1:17" customFormat="1">
      <c r="A26" s="80">
        <v>45440.1875</v>
      </c>
      <c r="B26" s="112">
        <v>7.11</v>
      </c>
      <c r="C26" s="112">
        <v>6.07</v>
      </c>
      <c r="D26" s="112">
        <v>13.88</v>
      </c>
      <c r="E26" s="112">
        <v>12.3</v>
      </c>
      <c r="F26" s="112">
        <v>28.32</v>
      </c>
      <c r="G26" s="112">
        <v>44.39</v>
      </c>
      <c r="H26" s="112">
        <v>19.66</v>
      </c>
      <c r="I26" s="112">
        <v>5.07</v>
      </c>
      <c r="J26" s="112">
        <v>0.03</v>
      </c>
      <c r="K26" s="112">
        <v>15.76</v>
      </c>
      <c r="L26" s="112">
        <v>30.88</v>
      </c>
      <c r="M26" s="112">
        <v>55.48</v>
      </c>
      <c r="N26" s="112">
        <v>0</v>
      </c>
      <c r="O26" s="112">
        <v>0</v>
      </c>
      <c r="P26" s="112">
        <v>0.53</v>
      </c>
      <c r="Q26" s="112">
        <v>4.9800000000000004</v>
      </c>
    </row>
    <row r="27" spans="1:17" customFormat="1">
      <c r="A27" s="80">
        <v>45440.197916666664</v>
      </c>
      <c r="B27" s="112">
        <v>7.11</v>
      </c>
      <c r="C27" s="112">
        <v>6.09</v>
      </c>
      <c r="D27" s="112">
        <v>13.89</v>
      </c>
      <c r="E27" s="112">
        <v>12.67</v>
      </c>
      <c r="F27" s="112">
        <v>26.96</v>
      </c>
      <c r="G27" s="112">
        <v>44</v>
      </c>
      <c r="H27" s="112">
        <v>19.66</v>
      </c>
      <c r="I27" s="112">
        <v>5.0199999999999996</v>
      </c>
      <c r="J27" s="112">
        <v>0.14000000000000001</v>
      </c>
      <c r="K27" s="112">
        <v>156.76</v>
      </c>
      <c r="L27" s="112">
        <v>30.65</v>
      </c>
      <c r="M27" s="112">
        <v>57.46</v>
      </c>
      <c r="N27" s="112">
        <v>0</v>
      </c>
      <c r="O27" s="112">
        <v>0</v>
      </c>
      <c r="P27" s="112">
        <v>0.51</v>
      </c>
      <c r="Q27" s="112">
        <v>4.97</v>
      </c>
    </row>
    <row r="28" spans="1:17" customFormat="1">
      <c r="A28" s="80">
        <v>45440.208333333336</v>
      </c>
      <c r="B28" s="112">
        <v>7.12</v>
      </c>
      <c r="C28" s="112">
        <v>6.08</v>
      </c>
      <c r="D28" s="112">
        <v>13.9</v>
      </c>
      <c r="E28" s="112">
        <v>11.36</v>
      </c>
      <c r="F28" s="112">
        <v>16.88</v>
      </c>
      <c r="G28" s="112">
        <v>44</v>
      </c>
      <c r="H28" s="112">
        <v>19.66</v>
      </c>
      <c r="I28" s="112">
        <v>6.15</v>
      </c>
      <c r="J28" s="112">
        <v>0.12</v>
      </c>
      <c r="K28" s="112">
        <v>200.31</v>
      </c>
      <c r="L28" s="112">
        <v>30.5</v>
      </c>
      <c r="M28" s="112">
        <v>58.34</v>
      </c>
      <c r="N28" s="112">
        <v>0</v>
      </c>
      <c r="O28" s="112">
        <v>0</v>
      </c>
      <c r="P28" s="112">
        <v>0.53</v>
      </c>
      <c r="Q28" s="112">
        <v>4.99</v>
      </c>
    </row>
    <row r="29" spans="1:17" customFormat="1">
      <c r="A29" s="80">
        <v>45440.21875</v>
      </c>
      <c r="B29" s="112">
        <v>7.13</v>
      </c>
      <c r="C29" s="112">
        <v>6.05</v>
      </c>
      <c r="D29" s="112">
        <v>13.89</v>
      </c>
      <c r="E29" s="112">
        <v>11.22</v>
      </c>
      <c r="F29" s="112">
        <v>17.239999999999998</v>
      </c>
      <c r="G29" s="112">
        <v>44</v>
      </c>
      <c r="H29" s="112">
        <v>19.66</v>
      </c>
      <c r="I29" s="112">
        <v>6.28</v>
      </c>
      <c r="J29" s="112">
        <v>0.19</v>
      </c>
      <c r="K29" s="112">
        <v>228.64</v>
      </c>
      <c r="L29" s="112">
        <v>30.52</v>
      </c>
      <c r="M29" s="112">
        <v>57.09</v>
      </c>
      <c r="N29" s="112">
        <v>0</v>
      </c>
      <c r="O29" s="112">
        <v>0</v>
      </c>
      <c r="P29" s="112">
        <v>0.55000000000000004</v>
      </c>
      <c r="Q29" s="112">
        <v>4.96</v>
      </c>
    </row>
    <row r="30" spans="1:17" customFormat="1">
      <c r="A30" s="80">
        <v>45440.229166666664</v>
      </c>
      <c r="B30" s="112">
        <v>7.15</v>
      </c>
      <c r="C30" s="112">
        <v>6.06</v>
      </c>
      <c r="D30" s="112">
        <v>13.9</v>
      </c>
      <c r="E30" s="112">
        <v>11.2</v>
      </c>
      <c r="F30" s="112">
        <v>16.79</v>
      </c>
      <c r="G30" s="112">
        <v>45.24</v>
      </c>
      <c r="H30" s="112">
        <v>16.25</v>
      </c>
      <c r="I30" s="112">
        <v>5.76</v>
      </c>
      <c r="J30" s="112">
        <v>0.09</v>
      </c>
      <c r="K30" s="112">
        <v>213.75</v>
      </c>
      <c r="L30" s="112">
        <v>30.7</v>
      </c>
      <c r="M30" s="112">
        <v>56.8</v>
      </c>
      <c r="N30" s="112">
        <v>0</v>
      </c>
      <c r="O30" s="112">
        <v>0</v>
      </c>
      <c r="P30" s="112">
        <v>0.54</v>
      </c>
      <c r="Q30" s="112">
        <v>4.96</v>
      </c>
    </row>
    <row r="31" spans="1:17" customFormat="1">
      <c r="A31" s="80">
        <v>45440.239583333336</v>
      </c>
      <c r="B31" s="112">
        <v>7.16</v>
      </c>
      <c r="C31" s="112">
        <v>6.06</v>
      </c>
      <c r="D31" s="112">
        <v>13.92</v>
      </c>
      <c r="E31" s="112">
        <v>11.14</v>
      </c>
      <c r="F31" s="112">
        <v>14.28</v>
      </c>
      <c r="G31" s="112">
        <v>45.51</v>
      </c>
      <c r="H31" s="112">
        <v>16.25</v>
      </c>
      <c r="I31" s="112">
        <v>5.66</v>
      </c>
      <c r="J31" s="112">
        <v>0.11</v>
      </c>
      <c r="K31" s="112">
        <v>199.87</v>
      </c>
      <c r="L31" s="112">
        <v>30.77</v>
      </c>
      <c r="M31" s="112">
        <v>56.77</v>
      </c>
      <c r="N31" s="112">
        <v>3.3</v>
      </c>
      <c r="O31" s="112">
        <v>0</v>
      </c>
      <c r="P31" s="112">
        <v>0.53</v>
      </c>
      <c r="Q31" s="112">
        <v>4.9800000000000004</v>
      </c>
    </row>
    <row r="32" spans="1:17" customFormat="1">
      <c r="A32" s="80">
        <v>45440.25</v>
      </c>
      <c r="B32" s="112">
        <v>7.17</v>
      </c>
      <c r="C32" s="112">
        <v>6.06</v>
      </c>
      <c r="D32" s="112">
        <v>13.93</v>
      </c>
      <c r="E32" s="112">
        <v>11.45</v>
      </c>
      <c r="F32" s="112">
        <v>15.82</v>
      </c>
      <c r="G32" s="112">
        <v>45.51</v>
      </c>
      <c r="H32" s="112">
        <v>16.25</v>
      </c>
      <c r="I32" s="112">
        <v>5.56</v>
      </c>
      <c r="J32" s="112">
        <v>0.1</v>
      </c>
      <c r="K32" s="112">
        <v>210.52</v>
      </c>
      <c r="L32" s="112">
        <v>30.78</v>
      </c>
      <c r="M32" s="112">
        <v>58.05</v>
      </c>
      <c r="N32" s="112">
        <v>12.2</v>
      </c>
      <c r="O32" s="112">
        <v>0</v>
      </c>
      <c r="P32" s="112">
        <v>0.52</v>
      </c>
      <c r="Q32" s="112">
        <v>4.96</v>
      </c>
    </row>
    <row r="33" spans="1:17" customFormat="1">
      <c r="A33" s="80">
        <v>45440.260416666664</v>
      </c>
      <c r="B33" s="112">
        <v>7.17</v>
      </c>
      <c r="C33" s="112">
        <v>6.06</v>
      </c>
      <c r="D33" s="112">
        <v>13.93</v>
      </c>
      <c r="E33" s="112">
        <v>11.45</v>
      </c>
      <c r="F33" s="112">
        <v>13.69</v>
      </c>
      <c r="G33" s="112">
        <v>45.51</v>
      </c>
      <c r="H33" s="112">
        <v>16.25</v>
      </c>
      <c r="I33" s="112">
        <v>5.45</v>
      </c>
      <c r="J33" s="112">
        <v>0.25</v>
      </c>
      <c r="K33" s="112">
        <v>257.7</v>
      </c>
      <c r="L33" s="112">
        <v>30.94</v>
      </c>
      <c r="M33" s="112">
        <v>57.23</v>
      </c>
      <c r="N33" s="112">
        <v>24.6</v>
      </c>
      <c r="O33" s="112">
        <v>0</v>
      </c>
      <c r="P33" s="112">
        <v>0.53</v>
      </c>
      <c r="Q33" s="112">
        <v>4.97</v>
      </c>
    </row>
    <row r="34" spans="1:17" customFormat="1">
      <c r="A34" s="80">
        <v>45440.270833333336</v>
      </c>
      <c r="B34" s="112">
        <v>7.16</v>
      </c>
      <c r="C34" s="112">
        <v>6.08</v>
      </c>
      <c r="D34" s="112">
        <v>13.93</v>
      </c>
      <c r="E34" s="112">
        <v>11.49</v>
      </c>
      <c r="F34" s="112">
        <v>11.32</v>
      </c>
      <c r="G34" s="112">
        <v>40.33</v>
      </c>
      <c r="H34" s="112">
        <v>18.75</v>
      </c>
      <c r="I34" s="112">
        <v>5.46</v>
      </c>
      <c r="J34" s="112">
        <v>0.6</v>
      </c>
      <c r="K34" s="112">
        <v>256.77</v>
      </c>
      <c r="L34" s="112">
        <v>31.73</v>
      </c>
      <c r="M34" s="112">
        <v>54.04</v>
      </c>
      <c r="N34" s="112">
        <v>41.3</v>
      </c>
      <c r="O34" s="112">
        <v>0</v>
      </c>
      <c r="P34" s="112">
        <v>0.52</v>
      </c>
      <c r="Q34" s="112">
        <v>4.9800000000000004</v>
      </c>
    </row>
    <row r="35" spans="1:17" customFormat="1">
      <c r="A35" s="80">
        <v>45440.28125</v>
      </c>
      <c r="B35" s="112">
        <v>7.14</v>
      </c>
      <c r="C35" s="112">
        <v>6.1</v>
      </c>
      <c r="D35" s="112">
        <v>13.92</v>
      </c>
      <c r="E35" s="112">
        <v>11.34</v>
      </c>
      <c r="F35" s="112">
        <v>11.34</v>
      </c>
      <c r="G35" s="112">
        <v>39.21</v>
      </c>
      <c r="H35" s="112">
        <v>18.96</v>
      </c>
      <c r="I35" s="112">
        <v>5.51</v>
      </c>
      <c r="J35" s="112">
        <v>0.78</v>
      </c>
      <c r="K35" s="112">
        <v>255.74</v>
      </c>
      <c r="L35" s="112">
        <v>32.51</v>
      </c>
      <c r="M35" s="112">
        <v>51.44</v>
      </c>
      <c r="N35" s="112">
        <v>59</v>
      </c>
      <c r="O35" s="112">
        <v>0</v>
      </c>
      <c r="P35" s="112">
        <v>0.51</v>
      </c>
      <c r="Q35" s="112">
        <v>4.9800000000000004</v>
      </c>
    </row>
    <row r="36" spans="1:17" customFormat="1">
      <c r="A36" s="80">
        <v>45440.291666666664</v>
      </c>
      <c r="B36" s="112">
        <v>7.12</v>
      </c>
      <c r="C36" s="112">
        <v>6.07</v>
      </c>
      <c r="D36" s="112">
        <v>13.9</v>
      </c>
      <c r="E36" s="112">
        <v>11.28</v>
      </c>
      <c r="F36" s="112">
        <v>10.9</v>
      </c>
      <c r="G36" s="112">
        <v>39.21</v>
      </c>
      <c r="H36" s="112">
        <v>18.96</v>
      </c>
      <c r="I36" s="112">
        <v>5.53</v>
      </c>
      <c r="J36" s="112">
        <v>0.72</v>
      </c>
      <c r="K36" s="112">
        <v>255.71</v>
      </c>
      <c r="L36" s="112">
        <v>33.229999999999997</v>
      </c>
      <c r="M36" s="112">
        <v>49.59</v>
      </c>
      <c r="N36" s="112">
        <v>73.7</v>
      </c>
      <c r="O36" s="112">
        <v>0</v>
      </c>
      <c r="P36" s="112">
        <v>0.51</v>
      </c>
      <c r="Q36" s="112">
        <v>4.99</v>
      </c>
    </row>
    <row r="37" spans="1:17" customFormat="1">
      <c r="A37" s="80">
        <v>45440.302083333336</v>
      </c>
      <c r="B37" s="112">
        <v>7.12</v>
      </c>
      <c r="C37" s="112">
        <v>6.07</v>
      </c>
      <c r="D37" s="112">
        <v>13.89</v>
      </c>
      <c r="E37" s="112">
        <v>11.14</v>
      </c>
      <c r="F37" s="112">
        <v>8.89</v>
      </c>
      <c r="G37" s="112">
        <v>39.21</v>
      </c>
      <c r="H37" s="112">
        <v>18.96</v>
      </c>
      <c r="I37" s="112">
        <v>5.56</v>
      </c>
      <c r="J37" s="112">
        <v>0.9</v>
      </c>
      <c r="K37" s="112">
        <v>253.81</v>
      </c>
      <c r="L37" s="112">
        <v>33.909999999999997</v>
      </c>
      <c r="M37" s="112">
        <v>47.7</v>
      </c>
      <c r="N37" s="112">
        <v>82.7</v>
      </c>
      <c r="O37" s="112">
        <v>0</v>
      </c>
      <c r="P37" s="112">
        <v>0.5</v>
      </c>
      <c r="Q37" s="112">
        <v>4.97</v>
      </c>
    </row>
    <row r="38" spans="1:17" customFormat="1">
      <c r="A38" s="80">
        <v>45440.3125</v>
      </c>
      <c r="B38" s="112">
        <v>7.15</v>
      </c>
      <c r="C38" s="112">
        <v>6.05</v>
      </c>
      <c r="D38" s="112">
        <v>13.9</v>
      </c>
      <c r="E38" s="112">
        <v>11.57</v>
      </c>
      <c r="F38" s="112">
        <v>11.51</v>
      </c>
      <c r="G38" s="112">
        <v>40.36</v>
      </c>
      <c r="H38" s="112">
        <v>14.12</v>
      </c>
      <c r="I38" s="112">
        <v>5.53</v>
      </c>
      <c r="J38" s="112">
        <v>0.83</v>
      </c>
      <c r="K38" s="112">
        <v>255.45</v>
      </c>
      <c r="L38" s="112">
        <v>34.68</v>
      </c>
      <c r="M38" s="112">
        <v>45.73</v>
      </c>
      <c r="N38" s="112">
        <v>89.9</v>
      </c>
      <c r="O38" s="112">
        <v>0</v>
      </c>
      <c r="P38" s="112">
        <v>0.5</v>
      </c>
      <c r="Q38" s="112">
        <v>4.96</v>
      </c>
    </row>
    <row r="39" spans="1:17" customFormat="1">
      <c r="A39" s="80">
        <v>45440.322916666664</v>
      </c>
      <c r="B39" s="112">
        <v>7.12</v>
      </c>
      <c r="C39" s="112">
        <v>6.11</v>
      </c>
      <c r="D39" s="112">
        <v>13.91</v>
      </c>
      <c r="E39" s="112">
        <v>11.28</v>
      </c>
      <c r="F39" s="112">
        <v>9.1999999999999993</v>
      </c>
      <c r="G39" s="112">
        <v>40.61</v>
      </c>
      <c r="H39" s="112">
        <v>14.12</v>
      </c>
      <c r="I39" s="112">
        <v>5.5</v>
      </c>
      <c r="J39" s="112">
        <v>1.21</v>
      </c>
      <c r="K39" s="112">
        <v>259.18</v>
      </c>
      <c r="L39" s="112">
        <v>35.14</v>
      </c>
      <c r="M39" s="112">
        <v>43.89</v>
      </c>
      <c r="N39" s="112">
        <v>96.8</v>
      </c>
      <c r="O39" s="112">
        <v>0</v>
      </c>
      <c r="P39" s="112">
        <v>0.49</v>
      </c>
      <c r="Q39" s="112">
        <v>4.9800000000000004</v>
      </c>
    </row>
    <row r="40" spans="1:17" customFormat="1">
      <c r="A40" s="80">
        <v>45440.333333333336</v>
      </c>
      <c r="B40" s="112">
        <v>7.11</v>
      </c>
      <c r="C40" s="112">
        <v>6.05</v>
      </c>
      <c r="D40" s="112">
        <v>13.87</v>
      </c>
      <c r="E40" s="112">
        <v>11.39</v>
      </c>
      <c r="F40" s="112">
        <v>8.3699999999999992</v>
      </c>
      <c r="G40" s="112">
        <v>40.61</v>
      </c>
      <c r="H40" s="112">
        <v>14.12</v>
      </c>
      <c r="I40" s="112">
        <v>5.45</v>
      </c>
      <c r="J40" s="112">
        <v>1.27</v>
      </c>
      <c r="K40" s="112">
        <v>264.12</v>
      </c>
      <c r="L40" s="112">
        <v>35.61</v>
      </c>
      <c r="M40" s="112">
        <v>42.59</v>
      </c>
      <c r="N40" s="112">
        <v>105.1</v>
      </c>
      <c r="O40" s="112">
        <v>0</v>
      </c>
      <c r="P40" s="112">
        <v>0.48</v>
      </c>
      <c r="Q40" s="112">
        <v>4.97</v>
      </c>
    </row>
    <row r="41" spans="1:17" customFormat="1">
      <c r="A41" s="80">
        <v>45440.34375</v>
      </c>
      <c r="B41" s="112">
        <v>7.1</v>
      </c>
      <c r="C41" s="112">
        <v>6.07</v>
      </c>
      <c r="D41" s="112">
        <v>13.88</v>
      </c>
      <c r="E41" s="112">
        <v>11.6</v>
      </c>
      <c r="F41" s="112">
        <v>9.2100000000000009</v>
      </c>
      <c r="G41" s="112">
        <v>40.61</v>
      </c>
      <c r="H41" s="112">
        <v>14.12</v>
      </c>
      <c r="I41" s="112">
        <v>5.45</v>
      </c>
      <c r="J41" s="112">
        <v>1.22</v>
      </c>
      <c r="K41" s="112">
        <v>265.2</v>
      </c>
      <c r="L41" s="112">
        <v>36.130000000000003</v>
      </c>
      <c r="M41" s="112">
        <v>41.53</v>
      </c>
      <c r="N41" s="112">
        <v>112.5</v>
      </c>
      <c r="O41" s="112">
        <v>0</v>
      </c>
      <c r="P41" s="112">
        <v>0.46</v>
      </c>
      <c r="Q41" s="112">
        <v>4.9800000000000004</v>
      </c>
    </row>
    <row r="42" spans="1:17" customFormat="1">
      <c r="A42" s="80">
        <v>45440.354166666664</v>
      </c>
      <c r="B42" s="112">
        <v>7.1</v>
      </c>
      <c r="C42" s="112">
        <v>6.09</v>
      </c>
      <c r="D42" s="112">
        <v>13.88</v>
      </c>
      <c r="E42" s="112">
        <v>11.74</v>
      </c>
      <c r="F42" s="112">
        <v>11.24</v>
      </c>
      <c r="G42" s="112">
        <v>41.45</v>
      </c>
      <c r="H42" s="112">
        <v>12.04</v>
      </c>
      <c r="I42" s="112">
        <v>5.4</v>
      </c>
      <c r="J42" s="112">
        <v>1.32</v>
      </c>
      <c r="K42" s="112">
        <v>260.58</v>
      </c>
      <c r="L42" s="112">
        <v>36.56</v>
      </c>
      <c r="M42" s="112">
        <v>40.24</v>
      </c>
      <c r="N42" s="112">
        <v>120.5</v>
      </c>
      <c r="O42" s="112">
        <v>0</v>
      </c>
      <c r="P42" s="112">
        <v>0.48</v>
      </c>
      <c r="Q42" s="112">
        <v>4.99</v>
      </c>
    </row>
    <row r="43" spans="1:17" customFormat="1">
      <c r="A43" s="80">
        <v>45440.364583333336</v>
      </c>
      <c r="B43" s="112">
        <v>7.11</v>
      </c>
      <c r="C43" s="112">
        <v>6.07</v>
      </c>
      <c r="D43" s="112">
        <v>13.88</v>
      </c>
      <c r="E43" s="112">
        <v>12.7</v>
      </c>
      <c r="F43" s="112">
        <v>11.64</v>
      </c>
      <c r="G43" s="112">
        <v>41.63</v>
      </c>
      <c r="H43" s="112">
        <v>12.04</v>
      </c>
      <c r="I43" s="112">
        <v>5.3</v>
      </c>
      <c r="J43" s="112">
        <v>1.46</v>
      </c>
      <c r="K43" s="112">
        <v>269.42</v>
      </c>
      <c r="L43" s="112">
        <v>37.04</v>
      </c>
      <c r="M43" s="112">
        <v>38.869999999999997</v>
      </c>
      <c r="N43" s="112">
        <v>127</v>
      </c>
      <c r="O43" s="112">
        <v>0</v>
      </c>
      <c r="P43" s="112">
        <v>0.47</v>
      </c>
      <c r="Q43" s="112">
        <v>4.97</v>
      </c>
    </row>
    <row r="44" spans="1:17" customFormat="1">
      <c r="A44" s="80">
        <v>45440.375</v>
      </c>
      <c r="B44" s="112">
        <v>7.12</v>
      </c>
      <c r="C44" s="112">
        <v>6.07</v>
      </c>
      <c r="D44" s="112">
        <v>13.89</v>
      </c>
      <c r="E44" s="112">
        <v>12.22</v>
      </c>
      <c r="F44" s="112">
        <v>11.82</v>
      </c>
      <c r="G44" s="112">
        <v>41.63</v>
      </c>
      <c r="H44" s="112">
        <v>12.04</v>
      </c>
      <c r="I44" s="112">
        <v>5.25</v>
      </c>
      <c r="J44" s="112">
        <v>1.22</v>
      </c>
      <c r="K44" s="112">
        <v>265.25</v>
      </c>
      <c r="L44" s="112">
        <v>37.67</v>
      </c>
      <c r="M44" s="112">
        <v>37.909999999999997</v>
      </c>
      <c r="N44" s="112">
        <v>133.1</v>
      </c>
      <c r="O44" s="112">
        <v>0</v>
      </c>
      <c r="P44" s="112">
        <v>0.47</v>
      </c>
      <c r="Q44" s="112">
        <v>4.97</v>
      </c>
    </row>
    <row r="45" spans="1:17" customFormat="1">
      <c r="A45" s="80">
        <v>45440.385416666664</v>
      </c>
      <c r="B45" s="112">
        <v>7.1</v>
      </c>
      <c r="C45" s="112">
        <v>6.07</v>
      </c>
      <c r="D45" s="112">
        <v>13.87</v>
      </c>
      <c r="E45" s="112">
        <v>12.58</v>
      </c>
      <c r="F45" s="112">
        <v>14.71</v>
      </c>
      <c r="G45" s="112">
        <v>41.63</v>
      </c>
      <c r="H45" s="112">
        <v>12.04</v>
      </c>
      <c r="I45" s="112">
        <v>5.25</v>
      </c>
      <c r="J45" s="112">
        <v>1.17</v>
      </c>
      <c r="K45" s="112">
        <v>274.93</v>
      </c>
      <c r="L45" s="112">
        <v>38.229999999999997</v>
      </c>
      <c r="M45" s="112">
        <v>36.71</v>
      </c>
      <c r="N45" s="112">
        <v>139.9</v>
      </c>
      <c r="O45" s="112">
        <v>0</v>
      </c>
      <c r="P45" s="112">
        <v>0.5</v>
      </c>
      <c r="Q45" s="112">
        <v>4.97</v>
      </c>
    </row>
    <row r="46" spans="1:17" customFormat="1">
      <c r="A46" s="80">
        <v>45440.395833333336</v>
      </c>
      <c r="B46" s="112">
        <v>7.08</v>
      </c>
      <c r="C46" s="112">
        <v>6.07</v>
      </c>
      <c r="D46" s="112">
        <v>13.86</v>
      </c>
      <c r="E46" s="112">
        <v>13.9</v>
      </c>
      <c r="F46" s="112">
        <v>17</v>
      </c>
      <c r="G46" s="112">
        <v>49.4</v>
      </c>
      <c r="H46" s="112">
        <v>16.98</v>
      </c>
      <c r="I46" s="112">
        <v>5.33</v>
      </c>
      <c r="J46" s="112">
        <v>1.47</v>
      </c>
      <c r="K46" s="112">
        <v>278.42</v>
      </c>
      <c r="L46" s="112">
        <v>38.39</v>
      </c>
      <c r="M46" s="112">
        <v>36.58</v>
      </c>
      <c r="N46" s="112">
        <v>146.1</v>
      </c>
      <c r="O46" s="112">
        <v>0</v>
      </c>
      <c r="P46" s="112">
        <v>0.52</v>
      </c>
      <c r="Q46" s="112">
        <v>4.9800000000000004</v>
      </c>
    </row>
    <row r="47" spans="1:17" customFormat="1">
      <c r="A47" s="80">
        <v>45440.40625</v>
      </c>
      <c r="B47" s="112">
        <v>7.08</v>
      </c>
      <c r="C47" s="112">
        <v>6.07</v>
      </c>
      <c r="D47" s="112">
        <v>13.86</v>
      </c>
      <c r="E47" s="112">
        <v>13.84</v>
      </c>
      <c r="F47" s="112">
        <v>21.9</v>
      </c>
      <c r="G47" s="112">
        <v>51.07</v>
      </c>
      <c r="H47" s="112">
        <v>16.98</v>
      </c>
      <c r="I47" s="112">
        <v>5.38</v>
      </c>
      <c r="J47" s="112">
        <v>1.0900000000000001</v>
      </c>
      <c r="K47" s="112">
        <v>264.48</v>
      </c>
      <c r="L47" s="112">
        <v>39.07</v>
      </c>
      <c r="M47" s="112">
        <v>35.49</v>
      </c>
      <c r="N47" s="112">
        <v>149.69999999999999</v>
      </c>
      <c r="O47" s="112">
        <v>0</v>
      </c>
      <c r="P47" s="112">
        <v>0.5</v>
      </c>
      <c r="Q47" s="112">
        <v>4.9800000000000004</v>
      </c>
    </row>
    <row r="48" spans="1:17" customFormat="1">
      <c r="A48" s="80">
        <v>45440.416666666664</v>
      </c>
      <c r="B48" s="112">
        <v>7.06</v>
      </c>
      <c r="C48" s="112">
        <v>6.07</v>
      </c>
      <c r="D48" s="112">
        <v>13.84</v>
      </c>
      <c r="E48" s="112">
        <v>17.559999999999999</v>
      </c>
      <c r="F48" s="112">
        <v>25.69</v>
      </c>
      <c r="G48" s="112">
        <v>51.07</v>
      </c>
      <c r="H48" s="112">
        <v>16.98</v>
      </c>
      <c r="I48" s="112">
        <v>5.42</v>
      </c>
      <c r="J48" s="112">
        <v>1.1399999999999999</v>
      </c>
      <c r="K48" s="112">
        <v>267.60000000000002</v>
      </c>
      <c r="L48" s="112">
        <v>39.36</v>
      </c>
      <c r="M48" s="112">
        <v>34.07</v>
      </c>
      <c r="N48" s="112">
        <v>153.6</v>
      </c>
      <c r="O48" s="112">
        <v>0</v>
      </c>
      <c r="P48" s="112">
        <v>0.54</v>
      </c>
      <c r="Q48" s="112">
        <v>4.9800000000000004</v>
      </c>
    </row>
    <row r="49" spans="1:17" customFormat="1">
      <c r="A49" s="80">
        <v>45440.427083333336</v>
      </c>
      <c r="B49" s="112">
        <v>7.09</v>
      </c>
      <c r="C49" s="112">
        <v>6.08</v>
      </c>
      <c r="D49" s="112">
        <v>13.87</v>
      </c>
      <c r="E49" s="112">
        <v>15.71</v>
      </c>
      <c r="F49" s="112">
        <v>26.64</v>
      </c>
      <c r="G49" s="112">
        <v>51.07</v>
      </c>
      <c r="H49" s="112">
        <v>16.98</v>
      </c>
      <c r="I49" s="112">
        <v>5.47</v>
      </c>
      <c r="J49" s="112">
        <v>1.44</v>
      </c>
      <c r="K49" s="112">
        <v>281.14999999999998</v>
      </c>
      <c r="L49" s="112">
        <v>39.76</v>
      </c>
      <c r="M49" s="112">
        <v>32.92</v>
      </c>
      <c r="N49" s="112">
        <v>159.5</v>
      </c>
      <c r="O49" s="112">
        <v>0</v>
      </c>
      <c r="P49" s="112">
        <v>0.56999999999999995</v>
      </c>
      <c r="Q49" s="112">
        <v>4.96</v>
      </c>
    </row>
    <row r="50" spans="1:17" customFormat="1">
      <c r="A50" s="80">
        <v>45440.4375</v>
      </c>
      <c r="B50" s="112">
        <v>7.09</v>
      </c>
      <c r="C50" s="112">
        <v>6.08</v>
      </c>
      <c r="D50" s="112">
        <v>13.87</v>
      </c>
      <c r="E50" s="112">
        <v>19.03</v>
      </c>
      <c r="F50" s="112">
        <v>27.78</v>
      </c>
      <c r="G50" s="112">
        <v>59.67</v>
      </c>
      <c r="H50" s="112">
        <v>17.93</v>
      </c>
      <c r="I50" s="112">
        <v>5.59</v>
      </c>
      <c r="J50" s="112">
        <v>1.28</v>
      </c>
      <c r="K50" s="112">
        <v>281.38</v>
      </c>
      <c r="L50" s="112">
        <v>40.03</v>
      </c>
      <c r="M50" s="112">
        <v>32.69</v>
      </c>
      <c r="N50" s="112">
        <v>166.6</v>
      </c>
      <c r="O50" s="112">
        <v>0</v>
      </c>
      <c r="P50" s="112">
        <v>0.6</v>
      </c>
      <c r="Q50" s="112">
        <v>4.95</v>
      </c>
    </row>
    <row r="51" spans="1:17" customFormat="1">
      <c r="A51" s="80">
        <v>45440.447916666664</v>
      </c>
      <c r="B51" s="112">
        <v>7.13</v>
      </c>
      <c r="C51" s="112">
        <v>6.07</v>
      </c>
      <c r="D51" s="112">
        <v>13.9</v>
      </c>
      <c r="E51" s="112">
        <v>17.829999999999998</v>
      </c>
      <c r="F51" s="112">
        <v>29.49</v>
      </c>
      <c r="G51" s="112">
        <v>61.53</v>
      </c>
      <c r="H51" s="112">
        <v>17.93</v>
      </c>
      <c r="I51" s="112">
        <v>5.73</v>
      </c>
      <c r="J51" s="112">
        <v>1.07</v>
      </c>
      <c r="K51" s="112">
        <v>265.14999999999998</v>
      </c>
      <c r="L51" s="112">
        <v>40.450000000000003</v>
      </c>
      <c r="M51" s="112">
        <v>32.200000000000003</v>
      </c>
      <c r="N51" s="112">
        <v>172.2</v>
      </c>
      <c r="O51" s="112">
        <v>0</v>
      </c>
      <c r="P51" s="112">
        <v>0.64</v>
      </c>
      <c r="Q51" s="112">
        <v>4.96</v>
      </c>
    </row>
    <row r="52" spans="1:17" customFormat="1">
      <c r="A52" s="80">
        <v>45440.458333333336</v>
      </c>
      <c r="B52" s="112">
        <v>7.13</v>
      </c>
      <c r="C52" s="112">
        <v>6.11</v>
      </c>
      <c r="D52" s="112">
        <v>13.91</v>
      </c>
      <c r="E52" s="112">
        <v>17.350000000000001</v>
      </c>
      <c r="F52" s="112">
        <v>32.26</v>
      </c>
      <c r="G52" s="112">
        <v>61.53</v>
      </c>
      <c r="H52" s="112">
        <v>17.93</v>
      </c>
      <c r="I52" s="112">
        <v>5.95</v>
      </c>
      <c r="J52" s="112">
        <v>1.18</v>
      </c>
      <c r="K52" s="112">
        <v>273.73</v>
      </c>
      <c r="L52" s="112">
        <v>40.65</v>
      </c>
      <c r="M52" s="112">
        <v>31.72</v>
      </c>
      <c r="N52" s="112">
        <v>181.9</v>
      </c>
      <c r="O52" s="112">
        <v>0</v>
      </c>
      <c r="P52" s="112">
        <v>0.64</v>
      </c>
      <c r="Q52" s="112">
        <v>4.97</v>
      </c>
    </row>
    <row r="53" spans="1:17" customFormat="1">
      <c r="A53" s="80">
        <v>45440.46875</v>
      </c>
      <c r="B53" s="112">
        <v>7.14</v>
      </c>
      <c r="C53" s="112">
        <v>6.1</v>
      </c>
      <c r="D53" s="112">
        <v>13.92</v>
      </c>
      <c r="E53" s="112">
        <v>18.850000000000001</v>
      </c>
      <c r="F53" s="112">
        <v>33.08</v>
      </c>
      <c r="G53" s="112">
        <v>61.53</v>
      </c>
      <c r="H53" s="112">
        <v>17.93</v>
      </c>
      <c r="I53" s="112">
        <v>6.09</v>
      </c>
      <c r="J53" s="112">
        <v>1.24</v>
      </c>
      <c r="K53" s="112">
        <v>267.10000000000002</v>
      </c>
      <c r="L53" s="112">
        <v>41.09</v>
      </c>
      <c r="M53" s="112">
        <v>30.72</v>
      </c>
      <c r="N53" s="112">
        <v>188.8</v>
      </c>
      <c r="O53" s="112">
        <v>0</v>
      </c>
      <c r="P53" s="112">
        <v>0.65</v>
      </c>
      <c r="Q53" s="112">
        <v>4.95</v>
      </c>
    </row>
    <row r="54" spans="1:17" customFormat="1">
      <c r="A54" s="80">
        <v>45440.479166666664</v>
      </c>
      <c r="B54" s="112">
        <v>7.14</v>
      </c>
      <c r="C54" s="112">
        <v>6.06</v>
      </c>
      <c r="D54" s="112">
        <v>13.9</v>
      </c>
      <c r="E54" s="112">
        <v>18.170000000000002</v>
      </c>
      <c r="F54" s="112">
        <v>34.17</v>
      </c>
      <c r="G54" s="112">
        <v>75.64</v>
      </c>
      <c r="H54" s="112">
        <v>23.06</v>
      </c>
      <c r="I54" s="112">
        <v>6.2</v>
      </c>
      <c r="J54" s="112">
        <v>1.32</v>
      </c>
      <c r="K54" s="112">
        <v>284.08999999999997</v>
      </c>
      <c r="L54" s="112">
        <v>41.63</v>
      </c>
      <c r="M54" s="112">
        <v>30.26</v>
      </c>
      <c r="N54" s="112">
        <v>293.89999999999998</v>
      </c>
      <c r="O54" s="112">
        <v>0</v>
      </c>
      <c r="P54" s="112">
        <v>0.69</v>
      </c>
      <c r="Q54" s="112">
        <v>4.9400000000000004</v>
      </c>
    </row>
    <row r="55" spans="1:17" customFormat="1">
      <c r="A55" s="80">
        <v>45440.489583333336</v>
      </c>
      <c r="B55" s="112">
        <v>7.12</v>
      </c>
      <c r="C55" s="112">
        <v>6.09</v>
      </c>
      <c r="D55" s="112">
        <v>13.91</v>
      </c>
      <c r="E55" s="112">
        <v>18.239999999999998</v>
      </c>
      <c r="F55" s="112">
        <v>34.86</v>
      </c>
      <c r="G55" s="112">
        <v>78.69</v>
      </c>
      <c r="H55" s="112">
        <v>23.06</v>
      </c>
      <c r="I55" s="112">
        <v>6.26</v>
      </c>
      <c r="J55" s="112">
        <v>0.98</v>
      </c>
      <c r="K55" s="112">
        <v>262.86</v>
      </c>
      <c r="L55" s="112">
        <v>42.09</v>
      </c>
      <c r="M55" s="112">
        <v>29.34</v>
      </c>
      <c r="N55" s="112">
        <v>572.20000000000005</v>
      </c>
      <c r="O55" s="112">
        <v>0</v>
      </c>
      <c r="P55" s="112">
        <v>0.68</v>
      </c>
      <c r="Q55" s="112">
        <v>4.95</v>
      </c>
    </row>
    <row r="56" spans="1:17" customFormat="1">
      <c r="A56" s="80">
        <v>45440.5</v>
      </c>
      <c r="B56" s="112">
        <v>7.18</v>
      </c>
      <c r="C56" s="112">
        <v>6.07</v>
      </c>
      <c r="D56" s="112">
        <v>13.94</v>
      </c>
      <c r="E56" s="112">
        <v>18.93</v>
      </c>
      <c r="F56" s="112">
        <v>31.75</v>
      </c>
      <c r="G56" s="112">
        <v>78.69</v>
      </c>
      <c r="H56" s="112">
        <v>23.06</v>
      </c>
      <c r="I56" s="112">
        <v>6.45</v>
      </c>
      <c r="J56" s="112">
        <v>1.25</v>
      </c>
      <c r="K56" s="112">
        <v>261.04000000000002</v>
      </c>
      <c r="L56" s="112">
        <v>42.26</v>
      </c>
      <c r="M56" s="112">
        <v>28.77</v>
      </c>
      <c r="N56" s="112">
        <v>786.3</v>
      </c>
      <c r="O56" s="112">
        <v>0</v>
      </c>
      <c r="P56" s="112">
        <v>0.68</v>
      </c>
      <c r="Q56" s="112">
        <v>4.9400000000000004</v>
      </c>
    </row>
    <row r="57" spans="1:17" customFormat="1">
      <c r="A57" s="80">
        <v>45440.510416666664</v>
      </c>
      <c r="B57" s="112">
        <v>7.2</v>
      </c>
      <c r="C57" s="112">
        <v>6.09</v>
      </c>
      <c r="D57" s="112">
        <v>13.96</v>
      </c>
      <c r="E57" s="112">
        <v>18.23</v>
      </c>
      <c r="F57" s="112">
        <v>29.73</v>
      </c>
      <c r="G57" s="112">
        <v>78.69</v>
      </c>
      <c r="H57" s="112">
        <v>23.06</v>
      </c>
      <c r="I57" s="112">
        <v>6.54</v>
      </c>
      <c r="J57" s="112">
        <v>1.47</v>
      </c>
      <c r="K57" s="112">
        <v>274.39999999999998</v>
      </c>
      <c r="L57" s="112">
        <v>42.47</v>
      </c>
      <c r="M57" s="112">
        <v>27.6</v>
      </c>
      <c r="N57" s="112">
        <v>800.3</v>
      </c>
      <c r="O57" s="112">
        <v>0</v>
      </c>
      <c r="P57" s="112">
        <v>0.71</v>
      </c>
      <c r="Q57" s="112">
        <v>4.95</v>
      </c>
    </row>
    <row r="58" spans="1:17" customFormat="1">
      <c r="A58" s="80">
        <v>45440.520833333336</v>
      </c>
      <c r="B58" s="112">
        <v>7.15</v>
      </c>
      <c r="C58" s="112">
        <v>6.08</v>
      </c>
      <c r="D58" s="112">
        <v>13.92</v>
      </c>
      <c r="E58" s="112">
        <v>18.68</v>
      </c>
      <c r="F58" s="112">
        <v>34.92</v>
      </c>
      <c r="G58" s="112">
        <v>81.180000000000007</v>
      </c>
      <c r="H58" s="112">
        <v>21.52</v>
      </c>
      <c r="I58" s="112">
        <v>6.72</v>
      </c>
      <c r="J58" s="112">
        <v>1.24</v>
      </c>
      <c r="K58" s="112">
        <v>270.04000000000002</v>
      </c>
      <c r="L58" s="112">
        <v>42.89</v>
      </c>
      <c r="M58" s="112">
        <v>26.6</v>
      </c>
      <c r="N58" s="112">
        <v>792.3</v>
      </c>
      <c r="O58" s="112">
        <v>0</v>
      </c>
      <c r="P58" s="112">
        <v>0.71</v>
      </c>
      <c r="Q58" s="112">
        <v>4.95</v>
      </c>
    </row>
    <row r="59" spans="1:17" customFormat="1">
      <c r="A59" s="80">
        <v>45440.53125</v>
      </c>
      <c r="B59" s="112">
        <v>7.18</v>
      </c>
      <c r="C59" s="112">
        <v>6.05</v>
      </c>
      <c r="D59" s="112">
        <v>13.93</v>
      </c>
      <c r="E59" s="112">
        <v>19.16</v>
      </c>
      <c r="F59" s="112">
        <v>31.67</v>
      </c>
      <c r="G59" s="112">
        <v>81.72</v>
      </c>
      <c r="H59" s="112">
        <v>21.52</v>
      </c>
      <c r="I59" s="112">
        <v>6.9</v>
      </c>
      <c r="J59" s="112">
        <v>1.26</v>
      </c>
      <c r="K59" s="112">
        <v>261.95999999999998</v>
      </c>
      <c r="L59" s="112">
        <v>43.11</v>
      </c>
      <c r="M59" s="112">
        <v>26.29</v>
      </c>
      <c r="N59" s="112">
        <v>790.8</v>
      </c>
      <c r="O59" s="112">
        <v>0</v>
      </c>
      <c r="P59" s="112">
        <v>0.7</v>
      </c>
      <c r="Q59" s="112">
        <v>4.96</v>
      </c>
    </row>
    <row r="60" spans="1:17" customFormat="1">
      <c r="A60" s="80">
        <v>45440.541666666664</v>
      </c>
      <c r="B60" s="112">
        <v>7.21</v>
      </c>
      <c r="C60" s="112">
        <v>6.07</v>
      </c>
      <c r="D60" s="112">
        <v>13.97</v>
      </c>
      <c r="E60" s="112">
        <v>17.850000000000001</v>
      </c>
      <c r="F60" s="112">
        <v>32.799999999999997</v>
      </c>
      <c r="G60" s="112">
        <v>81.72</v>
      </c>
      <c r="H60" s="112">
        <v>21.52</v>
      </c>
      <c r="I60" s="112">
        <v>7.01</v>
      </c>
      <c r="J60" s="112">
        <v>0.9</v>
      </c>
      <c r="K60" s="112">
        <v>249.19</v>
      </c>
      <c r="L60" s="112">
        <v>43.77</v>
      </c>
      <c r="M60" s="112">
        <v>25.39</v>
      </c>
      <c r="N60" s="112">
        <v>764.3</v>
      </c>
      <c r="O60" s="112">
        <v>0</v>
      </c>
      <c r="P60" s="112">
        <v>0.7</v>
      </c>
      <c r="Q60" s="112">
        <v>4.95</v>
      </c>
    </row>
    <row r="61" spans="1:17" customFormat="1">
      <c r="A61" s="80">
        <v>45440.552083333336</v>
      </c>
      <c r="B61" s="112">
        <v>7.19</v>
      </c>
      <c r="C61" s="112">
        <v>6.11</v>
      </c>
      <c r="D61" s="112">
        <v>13.97</v>
      </c>
      <c r="E61" s="112">
        <v>15.84</v>
      </c>
      <c r="F61" s="112">
        <v>23.77</v>
      </c>
      <c r="G61" s="112">
        <v>81.72</v>
      </c>
      <c r="H61" s="112">
        <v>21.52</v>
      </c>
      <c r="I61" s="112">
        <v>7.18</v>
      </c>
      <c r="J61" s="112">
        <v>1.24</v>
      </c>
      <c r="K61" s="112">
        <v>252.94</v>
      </c>
      <c r="L61" s="112">
        <v>43.96</v>
      </c>
      <c r="M61" s="112">
        <v>24.35</v>
      </c>
      <c r="N61" s="112">
        <v>714.3</v>
      </c>
      <c r="O61" s="112">
        <v>0</v>
      </c>
      <c r="P61" s="112">
        <v>0.71</v>
      </c>
      <c r="Q61" s="112">
        <v>4.9400000000000004</v>
      </c>
    </row>
    <row r="62" spans="1:17" customFormat="1">
      <c r="A62" s="80">
        <v>45440.5625</v>
      </c>
      <c r="B62" s="112">
        <v>7.18</v>
      </c>
      <c r="C62" s="112">
        <v>6.13</v>
      </c>
      <c r="D62" s="112">
        <v>13.97</v>
      </c>
      <c r="E62" s="112">
        <v>18.690000000000001</v>
      </c>
      <c r="F62" s="112">
        <v>48.31</v>
      </c>
      <c r="G62" s="112">
        <v>82.47</v>
      </c>
      <c r="H62" s="112">
        <v>23.34</v>
      </c>
      <c r="I62" s="112">
        <v>7.29</v>
      </c>
      <c r="J62" s="112">
        <v>1.3</v>
      </c>
      <c r="K62" s="112">
        <v>257.08</v>
      </c>
      <c r="L62" s="112">
        <v>44.07</v>
      </c>
      <c r="M62" s="112">
        <v>23.21</v>
      </c>
      <c r="N62" s="112">
        <v>346.7</v>
      </c>
      <c r="O62" s="112">
        <v>0</v>
      </c>
      <c r="P62" s="112">
        <v>0.71</v>
      </c>
      <c r="Q62" s="112">
        <v>4.95</v>
      </c>
    </row>
    <row r="63" spans="1:17" customFormat="1">
      <c r="A63" s="80">
        <v>45440.572916666664</v>
      </c>
      <c r="B63" s="112">
        <v>7.2</v>
      </c>
      <c r="C63" s="112">
        <v>6.08</v>
      </c>
      <c r="D63" s="112">
        <v>13.96</v>
      </c>
      <c r="E63" s="112">
        <v>21.9</v>
      </c>
      <c r="F63" s="112">
        <v>47.99</v>
      </c>
      <c r="G63" s="112">
        <v>82.63</v>
      </c>
      <c r="H63" s="112">
        <v>23.34</v>
      </c>
      <c r="I63" s="112">
        <v>7.34</v>
      </c>
      <c r="J63" s="112">
        <v>1.36</v>
      </c>
      <c r="K63" s="112">
        <v>275.08999999999997</v>
      </c>
      <c r="L63" s="112">
        <v>44.33</v>
      </c>
      <c r="M63" s="112">
        <v>22.69</v>
      </c>
      <c r="N63" s="112">
        <v>528.29999999999995</v>
      </c>
      <c r="O63" s="112">
        <v>0</v>
      </c>
      <c r="P63" s="112">
        <v>0.71</v>
      </c>
      <c r="Q63" s="112">
        <v>4.9400000000000004</v>
      </c>
    </row>
    <row r="64" spans="1:17" customFormat="1">
      <c r="A64" s="80">
        <v>45440.583333333336</v>
      </c>
      <c r="B64" s="112">
        <v>7.25</v>
      </c>
      <c r="C64" s="112">
        <v>6.05</v>
      </c>
      <c r="D64" s="112">
        <v>13.99</v>
      </c>
      <c r="E64" s="112">
        <v>14.94</v>
      </c>
      <c r="F64" s="112">
        <v>17.559999999999999</v>
      </c>
      <c r="G64" s="112">
        <v>82.63</v>
      </c>
      <c r="H64" s="112">
        <v>23.34</v>
      </c>
      <c r="I64" s="112">
        <v>7.1</v>
      </c>
      <c r="J64" s="112">
        <v>1.44</v>
      </c>
      <c r="K64" s="112">
        <v>282</v>
      </c>
      <c r="L64" s="112">
        <v>44.64</v>
      </c>
      <c r="M64" s="112">
        <v>20.76</v>
      </c>
      <c r="N64" s="112">
        <v>660.9</v>
      </c>
      <c r="O64" s="112">
        <v>0</v>
      </c>
      <c r="P64" s="112">
        <v>0.73</v>
      </c>
      <c r="Q64" s="112">
        <v>4.93</v>
      </c>
    </row>
    <row r="65" spans="1:17" customFormat="1">
      <c r="A65" s="80">
        <v>45440.59375</v>
      </c>
      <c r="B65" s="112">
        <v>7.26</v>
      </c>
      <c r="C65" s="112">
        <v>6.05</v>
      </c>
      <c r="D65" s="112">
        <v>13.99</v>
      </c>
      <c r="E65" s="112">
        <v>14.44</v>
      </c>
      <c r="F65" s="112">
        <v>14.5</v>
      </c>
      <c r="G65" s="112">
        <v>82.63</v>
      </c>
      <c r="H65" s="112">
        <v>23.34</v>
      </c>
      <c r="I65" s="112">
        <v>7.15</v>
      </c>
      <c r="J65" s="112">
        <v>1.1299999999999999</v>
      </c>
      <c r="K65" s="112">
        <v>266.60000000000002</v>
      </c>
      <c r="L65" s="112">
        <v>44.87</v>
      </c>
      <c r="M65" s="112">
        <v>20.11</v>
      </c>
      <c r="N65" s="112">
        <v>666.8</v>
      </c>
      <c r="O65" s="112">
        <v>0</v>
      </c>
      <c r="P65" s="112">
        <v>0.59</v>
      </c>
      <c r="Q65" s="112">
        <v>4.93</v>
      </c>
    </row>
    <row r="66" spans="1:17" customFormat="1">
      <c r="A66" s="80">
        <v>45440.604166666664</v>
      </c>
      <c r="B66" s="112">
        <v>7.26</v>
      </c>
      <c r="C66" s="112">
        <v>6.04</v>
      </c>
      <c r="D66" s="112">
        <v>13.99</v>
      </c>
      <c r="E66" s="112">
        <v>13.08</v>
      </c>
      <c r="F66" s="112">
        <v>10.29</v>
      </c>
      <c r="G66" s="112">
        <v>77.03</v>
      </c>
      <c r="H66" s="112">
        <v>23.08</v>
      </c>
      <c r="I66" s="112">
        <v>7.3</v>
      </c>
      <c r="J66" s="112">
        <v>1.23</v>
      </c>
      <c r="K66" s="112">
        <v>282.49</v>
      </c>
      <c r="L66" s="112">
        <v>45.2</v>
      </c>
      <c r="M66" s="112">
        <v>19.14</v>
      </c>
      <c r="N66" s="112">
        <v>588.4</v>
      </c>
      <c r="O66" s="112">
        <v>0</v>
      </c>
      <c r="P66" s="112">
        <v>0.62</v>
      </c>
      <c r="Q66" s="112">
        <v>4.95</v>
      </c>
    </row>
    <row r="67" spans="1:17" customFormat="1">
      <c r="A67" s="80">
        <v>45440.614583333336</v>
      </c>
      <c r="B67" s="112">
        <v>7.23</v>
      </c>
      <c r="C67" s="112">
        <v>6.11</v>
      </c>
      <c r="D67" s="112">
        <v>14</v>
      </c>
      <c r="E67" s="112">
        <v>12.58</v>
      </c>
      <c r="F67" s="112">
        <v>9.17</v>
      </c>
      <c r="G67" s="112">
        <v>75.819999999999993</v>
      </c>
      <c r="H67" s="112">
        <v>23.08</v>
      </c>
      <c r="I67" s="112">
        <v>7.34</v>
      </c>
      <c r="J67" s="112">
        <v>1.1399999999999999</v>
      </c>
      <c r="K67" s="112">
        <v>281.19</v>
      </c>
      <c r="L67" s="112">
        <v>45.39</v>
      </c>
      <c r="M67" s="112">
        <v>18.600000000000001</v>
      </c>
      <c r="N67" s="112">
        <v>565.5</v>
      </c>
      <c r="O67" s="112">
        <v>0</v>
      </c>
      <c r="P67" s="112">
        <v>0.59</v>
      </c>
      <c r="Q67" s="112">
        <v>4.99</v>
      </c>
    </row>
    <row r="68" spans="1:17" customFormat="1">
      <c r="A68" s="80">
        <v>45440.625</v>
      </c>
      <c r="B68" s="112">
        <v>7.28</v>
      </c>
      <c r="C68" s="112">
        <v>6.2</v>
      </c>
      <c r="D68" s="112">
        <v>14.08</v>
      </c>
      <c r="E68" s="112">
        <v>12.07</v>
      </c>
      <c r="F68" s="112">
        <v>8</v>
      </c>
      <c r="G68" s="112">
        <v>75.819999999999993</v>
      </c>
      <c r="H68" s="112">
        <v>23.08</v>
      </c>
      <c r="I68" s="112">
        <v>7.39</v>
      </c>
      <c r="J68" s="112">
        <v>1.24</v>
      </c>
      <c r="K68" s="112">
        <v>278.77999999999997</v>
      </c>
      <c r="L68" s="112">
        <v>45.27</v>
      </c>
      <c r="M68" s="112">
        <v>17.239999999999998</v>
      </c>
      <c r="N68" s="112">
        <v>490.8</v>
      </c>
      <c r="O68" s="112">
        <v>0</v>
      </c>
      <c r="P68" s="112">
        <v>0.56999999999999995</v>
      </c>
      <c r="Q68" s="112">
        <v>4.9800000000000004</v>
      </c>
    </row>
    <row r="69" spans="1:17" customFormat="1">
      <c r="A69" s="80">
        <v>45440.635416666664</v>
      </c>
      <c r="B69" s="112">
        <v>7.25</v>
      </c>
      <c r="C69" s="112">
        <v>6.08</v>
      </c>
      <c r="D69" s="112">
        <v>14</v>
      </c>
      <c r="E69" s="112">
        <v>12.42</v>
      </c>
      <c r="F69" s="112">
        <v>8.31</v>
      </c>
      <c r="G69" s="112">
        <v>75.819999999999993</v>
      </c>
      <c r="H69" s="112">
        <v>23.08</v>
      </c>
      <c r="I69" s="112">
        <v>7.29</v>
      </c>
      <c r="J69" s="112">
        <v>1.29</v>
      </c>
      <c r="K69" s="112">
        <v>292.77999999999997</v>
      </c>
      <c r="L69" s="112">
        <v>45.55</v>
      </c>
      <c r="M69" s="112">
        <v>17.489999999999998</v>
      </c>
      <c r="N69" s="112">
        <v>504.1</v>
      </c>
      <c r="O69" s="112">
        <v>0</v>
      </c>
      <c r="P69" s="112">
        <v>0.55000000000000004</v>
      </c>
      <c r="Q69" s="112">
        <v>4.97</v>
      </c>
    </row>
    <row r="70" spans="1:17" customFormat="1">
      <c r="A70" s="80">
        <v>45440.645833333336</v>
      </c>
      <c r="B70" s="112">
        <v>7.18</v>
      </c>
      <c r="C70" s="112">
        <v>6.06</v>
      </c>
      <c r="D70" s="112">
        <v>13.93</v>
      </c>
      <c r="E70" s="112">
        <v>12.41</v>
      </c>
      <c r="F70" s="112">
        <v>10.8</v>
      </c>
      <c r="G70" s="112">
        <v>71.89</v>
      </c>
      <c r="H70" s="112">
        <v>22.58</v>
      </c>
      <c r="I70" s="112">
        <v>7.1</v>
      </c>
      <c r="J70" s="112">
        <v>1.05</v>
      </c>
      <c r="K70" s="112">
        <v>270.08</v>
      </c>
      <c r="L70" s="112">
        <v>45.31</v>
      </c>
      <c r="M70" s="112">
        <v>17.829999999999998</v>
      </c>
      <c r="N70" s="112">
        <v>403.7</v>
      </c>
      <c r="O70" s="112">
        <v>0</v>
      </c>
      <c r="P70" s="112">
        <v>0.53</v>
      </c>
      <c r="Q70" s="112">
        <v>4.96</v>
      </c>
    </row>
    <row r="71" spans="1:17" customFormat="1">
      <c r="A71" s="80">
        <v>45440.65625</v>
      </c>
      <c r="B71" s="112">
        <v>7.15</v>
      </c>
      <c r="C71" s="112">
        <v>6.15</v>
      </c>
      <c r="D71" s="112">
        <v>13.96</v>
      </c>
      <c r="E71" s="112">
        <v>13.03</v>
      </c>
      <c r="F71" s="112">
        <v>10.66</v>
      </c>
      <c r="G71" s="112">
        <v>71.040000000000006</v>
      </c>
      <c r="H71" s="112">
        <v>22.58</v>
      </c>
      <c r="I71" s="112">
        <v>6.86</v>
      </c>
      <c r="J71" s="112">
        <v>1.1000000000000001</v>
      </c>
      <c r="K71" s="112">
        <v>262.12</v>
      </c>
      <c r="L71" s="112">
        <v>45.4</v>
      </c>
      <c r="M71" s="112">
        <v>18.21</v>
      </c>
      <c r="N71" s="112">
        <v>468.6</v>
      </c>
      <c r="O71" s="112">
        <v>0</v>
      </c>
      <c r="P71" s="112">
        <v>0.51</v>
      </c>
      <c r="Q71" s="112">
        <v>4.95</v>
      </c>
    </row>
    <row r="72" spans="1:17" customFormat="1">
      <c r="A72" s="80">
        <v>45440.666666666664</v>
      </c>
      <c r="B72" s="112">
        <v>7.16</v>
      </c>
      <c r="C72" s="112">
        <v>6.1</v>
      </c>
      <c r="D72" s="112">
        <v>13.94</v>
      </c>
      <c r="E72" s="112">
        <v>11.98</v>
      </c>
      <c r="F72" s="112">
        <v>9.34</v>
      </c>
      <c r="G72" s="112">
        <v>71.040000000000006</v>
      </c>
      <c r="H72" s="112">
        <v>22.58</v>
      </c>
      <c r="I72" s="112">
        <v>6.66</v>
      </c>
      <c r="J72" s="112">
        <v>1.27</v>
      </c>
      <c r="K72" s="112">
        <v>278.27</v>
      </c>
      <c r="L72" s="112">
        <v>45.21</v>
      </c>
      <c r="M72" s="112">
        <v>17.71</v>
      </c>
      <c r="N72" s="112">
        <v>359.6</v>
      </c>
      <c r="O72" s="112">
        <v>0</v>
      </c>
      <c r="P72" s="112">
        <v>0.5</v>
      </c>
      <c r="Q72" s="112">
        <v>4.95</v>
      </c>
    </row>
    <row r="73" spans="1:17" customFormat="1">
      <c r="A73" s="80">
        <v>45440.677083333336</v>
      </c>
      <c r="B73" s="112">
        <v>7.19</v>
      </c>
      <c r="C73" s="112">
        <v>6.1</v>
      </c>
      <c r="D73" s="112">
        <v>13.96</v>
      </c>
      <c r="E73" s="112">
        <v>12.86</v>
      </c>
      <c r="F73" s="112">
        <v>9.85</v>
      </c>
      <c r="G73" s="112">
        <v>71.040000000000006</v>
      </c>
      <c r="H73" s="112">
        <v>22.58</v>
      </c>
      <c r="I73" s="112">
        <v>6.55</v>
      </c>
      <c r="J73" s="112">
        <v>1.6</v>
      </c>
      <c r="K73" s="112">
        <v>291.05</v>
      </c>
      <c r="L73" s="112">
        <v>44.75</v>
      </c>
      <c r="M73" s="112">
        <v>11.51</v>
      </c>
      <c r="N73" s="112">
        <v>124.9</v>
      </c>
      <c r="O73" s="112">
        <v>0</v>
      </c>
      <c r="P73" s="112">
        <v>0.48</v>
      </c>
      <c r="Q73" s="112">
        <v>4.96</v>
      </c>
    </row>
    <row r="74" spans="1:17" customFormat="1">
      <c r="A74" s="80">
        <v>45440.6875</v>
      </c>
      <c r="B74" s="112">
        <v>7.2</v>
      </c>
      <c r="C74" s="112">
        <v>6.06</v>
      </c>
      <c r="D74" s="112">
        <v>13.95</v>
      </c>
      <c r="E74" s="112">
        <v>12.17</v>
      </c>
      <c r="F74" s="112">
        <v>9.44</v>
      </c>
      <c r="G74" s="112">
        <v>63.34</v>
      </c>
      <c r="H74" s="112">
        <v>14.67</v>
      </c>
      <c r="I74" s="112">
        <v>6.46</v>
      </c>
      <c r="J74" s="112">
        <v>1.32</v>
      </c>
      <c r="K74" s="112">
        <v>297.7</v>
      </c>
      <c r="L74" s="112">
        <v>44.2</v>
      </c>
      <c r="M74" s="112">
        <v>11.06</v>
      </c>
      <c r="N74" s="112">
        <v>104.2</v>
      </c>
      <c r="O74" s="112">
        <v>0</v>
      </c>
      <c r="P74" s="112">
        <v>0.46</v>
      </c>
      <c r="Q74" s="112">
        <v>4.95</v>
      </c>
    </row>
    <row r="75" spans="1:17" customFormat="1">
      <c r="A75" s="80">
        <v>45440.697916666664</v>
      </c>
      <c r="B75" s="112">
        <v>7.16</v>
      </c>
      <c r="C75" s="112">
        <v>6.08</v>
      </c>
      <c r="D75" s="112">
        <v>13.92</v>
      </c>
      <c r="E75" s="112">
        <v>11.9</v>
      </c>
      <c r="F75" s="112">
        <v>9.43</v>
      </c>
      <c r="G75" s="112">
        <v>61.67</v>
      </c>
      <c r="H75" s="112">
        <v>14.67</v>
      </c>
      <c r="I75" s="112">
        <v>6.23</v>
      </c>
      <c r="J75" s="112">
        <v>1.18</v>
      </c>
      <c r="K75" s="112">
        <v>298.42</v>
      </c>
      <c r="L75" s="112">
        <v>44.23</v>
      </c>
      <c r="M75" s="112">
        <v>14.47</v>
      </c>
      <c r="N75" s="112">
        <v>103.7</v>
      </c>
      <c r="O75" s="112">
        <v>0</v>
      </c>
      <c r="P75" s="112">
        <v>0.44</v>
      </c>
      <c r="Q75" s="112">
        <v>4.96</v>
      </c>
    </row>
    <row r="76" spans="1:17" customFormat="1">
      <c r="A76" s="80">
        <v>45440.708333333336</v>
      </c>
      <c r="B76" s="112">
        <v>7.19</v>
      </c>
      <c r="C76" s="112">
        <v>6.07</v>
      </c>
      <c r="D76" s="112">
        <v>13.94</v>
      </c>
      <c r="E76" s="112">
        <v>12.9</v>
      </c>
      <c r="F76" s="112">
        <v>14.43</v>
      </c>
      <c r="G76" s="112">
        <v>61.67</v>
      </c>
      <c r="H76" s="112">
        <v>14.67</v>
      </c>
      <c r="I76" s="112">
        <v>6.05</v>
      </c>
      <c r="J76" s="112">
        <v>0.51</v>
      </c>
      <c r="K76" s="112">
        <v>244.46</v>
      </c>
      <c r="L76" s="112">
        <v>43.97</v>
      </c>
      <c r="M76" s="112">
        <v>17.079999999999998</v>
      </c>
      <c r="N76" s="112">
        <v>93</v>
      </c>
      <c r="O76" s="112">
        <v>0</v>
      </c>
      <c r="P76" s="112">
        <v>0.44</v>
      </c>
      <c r="Q76" s="112">
        <v>4.95</v>
      </c>
    </row>
    <row r="77" spans="1:17" customFormat="1">
      <c r="A77" s="80">
        <v>45440.71875</v>
      </c>
      <c r="B77" s="112">
        <v>7.19</v>
      </c>
      <c r="C77" s="112">
        <v>6.07</v>
      </c>
      <c r="D77" s="112">
        <v>13.95</v>
      </c>
      <c r="E77" s="112">
        <v>12.32</v>
      </c>
      <c r="F77" s="112">
        <v>14.9</v>
      </c>
      <c r="G77" s="112">
        <v>61.67</v>
      </c>
      <c r="H77" s="112">
        <v>14.67</v>
      </c>
      <c r="I77" s="112">
        <v>5.93</v>
      </c>
      <c r="J77" s="112">
        <v>0.54</v>
      </c>
      <c r="K77" s="112">
        <v>252.24</v>
      </c>
      <c r="L77" s="112">
        <v>43.93</v>
      </c>
      <c r="M77" s="112">
        <v>15.17</v>
      </c>
      <c r="N77" s="112">
        <v>95.9</v>
      </c>
      <c r="O77" s="112">
        <v>0</v>
      </c>
      <c r="P77" s="112">
        <v>0.44</v>
      </c>
      <c r="Q77" s="112">
        <v>4.96</v>
      </c>
    </row>
    <row r="78" spans="1:17" customFormat="1">
      <c r="A78" s="80">
        <v>45440.729166666664</v>
      </c>
      <c r="B78" s="112">
        <v>7.18</v>
      </c>
      <c r="C78" s="112">
        <v>6.05</v>
      </c>
      <c r="D78" s="112">
        <v>13.93</v>
      </c>
      <c r="E78" s="112">
        <v>11.92</v>
      </c>
      <c r="F78" s="112">
        <v>14.51</v>
      </c>
      <c r="G78" s="112">
        <v>61.62</v>
      </c>
      <c r="H78" s="112">
        <v>18.68</v>
      </c>
      <c r="I78" s="112">
        <v>6.03</v>
      </c>
      <c r="J78" s="112">
        <v>0.8</v>
      </c>
      <c r="K78" s="112">
        <v>251.72</v>
      </c>
      <c r="L78" s="112">
        <v>43.44</v>
      </c>
      <c r="M78" s="112">
        <v>15.99</v>
      </c>
      <c r="N78" s="112">
        <v>85.5</v>
      </c>
      <c r="O78" s="112">
        <v>0</v>
      </c>
      <c r="P78" s="112">
        <v>0.42</v>
      </c>
      <c r="Q78" s="112">
        <v>4.96</v>
      </c>
    </row>
    <row r="79" spans="1:17" customFormat="1">
      <c r="A79" s="80">
        <v>45440.739583333336</v>
      </c>
      <c r="B79" s="112">
        <v>7.17</v>
      </c>
      <c r="C79" s="112">
        <v>6.08</v>
      </c>
      <c r="D79" s="112">
        <v>13.94</v>
      </c>
      <c r="E79" s="112">
        <v>12.66</v>
      </c>
      <c r="F79" s="112">
        <v>22.75</v>
      </c>
      <c r="G79" s="112">
        <v>61.61</v>
      </c>
      <c r="H79" s="112">
        <v>18.68</v>
      </c>
      <c r="I79" s="112">
        <v>6.85</v>
      </c>
      <c r="J79" s="112">
        <v>0.62</v>
      </c>
      <c r="K79" s="112">
        <v>249.97</v>
      </c>
      <c r="L79" s="112">
        <v>42.67</v>
      </c>
      <c r="M79" s="112">
        <v>19.39</v>
      </c>
      <c r="N79" s="112">
        <v>49.3</v>
      </c>
      <c r="O79" s="112">
        <v>0</v>
      </c>
      <c r="P79" s="112">
        <v>0.42</v>
      </c>
      <c r="Q79" s="112">
        <v>4.97</v>
      </c>
    </row>
    <row r="80" spans="1:17" customFormat="1">
      <c r="A80" s="80">
        <v>45440.75</v>
      </c>
      <c r="B80" s="112">
        <v>7.2</v>
      </c>
      <c r="C80" s="112">
        <v>6.09</v>
      </c>
      <c r="D80" s="112">
        <v>13.96</v>
      </c>
      <c r="E80" s="112">
        <v>14.03</v>
      </c>
      <c r="F80" s="112">
        <v>26</v>
      </c>
      <c r="G80" s="112">
        <v>61.61</v>
      </c>
      <c r="H80" s="112">
        <v>18.68</v>
      </c>
      <c r="I80" s="112">
        <v>7.21</v>
      </c>
      <c r="J80" s="112">
        <v>0.53</v>
      </c>
      <c r="K80" s="112">
        <v>248.39</v>
      </c>
      <c r="L80" s="112">
        <v>41.81</v>
      </c>
      <c r="M80" s="112">
        <v>22.3</v>
      </c>
      <c r="N80" s="112">
        <v>18.399999999999999</v>
      </c>
      <c r="O80" s="112">
        <v>0</v>
      </c>
      <c r="P80" s="112">
        <v>0.42</v>
      </c>
      <c r="Q80" s="112">
        <v>4.96</v>
      </c>
    </row>
    <row r="81" spans="1:17" customFormat="1">
      <c r="A81" s="80">
        <v>45440.760416666664</v>
      </c>
      <c r="B81" s="112">
        <v>7.18</v>
      </c>
      <c r="C81" s="112">
        <v>6.07</v>
      </c>
      <c r="D81" s="112">
        <v>13.94</v>
      </c>
      <c r="E81" s="112">
        <v>11.72</v>
      </c>
      <c r="F81" s="112">
        <v>46.88</v>
      </c>
      <c r="G81" s="112">
        <v>61.61</v>
      </c>
      <c r="H81" s="112">
        <v>18.68</v>
      </c>
      <c r="I81" s="112">
        <v>6.94</v>
      </c>
      <c r="J81" s="112">
        <v>0.3</v>
      </c>
      <c r="K81" s="112">
        <v>244.93</v>
      </c>
      <c r="L81" s="112">
        <v>41.16</v>
      </c>
      <c r="M81" s="112">
        <v>24.12</v>
      </c>
      <c r="N81" s="112">
        <v>3</v>
      </c>
      <c r="O81" s="112">
        <v>0</v>
      </c>
      <c r="P81" s="112">
        <v>0.37</v>
      </c>
      <c r="Q81" s="112">
        <v>4.97</v>
      </c>
    </row>
    <row r="82" spans="1:17" customFormat="1">
      <c r="A82" s="80">
        <v>45440.770833333336</v>
      </c>
      <c r="B82" s="112">
        <v>7.18</v>
      </c>
      <c r="C82" s="112">
        <v>6.1</v>
      </c>
      <c r="D82" s="112">
        <v>13.96</v>
      </c>
      <c r="E82" s="112">
        <v>13.68</v>
      </c>
      <c r="F82" s="112">
        <v>48.57</v>
      </c>
      <c r="G82" s="112">
        <v>61.31</v>
      </c>
      <c r="H82" s="112">
        <v>20.82</v>
      </c>
      <c r="I82" s="112">
        <v>6.71</v>
      </c>
      <c r="J82" s="112">
        <v>0.6</v>
      </c>
      <c r="K82" s="112">
        <v>249.84</v>
      </c>
      <c r="L82" s="112">
        <v>40.619999999999997</v>
      </c>
      <c r="M82" s="112">
        <v>25.95</v>
      </c>
      <c r="N82" s="112">
        <v>0</v>
      </c>
      <c r="O82" s="112">
        <v>0</v>
      </c>
      <c r="P82" s="112">
        <v>0.35</v>
      </c>
      <c r="Q82" s="112">
        <v>4.99</v>
      </c>
    </row>
    <row r="83" spans="1:17" customFormat="1">
      <c r="A83" s="80">
        <v>45440.78125</v>
      </c>
      <c r="B83" s="112">
        <v>7.23</v>
      </c>
      <c r="C83" s="112">
        <v>6.11</v>
      </c>
      <c r="D83" s="112">
        <v>14</v>
      </c>
      <c r="E83" s="112">
        <v>13.02</v>
      </c>
      <c r="F83" s="112">
        <v>44.36</v>
      </c>
      <c r="G83" s="112">
        <v>61.25</v>
      </c>
      <c r="H83" s="112">
        <v>20.82</v>
      </c>
      <c r="I83" s="112">
        <v>6.12</v>
      </c>
      <c r="J83" s="112">
        <v>0.72</v>
      </c>
      <c r="K83" s="112">
        <v>247.76</v>
      </c>
      <c r="L83" s="112">
        <v>40.43</v>
      </c>
      <c r="M83" s="112">
        <v>27.61</v>
      </c>
      <c r="N83" s="112">
        <v>0</v>
      </c>
      <c r="O83" s="112">
        <v>0</v>
      </c>
      <c r="P83" s="112">
        <v>0.34</v>
      </c>
      <c r="Q83" s="112">
        <v>4.9800000000000004</v>
      </c>
    </row>
    <row r="84" spans="1:17" customFormat="1">
      <c r="A84" s="80">
        <v>45440.791666666664</v>
      </c>
      <c r="B84" s="112">
        <v>7.29</v>
      </c>
      <c r="C84" s="112">
        <v>6.07</v>
      </c>
      <c r="D84" s="112">
        <v>14.03</v>
      </c>
      <c r="E84" s="112">
        <v>12.77</v>
      </c>
      <c r="F84" s="112">
        <v>45.72</v>
      </c>
      <c r="G84" s="112">
        <v>61.25</v>
      </c>
      <c r="H84" s="112">
        <v>20.82</v>
      </c>
      <c r="I84" s="112">
        <v>5.79</v>
      </c>
      <c r="J84" s="112">
        <v>0.88</v>
      </c>
      <c r="K84" s="112">
        <v>249.24</v>
      </c>
      <c r="L84" s="112">
        <v>40.11</v>
      </c>
      <c r="M84" s="112">
        <v>28.78</v>
      </c>
      <c r="N84" s="112">
        <v>0</v>
      </c>
      <c r="O84" s="112">
        <v>0</v>
      </c>
      <c r="P84" s="112">
        <v>0.32</v>
      </c>
      <c r="Q84" s="112">
        <v>4.9800000000000004</v>
      </c>
    </row>
    <row r="85" spans="1:17" customFormat="1">
      <c r="A85" s="80">
        <v>45440.802083333336</v>
      </c>
      <c r="B85" s="112">
        <v>7.28</v>
      </c>
      <c r="C85" s="112">
        <v>6.08</v>
      </c>
      <c r="D85" s="112">
        <v>14.03</v>
      </c>
      <c r="E85" s="112">
        <v>14</v>
      </c>
      <c r="F85" s="112">
        <v>51.94</v>
      </c>
      <c r="G85" s="112">
        <v>61.25</v>
      </c>
      <c r="H85" s="112">
        <v>20.82</v>
      </c>
      <c r="I85" s="112">
        <v>5.79</v>
      </c>
      <c r="J85" s="112">
        <v>0.71</v>
      </c>
      <c r="K85" s="112">
        <v>252.99</v>
      </c>
      <c r="L85" s="112">
        <v>39.67</v>
      </c>
      <c r="M85" s="112">
        <v>30.16</v>
      </c>
      <c r="N85" s="112">
        <v>0</v>
      </c>
      <c r="O85" s="112">
        <v>0</v>
      </c>
      <c r="P85" s="112">
        <v>0.33</v>
      </c>
      <c r="Q85" s="112">
        <v>4.97</v>
      </c>
    </row>
    <row r="86" spans="1:17" customFormat="1">
      <c r="A86" s="80">
        <v>45440.8125</v>
      </c>
      <c r="B86" s="112">
        <v>7.25</v>
      </c>
      <c r="C86" s="112">
        <v>6.07</v>
      </c>
      <c r="D86" s="112">
        <v>13.99</v>
      </c>
      <c r="E86" s="112">
        <v>14.03</v>
      </c>
      <c r="F86" s="112">
        <v>51.88</v>
      </c>
      <c r="G86" s="112">
        <v>62.4</v>
      </c>
      <c r="H86" s="112">
        <v>21.36</v>
      </c>
      <c r="I86" s="112">
        <v>5.46</v>
      </c>
      <c r="J86" s="112">
        <v>0.99</v>
      </c>
      <c r="K86" s="112">
        <v>255.44</v>
      </c>
      <c r="L86" s="112">
        <v>39.299999999999997</v>
      </c>
      <c r="M86" s="112">
        <v>30.88</v>
      </c>
      <c r="N86" s="112">
        <v>0</v>
      </c>
      <c r="O86" s="112">
        <v>0</v>
      </c>
      <c r="P86" s="112">
        <v>0.35</v>
      </c>
      <c r="Q86" s="112">
        <v>4.96</v>
      </c>
    </row>
    <row r="87" spans="1:17" customFormat="1">
      <c r="A87" s="80">
        <v>45440.822916666664</v>
      </c>
      <c r="B87" s="112">
        <v>7.2</v>
      </c>
      <c r="C87" s="112">
        <v>6.08</v>
      </c>
      <c r="D87" s="112">
        <v>13.96</v>
      </c>
      <c r="E87" s="112">
        <v>12.45</v>
      </c>
      <c r="F87" s="112">
        <v>48.83</v>
      </c>
      <c r="G87" s="112">
        <v>62.65</v>
      </c>
      <c r="H87" s="112">
        <v>21.36</v>
      </c>
      <c r="I87" s="112">
        <v>5.24</v>
      </c>
      <c r="J87" s="112">
        <v>0.92</v>
      </c>
      <c r="K87" s="112">
        <v>255.34</v>
      </c>
      <c r="L87" s="112">
        <v>39.18</v>
      </c>
      <c r="M87" s="112">
        <v>31.19</v>
      </c>
      <c r="N87" s="112">
        <v>0</v>
      </c>
      <c r="O87" s="112">
        <v>0</v>
      </c>
      <c r="P87" s="112">
        <v>0.35</v>
      </c>
      <c r="Q87" s="112">
        <v>4.97</v>
      </c>
    </row>
    <row r="88" spans="1:17" customFormat="1">
      <c r="A88" s="80">
        <v>45440.833333333336</v>
      </c>
      <c r="B88" s="112">
        <v>7.19</v>
      </c>
      <c r="C88" s="112">
        <v>6.08</v>
      </c>
      <c r="D88" s="112">
        <v>13.95</v>
      </c>
      <c r="E88" s="112">
        <v>12.42</v>
      </c>
      <c r="F88" s="112">
        <v>39.82</v>
      </c>
      <c r="G88" s="112">
        <v>62.65</v>
      </c>
      <c r="H88" s="112">
        <v>21.36</v>
      </c>
      <c r="I88" s="112">
        <v>5.28</v>
      </c>
      <c r="J88" s="112">
        <v>0.96</v>
      </c>
      <c r="K88" s="112">
        <v>253.05</v>
      </c>
      <c r="L88" s="112">
        <v>38.9</v>
      </c>
      <c r="M88" s="112">
        <v>31.88</v>
      </c>
      <c r="N88" s="112">
        <v>0</v>
      </c>
      <c r="O88" s="112">
        <v>0</v>
      </c>
      <c r="P88" s="112">
        <v>0.36</v>
      </c>
      <c r="Q88" s="112">
        <v>4.9800000000000004</v>
      </c>
    </row>
    <row r="89" spans="1:17" customFormat="1">
      <c r="A89" s="80">
        <v>45440.84375</v>
      </c>
      <c r="B89" s="112">
        <v>7.19</v>
      </c>
      <c r="C89" s="112">
        <v>6.04</v>
      </c>
      <c r="D89" s="112">
        <v>13.93</v>
      </c>
      <c r="E89" s="112">
        <v>11.85</v>
      </c>
      <c r="F89" s="112">
        <v>41.62</v>
      </c>
      <c r="G89" s="112">
        <v>62.65</v>
      </c>
      <c r="H89" s="112">
        <v>21.36</v>
      </c>
      <c r="I89" s="112">
        <v>5.09</v>
      </c>
      <c r="J89" s="112">
        <v>0.98</v>
      </c>
      <c r="K89" s="112">
        <v>253.96</v>
      </c>
      <c r="L89" s="112">
        <v>38.61</v>
      </c>
      <c r="M89" s="112">
        <v>32.700000000000003</v>
      </c>
      <c r="N89" s="112">
        <v>0</v>
      </c>
      <c r="O89" s="112">
        <v>0</v>
      </c>
      <c r="P89" s="112">
        <v>0.37</v>
      </c>
      <c r="Q89" s="112">
        <v>4.9800000000000004</v>
      </c>
    </row>
    <row r="90" spans="1:17" customFormat="1">
      <c r="A90" s="80">
        <v>45440.854166666664</v>
      </c>
      <c r="B90" s="112">
        <v>7.17</v>
      </c>
      <c r="C90" s="112">
        <v>6.05</v>
      </c>
      <c r="D90" s="112">
        <v>13.92</v>
      </c>
      <c r="E90" s="112">
        <v>12</v>
      </c>
      <c r="F90" s="112">
        <v>40.69</v>
      </c>
      <c r="G90" s="112">
        <v>61.36</v>
      </c>
      <c r="H90" s="112">
        <v>17.63</v>
      </c>
      <c r="I90" s="112">
        <v>5.13</v>
      </c>
      <c r="J90" s="112">
        <v>0.86</v>
      </c>
      <c r="K90" s="112">
        <v>261.17</v>
      </c>
      <c r="L90" s="112">
        <v>38.380000000000003</v>
      </c>
      <c r="M90" s="112">
        <v>33.67</v>
      </c>
      <c r="N90" s="112">
        <v>0</v>
      </c>
      <c r="O90" s="112">
        <v>0</v>
      </c>
      <c r="P90" s="112">
        <v>0.38</v>
      </c>
      <c r="Q90" s="112">
        <v>4.97</v>
      </c>
    </row>
    <row r="91" spans="1:17" customFormat="1">
      <c r="A91" s="80">
        <v>45440.864583333336</v>
      </c>
      <c r="B91" s="112">
        <v>7.16</v>
      </c>
      <c r="C91" s="112">
        <v>6.08</v>
      </c>
      <c r="D91" s="112">
        <v>13.92</v>
      </c>
      <c r="E91" s="112">
        <v>12.17</v>
      </c>
      <c r="F91" s="112">
        <v>41.22</v>
      </c>
      <c r="G91" s="112">
        <v>61.08</v>
      </c>
      <c r="H91" s="112">
        <v>17.63</v>
      </c>
      <c r="I91" s="112">
        <v>5.17</v>
      </c>
      <c r="J91" s="112">
        <v>0.89</v>
      </c>
      <c r="K91" s="112">
        <v>261.51</v>
      </c>
      <c r="L91" s="112">
        <v>38.090000000000003</v>
      </c>
      <c r="M91" s="112">
        <v>34.86</v>
      </c>
      <c r="N91" s="112">
        <v>0</v>
      </c>
      <c r="O91" s="112">
        <v>0</v>
      </c>
      <c r="P91" s="112">
        <v>0.38</v>
      </c>
      <c r="Q91" s="112">
        <v>4.97</v>
      </c>
    </row>
    <row r="92" spans="1:17" customFormat="1">
      <c r="A92" s="80">
        <v>45440.875</v>
      </c>
      <c r="B92" s="112">
        <v>7.14</v>
      </c>
      <c r="C92" s="112">
        <v>6.09</v>
      </c>
      <c r="D92" s="112">
        <v>13.92</v>
      </c>
      <c r="E92" s="112">
        <v>11.16</v>
      </c>
      <c r="F92" s="112">
        <v>36.200000000000003</v>
      </c>
      <c r="G92" s="112">
        <v>61.08</v>
      </c>
      <c r="H92" s="112">
        <v>17.63</v>
      </c>
      <c r="I92" s="112">
        <v>5.19</v>
      </c>
      <c r="J92" s="112">
        <v>0.81</v>
      </c>
      <c r="K92" s="112">
        <v>259.70999999999998</v>
      </c>
      <c r="L92" s="112">
        <v>37.96</v>
      </c>
      <c r="M92" s="112">
        <v>35.840000000000003</v>
      </c>
      <c r="N92" s="112">
        <v>0</v>
      </c>
      <c r="O92" s="112">
        <v>0</v>
      </c>
      <c r="P92" s="112">
        <v>0.37</v>
      </c>
      <c r="Q92" s="112">
        <v>4.96</v>
      </c>
    </row>
    <row r="93" spans="1:17" customFormat="1">
      <c r="A93" s="80">
        <v>45440.885416666664</v>
      </c>
      <c r="B93" s="112">
        <v>7.14</v>
      </c>
      <c r="C93" s="112">
        <v>6.12</v>
      </c>
      <c r="D93" s="112">
        <v>13.93</v>
      </c>
      <c r="E93" s="112">
        <v>9.61</v>
      </c>
      <c r="F93" s="112">
        <v>28.63</v>
      </c>
      <c r="G93" s="112">
        <v>61.08</v>
      </c>
      <c r="H93" s="112">
        <v>17.63</v>
      </c>
      <c r="I93" s="112">
        <v>5.12</v>
      </c>
      <c r="J93" s="112">
        <v>1.0900000000000001</v>
      </c>
      <c r="K93" s="112">
        <v>259.93</v>
      </c>
      <c r="L93" s="112">
        <v>37.85</v>
      </c>
      <c r="M93" s="112">
        <v>36.64</v>
      </c>
      <c r="N93" s="112">
        <v>0</v>
      </c>
      <c r="O93" s="112">
        <v>0</v>
      </c>
      <c r="P93" s="112">
        <v>0.37</v>
      </c>
      <c r="Q93" s="112">
        <v>4.96</v>
      </c>
    </row>
    <row r="94" spans="1:17" customFormat="1">
      <c r="A94" s="80">
        <v>45440.895833333336</v>
      </c>
      <c r="B94" s="112">
        <v>7.15</v>
      </c>
      <c r="C94" s="112">
        <v>6.08</v>
      </c>
      <c r="D94" s="112">
        <v>13.92</v>
      </c>
      <c r="E94" s="112">
        <v>10.11</v>
      </c>
      <c r="F94" s="112">
        <v>41.92</v>
      </c>
      <c r="G94" s="112">
        <v>58.24</v>
      </c>
      <c r="H94" s="112">
        <v>18.66</v>
      </c>
      <c r="I94" s="112">
        <v>5.0199999999999996</v>
      </c>
      <c r="J94" s="112">
        <v>0.91</v>
      </c>
      <c r="K94" s="112">
        <v>263.49</v>
      </c>
      <c r="L94" s="112">
        <v>37.68</v>
      </c>
      <c r="M94" s="112">
        <v>37.380000000000003</v>
      </c>
      <c r="N94" s="112">
        <v>0</v>
      </c>
      <c r="O94" s="112">
        <v>0</v>
      </c>
      <c r="P94" s="112">
        <v>0.35</v>
      </c>
      <c r="Q94" s="112">
        <v>4.96</v>
      </c>
    </row>
    <row r="95" spans="1:17" customFormat="1">
      <c r="A95" s="80">
        <v>45440.90625</v>
      </c>
      <c r="B95" s="112">
        <v>7.17</v>
      </c>
      <c r="C95" s="112">
        <v>6.06</v>
      </c>
      <c r="D95" s="112">
        <v>13.92</v>
      </c>
      <c r="E95" s="112">
        <v>9.8000000000000007</v>
      </c>
      <c r="F95" s="112">
        <v>35.83</v>
      </c>
      <c r="G95" s="112">
        <v>57.63</v>
      </c>
      <c r="H95" s="112">
        <v>18.66</v>
      </c>
      <c r="I95" s="112">
        <v>4.8499999999999996</v>
      </c>
      <c r="J95" s="112">
        <v>0.9</v>
      </c>
      <c r="K95" s="112">
        <v>259.93</v>
      </c>
      <c r="L95" s="112">
        <v>37.51</v>
      </c>
      <c r="M95" s="112">
        <v>37.799999999999997</v>
      </c>
      <c r="N95" s="112">
        <v>0</v>
      </c>
      <c r="O95" s="112">
        <v>0</v>
      </c>
      <c r="P95" s="112">
        <v>0.34</v>
      </c>
      <c r="Q95" s="112">
        <v>4.97</v>
      </c>
    </row>
    <row r="96" spans="1:17" customFormat="1">
      <c r="A96" s="80">
        <v>45440.916666666664</v>
      </c>
      <c r="B96" s="112">
        <v>7.16</v>
      </c>
      <c r="C96" s="112">
        <v>6.06</v>
      </c>
      <c r="D96" s="112">
        <v>13.92</v>
      </c>
      <c r="E96" s="112">
        <v>10.16</v>
      </c>
      <c r="F96" s="112">
        <v>43.12</v>
      </c>
      <c r="G96" s="112">
        <v>57.63</v>
      </c>
      <c r="H96" s="112">
        <v>18.66</v>
      </c>
      <c r="I96" s="112">
        <v>4.5599999999999996</v>
      </c>
      <c r="J96" s="112">
        <v>0.59</v>
      </c>
      <c r="K96" s="112">
        <v>250.97</v>
      </c>
      <c r="L96" s="112">
        <v>37.21</v>
      </c>
      <c r="M96" s="112">
        <v>38.64</v>
      </c>
      <c r="N96" s="112">
        <v>0</v>
      </c>
      <c r="O96" s="112">
        <v>0</v>
      </c>
      <c r="P96" s="112">
        <v>0.33</v>
      </c>
      <c r="Q96" s="112">
        <v>4.97</v>
      </c>
    </row>
    <row r="97" spans="1:22" customFormat="1">
      <c r="A97" s="80">
        <v>45440.927083333336</v>
      </c>
      <c r="B97" s="112">
        <v>7.16</v>
      </c>
      <c r="C97" s="112">
        <v>6.06</v>
      </c>
      <c r="D97" s="112">
        <v>13.92</v>
      </c>
      <c r="E97" s="112">
        <v>10.73</v>
      </c>
      <c r="F97" s="112">
        <v>42.1</v>
      </c>
      <c r="G97" s="112">
        <v>57.63</v>
      </c>
      <c r="H97" s="112">
        <v>18.66</v>
      </c>
      <c r="I97" s="112">
        <v>4.45</v>
      </c>
      <c r="J97" s="112">
        <v>0.54</v>
      </c>
      <c r="K97" s="112">
        <v>252.85</v>
      </c>
      <c r="L97" s="112">
        <v>36.83</v>
      </c>
      <c r="M97" s="112">
        <v>39.659999999999997</v>
      </c>
      <c r="N97" s="112">
        <v>0</v>
      </c>
      <c r="O97" s="112">
        <v>0</v>
      </c>
      <c r="P97" s="112">
        <v>0.3</v>
      </c>
      <c r="Q97" s="112">
        <v>4.96</v>
      </c>
    </row>
    <row r="98" spans="1:22" customFormat="1">
      <c r="A98" s="80">
        <v>45440.9375</v>
      </c>
      <c r="B98" s="112">
        <v>7.15</v>
      </c>
      <c r="C98" s="112">
        <v>6.08</v>
      </c>
      <c r="D98" s="112">
        <v>13.92</v>
      </c>
      <c r="E98" s="112">
        <v>10.42</v>
      </c>
      <c r="F98" s="112">
        <v>44.56</v>
      </c>
      <c r="G98" s="112">
        <v>54.87</v>
      </c>
      <c r="H98" s="112">
        <v>18.579999999999998</v>
      </c>
      <c r="I98" s="112">
        <v>4.29</v>
      </c>
      <c r="J98" s="112">
        <v>0.55000000000000004</v>
      </c>
      <c r="K98" s="112">
        <v>256.69</v>
      </c>
      <c r="L98" s="112">
        <v>36.61</v>
      </c>
      <c r="M98" s="112">
        <v>39.700000000000003</v>
      </c>
      <c r="N98" s="112">
        <v>0</v>
      </c>
      <c r="O98" s="112">
        <v>0</v>
      </c>
      <c r="P98" s="112">
        <v>0.3</v>
      </c>
      <c r="Q98" s="112">
        <v>4.97</v>
      </c>
    </row>
    <row r="99" spans="1:22" customFormat="1">
      <c r="A99" s="80">
        <v>45440.947916666664</v>
      </c>
      <c r="B99" s="112">
        <v>7.16</v>
      </c>
      <c r="C99" s="112">
        <v>6.08</v>
      </c>
      <c r="D99" s="112">
        <v>13.92</v>
      </c>
      <c r="E99" s="112">
        <v>9.99</v>
      </c>
      <c r="F99" s="112">
        <v>40.479999999999997</v>
      </c>
      <c r="G99" s="112">
        <v>54.27</v>
      </c>
      <c r="H99" s="112">
        <v>18.579999999999998</v>
      </c>
      <c r="I99" s="112">
        <v>4.13</v>
      </c>
      <c r="J99" s="112">
        <v>0.54</v>
      </c>
      <c r="K99" s="112">
        <v>253.95</v>
      </c>
      <c r="L99" s="112">
        <v>36.32</v>
      </c>
      <c r="M99" s="112">
        <v>40.380000000000003</v>
      </c>
      <c r="N99" s="112">
        <v>0</v>
      </c>
      <c r="O99" s="112">
        <v>0</v>
      </c>
      <c r="P99" s="112">
        <v>0.28000000000000003</v>
      </c>
      <c r="Q99" s="112">
        <v>4.96</v>
      </c>
    </row>
    <row r="100" spans="1:22" customFormat="1">
      <c r="A100" s="80">
        <v>45440.958333333336</v>
      </c>
      <c r="B100" s="112">
        <v>7.15</v>
      </c>
      <c r="C100" s="112">
        <v>6.03</v>
      </c>
      <c r="D100" s="112">
        <v>13.9</v>
      </c>
      <c r="E100" s="112">
        <v>9.89</v>
      </c>
      <c r="F100" s="112">
        <v>44.67</v>
      </c>
      <c r="G100" s="112">
        <v>54.27</v>
      </c>
      <c r="H100" s="112">
        <v>18.579999999999998</v>
      </c>
      <c r="I100" s="112">
        <v>4</v>
      </c>
      <c r="J100" s="112">
        <v>0.36</v>
      </c>
      <c r="K100" s="112">
        <v>253.2</v>
      </c>
      <c r="L100" s="112">
        <v>35.9</v>
      </c>
      <c r="M100" s="112">
        <v>41.78</v>
      </c>
      <c r="N100" s="112">
        <v>0</v>
      </c>
      <c r="O100" s="112">
        <v>0</v>
      </c>
      <c r="P100" s="112">
        <v>0.28000000000000003</v>
      </c>
      <c r="Q100" s="112">
        <v>4.96</v>
      </c>
    </row>
    <row r="101" spans="1:22" customFormat="1">
      <c r="A101" s="80">
        <v>45440.96875</v>
      </c>
      <c r="B101" s="112">
        <v>7.16</v>
      </c>
      <c r="C101" s="112">
        <v>6.01</v>
      </c>
      <c r="D101" s="112">
        <v>13.89</v>
      </c>
      <c r="E101" s="112">
        <v>9.91</v>
      </c>
      <c r="F101" s="112">
        <v>41.44</v>
      </c>
      <c r="G101" s="112">
        <v>54.27</v>
      </c>
      <c r="H101" s="112">
        <v>18.579999999999998</v>
      </c>
      <c r="I101" s="112">
        <v>3.75</v>
      </c>
      <c r="J101" s="112">
        <v>0.47</v>
      </c>
      <c r="K101" s="112">
        <v>252.17</v>
      </c>
      <c r="L101" s="112">
        <v>35.619999999999997</v>
      </c>
      <c r="M101" s="112">
        <v>42.79</v>
      </c>
      <c r="N101" s="112">
        <v>0</v>
      </c>
      <c r="O101" s="112">
        <v>0</v>
      </c>
      <c r="P101" s="112">
        <v>0.27</v>
      </c>
      <c r="Q101" s="112">
        <v>4.97</v>
      </c>
    </row>
    <row r="102" spans="1:22" customFormat="1">
      <c r="A102" s="80">
        <v>45440.979166666664</v>
      </c>
      <c r="B102" s="112">
        <v>7.14</v>
      </c>
      <c r="C102" s="112">
        <v>6.03</v>
      </c>
      <c r="D102" s="112">
        <v>13.89</v>
      </c>
      <c r="E102" s="112">
        <v>10.07</v>
      </c>
      <c r="F102" s="112">
        <v>41.32</v>
      </c>
      <c r="G102" s="112">
        <v>51.21</v>
      </c>
      <c r="H102" s="112">
        <v>15.25</v>
      </c>
      <c r="I102" s="112">
        <v>3.66</v>
      </c>
      <c r="J102" s="112">
        <v>0.53</v>
      </c>
      <c r="K102" s="112">
        <v>246.69</v>
      </c>
      <c r="L102" s="112">
        <v>35.51</v>
      </c>
      <c r="M102" s="112">
        <v>43.55</v>
      </c>
      <c r="N102" s="112">
        <v>0</v>
      </c>
      <c r="O102" s="112">
        <v>0</v>
      </c>
      <c r="P102" s="112">
        <v>0.28999999999999998</v>
      </c>
      <c r="Q102" s="112">
        <v>4.9800000000000004</v>
      </c>
    </row>
    <row r="103" spans="1:22" customFormat="1">
      <c r="A103" s="80">
        <v>45440.989583333336</v>
      </c>
      <c r="B103" s="112">
        <v>7.13</v>
      </c>
      <c r="C103" s="112">
        <v>6.08</v>
      </c>
      <c r="D103" s="112">
        <v>13.91</v>
      </c>
      <c r="E103" s="112">
        <v>9.93</v>
      </c>
      <c r="F103" s="112">
        <v>27.76</v>
      </c>
      <c r="G103" s="112">
        <v>50.55</v>
      </c>
      <c r="H103" s="112">
        <v>15.25</v>
      </c>
      <c r="I103" s="112">
        <v>3.62</v>
      </c>
      <c r="J103" s="112">
        <v>0.73</v>
      </c>
      <c r="K103" s="112">
        <v>251.82</v>
      </c>
      <c r="L103" s="112">
        <v>35.47</v>
      </c>
      <c r="M103" s="112">
        <v>43.21</v>
      </c>
      <c r="N103" s="112">
        <v>0</v>
      </c>
      <c r="O103" s="112">
        <v>0</v>
      </c>
      <c r="P103" s="112">
        <v>0.31</v>
      </c>
      <c r="Q103" s="112">
        <v>4.96</v>
      </c>
    </row>
    <row r="104" spans="1:22" customFormat="1">
      <c r="A104" s="80">
        <v>45441</v>
      </c>
      <c r="B104" s="112">
        <v>7.15</v>
      </c>
      <c r="C104" s="112">
        <v>6.09</v>
      </c>
      <c r="D104" s="112">
        <v>13.92</v>
      </c>
      <c r="E104" s="112">
        <v>9.18</v>
      </c>
      <c r="F104" s="112">
        <v>23.31</v>
      </c>
      <c r="G104" s="112">
        <v>50.55</v>
      </c>
      <c r="H104" s="112">
        <v>15.25</v>
      </c>
      <c r="I104" s="112">
        <v>3.8</v>
      </c>
      <c r="J104" s="112">
        <v>0.56000000000000005</v>
      </c>
      <c r="K104" s="112">
        <v>252.16</v>
      </c>
      <c r="L104" s="112">
        <v>35.39</v>
      </c>
      <c r="M104" s="112">
        <v>44.46</v>
      </c>
      <c r="N104" s="112">
        <v>0</v>
      </c>
      <c r="O104" s="112">
        <v>0</v>
      </c>
      <c r="P104" s="112">
        <v>0.33</v>
      </c>
      <c r="Q104" s="112">
        <v>4.96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7.06</v>
      </c>
      <c r="C106" s="183">
        <f>MIN(C9:C104)</f>
        <v>6.01</v>
      </c>
      <c r="D106" s="183">
        <f t="shared" ref="D106:Q106" si="0">MIN(D9:D104)</f>
        <v>13.84</v>
      </c>
      <c r="E106" s="183">
        <f t="shared" si="0"/>
        <v>9.18</v>
      </c>
      <c r="F106" s="183">
        <f t="shared" si="0"/>
        <v>8</v>
      </c>
      <c r="G106" s="183">
        <f t="shared" si="0"/>
        <v>39.21</v>
      </c>
      <c r="H106" s="183">
        <f t="shared" si="0"/>
        <v>12.04</v>
      </c>
      <c r="I106" s="183">
        <f t="shared" si="0"/>
        <v>3.62</v>
      </c>
      <c r="J106" s="183">
        <f t="shared" si="0"/>
        <v>0.03</v>
      </c>
      <c r="K106" s="183">
        <f t="shared" si="0"/>
        <v>15.76</v>
      </c>
      <c r="L106" s="183">
        <f t="shared" si="0"/>
        <v>30.5</v>
      </c>
      <c r="M106" s="183">
        <f t="shared" si="0"/>
        <v>11.06</v>
      </c>
      <c r="N106" s="183">
        <f t="shared" si="0"/>
        <v>0</v>
      </c>
      <c r="O106" s="183">
        <f t="shared" si="0"/>
        <v>0</v>
      </c>
      <c r="P106" s="183">
        <f t="shared" si="0"/>
        <v>0.27</v>
      </c>
      <c r="Q106" s="183">
        <f t="shared" si="0"/>
        <v>4.93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7.29</v>
      </c>
      <c r="C107" s="184">
        <f t="shared" ref="C107:Q107" si="1">MAX(C9:C104)</f>
        <v>6.22</v>
      </c>
      <c r="D107" s="184">
        <f t="shared" si="1"/>
        <v>14.08</v>
      </c>
      <c r="E107" s="184">
        <f t="shared" si="1"/>
        <v>21.9</v>
      </c>
      <c r="F107" s="184">
        <f t="shared" si="1"/>
        <v>51.94</v>
      </c>
      <c r="G107" s="184">
        <f t="shared" si="1"/>
        <v>82.63</v>
      </c>
      <c r="H107" s="184">
        <f t="shared" si="1"/>
        <v>26.94</v>
      </c>
      <c r="I107" s="184">
        <f t="shared" si="1"/>
        <v>7.39</v>
      </c>
      <c r="J107" s="184">
        <f t="shared" si="1"/>
        <v>1.6</v>
      </c>
      <c r="K107" s="184">
        <f t="shared" si="1"/>
        <v>298.42</v>
      </c>
      <c r="L107" s="184">
        <f t="shared" si="1"/>
        <v>45.55</v>
      </c>
      <c r="M107" s="184">
        <f t="shared" si="1"/>
        <v>58.39</v>
      </c>
      <c r="N107" s="184">
        <f t="shared" si="1"/>
        <v>800.3</v>
      </c>
      <c r="O107" s="184">
        <f t="shared" si="1"/>
        <v>0</v>
      </c>
      <c r="P107" s="184">
        <f t="shared" si="1"/>
        <v>0.73</v>
      </c>
      <c r="Q107" s="184">
        <f t="shared" si="1"/>
        <v>4.99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7.1572916666666622</v>
      </c>
      <c r="C108" s="183">
        <f t="shared" ref="C108:Q108" si="2">AVERAGE(C9:C104)</f>
        <v>6.076041666666665</v>
      </c>
      <c r="D108" s="183">
        <f t="shared" si="2"/>
        <v>13.923229166666681</v>
      </c>
      <c r="E108" s="183">
        <f t="shared" si="2"/>
        <v>13.19385416666667</v>
      </c>
      <c r="F108" s="183">
        <f t="shared" si="2"/>
        <v>26.388645833333339</v>
      </c>
      <c r="G108" s="183">
        <f t="shared" si="2"/>
        <v>58.604166666666664</v>
      </c>
      <c r="H108" s="183">
        <f t="shared" si="2"/>
        <v>19.652604166666659</v>
      </c>
      <c r="I108" s="183">
        <f t="shared" si="2"/>
        <v>5.8053124999999994</v>
      </c>
      <c r="J108" s="183">
        <f t="shared" si="2"/>
        <v>0.76666666666666694</v>
      </c>
      <c r="K108" s="183">
        <f t="shared" si="2"/>
        <v>239.68531250000001</v>
      </c>
      <c r="L108" s="183">
        <f t="shared" si="2"/>
        <v>37.753020833333331</v>
      </c>
      <c r="M108" s="183">
        <f t="shared" si="2"/>
        <v>36.898124999999993</v>
      </c>
      <c r="N108" s="183">
        <f t="shared" si="2"/>
        <v>149.12187500000002</v>
      </c>
      <c r="O108" s="183">
        <f t="shared" si="2"/>
        <v>0</v>
      </c>
      <c r="P108" s="183">
        <f t="shared" si="2"/>
        <v>0.510625</v>
      </c>
      <c r="Q108" s="183">
        <f t="shared" si="2"/>
        <v>4.9657291666666667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4.7026961285195804E-2</v>
      </c>
      <c r="C109" s="183">
        <f t="shared" ref="C109:Q109" si="3">STDEV(C9:C104)</f>
        <v>3.027867641780331E-2</v>
      </c>
      <c r="D109" s="183">
        <f t="shared" si="3"/>
        <v>4.3005380120378515E-2</v>
      </c>
      <c r="E109" s="183">
        <f t="shared" si="3"/>
        <v>2.6484805454375757</v>
      </c>
      <c r="F109" s="183">
        <f t="shared" si="3"/>
        <v>12.724830067713778</v>
      </c>
      <c r="G109" s="183">
        <f t="shared" si="3"/>
        <v>12.79836820739003</v>
      </c>
      <c r="H109" s="183">
        <f t="shared" si="3"/>
        <v>3.5798712840111895</v>
      </c>
      <c r="I109" s="183">
        <f t="shared" si="3"/>
        <v>0.90558263086027035</v>
      </c>
      <c r="J109" s="183">
        <f t="shared" si="3"/>
        <v>0.46721496611453189</v>
      </c>
      <c r="K109" s="183">
        <f t="shared" si="3"/>
        <v>48.833985511669368</v>
      </c>
      <c r="L109" s="183">
        <f t="shared" si="3"/>
        <v>4.9446153849237779</v>
      </c>
      <c r="M109" s="183">
        <f t="shared" si="3"/>
        <v>13.373368690482563</v>
      </c>
      <c r="N109" s="183">
        <f t="shared" si="3"/>
        <v>235.08603048027683</v>
      </c>
      <c r="O109" s="183">
        <f t="shared" si="3"/>
        <v>0</v>
      </c>
      <c r="P109" s="183">
        <f t="shared" si="3"/>
        <v>0.12856137178713323</v>
      </c>
      <c r="Q109" s="183">
        <f t="shared" si="3"/>
        <v>1.3745413908237674E-2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17"/>
  <sheetViews>
    <sheetView workbookViewId="0">
      <selection activeCell="A9" sqref="A9:XFD104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45441.010416666664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R2" s="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L3" s="167" t="s">
        <v>14</v>
      </c>
      <c r="M3" s="147"/>
      <c r="N3" s="180" t="s">
        <v>15</v>
      </c>
      <c r="O3" s="147"/>
      <c r="P3" s="173" t="s">
        <v>15</v>
      </c>
      <c r="Q3" s="147"/>
      <c r="R3" s="2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N4" s="2"/>
      <c r="O4" s="147"/>
      <c r="P4" s="147"/>
      <c r="Q4" s="147"/>
      <c r="R4" s="147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>
      <c r="A9" s="80">
        <v>45441.010416666664</v>
      </c>
      <c r="B9" s="112">
        <v>7.26</v>
      </c>
      <c r="C9" s="112">
        <v>6.12</v>
      </c>
      <c r="D9" s="112">
        <v>14.03</v>
      </c>
      <c r="E9" s="112">
        <v>9.81</v>
      </c>
      <c r="F9" s="112">
        <v>21.17</v>
      </c>
      <c r="G9" s="112">
        <v>50.55</v>
      </c>
      <c r="H9" s="112">
        <v>15.25</v>
      </c>
      <c r="I9" s="112">
        <v>4.07</v>
      </c>
      <c r="J9" s="112">
        <v>0.57999999999999996</v>
      </c>
      <c r="K9" s="112">
        <v>250.29</v>
      </c>
      <c r="L9" s="112">
        <v>35.22</v>
      </c>
      <c r="M9" s="112">
        <v>46.34</v>
      </c>
      <c r="N9" s="112">
        <v>0</v>
      </c>
      <c r="O9" s="112">
        <v>0</v>
      </c>
      <c r="P9" s="112">
        <v>0.32</v>
      </c>
      <c r="Q9" s="112">
        <v>4.9800000000000004</v>
      </c>
    </row>
    <row r="10" spans="1:21">
      <c r="A10" s="80">
        <v>45441.020833333336</v>
      </c>
      <c r="B10" s="112">
        <v>7.29</v>
      </c>
      <c r="C10" s="112">
        <v>6.08</v>
      </c>
      <c r="D10" s="112">
        <v>14.03</v>
      </c>
      <c r="E10" s="112">
        <v>9.91</v>
      </c>
      <c r="F10" s="112">
        <v>19.52</v>
      </c>
      <c r="G10" s="112">
        <v>50.96</v>
      </c>
      <c r="H10" s="112">
        <v>18.73</v>
      </c>
      <c r="I10" s="112">
        <v>4.3099999999999996</v>
      </c>
      <c r="J10" s="112">
        <v>0.48</v>
      </c>
      <c r="K10" s="112">
        <v>250.25</v>
      </c>
      <c r="L10" s="112">
        <v>35.119999999999997</v>
      </c>
      <c r="M10" s="112">
        <v>47.98</v>
      </c>
      <c r="N10" s="112">
        <v>0</v>
      </c>
      <c r="O10" s="112">
        <v>0</v>
      </c>
      <c r="P10" s="112">
        <v>0.31</v>
      </c>
      <c r="Q10" s="112">
        <v>4.9800000000000004</v>
      </c>
    </row>
    <row r="11" spans="1:21">
      <c r="A11" s="80">
        <v>45441.03125</v>
      </c>
      <c r="B11" s="112">
        <v>7.29</v>
      </c>
      <c r="C11" s="112">
        <v>6.07</v>
      </c>
      <c r="D11" s="112">
        <v>14.03</v>
      </c>
      <c r="E11" s="112">
        <v>9.6999999999999993</v>
      </c>
      <c r="F11" s="112">
        <v>21.13</v>
      </c>
      <c r="G11" s="112">
        <v>51.04</v>
      </c>
      <c r="H11" s="112">
        <v>18.73</v>
      </c>
      <c r="I11" s="112">
        <v>4.42</v>
      </c>
      <c r="J11" s="112">
        <v>0.63</v>
      </c>
      <c r="K11" s="112">
        <v>258.38</v>
      </c>
      <c r="L11" s="112">
        <v>35.08</v>
      </c>
      <c r="M11" s="112">
        <v>48.7</v>
      </c>
      <c r="N11" s="112">
        <v>0</v>
      </c>
      <c r="O11" s="112">
        <v>0</v>
      </c>
      <c r="P11" s="112">
        <v>0.32</v>
      </c>
      <c r="Q11" s="112">
        <v>4.9800000000000004</v>
      </c>
    </row>
    <row r="12" spans="1:21">
      <c r="A12" s="80">
        <v>45441.041666666664</v>
      </c>
      <c r="B12" s="112">
        <v>7.27</v>
      </c>
      <c r="C12" s="112">
        <v>6.08</v>
      </c>
      <c r="D12" s="112">
        <v>14.02</v>
      </c>
      <c r="E12" s="112">
        <v>9.81</v>
      </c>
      <c r="F12" s="112">
        <v>21.81</v>
      </c>
      <c r="G12" s="112">
        <v>51.04</v>
      </c>
      <c r="H12" s="112">
        <v>18.73</v>
      </c>
      <c r="I12" s="112">
        <v>4.41</v>
      </c>
      <c r="J12" s="112">
        <v>0.67</v>
      </c>
      <c r="K12" s="112">
        <v>254.78</v>
      </c>
      <c r="L12" s="112">
        <v>34.979999999999997</v>
      </c>
      <c r="M12" s="112">
        <v>49.9</v>
      </c>
      <c r="N12" s="112">
        <v>0</v>
      </c>
      <c r="O12" s="112">
        <v>0</v>
      </c>
      <c r="P12" s="112">
        <v>0.31</v>
      </c>
      <c r="Q12" s="112">
        <v>4.99</v>
      </c>
    </row>
    <row r="13" spans="1:21">
      <c r="A13" s="80">
        <v>45441.052083333336</v>
      </c>
      <c r="B13" s="112">
        <v>7.29</v>
      </c>
      <c r="C13" s="112">
        <v>6.06</v>
      </c>
      <c r="D13" s="112">
        <v>14.02</v>
      </c>
      <c r="E13" s="112">
        <v>10.050000000000001</v>
      </c>
      <c r="F13" s="112">
        <v>20.38</v>
      </c>
      <c r="G13" s="112">
        <v>51.04</v>
      </c>
      <c r="H13" s="112">
        <v>18.73</v>
      </c>
      <c r="I13" s="112">
        <v>4.3600000000000003</v>
      </c>
      <c r="J13" s="112">
        <v>0.61</v>
      </c>
      <c r="K13" s="112">
        <v>252.23</v>
      </c>
      <c r="L13" s="112">
        <v>34.94</v>
      </c>
      <c r="M13" s="112">
        <v>49.54</v>
      </c>
      <c r="N13" s="112">
        <v>0</v>
      </c>
      <c r="O13" s="112">
        <v>0</v>
      </c>
      <c r="P13" s="112">
        <v>0.31</v>
      </c>
      <c r="Q13" s="112">
        <v>0.77</v>
      </c>
    </row>
    <row r="14" spans="1:21">
      <c r="A14" s="80">
        <v>45441.0625</v>
      </c>
      <c r="B14" s="112">
        <v>7.27</v>
      </c>
      <c r="C14" s="112">
        <v>6.04</v>
      </c>
      <c r="D14" s="112">
        <v>13.99</v>
      </c>
      <c r="E14" s="112">
        <v>10.39</v>
      </c>
      <c r="F14" s="112">
        <v>25.22</v>
      </c>
      <c r="G14" s="112">
        <v>48.96</v>
      </c>
      <c r="H14" s="112">
        <v>18.13</v>
      </c>
      <c r="I14" s="112">
        <v>4.3600000000000003</v>
      </c>
      <c r="J14" s="112">
        <v>0.45</v>
      </c>
      <c r="K14" s="112">
        <v>249.1</v>
      </c>
      <c r="L14" s="112">
        <v>34.78</v>
      </c>
      <c r="M14" s="112">
        <v>50.49</v>
      </c>
      <c r="N14" s="112">
        <v>0</v>
      </c>
      <c r="O14" s="112">
        <v>0</v>
      </c>
      <c r="P14" s="112">
        <v>0.3</v>
      </c>
      <c r="Q14" s="112">
        <v>4.99</v>
      </c>
    </row>
    <row r="15" spans="1:21">
      <c r="A15" s="80">
        <v>45441.072916666664</v>
      </c>
      <c r="B15" s="112">
        <v>7.25</v>
      </c>
      <c r="C15" s="112">
        <v>6.06</v>
      </c>
      <c r="D15" s="112">
        <v>13.99</v>
      </c>
      <c r="E15" s="112">
        <v>10.7</v>
      </c>
      <c r="F15" s="112">
        <v>21.05</v>
      </c>
      <c r="G15" s="112">
        <v>48.51</v>
      </c>
      <c r="H15" s="112">
        <v>18.13</v>
      </c>
      <c r="I15" s="112">
        <v>4.32</v>
      </c>
      <c r="J15" s="112">
        <v>0.49</v>
      </c>
      <c r="K15" s="112">
        <v>247.8</v>
      </c>
      <c r="L15" s="112">
        <v>34.630000000000003</v>
      </c>
      <c r="M15" s="112">
        <v>51.3</v>
      </c>
      <c r="N15" s="112">
        <v>0</v>
      </c>
      <c r="O15" s="112">
        <v>0</v>
      </c>
      <c r="P15" s="112">
        <v>0.3</v>
      </c>
      <c r="Q15" s="112">
        <v>4.9800000000000004</v>
      </c>
    </row>
    <row r="16" spans="1:21">
      <c r="A16" s="80">
        <v>45441.083333333336</v>
      </c>
      <c r="B16" s="112">
        <v>7.24</v>
      </c>
      <c r="C16" s="112">
        <v>6.09</v>
      </c>
      <c r="D16" s="112">
        <v>14</v>
      </c>
      <c r="E16" s="112">
        <v>11.11</v>
      </c>
      <c r="F16" s="112">
        <v>19.05</v>
      </c>
      <c r="G16" s="112">
        <v>48.51</v>
      </c>
      <c r="H16" s="112">
        <v>18.13</v>
      </c>
      <c r="I16" s="112">
        <v>4.2699999999999996</v>
      </c>
      <c r="J16" s="112">
        <v>0.59</v>
      </c>
      <c r="K16" s="112">
        <v>251.2</v>
      </c>
      <c r="L16" s="112">
        <v>34.6</v>
      </c>
      <c r="M16" s="112">
        <v>51.07</v>
      </c>
      <c r="N16" s="112">
        <v>0</v>
      </c>
      <c r="O16" s="112">
        <v>0</v>
      </c>
      <c r="P16" s="112">
        <v>0.28999999999999998</v>
      </c>
      <c r="Q16" s="112">
        <v>4.9800000000000004</v>
      </c>
    </row>
    <row r="17" spans="1:17">
      <c r="A17" s="80">
        <v>45441.09375</v>
      </c>
      <c r="B17" s="112">
        <v>7.25</v>
      </c>
      <c r="C17" s="112">
        <v>6.08</v>
      </c>
      <c r="D17" s="112">
        <v>14</v>
      </c>
      <c r="E17" s="112">
        <v>10.62</v>
      </c>
      <c r="F17" s="112">
        <v>23.81</v>
      </c>
      <c r="G17" s="112">
        <v>48.51</v>
      </c>
      <c r="H17" s="112">
        <v>18.13</v>
      </c>
      <c r="I17" s="112">
        <v>4.28</v>
      </c>
      <c r="J17" s="112">
        <v>0.44</v>
      </c>
      <c r="K17" s="112">
        <v>238.42</v>
      </c>
      <c r="L17" s="112">
        <v>34.49</v>
      </c>
      <c r="M17" s="112">
        <v>51.13</v>
      </c>
      <c r="N17" s="112">
        <v>0</v>
      </c>
      <c r="O17" s="112">
        <v>0</v>
      </c>
      <c r="P17" s="112">
        <v>0.28999999999999998</v>
      </c>
      <c r="Q17" s="112">
        <v>4.99</v>
      </c>
    </row>
    <row r="18" spans="1:17">
      <c r="A18" s="80">
        <v>45441.104166666664</v>
      </c>
      <c r="B18" s="112">
        <v>7.27</v>
      </c>
      <c r="C18" s="112">
        <v>6.08</v>
      </c>
      <c r="D18" s="112">
        <v>14.01</v>
      </c>
      <c r="E18" s="112">
        <v>11.85</v>
      </c>
      <c r="F18" s="112">
        <v>21.2</v>
      </c>
      <c r="G18" s="112">
        <v>48.23</v>
      </c>
      <c r="H18" s="112">
        <v>16.260000000000002</v>
      </c>
      <c r="I18" s="112">
        <v>4.3099999999999996</v>
      </c>
      <c r="J18" s="112">
        <v>0.61</v>
      </c>
      <c r="K18" s="112">
        <v>254.28</v>
      </c>
      <c r="L18" s="112">
        <v>34.31</v>
      </c>
      <c r="M18" s="112">
        <v>52.15</v>
      </c>
      <c r="N18" s="112">
        <v>0</v>
      </c>
      <c r="O18" s="112">
        <v>0</v>
      </c>
      <c r="P18" s="112">
        <v>0.3</v>
      </c>
      <c r="Q18" s="112">
        <v>4.99</v>
      </c>
    </row>
    <row r="19" spans="1:17">
      <c r="A19" s="80">
        <v>45441.114583333336</v>
      </c>
      <c r="B19" s="112">
        <v>7.25</v>
      </c>
      <c r="C19" s="112">
        <v>6.08</v>
      </c>
      <c r="D19" s="112">
        <v>14</v>
      </c>
      <c r="E19" s="112">
        <v>11.66</v>
      </c>
      <c r="F19" s="112">
        <v>17.5</v>
      </c>
      <c r="G19" s="112">
        <v>48.17</v>
      </c>
      <c r="H19" s="112">
        <v>16.260000000000002</v>
      </c>
      <c r="I19" s="112">
        <v>4.2699999999999996</v>
      </c>
      <c r="J19" s="112">
        <v>0.56999999999999995</v>
      </c>
      <c r="K19" s="112">
        <v>248.49</v>
      </c>
      <c r="L19" s="112">
        <v>34.22</v>
      </c>
      <c r="M19" s="112">
        <v>52.05</v>
      </c>
      <c r="N19" s="112">
        <v>0</v>
      </c>
      <c r="O19" s="112">
        <v>0</v>
      </c>
      <c r="P19" s="112">
        <v>0.3</v>
      </c>
      <c r="Q19" s="112">
        <v>4.99</v>
      </c>
    </row>
    <row r="20" spans="1:17">
      <c r="A20" s="80">
        <v>45441.125</v>
      </c>
      <c r="B20" s="112">
        <v>7.24</v>
      </c>
      <c r="C20" s="112">
        <v>6.11</v>
      </c>
      <c r="D20" s="112">
        <v>14.01</v>
      </c>
      <c r="E20" s="112">
        <v>11.72</v>
      </c>
      <c r="F20" s="112">
        <v>14.54</v>
      </c>
      <c r="G20" s="112">
        <v>48.17</v>
      </c>
      <c r="H20" s="112">
        <v>16.260000000000002</v>
      </c>
      <c r="I20" s="112">
        <v>4.25</v>
      </c>
      <c r="J20" s="112">
        <v>0.61</v>
      </c>
      <c r="K20" s="112">
        <v>252.02</v>
      </c>
      <c r="L20" s="112">
        <v>34.14</v>
      </c>
      <c r="M20" s="112">
        <v>52.18</v>
      </c>
      <c r="N20" s="112">
        <v>0</v>
      </c>
      <c r="O20" s="112">
        <v>0</v>
      </c>
      <c r="P20" s="112">
        <v>0.3</v>
      </c>
      <c r="Q20" s="112">
        <v>4.97</v>
      </c>
    </row>
    <row r="21" spans="1:17">
      <c r="A21" s="80">
        <v>45441.135416666664</v>
      </c>
      <c r="B21" s="112">
        <v>7.23</v>
      </c>
      <c r="C21" s="112">
        <v>6.09</v>
      </c>
      <c r="D21" s="112">
        <v>13.99</v>
      </c>
      <c r="E21" s="112">
        <v>11.57</v>
      </c>
      <c r="F21" s="112">
        <v>16.95</v>
      </c>
      <c r="G21" s="112">
        <v>48.17</v>
      </c>
      <c r="H21" s="112">
        <v>16.260000000000002</v>
      </c>
      <c r="I21" s="112">
        <v>4.28</v>
      </c>
      <c r="J21" s="112">
        <v>0.53</v>
      </c>
      <c r="K21" s="112">
        <v>244.6</v>
      </c>
      <c r="L21" s="112">
        <v>34.119999999999997</v>
      </c>
      <c r="M21" s="112">
        <v>51.86</v>
      </c>
      <c r="N21" s="112">
        <v>0</v>
      </c>
      <c r="O21" s="112">
        <v>0</v>
      </c>
      <c r="P21" s="112">
        <v>0.28999999999999998</v>
      </c>
      <c r="Q21" s="112">
        <v>4.9800000000000004</v>
      </c>
    </row>
    <row r="22" spans="1:17">
      <c r="A22" s="80">
        <v>45441.145833333336</v>
      </c>
      <c r="B22" s="112">
        <v>7.22</v>
      </c>
      <c r="C22" s="112">
        <v>6.1</v>
      </c>
      <c r="D22" s="112">
        <v>13.98</v>
      </c>
      <c r="E22" s="112">
        <v>12.05</v>
      </c>
      <c r="F22" s="112">
        <v>19.47</v>
      </c>
      <c r="G22" s="112">
        <v>46.24</v>
      </c>
      <c r="H22" s="112">
        <v>16.510000000000002</v>
      </c>
      <c r="I22" s="112">
        <v>4.22</v>
      </c>
      <c r="J22" s="112">
        <v>0.52</v>
      </c>
      <c r="K22" s="112">
        <v>249.41</v>
      </c>
      <c r="L22" s="112">
        <v>33.96</v>
      </c>
      <c r="M22" s="112">
        <v>52.59</v>
      </c>
      <c r="N22" s="112">
        <v>0</v>
      </c>
      <c r="O22" s="112">
        <v>0</v>
      </c>
      <c r="P22" s="112">
        <v>0.28999999999999998</v>
      </c>
      <c r="Q22" s="112">
        <v>4.96</v>
      </c>
    </row>
    <row r="23" spans="1:17">
      <c r="A23" s="80">
        <v>45441.15625</v>
      </c>
      <c r="B23" s="112">
        <v>7.21</v>
      </c>
      <c r="C23" s="112">
        <v>6.1</v>
      </c>
      <c r="D23" s="112">
        <v>13.98</v>
      </c>
      <c r="E23" s="112">
        <v>12.09</v>
      </c>
      <c r="F23" s="112">
        <v>18.09</v>
      </c>
      <c r="G23" s="112">
        <v>45.83</v>
      </c>
      <c r="H23" s="112">
        <v>16.510000000000002</v>
      </c>
      <c r="I23" s="112">
        <v>4.21</v>
      </c>
      <c r="J23" s="112">
        <v>0.42</v>
      </c>
      <c r="K23" s="112">
        <v>247.98</v>
      </c>
      <c r="L23" s="112">
        <v>33.94</v>
      </c>
      <c r="M23" s="112">
        <v>52.41</v>
      </c>
      <c r="N23" s="112">
        <v>0</v>
      </c>
      <c r="O23" s="112">
        <v>0</v>
      </c>
      <c r="P23" s="112">
        <v>0.28000000000000003</v>
      </c>
      <c r="Q23" s="112">
        <v>4.97</v>
      </c>
    </row>
    <row r="24" spans="1:17">
      <c r="A24" s="80">
        <v>45441.166666666664</v>
      </c>
      <c r="B24" s="112">
        <v>7.23</v>
      </c>
      <c r="C24" s="112">
        <v>6.07</v>
      </c>
      <c r="D24" s="112">
        <v>13.98</v>
      </c>
      <c r="E24" s="112">
        <v>11.75</v>
      </c>
      <c r="F24" s="112">
        <v>16.809999999999999</v>
      </c>
      <c r="G24" s="112">
        <v>45.83</v>
      </c>
      <c r="H24" s="112">
        <v>16.510000000000002</v>
      </c>
      <c r="I24" s="112">
        <v>4.26</v>
      </c>
      <c r="J24" s="112">
        <v>0.35</v>
      </c>
      <c r="K24" s="112">
        <v>237.95</v>
      </c>
      <c r="L24" s="112">
        <v>33.65</v>
      </c>
      <c r="M24" s="112">
        <v>53.06</v>
      </c>
      <c r="N24" s="112">
        <v>0</v>
      </c>
      <c r="O24" s="112">
        <v>0</v>
      </c>
      <c r="P24" s="112">
        <v>0.28999999999999998</v>
      </c>
      <c r="Q24" s="112">
        <v>4.97</v>
      </c>
    </row>
    <row r="25" spans="1:17">
      <c r="A25" s="80">
        <v>45441.177083333336</v>
      </c>
      <c r="B25" s="112">
        <v>7.23</v>
      </c>
      <c r="C25" s="112">
        <v>6.08</v>
      </c>
      <c r="D25" s="112">
        <v>13.98</v>
      </c>
      <c r="E25" s="112">
        <v>12.52</v>
      </c>
      <c r="F25" s="112">
        <v>17.600000000000001</v>
      </c>
      <c r="G25" s="112">
        <v>45.83</v>
      </c>
      <c r="H25" s="112">
        <v>16.510000000000002</v>
      </c>
      <c r="I25" s="112">
        <v>4.2699999999999996</v>
      </c>
      <c r="J25" s="112">
        <v>0.24</v>
      </c>
      <c r="K25" s="112">
        <v>227.33</v>
      </c>
      <c r="L25" s="112">
        <v>33.56</v>
      </c>
      <c r="M25" s="112">
        <v>53.76</v>
      </c>
      <c r="N25" s="112">
        <v>0</v>
      </c>
      <c r="O25" s="112">
        <v>0</v>
      </c>
      <c r="P25" s="112">
        <v>0.28999999999999998</v>
      </c>
      <c r="Q25" s="112">
        <v>4.9800000000000004</v>
      </c>
    </row>
    <row r="26" spans="1:17">
      <c r="A26" s="80">
        <v>45441.1875</v>
      </c>
      <c r="B26" s="112">
        <v>7.23</v>
      </c>
      <c r="C26" s="112">
        <v>6.09</v>
      </c>
      <c r="D26" s="112">
        <v>13.99</v>
      </c>
      <c r="E26" s="112">
        <v>12.48</v>
      </c>
      <c r="F26" s="112">
        <v>22.53</v>
      </c>
      <c r="G26" s="112">
        <v>43.58</v>
      </c>
      <c r="H26" s="112">
        <v>15.33</v>
      </c>
      <c r="I26" s="112">
        <v>4.0999999999999996</v>
      </c>
      <c r="J26" s="112">
        <v>0.19</v>
      </c>
      <c r="K26" s="112">
        <v>232.89</v>
      </c>
      <c r="L26" s="112">
        <v>33.229999999999997</v>
      </c>
      <c r="M26" s="112">
        <v>54.59</v>
      </c>
      <c r="N26" s="112">
        <v>0</v>
      </c>
      <c r="O26" s="112">
        <v>0</v>
      </c>
      <c r="P26" s="112">
        <v>0.28000000000000003</v>
      </c>
      <c r="Q26" s="112">
        <v>4.99</v>
      </c>
    </row>
    <row r="27" spans="1:17">
      <c r="A27" s="80">
        <v>45441.197916666664</v>
      </c>
      <c r="B27" s="112">
        <v>7.24</v>
      </c>
      <c r="C27" s="112">
        <v>6.07</v>
      </c>
      <c r="D27" s="112">
        <v>13.98</v>
      </c>
      <c r="E27" s="112">
        <v>12.92</v>
      </c>
      <c r="F27" s="112">
        <v>24.04</v>
      </c>
      <c r="G27" s="112">
        <v>43.1</v>
      </c>
      <c r="H27" s="112">
        <v>15.33</v>
      </c>
      <c r="I27" s="112">
        <v>4</v>
      </c>
      <c r="J27" s="112">
        <v>0.17</v>
      </c>
      <c r="K27" s="112">
        <v>245.12</v>
      </c>
      <c r="L27" s="112">
        <v>32.89</v>
      </c>
      <c r="M27" s="112">
        <v>55.53</v>
      </c>
      <c r="N27" s="112">
        <v>0</v>
      </c>
      <c r="O27" s="112">
        <v>0</v>
      </c>
      <c r="P27" s="112">
        <v>0.28000000000000003</v>
      </c>
      <c r="Q27" s="112">
        <v>4.9800000000000004</v>
      </c>
    </row>
    <row r="28" spans="1:17">
      <c r="A28" s="80">
        <v>45441.208333333336</v>
      </c>
      <c r="B28" s="112">
        <v>7.18</v>
      </c>
      <c r="C28" s="112">
        <v>6.11</v>
      </c>
      <c r="D28" s="112">
        <v>13.96</v>
      </c>
      <c r="E28" s="112">
        <v>14.96</v>
      </c>
      <c r="F28" s="112">
        <v>33.090000000000003</v>
      </c>
      <c r="G28" s="112">
        <v>43.1</v>
      </c>
      <c r="H28" s="112">
        <v>15.33</v>
      </c>
      <c r="I28" s="112">
        <v>4.08</v>
      </c>
      <c r="J28" s="112">
        <v>0.14000000000000001</v>
      </c>
      <c r="K28" s="112">
        <v>228.01</v>
      </c>
      <c r="L28" s="112">
        <v>32.83</v>
      </c>
      <c r="M28" s="112">
        <v>55.85</v>
      </c>
      <c r="N28" s="112">
        <v>0</v>
      </c>
      <c r="O28" s="112">
        <v>0</v>
      </c>
      <c r="P28" s="112">
        <v>0.28999999999999998</v>
      </c>
      <c r="Q28" s="112">
        <v>4.97</v>
      </c>
    </row>
    <row r="29" spans="1:17">
      <c r="A29" s="80">
        <v>45441.21875</v>
      </c>
      <c r="B29" s="112">
        <v>7.17</v>
      </c>
      <c r="C29" s="112">
        <v>6.11</v>
      </c>
      <c r="D29" s="112">
        <v>13.95</v>
      </c>
      <c r="E29" s="112">
        <v>14.91</v>
      </c>
      <c r="F29" s="112">
        <v>37</v>
      </c>
      <c r="G29" s="112">
        <v>43.1</v>
      </c>
      <c r="H29" s="112">
        <v>15.33</v>
      </c>
      <c r="I29" s="112">
        <v>3.83</v>
      </c>
      <c r="J29" s="112">
        <v>0.15</v>
      </c>
      <c r="K29" s="112">
        <v>187.97</v>
      </c>
      <c r="L29" s="112">
        <v>32.58</v>
      </c>
      <c r="M29" s="112">
        <v>57.19</v>
      </c>
      <c r="N29" s="112">
        <v>0</v>
      </c>
      <c r="O29" s="112">
        <v>0</v>
      </c>
      <c r="P29" s="112">
        <v>0.27</v>
      </c>
      <c r="Q29" s="112">
        <v>4.9800000000000004</v>
      </c>
    </row>
    <row r="30" spans="1:17">
      <c r="A30" s="80">
        <v>45441.229166666664</v>
      </c>
      <c r="B30" s="112">
        <v>7.19</v>
      </c>
      <c r="C30" s="112">
        <v>6.06</v>
      </c>
      <c r="D30" s="112">
        <v>13.94</v>
      </c>
      <c r="E30" s="112">
        <v>15.33</v>
      </c>
      <c r="F30" s="112">
        <v>35.64</v>
      </c>
      <c r="G30" s="112">
        <v>41.25</v>
      </c>
      <c r="H30" s="112">
        <v>15.69</v>
      </c>
      <c r="I30" s="112">
        <v>3.59</v>
      </c>
      <c r="J30" s="112">
        <v>0.13</v>
      </c>
      <c r="K30" s="112">
        <v>204.45</v>
      </c>
      <c r="L30" s="112">
        <v>32.5</v>
      </c>
      <c r="M30" s="112">
        <v>57.69</v>
      </c>
      <c r="N30" s="112">
        <v>0.2</v>
      </c>
      <c r="O30" s="112">
        <v>0</v>
      </c>
      <c r="P30" s="112">
        <v>0.27</v>
      </c>
      <c r="Q30" s="112">
        <v>4.9800000000000004</v>
      </c>
    </row>
    <row r="31" spans="1:17">
      <c r="A31" s="80">
        <v>45441.239583333336</v>
      </c>
      <c r="B31" s="112">
        <v>7.2</v>
      </c>
      <c r="C31" s="112">
        <v>6.06</v>
      </c>
      <c r="D31" s="112">
        <v>13.95</v>
      </c>
      <c r="E31" s="112">
        <v>15.07</v>
      </c>
      <c r="F31" s="112">
        <v>35.520000000000003</v>
      </c>
      <c r="G31" s="112">
        <v>40.86</v>
      </c>
      <c r="H31" s="112">
        <v>15.69</v>
      </c>
      <c r="I31" s="112">
        <v>3.57</v>
      </c>
      <c r="J31" s="112">
        <v>0.17</v>
      </c>
      <c r="K31" s="112">
        <v>236.11</v>
      </c>
      <c r="L31" s="112">
        <v>32.520000000000003</v>
      </c>
      <c r="M31" s="112">
        <v>56.91</v>
      </c>
      <c r="N31" s="112">
        <v>7.8</v>
      </c>
      <c r="O31" s="112">
        <v>0</v>
      </c>
      <c r="P31" s="112">
        <v>0.25</v>
      </c>
      <c r="Q31" s="112">
        <v>4.99</v>
      </c>
    </row>
    <row r="32" spans="1:17">
      <c r="A32" s="80">
        <v>45441.25</v>
      </c>
      <c r="B32" s="112">
        <v>7.2</v>
      </c>
      <c r="C32" s="112">
        <v>6.08</v>
      </c>
      <c r="D32" s="112">
        <v>13.96</v>
      </c>
      <c r="E32" s="112">
        <v>15.37</v>
      </c>
      <c r="F32" s="112">
        <v>32.479999999999997</v>
      </c>
      <c r="G32" s="112">
        <v>40.86</v>
      </c>
      <c r="H32" s="112">
        <v>15.69</v>
      </c>
      <c r="I32" s="112">
        <v>3.55</v>
      </c>
      <c r="J32" s="112">
        <v>0.21</v>
      </c>
      <c r="K32" s="112">
        <v>213.12</v>
      </c>
      <c r="L32" s="112">
        <v>32.83</v>
      </c>
      <c r="M32" s="112">
        <v>56.3</v>
      </c>
      <c r="N32" s="112">
        <v>19.399999999999999</v>
      </c>
      <c r="O32" s="112">
        <v>0</v>
      </c>
      <c r="P32" s="112">
        <v>0.26</v>
      </c>
      <c r="Q32" s="112">
        <v>5</v>
      </c>
    </row>
    <row r="33" spans="1:17">
      <c r="A33" s="80">
        <v>45441.260416666664</v>
      </c>
      <c r="B33" s="112">
        <v>7.21</v>
      </c>
      <c r="C33" s="112">
        <v>6.05</v>
      </c>
      <c r="D33" s="112">
        <v>13.95</v>
      </c>
      <c r="E33" s="112">
        <v>16.36</v>
      </c>
      <c r="F33" s="112">
        <v>31.13</v>
      </c>
      <c r="G33" s="112">
        <v>40.86</v>
      </c>
      <c r="H33" s="112">
        <v>15.69</v>
      </c>
      <c r="I33" s="112">
        <v>3.58</v>
      </c>
      <c r="J33" s="112">
        <v>0.22</v>
      </c>
      <c r="K33" s="112">
        <v>228.69</v>
      </c>
      <c r="L33" s="112">
        <v>33.07</v>
      </c>
      <c r="M33" s="112">
        <v>55.77</v>
      </c>
      <c r="N33" s="112">
        <v>28.1</v>
      </c>
      <c r="O33" s="112">
        <v>0</v>
      </c>
      <c r="P33" s="112">
        <v>0.26</v>
      </c>
      <c r="Q33" s="112">
        <v>6.99</v>
      </c>
    </row>
    <row r="34" spans="1:17">
      <c r="A34" s="80">
        <v>45441.270833333336</v>
      </c>
      <c r="B34" s="112">
        <v>7.19</v>
      </c>
      <c r="C34" s="112">
        <v>6.08</v>
      </c>
      <c r="D34" s="112">
        <v>13.95</v>
      </c>
      <c r="E34" s="112">
        <v>17.47</v>
      </c>
      <c r="F34" s="112">
        <v>32.04</v>
      </c>
      <c r="G34" s="112">
        <v>42.3</v>
      </c>
      <c r="H34" s="112">
        <v>15.66</v>
      </c>
      <c r="I34" s="112">
        <v>3.73</v>
      </c>
      <c r="J34" s="112">
        <v>0.25</v>
      </c>
      <c r="K34" s="112">
        <v>244.67</v>
      </c>
      <c r="L34" s="112">
        <v>33.25</v>
      </c>
      <c r="M34" s="112">
        <v>54.79</v>
      </c>
      <c r="N34" s="112">
        <v>43.5</v>
      </c>
      <c r="O34" s="112">
        <v>0</v>
      </c>
      <c r="P34" s="112">
        <v>0.28000000000000003</v>
      </c>
      <c r="Q34" s="112">
        <v>4.99</v>
      </c>
    </row>
    <row r="35" spans="1:17">
      <c r="A35" s="80">
        <v>45441.28125</v>
      </c>
      <c r="B35" s="112">
        <v>7.18</v>
      </c>
      <c r="C35" s="112">
        <v>6.1</v>
      </c>
      <c r="D35" s="112">
        <v>13.95</v>
      </c>
      <c r="E35" s="112">
        <v>18.100000000000001</v>
      </c>
      <c r="F35" s="112">
        <v>30.59</v>
      </c>
      <c r="G35" s="112">
        <v>42.62</v>
      </c>
      <c r="H35" s="112">
        <v>15.66</v>
      </c>
      <c r="I35" s="112">
        <v>3.85</v>
      </c>
      <c r="J35" s="112">
        <v>0.2</v>
      </c>
      <c r="K35" s="112">
        <v>234.14</v>
      </c>
      <c r="L35" s="112">
        <v>33.619999999999997</v>
      </c>
      <c r="M35" s="112">
        <v>53.61</v>
      </c>
      <c r="N35" s="112">
        <v>59.7</v>
      </c>
      <c r="O35" s="112">
        <v>0</v>
      </c>
      <c r="P35" s="112">
        <v>0.28000000000000003</v>
      </c>
      <c r="Q35" s="112">
        <v>5.34</v>
      </c>
    </row>
    <row r="36" spans="1:17">
      <c r="A36" s="80">
        <v>45441.291666666664</v>
      </c>
      <c r="B36" s="112">
        <v>7.18</v>
      </c>
      <c r="C36" s="112">
        <v>6.07</v>
      </c>
      <c r="D36" s="112">
        <v>13.94</v>
      </c>
      <c r="E36" s="112">
        <v>18.98</v>
      </c>
      <c r="F36" s="112">
        <v>28.89</v>
      </c>
      <c r="G36" s="112">
        <v>42.62</v>
      </c>
      <c r="H36" s="112">
        <v>15.66</v>
      </c>
      <c r="I36" s="112">
        <v>4</v>
      </c>
      <c r="J36" s="112">
        <v>0.49</v>
      </c>
      <c r="K36" s="112">
        <v>259.64</v>
      </c>
      <c r="L36" s="112">
        <v>33.700000000000003</v>
      </c>
      <c r="M36" s="112">
        <v>53.25</v>
      </c>
      <c r="N36" s="112">
        <v>77.400000000000006</v>
      </c>
      <c r="O36" s="112">
        <v>0</v>
      </c>
      <c r="P36" s="112">
        <v>0.28000000000000003</v>
      </c>
      <c r="Q36" s="112">
        <v>6.32</v>
      </c>
    </row>
    <row r="37" spans="1:17">
      <c r="A37" s="80">
        <v>45441.302083333336</v>
      </c>
      <c r="B37" s="112">
        <v>7.2</v>
      </c>
      <c r="C37" s="112">
        <v>6.01</v>
      </c>
      <c r="D37" s="112">
        <v>13.92</v>
      </c>
      <c r="E37" s="112">
        <v>18</v>
      </c>
      <c r="F37" s="112">
        <v>23.88</v>
      </c>
      <c r="G37" s="112">
        <v>42.62</v>
      </c>
      <c r="H37" s="112">
        <v>15.66</v>
      </c>
      <c r="I37" s="112">
        <v>4.1399999999999997</v>
      </c>
      <c r="J37" s="112">
        <v>0.48</v>
      </c>
      <c r="K37" s="112">
        <v>251.35</v>
      </c>
      <c r="L37" s="112">
        <v>33.979999999999997</v>
      </c>
      <c r="M37" s="112">
        <v>51.87</v>
      </c>
      <c r="N37" s="112">
        <v>105.3</v>
      </c>
      <c r="O37" s="112">
        <v>0</v>
      </c>
      <c r="P37" s="112">
        <v>0.28000000000000003</v>
      </c>
      <c r="Q37" s="112">
        <v>6.01</v>
      </c>
    </row>
    <row r="38" spans="1:17">
      <c r="A38" s="80">
        <v>45441.3125</v>
      </c>
      <c r="B38" s="112">
        <v>7.2</v>
      </c>
      <c r="C38" s="112">
        <v>6.02</v>
      </c>
      <c r="D38" s="112">
        <v>13.93</v>
      </c>
      <c r="E38" s="112">
        <v>19.05</v>
      </c>
      <c r="F38" s="112">
        <v>28.43</v>
      </c>
      <c r="G38" s="112">
        <v>45.06</v>
      </c>
      <c r="H38" s="112">
        <v>15.61</v>
      </c>
      <c r="I38" s="112">
        <v>4.2</v>
      </c>
      <c r="J38" s="112">
        <v>0.66</v>
      </c>
      <c r="K38" s="112">
        <v>249.49</v>
      </c>
      <c r="L38" s="112">
        <v>34.42</v>
      </c>
      <c r="M38" s="112">
        <v>50.44</v>
      </c>
      <c r="N38" s="112">
        <v>114.4</v>
      </c>
      <c r="O38" s="112">
        <v>0</v>
      </c>
      <c r="P38" s="112">
        <v>0.28999999999999998</v>
      </c>
      <c r="Q38" s="112">
        <v>5.17</v>
      </c>
    </row>
    <row r="39" spans="1:17">
      <c r="A39" s="80">
        <v>45441.322916666664</v>
      </c>
      <c r="B39" s="112">
        <v>7.2</v>
      </c>
      <c r="C39" s="112">
        <v>6.05</v>
      </c>
      <c r="D39" s="112">
        <v>13.95</v>
      </c>
      <c r="E39" s="112">
        <v>18.16</v>
      </c>
      <c r="F39" s="112">
        <v>20.51</v>
      </c>
      <c r="G39" s="112">
        <v>45.59</v>
      </c>
      <c r="H39" s="112">
        <v>15.61</v>
      </c>
      <c r="I39" s="112">
        <v>4.2699999999999996</v>
      </c>
      <c r="J39" s="112">
        <v>0.83</v>
      </c>
      <c r="K39" s="112">
        <v>252.61</v>
      </c>
      <c r="L39" s="112">
        <v>34.299999999999997</v>
      </c>
      <c r="M39" s="112">
        <v>50.17</v>
      </c>
      <c r="N39" s="112">
        <v>98.2</v>
      </c>
      <c r="O39" s="112">
        <v>0</v>
      </c>
      <c r="P39" s="112">
        <v>0.28000000000000003</v>
      </c>
      <c r="Q39" s="112">
        <v>5.01</v>
      </c>
    </row>
    <row r="40" spans="1:17">
      <c r="A40" s="80">
        <v>45441.333333333336</v>
      </c>
      <c r="B40" s="112">
        <v>7.2</v>
      </c>
      <c r="C40" s="112">
        <v>6.05</v>
      </c>
      <c r="D40" s="112">
        <v>13.94</v>
      </c>
      <c r="E40" s="112">
        <v>18.649999999999999</v>
      </c>
      <c r="F40" s="112">
        <v>22.98</v>
      </c>
      <c r="G40" s="112">
        <v>45.59</v>
      </c>
      <c r="H40" s="112">
        <v>15.61</v>
      </c>
      <c r="I40" s="112">
        <v>4.33</v>
      </c>
      <c r="J40" s="112">
        <v>0.7</v>
      </c>
      <c r="K40" s="112">
        <v>253.15</v>
      </c>
      <c r="L40" s="112">
        <v>34.36</v>
      </c>
      <c r="M40" s="112">
        <v>50.46</v>
      </c>
      <c r="N40" s="112">
        <v>84.8</v>
      </c>
      <c r="O40" s="112">
        <v>0</v>
      </c>
      <c r="P40" s="112">
        <v>0.31</v>
      </c>
      <c r="Q40" s="112">
        <v>4.9800000000000004</v>
      </c>
    </row>
    <row r="41" spans="1:17">
      <c r="A41" s="80">
        <v>45441.34375</v>
      </c>
      <c r="B41" s="112">
        <v>7.2</v>
      </c>
      <c r="C41" s="112">
        <v>6.06</v>
      </c>
      <c r="D41" s="112">
        <v>13.95</v>
      </c>
      <c r="E41" s="112">
        <v>20.079999999999998</v>
      </c>
      <c r="F41" s="112">
        <v>25.24</v>
      </c>
      <c r="G41" s="112">
        <v>45.59</v>
      </c>
      <c r="H41" s="112">
        <v>15.61</v>
      </c>
      <c r="I41" s="112">
        <v>4.42</v>
      </c>
      <c r="J41" s="112">
        <v>0.71</v>
      </c>
      <c r="K41" s="112">
        <v>253.01</v>
      </c>
      <c r="L41" s="112">
        <v>34.340000000000003</v>
      </c>
      <c r="M41" s="112">
        <v>50.53</v>
      </c>
      <c r="N41" s="112">
        <v>68.900000000000006</v>
      </c>
      <c r="O41" s="112">
        <v>0</v>
      </c>
      <c r="P41" s="112">
        <v>0.33</v>
      </c>
      <c r="Q41" s="112">
        <v>4.9800000000000004</v>
      </c>
    </row>
    <row r="42" spans="1:17">
      <c r="A42" s="80">
        <v>45441.354166666664</v>
      </c>
      <c r="B42" s="112">
        <v>7.21</v>
      </c>
      <c r="C42" s="112">
        <v>6.04</v>
      </c>
      <c r="D42" s="112">
        <v>13.95</v>
      </c>
      <c r="E42" s="112">
        <v>18.510000000000002</v>
      </c>
      <c r="F42" s="112">
        <v>22.87</v>
      </c>
      <c r="G42" s="112">
        <v>45.83</v>
      </c>
      <c r="H42" s="112">
        <v>20.64</v>
      </c>
      <c r="I42" s="112">
        <v>4.62</v>
      </c>
      <c r="J42" s="112">
        <v>0.91</v>
      </c>
      <c r="K42" s="112">
        <v>261.75</v>
      </c>
      <c r="L42" s="112">
        <v>34.479999999999997</v>
      </c>
      <c r="M42" s="112">
        <v>48.39</v>
      </c>
      <c r="N42" s="112">
        <v>72.5</v>
      </c>
      <c r="O42" s="112">
        <v>0</v>
      </c>
      <c r="P42" s="112">
        <v>0.3</v>
      </c>
      <c r="Q42" s="112">
        <v>4.99</v>
      </c>
    </row>
    <row r="43" spans="1:17">
      <c r="A43" s="80">
        <v>45441.364583333336</v>
      </c>
      <c r="B43" s="112">
        <v>7.2</v>
      </c>
      <c r="C43" s="112">
        <v>6.06</v>
      </c>
      <c r="D43" s="112">
        <v>13.95</v>
      </c>
      <c r="E43" s="112">
        <v>17.27</v>
      </c>
      <c r="F43" s="112">
        <v>20.88</v>
      </c>
      <c r="G43" s="112">
        <v>45.89</v>
      </c>
      <c r="H43" s="112">
        <v>20.64</v>
      </c>
      <c r="I43" s="112">
        <v>4.6399999999999997</v>
      </c>
      <c r="J43" s="112">
        <v>0.8</v>
      </c>
      <c r="K43" s="112">
        <v>255.01</v>
      </c>
      <c r="L43" s="112">
        <v>34.659999999999997</v>
      </c>
      <c r="M43" s="112">
        <v>47.34</v>
      </c>
      <c r="N43" s="112">
        <v>81.599999999999994</v>
      </c>
      <c r="O43" s="112">
        <v>0</v>
      </c>
      <c r="P43" s="112">
        <v>0.28999999999999998</v>
      </c>
      <c r="Q43" s="112">
        <v>5</v>
      </c>
    </row>
    <row r="44" spans="1:17">
      <c r="A44" s="80">
        <v>45441.375</v>
      </c>
      <c r="B44" s="112">
        <v>7.2</v>
      </c>
      <c r="C44" s="112">
        <v>6.05</v>
      </c>
      <c r="D44" s="112">
        <v>13.95</v>
      </c>
      <c r="E44" s="112">
        <v>17.100000000000001</v>
      </c>
      <c r="F44" s="112">
        <v>23.17</v>
      </c>
      <c r="G44" s="112">
        <v>45.89</v>
      </c>
      <c r="H44" s="112">
        <v>20.64</v>
      </c>
      <c r="I44" s="112">
        <v>4.47</v>
      </c>
      <c r="J44" s="112">
        <v>0.7</v>
      </c>
      <c r="K44" s="112">
        <v>259.70999999999998</v>
      </c>
      <c r="L44" s="112">
        <v>34.78</v>
      </c>
      <c r="M44" s="112">
        <v>47.18</v>
      </c>
      <c r="N44" s="112">
        <v>88.5</v>
      </c>
      <c r="O44" s="112">
        <v>0</v>
      </c>
      <c r="P44" s="112">
        <v>0.31</v>
      </c>
      <c r="Q44" s="112">
        <v>5</v>
      </c>
    </row>
    <row r="45" spans="1:17">
      <c r="A45" s="80">
        <v>45441.385416666664</v>
      </c>
      <c r="B45" s="112">
        <v>7.2</v>
      </c>
      <c r="C45" s="112">
        <v>6.07</v>
      </c>
      <c r="D45" s="112">
        <v>13.96</v>
      </c>
      <c r="E45" s="112">
        <v>17.04</v>
      </c>
      <c r="F45" s="112">
        <v>20.65</v>
      </c>
      <c r="G45" s="112">
        <v>45.89</v>
      </c>
      <c r="H45" s="112">
        <v>20.64</v>
      </c>
      <c r="I45" s="112">
        <v>4.45</v>
      </c>
      <c r="J45" s="112">
        <v>0.81</v>
      </c>
      <c r="K45" s="112">
        <v>259.56</v>
      </c>
      <c r="L45" s="112">
        <v>34.92</v>
      </c>
      <c r="M45" s="112">
        <v>46.69</v>
      </c>
      <c r="N45" s="112">
        <v>104.7</v>
      </c>
      <c r="O45" s="112">
        <v>0</v>
      </c>
      <c r="P45" s="112">
        <v>0.31</v>
      </c>
      <c r="Q45" s="112">
        <v>4.99</v>
      </c>
    </row>
    <row r="46" spans="1:17">
      <c r="A46" s="80">
        <v>45441.395833333336</v>
      </c>
      <c r="B46" s="112">
        <v>7.22</v>
      </c>
      <c r="C46" s="112">
        <v>6.07</v>
      </c>
      <c r="D46" s="112">
        <v>13.97</v>
      </c>
      <c r="E46" s="112">
        <v>15.47</v>
      </c>
      <c r="F46" s="112">
        <v>18.559999999999999</v>
      </c>
      <c r="G46" s="112">
        <v>50.1</v>
      </c>
      <c r="H46" s="112">
        <v>16.78</v>
      </c>
      <c r="I46" s="112">
        <v>4.4800000000000004</v>
      </c>
      <c r="J46" s="112">
        <v>0.65</v>
      </c>
      <c r="K46" s="112">
        <v>253.67</v>
      </c>
      <c r="L46" s="112">
        <v>35.409999999999997</v>
      </c>
      <c r="M46" s="112">
        <v>45.39</v>
      </c>
      <c r="N46" s="112">
        <v>147.30000000000001</v>
      </c>
      <c r="O46" s="112">
        <v>0</v>
      </c>
      <c r="P46" s="112">
        <v>0.34</v>
      </c>
      <c r="Q46" s="112">
        <v>4.9800000000000004</v>
      </c>
    </row>
    <row r="47" spans="1:17">
      <c r="A47" s="80">
        <v>45441.40625</v>
      </c>
      <c r="B47" s="112">
        <v>7.22</v>
      </c>
      <c r="C47" s="112">
        <v>6.08</v>
      </c>
      <c r="D47" s="112">
        <v>13.98</v>
      </c>
      <c r="E47" s="112">
        <v>13.55</v>
      </c>
      <c r="F47" s="112">
        <v>12.84</v>
      </c>
      <c r="G47" s="112">
        <v>51.01</v>
      </c>
      <c r="H47" s="112">
        <v>16.78</v>
      </c>
      <c r="I47" s="112">
        <v>4.63</v>
      </c>
      <c r="J47" s="112">
        <v>0.97</v>
      </c>
      <c r="K47" s="112">
        <v>266.52999999999997</v>
      </c>
      <c r="L47" s="112">
        <v>35.97</v>
      </c>
      <c r="M47" s="112">
        <v>43.63</v>
      </c>
      <c r="N47" s="112">
        <v>235.1</v>
      </c>
      <c r="O47" s="112">
        <v>0</v>
      </c>
      <c r="P47" s="112">
        <v>0.34</v>
      </c>
      <c r="Q47" s="112">
        <v>4.9800000000000004</v>
      </c>
    </row>
    <row r="48" spans="1:17">
      <c r="A48" s="80">
        <v>45441.416666666664</v>
      </c>
      <c r="B48" s="112">
        <v>7.24</v>
      </c>
      <c r="C48" s="112">
        <v>6.09</v>
      </c>
      <c r="D48" s="112">
        <v>14</v>
      </c>
      <c r="E48" s="112">
        <v>12.5</v>
      </c>
      <c r="F48" s="112">
        <v>13.28</v>
      </c>
      <c r="G48" s="112">
        <v>51.01</v>
      </c>
      <c r="H48" s="112">
        <v>16.78</v>
      </c>
      <c r="I48" s="112">
        <v>4.8099999999999996</v>
      </c>
      <c r="J48" s="112">
        <v>0.89</v>
      </c>
      <c r="K48" s="112">
        <v>249.24</v>
      </c>
      <c r="L48" s="112">
        <v>36.74</v>
      </c>
      <c r="M48" s="112">
        <v>41.84</v>
      </c>
      <c r="N48" s="112">
        <v>264.60000000000002</v>
      </c>
      <c r="O48" s="112">
        <v>0</v>
      </c>
      <c r="P48" s="112">
        <v>0.33</v>
      </c>
      <c r="Q48" s="112">
        <v>5</v>
      </c>
    </row>
    <row r="49" spans="1:17">
      <c r="A49" s="80">
        <v>45441.427083333336</v>
      </c>
      <c r="B49" s="112">
        <v>7.29</v>
      </c>
      <c r="C49" s="112">
        <v>6.11</v>
      </c>
      <c r="D49" s="112">
        <v>14.05</v>
      </c>
      <c r="E49" s="112">
        <v>12.37</v>
      </c>
      <c r="F49" s="112">
        <v>21.49</v>
      </c>
      <c r="G49" s="112">
        <v>51.01</v>
      </c>
      <c r="H49" s="112">
        <v>16.78</v>
      </c>
      <c r="I49" s="112">
        <v>4.93</v>
      </c>
      <c r="J49" s="112">
        <v>0.98</v>
      </c>
      <c r="K49" s="112">
        <v>268.89</v>
      </c>
      <c r="L49" s="112">
        <v>37.130000000000003</v>
      </c>
      <c r="M49" s="112">
        <v>40.78</v>
      </c>
      <c r="N49" s="112">
        <v>269</v>
      </c>
      <c r="O49" s="112">
        <v>0</v>
      </c>
      <c r="P49" s="112">
        <v>0.34</v>
      </c>
      <c r="Q49" s="112">
        <v>5.01</v>
      </c>
    </row>
    <row r="50" spans="1:17">
      <c r="A50" s="80">
        <v>45441.4375</v>
      </c>
      <c r="B50" s="112">
        <v>7.31</v>
      </c>
      <c r="C50" s="112">
        <v>6.09</v>
      </c>
      <c r="D50" s="112">
        <v>14.05</v>
      </c>
      <c r="E50" s="112">
        <v>13.27</v>
      </c>
      <c r="F50" s="112">
        <v>17.22</v>
      </c>
      <c r="G50" s="112">
        <v>56.54</v>
      </c>
      <c r="H50" s="112">
        <v>20.5</v>
      </c>
      <c r="I50" s="112">
        <v>4.97</v>
      </c>
      <c r="J50" s="112">
        <v>1</v>
      </c>
      <c r="K50" s="112">
        <v>258.06</v>
      </c>
      <c r="L50" s="112">
        <v>37.71</v>
      </c>
      <c r="M50" s="112">
        <v>39.44</v>
      </c>
      <c r="N50" s="112">
        <v>305.3</v>
      </c>
      <c r="O50" s="112">
        <v>0</v>
      </c>
      <c r="P50" s="112">
        <v>0.34</v>
      </c>
      <c r="Q50" s="112">
        <v>5.0199999999999996</v>
      </c>
    </row>
    <row r="51" spans="1:17">
      <c r="A51" s="80">
        <v>45441.447916666664</v>
      </c>
      <c r="B51" s="112">
        <v>7.32</v>
      </c>
      <c r="C51" s="112">
        <v>6.11</v>
      </c>
      <c r="D51" s="112">
        <v>14.07</v>
      </c>
      <c r="E51" s="112">
        <v>13.29</v>
      </c>
      <c r="F51" s="112">
        <v>20.68</v>
      </c>
      <c r="G51" s="112">
        <v>57.74</v>
      </c>
      <c r="H51" s="112">
        <v>20.5</v>
      </c>
      <c r="I51" s="112">
        <v>4.92</v>
      </c>
      <c r="J51" s="112">
        <v>0.89</v>
      </c>
      <c r="K51" s="112">
        <v>278.24</v>
      </c>
      <c r="L51" s="112">
        <v>38.28</v>
      </c>
      <c r="M51" s="112">
        <v>37.9</v>
      </c>
      <c r="N51" s="112">
        <v>318.39999999999998</v>
      </c>
      <c r="O51" s="112">
        <v>0</v>
      </c>
      <c r="P51" s="112">
        <v>0.34</v>
      </c>
      <c r="Q51" s="112">
        <v>5.0199999999999996</v>
      </c>
    </row>
    <row r="52" spans="1:17">
      <c r="A52" s="80">
        <v>45441.458333333336</v>
      </c>
      <c r="B52" s="112">
        <v>7.33</v>
      </c>
      <c r="C52" s="112">
        <v>6.09</v>
      </c>
      <c r="D52" s="112">
        <v>14.07</v>
      </c>
      <c r="E52" s="112">
        <v>13.58</v>
      </c>
      <c r="F52" s="112">
        <v>29.98</v>
      </c>
      <c r="G52" s="112">
        <v>57.74</v>
      </c>
      <c r="H52" s="112">
        <v>20.5</v>
      </c>
      <c r="I52" s="112">
        <v>4.9800000000000004</v>
      </c>
      <c r="J52" s="112">
        <v>0.94</v>
      </c>
      <c r="K52" s="112">
        <v>271.26</v>
      </c>
      <c r="L52" s="112">
        <v>38.65</v>
      </c>
      <c r="M52" s="112">
        <v>36.06</v>
      </c>
      <c r="N52" s="112">
        <v>322.3</v>
      </c>
      <c r="O52" s="112">
        <v>0</v>
      </c>
      <c r="P52" s="112">
        <v>0.35</v>
      </c>
      <c r="Q52" s="112">
        <v>5.0199999999999996</v>
      </c>
    </row>
    <row r="53" spans="1:17">
      <c r="A53" s="80">
        <v>45441.46875</v>
      </c>
      <c r="B53" s="112">
        <v>7.31</v>
      </c>
      <c r="C53" s="112">
        <v>6.11</v>
      </c>
      <c r="D53" s="112">
        <v>14.06</v>
      </c>
      <c r="E53" s="112">
        <v>14.32</v>
      </c>
      <c r="F53" s="112">
        <v>31.17</v>
      </c>
      <c r="G53" s="112">
        <v>57.74</v>
      </c>
      <c r="H53" s="112">
        <v>20.5</v>
      </c>
      <c r="I53" s="112">
        <v>5.05</v>
      </c>
      <c r="J53" s="112">
        <v>0.81</v>
      </c>
      <c r="K53" s="112">
        <v>269.18</v>
      </c>
      <c r="L53" s="112">
        <v>40.1</v>
      </c>
      <c r="M53" s="112">
        <v>32.35</v>
      </c>
      <c r="N53" s="112">
        <v>273.7</v>
      </c>
      <c r="O53" s="112">
        <v>0</v>
      </c>
      <c r="P53" s="112">
        <v>0.35</v>
      </c>
      <c r="Q53" s="112">
        <v>5.21</v>
      </c>
    </row>
    <row r="54" spans="1:17">
      <c r="A54" s="80">
        <v>45441.479166666664</v>
      </c>
      <c r="B54" s="112">
        <v>7.31</v>
      </c>
      <c r="C54" s="112">
        <v>6.06</v>
      </c>
      <c r="D54" s="112">
        <v>14.04</v>
      </c>
      <c r="E54" s="112">
        <v>17.559999999999999</v>
      </c>
      <c r="F54" s="112">
        <v>40.43</v>
      </c>
      <c r="G54" s="112">
        <v>58.8</v>
      </c>
      <c r="H54" s="112">
        <v>22.91</v>
      </c>
      <c r="I54" s="112">
        <v>5.0199999999999996</v>
      </c>
      <c r="J54" s="112">
        <v>1</v>
      </c>
      <c r="K54" s="112">
        <v>277.76</v>
      </c>
      <c r="L54" s="112">
        <v>40.97</v>
      </c>
      <c r="M54" s="112">
        <v>29.05</v>
      </c>
      <c r="N54" s="112">
        <v>331.2</v>
      </c>
      <c r="O54" s="112">
        <v>0</v>
      </c>
      <c r="P54" s="112">
        <v>0.42</v>
      </c>
      <c r="Q54" s="112">
        <v>5.39</v>
      </c>
    </row>
    <row r="55" spans="1:17">
      <c r="A55" s="80">
        <v>45441.489583333336</v>
      </c>
      <c r="B55" s="112">
        <v>7.3</v>
      </c>
      <c r="C55" s="112">
        <v>6.05</v>
      </c>
      <c r="D55" s="112">
        <v>14.02</v>
      </c>
      <c r="E55" s="112">
        <v>18.510000000000002</v>
      </c>
      <c r="F55" s="112">
        <v>41.44</v>
      </c>
      <c r="G55" s="112">
        <v>59.03</v>
      </c>
      <c r="H55" s="112">
        <v>22.91</v>
      </c>
      <c r="I55" s="112">
        <v>5.28</v>
      </c>
      <c r="J55" s="112">
        <v>0.99</v>
      </c>
      <c r="K55" s="112">
        <v>301.94</v>
      </c>
      <c r="L55" s="112">
        <v>41.89</v>
      </c>
      <c r="M55" s="112">
        <v>26.35</v>
      </c>
      <c r="N55" s="112">
        <v>563.6</v>
      </c>
      <c r="O55" s="112">
        <v>0</v>
      </c>
      <c r="P55" s="112">
        <v>0.46</v>
      </c>
      <c r="Q55" s="112">
        <v>5.42</v>
      </c>
    </row>
    <row r="56" spans="1:17">
      <c r="A56" s="80">
        <v>45441.5</v>
      </c>
      <c r="B56" s="112">
        <v>7.29</v>
      </c>
      <c r="C56" s="112">
        <v>6.08</v>
      </c>
      <c r="D56" s="112">
        <v>14.03</v>
      </c>
      <c r="E56" s="112">
        <v>17.59</v>
      </c>
      <c r="F56" s="112">
        <v>37.76</v>
      </c>
      <c r="G56" s="112">
        <v>59.03</v>
      </c>
      <c r="H56" s="112">
        <v>22.91</v>
      </c>
      <c r="I56" s="112">
        <v>5.75</v>
      </c>
      <c r="J56" s="112">
        <v>0.62</v>
      </c>
      <c r="K56" s="112">
        <v>275.86</v>
      </c>
      <c r="L56" s="112">
        <v>43.13</v>
      </c>
      <c r="M56" s="112">
        <v>24.94</v>
      </c>
      <c r="N56" s="112">
        <v>756.1</v>
      </c>
      <c r="O56" s="112">
        <v>0</v>
      </c>
      <c r="P56" s="112">
        <v>0.44</v>
      </c>
      <c r="Q56" s="112">
        <v>5.53</v>
      </c>
    </row>
    <row r="57" spans="1:17">
      <c r="A57" s="80">
        <v>45441.510416666664</v>
      </c>
      <c r="B57" s="112">
        <v>7.27</v>
      </c>
      <c r="C57" s="112">
        <v>6.08</v>
      </c>
      <c r="D57" s="112">
        <v>14.02</v>
      </c>
      <c r="E57" s="112">
        <v>18.12</v>
      </c>
      <c r="F57" s="112">
        <v>39.33</v>
      </c>
      <c r="G57" s="112">
        <v>59.03</v>
      </c>
      <c r="H57" s="112">
        <v>22.91</v>
      </c>
      <c r="I57" s="112">
        <v>5.83</v>
      </c>
      <c r="J57" s="112">
        <v>0.76</v>
      </c>
      <c r="K57" s="112">
        <v>258</v>
      </c>
      <c r="L57" s="112">
        <v>43.42</v>
      </c>
      <c r="M57" s="112">
        <v>23.96</v>
      </c>
      <c r="N57" s="112">
        <v>729</v>
      </c>
      <c r="O57" s="112">
        <v>0</v>
      </c>
      <c r="P57" s="112">
        <v>0.47</v>
      </c>
      <c r="Q57" s="112">
        <v>5.33</v>
      </c>
    </row>
    <row r="58" spans="1:17">
      <c r="A58" s="80">
        <v>45441.520833333336</v>
      </c>
      <c r="B58" s="112">
        <v>7.26</v>
      </c>
      <c r="C58" s="112">
        <v>6.12</v>
      </c>
      <c r="D58" s="112">
        <v>14.03</v>
      </c>
      <c r="E58" s="112">
        <v>19.96</v>
      </c>
      <c r="F58" s="112">
        <v>39.11</v>
      </c>
      <c r="G58" s="112">
        <v>66.62</v>
      </c>
      <c r="H58" s="112">
        <v>22.74</v>
      </c>
      <c r="I58" s="112">
        <v>6.04</v>
      </c>
      <c r="J58" s="112">
        <v>1.1499999999999999</v>
      </c>
      <c r="K58" s="112">
        <v>277</v>
      </c>
      <c r="L58" s="112">
        <v>43.2</v>
      </c>
      <c r="M58" s="112">
        <v>23.11</v>
      </c>
      <c r="N58" s="112">
        <v>747.7</v>
      </c>
      <c r="O58" s="112">
        <v>0</v>
      </c>
      <c r="P58" s="112">
        <v>0.49</v>
      </c>
      <c r="Q58" s="112">
        <v>5.0999999999999996</v>
      </c>
    </row>
    <row r="59" spans="1:17">
      <c r="A59" s="80">
        <v>45441.53125</v>
      </c>
      <c r="B59" s="112">
        <v>7.26</v>
      </c>
      <c r="C59" s="112">
        <v>6.09</v>
      </c>
      <c r="D59" s="112">
        <v>14.01</v>
      </c>
      <c r="E59" s="112">
        <v>18.850000000000001</v>
      </c>
      <c r="F59" s="112">
        <v>38.54</v>
      </c>
      <c r="G59" s="112">
        <v>68.260000000000005</v>
      </c>
      <c r="H59" s="112">
        <v>22.74</v>
      </c>
      <c r="I59" s="112">
        <v>6.57</v>
      </c>
      <c r="J59" s="112">
        <v>1.0900000000000001</v>
      </c>
      <c r="K59" s="112">
        <v>265.89999999999998</v>
      </c>
      <c r="L59" s="112">
        <v>43.04</v>
      </c>
      <c r="M59" s="112">
        <v>22.37</v>
      </c>
      <c r="N59" s="112">
        <v>751.6</v>
      </c>
      <c r="O59" s="112">
        <v>0</v>
      </c>
      <c r="P59" s="112">
        <v>0.51</v>
      </c>
      <c r="Q59" s="112">
        <v>5.12</v>
      </c>
    </row>
    <row r="60" spans="1:17">
      <c r="A60" s="80">
        <v>45441.541666666664</v>
      </c>
      <c r="B60" s="112">
        <v>7.27</v>
      </c>
      <c r="C60" s="112">
        <v>6.05</v>
      </c>
      <c r="D60" s="112">
        <v>14</v>
      </c>
      <c r="E60" s="112">
        <v>21.87</v>
      </c>
      <c r="F60" s="112">
        <v>40.43</v>
      </c>
      <c r="G60" s="112">
        <v>68.260000000000005</v>
      </c>
      <c r="H60" s="112">
        <v>22.74</v>
      </c>
      <c r="I60" s="112">
        <v>7.12</v>
      </c>
      <c r="J60" s="112">
        <v>1.26</v>
      </c>
      <c r="K60" s="112">
        <v>297.27</v>
      </c>
      <c r="L60" s="112">
        <v>43.55</v>
      </c>
      <c r="M60" s="112">
        <v>20.91</v>
      </c>
      <c r="N60" s="112">
        <v>733.7</v>
      </c>
      <c r="O60" s="112">
        <v>0</v>
      </c>
      <c r="P60" s="112">
        <v>0.54</v>
      </c>
      <c r="Q60" s="112">
        <v>5.03</v>
      </c>
    </row>
    <row r="61" spans="1:17">
      <c r="A61" s="80">
        <v>45441.552083333336</v>
      </c>
      <c r="B61" s="112">
        <v>7.25</v>
      </c>
      <c r="C61" s="112">
        <v>6.08</v>
      </c>
      <c r="D61" s="112">
        <v>14</v>
      </c>
      <c r="E61" s="112">
        <v>18.27</v>
      </c>
      <c r="F61" s="112">
        <v>36.67</v>
      </c>
      <c r="G61" s="112">
        <v>68.260000000000005</v>
      </c>
      <c r="H61" s="112">
        <v>22.74</v>
      </c>
      <c r="I61" s="112">
        <v>7.65</v>
      </c>
      <c r="J61" s="112">
        <v>1.26</v>
      </c>
      <c r="K61" s="112">
        <v>281.39</v>
      </c>
      <c r="L61" s="112">
        <v>43.95</v>
      </c>
      <c r="M61" s="112">
        <v>19.12</v>
      </c>
      <c r="N61" s="112">
        <v>664.6</v>
      </c>
      <c r="O61" s="112">
        <v>0</v>
      </c>
      <c r="P61" s="112">
        <v>0.53</v>
      </c>
      <c r="Q61" s="112">
        <v>5.0199999999999996</v>
      </c>
    </row>
    <row r="62" spans="1:17">
      <c r="A62" s="80">
        <v>45441.5625</v>
      </c>
      <c r="B62" s="112">
        <v>7.24</v>
      </c>
      <c r="C62" s="112">
        <v>6.11</v>
      </c>
      <c r="D62" s="112">
        <v>14.01</v>
      </c>
      <c r="E62" s="112">
        <v>16.41</v>
      </c>
      <c r="F62" s="112">
        <v>36.9</v>
      </c>
      <c r="G62" s="112">
        <v>74.81</v>
      </c>
      <c r="H62" s="112">
        <v>22.95</v>
      </c>
      <c r="I62" s="112">
        <v>7.79</v>
      </c>
      <c r="J62" s="112">
        <v>1.18</v>
      </c>
      <c r="K62" s="112">
        <v>261.70999999999998</v>
      </c>
      <c r="L62" s="112">
        <v>44.18</v>
      </c>
      <c r="M62" s="112">
        <v>17.190000000000001</v>
      </c>
      <c r="N62" s="112">
        <v>358.2</v>
      </c>
      <c r="O62" s="112">
        <v>0</v>
      </c>
      <c r="P62" s="112">
        <v>0.47</v>
      </c>
      <c r="Q62" s="112">
        <v>5.01</v>
      </c>
    </row>
    <row r="63" spans="1:17">
      <c r="A63" s="80">
        <v>45441.572916666664</v>
      </c>
      <c r="B63" s="112">
        <v>7.25</v>
      </c>
      <c r="C63" s="112">
        <v>6.1</v>
      </c>
      <c r="D63" s="112">
        <v>14.01</v>
      </c>
      <c r="E63" s="112">
        <v>14.09</v>
      </c>
      <c r="F63" s="112">
        <v>31.85</v>
      </c>
      <c r="G63" s="112">
        <v>76.22</v>
      </c>
      <c r="H63" s="112">
        <v>22.95</v>
      </c>
      <c r="I63" s="112">
        <v>7.37</v>
      </c>
      <c r="J63" s="112">
        <v>1.21</v>
      </c>
      <c r="K63" s="112">
        <v>283.10000000000002</v>
      </c>
      <c r="L63" s="112">
        <v>44.74</v>
      </c>
      <c r="M63" s="112">
        <v>16.38</v>
      </c>
      <c r="N63" s="112">
        <v>450.1</v>
      </c>
      <c r="O63" s="112">
        <v>0</v>
      </c>
      <c r="P63" s="112">
        <v>0.48</v>
      </c>
      <c r="Q63" s="112">
        <v>4.9800000000000004</v>
      </c>
    </row>
    <row r="64" spans="1:17">
      <c r="A64" s="80">
        <v>45441.583333333336</v>
      </c>
      <c r="B64" s="112">
        <v>7.25</v>
      </c>
      <c r="C64" s="112">
        <v>6.09</v>
      </c>
      <c r="D64" s="112">
        <v>14.01</v>
      </c>
      <c r="E64" s="112">
        <v>13.05</v>
      </c>
      <c r="F64" s="112">
        <v>26.42</v>
      </c>
      <c r="G64" s="112">
        <v>76.22</v>
      </c>
      <c r="H64" s="112">
        <v>22.95</v>
      </c>
      <c r="I64" s="112">
        <v>7.05</v>
      </c>
      <c r="J64" s="112">
        <v>1.1399999999999999</v>
      </c>
      <c r="K64" s="112">
        <v>272.57</v>
      </c>
      <c r="L64" s="112">
        <v>44.62</v>
      </c>
      <c r="M64" s="112">
        <v>16.760000000000002</v>
      </c>
      <c r="N64" s="112">
        <v>649.6</v>
      </c>
      <c r="O64" s="112">
        <v>0</v>
      </c>
      <c r="P64" s="112">
        <v>0.47</v>
      </c>
      <c r="Q64" s="112">
        <v>4.96</v>
      </c>
    </row>
    <row r="65" spans="1:17">
      <c r="A65" s="80">
        <v>45441.59375</v>
      </c>
      <c r="B65" s="112">
        <v>7.27</v>
      </c>
      <c r="C65" s="112">
        <v>6.07</v>
      </c>
      <c r="D65" s="112">
        <v>14.01</v>
      </c>
      <c r="E65" s="112">
        <v>13.1</v>
      </c>
      <c r="F65" s="112">
        <v>40.450000000000003</v>
      </c>
      <c r="G65" s="112">
        <v>76.22</v>
      </c>
      <c r="H65" s="112">
        <v>22.95</v>
      </c>
      <c r="I65" s="112">
        <v>6.82</v>
      </c>
      <c r="J65" s="112">
        <v>1.17</v>
      </c>
      <c r="K65" s="112">
        <v>278.16000000000003</v>
      </c>
      <c r="L65" s="112">
        <v>44.64</v>
      </c>
      <c r="M65" s="112">
        <v>16.940000000000001</v>
      </c>
      <c r="N65" s="112">
        <v>643.20000000000005</v>
      </c>
      <c r="O65" s="112">
        <v>0</v>
      </c>
      <c r="P65" s="112">
        <v>0.51</v>
      </c>
      <c r="Q65" s="112">
        <v>4.96</v>
      </c>
    </row>
    <row r="66" spans="1:17">
      <c r="A66" s="80">
        <v>45441.604166666664</v>
      </c>
      <c r="B66" s="112">
        <v>7.25</v>
      </c>
      <c r="C66" s="112">
        <v>6.08</v>
      </c>
      <c r="D66" s="112">
        <v>14</v>
      </c>
      <c r="E66" s="112">
        <v>13.16</v>
      </c>
      <c r="F66" s="112">
        <v>39.39</v>
      </c>
      <c r="G66" s="112">
        <v>74.099999999999994</v>
      </c>
      <c r="H66" s="112">
        <v>20.85</v>
      </c>
      <c r="I66" s="112">
        <v>6.81</v>
      </c>
      <c r="J66" s="112">
        <v>1.1499999999999999</v>
      </c>
      <c r="K66" s="112">
        <v>282</v>
      </c>
      <c r="L66" s="112">
        <v>44.81</v>
      </c>
      <c r="M66" s="112">
        <v>15.88</v>
      </c>
      <c r="N66" s="112">
        <v>626.29999999999995</v>
      </c>
      <c r="O66" s="112">
        <v>0</v>
      </c>
      <c r="P66" s="112">
        <v>0.55000000000000004</v>
      </c>
      <c r="Q66" s="112">
        <v>4.95</v>
      </c>
    </row>
    <row r="67" spans="1:17">
      <c r="A67" s="80">
        <v>45441.614583333336</v>
      </c>
      <c r="B67" s="112">
        <v>7.29</v>
      </c>
      <c r="C67" s="112">
        <v>6.09</v>
      </c>
      <c r="D67" s="112">
        <v>14.03</v>
      </c>
      <c r="E67" s="112">
        <v>12.84</v>
      </c>
      <c r="F67" s="112">
        <v>34.76</v>
      </c>
      <c r="G67" s="112">
        <v>73.64</v>
      </c>
      <c r="H67" s="112">
        <v>20.85</v>
      </c>
      <c r="I67" s="112">
        <v>6.43</v>
      </c>
      <c r="J67" s="112">
        <v>1.18</v>
      </c>
      <c r="K67" s="112">
        <v>286.29000000000002</v>
      </c>
      <c r="L67" s="112">
        <v>44.96</v>
      </c>
      <c r="M67" s="112">
        <v>15.04</v>
      </c>
      <c r="N67" s="112">
        <v>500.9</v>
      </c>
      <c r="O67" s="112">
        <v>0</v>
      </c>
      <c r="P67" s="112">
        <v>0.53</v>
      </c>
      <c r="Q67" s="112">
        <v>4.95</v>
      </c>
    </row>
    <row r="68" spans="1:17">
      <c r="A68" s="80">
        <v>45441.625</v>
      </c>
      <c r="B68" s="112">
        <v>7.31</v>
      </c>
      <c r="C68" s="112">
        <v>6.09</v>
      </c>
      <c r="D68" s="112">
        <v>14.05</v>
      </c>
      <c r="E68" s="112">
        <v>11.95</v>
      </c>
      <c r="F68" s="112">
        <v>27.98</v>
      </c>
      <c r="G68" s="112">
        <v>73.64</v>
      </c>
      <c r="H68" s="112">
        <v>20.85</v>
      </c>
      <c r="I68" s="112">
        <v>6.23</v>
      </c>
      <c r="J68" s="112">
        <v>1.28</v>
      </c>
      <c r="K68" s="112">
        <v>283.20999999999998</v>
      </c>
      <c r="L68" s="112">
        <v>45.35</v>
      </c>
      <c r="M68" s="112">
        <v>13.53</v>
      </c>
      <c r="N68" s="112">
        <v>521</v>
      </c>
      <c r="O68" s="112">
        <v>0</v>
      </c>
      <c r="P68" s="112">
        <v>0.53</v>
      </c>
      <c r="Q68" s="112">
        <v>4.9400000000000004</v>
      </c>
    </row>
    <row r="69" spans="1:17">
      <c r="A69" s="80">
        <v>45441.635416666664</v>
      </c>
      <c r="B69" s="112">
        <v>7.24</v>
      </c>
      <c r="C69" s="112">
        <v>6.09</v>
      </c>
      <c r="D69" s="112">
        <v>13.99</v>
      </c>
      <c r="E69" s="112">
        <v>12.3</v>
      </c>
      <c r="F69" s="112">
        <v>23.2</v>
      </c>
      <c r="G69" s="112">
        <v>73.64</v>
      </c>
      <c r="H69" s="112">
        <v>20.85</v>
      </c>
      <c r="I69" s="112">
        <v>6.01</v>
      </c>
      <c r="J69" s="112">
        <v>1.33</v>
      </c>
      <c r="K69" s="112">
        <v>271.75</v>
      </c>
      <c r="L69" s="112">
        <v>44.38</v>
      </c>
      <c r="M69" s="112">
        <v>17.38</v>
      </c>
      <c r="N69" s="112">
        <v>371</v>
      </c>
      <c r="O69" s="112">
        <v>0</v>
      </c>
      <c r="P69" s="112">
        <v>0.56000000000000005</v>
      </c>
      <c r="Q69" s="112">
        <v>4.99</v>
      </c>
    </row>
    <row r="70" spans="1:17">
      <c r="A70" s="80">
        <v>45441.645833333336</v>
      </c>
      <c r="B70" s="112">
        <v>7.27</v>
      </c>
      <c r="C70" s="112">
        <v>6.1</v>
      </c>
      <c r="D70" s="112">
        <v>14.02</v>
      </c>
      <c r="E70" s="112">
        <v>13.83</v>
      </c>
      <c r="F70" s="112">
        <v>34.11</v>
      </c>
      <c r="G70" s="112">
        <v>69.290000000000006</v>
      </c>
      <c r="H70" s="112">
        <v>19.41</v>
      </c>
      <c r="I70" s="112">
        <v>6.11</v>
      </c>
      <c r="J70" s="112">
        <v>1.17</v>
      </c>
      <c r="K70" s="112">
        <v>271.5</v>
      </c>
      <c r="L70" s="112">
        <v>43.69</v>
      </c>
      <c r="M70" s="112">
        <v>20.329999999999998</v>
      </c>
      <c r="N70" s="112">
        <v>289.10000000000002</v>
      </c>
      <c r="O70" s="112">
        <v>0</v>
      </c>
      <c r="P70" s="112">
        <v>0.57999999999999996</v>
      </c>
      <c r="Q70" s="112">
        <v>4.9800000000000004</v>
      </c>
    </row>
    <row r="71" spans="1:17">
      <c r="A71" s="80">
        <v>45441.65625</v>
      </c>
      <c r="B71" s="112">
        <v>7.23</v>
      </c>
      <c r="C71" s="112">
        <v>6.13</v>
      </c>
      <c r="D71" s="112">
        <v>14.01</v>
      </c>
      <c r="E71" s="112">
        <v>13.28</v>
      </c>
      <c r="F71" s="112">
        <v>22</v>
      </c>
      <c r="G71" s="112">
        <v>68.349999999999994</v>
      </c>
      <c r="H71" s="112">
        <v>19.41</v>
      </c>
      <c r="I71" s="112">
        <v>6.38</v>
      </c>
      <c r="J71" s="112">
        <v>1.21</v>
      </c>
      <c r="K71" s="112">
        <v>252.31</v>
      </c>
      <c r="L71" s="112">
        <v>43.71</v>
      </c>
      <c r="M71" s="112">
        <v>22.6</v>
      </c>
      <c r="N71" s="112">
        <v>405.8</v>
      </c>
      <c r="O71" s="112">
        <v>0</v>
      </c>
      <c r="P71" s="112">
        <v>0.57999999999999996</v>
      </c>
      <c r="Q71" s="112">
        <v>4.97</v>
      </c>
    </row>
    <row r="72" spans="1:17">
      <c r="A72" s="80">
        <v>45441.666666666664</v>
      </c>
      <c r="B72" s="112">
        <v>7.22</v>
      </c>
      <c r="C72" s="112">
        <v>6.11</v>
      </c>
      <c r="D72" s="112">
        <v>13.99</v>
      </c>
      <c r="E72" s="112">
        <v>13.14</v>
      </c>
      <c r="F72" s="112">
        <v>19.940000000000001</v>
      </c>
      <c r="G72" s="112">
        <v>68.349999999999994</v>
      </c>
      <c r="H72" s="112">
        <v>19.41</v>
      </c>
      <c r="I72" s="112">
        <v>6.42</v>
      </c>
      <c r="J72" s="112">
        <v>1.5</v>
      </c>
      <c r="K72" s="112">
        <v>257.64999999999998</v>
      </c>
      <c r="L72" s="112">
        <v>42.8</v>
      </c>
      <c r="M72" s="112">
        <v>22.3</v>
      </c>
      <c r="N72" s="112">
        <v>168.6</v>
      </c>
      <c r="O72" s="112">
        <v>0</v>
      </c>
      <c r="P72" s="112">
        <v>0.57999999999999996</v>
      </c>
      <c r="Q72" s="112">
        <v>4.96</v>
      </c>
    </row>
    <row r="73" spans="1:17">
      <c r="A73" s="80">
        <v>45441.677083333336</v>
      </c>
      <c r="B73" s="112">
        <v>7.23</v>
      </c>
      <c r="C73" s="112">
        <v>6.1</v>
      </c>
      <c r="D73" s="112">
        <v>13.99</v>
      </c>
      <c r="E73" s="112">
        <v>12.17</v>
      </c>
      <c r="F73" s="112">
        <v>22.8</v>
      </c>
      <c r="G73" s="112">
        <v>68.349999999999994</v>
      </c>
      <c r="H73" s="112">
        <v>19.41</v>
      </c>
      <c r="I73" s="112">
        <v>6.47</v>
      </c>
      <c r="J73" s="112">
        <v>1.27</v>
      </c>
      <c r="K73" s="112">
        <v>260.7</v>
      </c>
      <c r="L73" s="112">
        <v>42.28</v>
      </c>
      <c r="M73" s="112">
        <v>20.38</v>
      </c>
      <c r="N73" s="112">
        <v>133.9</v>
      </c>
      <c r="O73" s="112">
        <v>0</v>
      </c>
      <c r="P73" s="112">
        <v>0.56000000000000005</v>
      </c>
      <c r="Q73" s="112">
        <v>4.95</v>
      </c>
    </row>
    <row r="74" spans="1:17">
      <c r="A74" s="80">
        <v>45441.6875</v>
      </c>
      <c r="B74" s="112">
        <v>7.25</v>
      </c>
      <c r="C74" s="112">
        <v>6.07</v>
      </c>
      <c r="D74" s="112">
        <v>13.99</v>
      </c>
      <c r="E74" s="112">
        <v>12.26</v>
      </c>
      <c r="F74" s="112">
        <v>20.41</v>
      </c>
      <c r="G74" s="112">
        <v>68.36</v>
      </c>
      <c r="H74" s="112">
        <v>21.08</v>
      </c>
      <c r="I74" s="112">
        <v>6.46</v>
      </c>
      <c r="J74" s="112">
        <v>1.22</v>
      </c>
      <c r="K74" s="112">
        <v>262.22000000000003</v>
      </c>
      <c r="L74" s="112">
        <v>42.06</v>
      </c>
      <c r="M74" s="112">
        <v>20.78</v>
      </c>
      <c r="N74" s="112">
        <v>127.1</v>
      </c>
      <c r="O74" s="112">
        <v>0</v>
      </c>
      <c r="P74" s="112">
        <v>0.56000000000000005</v>
      </c>
      <c r="Q74" s="112">
        <v>4.95</v>
      </c>
    </row>
    <row r="75" spans="1:17">
      <c r="A75" s="80">
        <v>45441.697916666664</v>
      </c>
      <c r="B75" s="112">
        <v>7.22</v>
      </c>
      <c r="C75" s="112">
        <v>6.1</v>
      </c>
      <c r="D75" s="112">
        <v>13.98</v>
      </c>
      <c r="E75" s="112">
        <v>12.28</v>
      </c>
      <c r="F75" s="112">
        <v>19.77</v>
      </c>
      <c r="G75" s="112">
        <v>68.36</v>
      </c>
      <c r="H75" s="112">
        <v>21.08</v>
      </c>
      <c r="I75" s="112">
        <v>6.12</v>
      </c>
      <c r="J75" s="112">
        <v>1.29</v>
      </c>
      <c r="K75" s="112">
        <v>255.91</v>
      </c>
      <c r="L75" s="112">
        <v>41.84</v>
      </c>
      <c r="M75" s="112">
        <v>21.31</v>
      </c>
      <c r="N75" s="112">
        <v>120</v>
      </c>
      <c r="O75" s="112">
        <v>0</v>
      </c>
      <c r="P75" s="112">
        <v>0.55000000000000004</v>
      </c>
      <c r="Q75" s="112">
        <v>4.96</v>
      </c>
    </row>
    <row r="76" spans="1:17">
      <c r="A76" s="80">
        <v>45441.708333333336</v>
      </c>
      <c r="B76" s="112">
        <v>7.19</v>
      </c>
      <c r="C76" s="112">
        <v>6.14</v>
      </c>
      <c r="D76" s="112">
        <v>13.98</v>
      </c>
      <c r="E76" s="112">
        <v>11.65</v>
      </c>
      <c r="F76" s="112">
        <v>21.83</v>
      </c>
      <c r="G76" s="112">
        <v>68.36</v>
      </c>
      <c r="H76" s="112">
        <v>21.08</v>
      </c>
      <c r="I76" s="112">
        <v>5.96</v>
      </c>
      <c r="J76" s="112">
        <v>0.95</v>
      </c>
      <c r="K76" s="112">
        <v>254.57</v>
      </c>
      <c r="L76" s="112">
        <v>41.66</v>
      </c>
      <c r="M76" s="112">
        <v>21.75</v>
      </c>
      <c r="N76" s="112">
        <v>94.2</v>
      </c>
      <c r="O76" s="112">
        <v>0</v>
      </c>
      <c r="P76" s="112">
        <v>0.54</v>
      </c>
      <c r="Q76" s="112">
        <v>4.97</v>
      </c>
    </row>
    <row r="77" spans="1:17">
      <c r="A77" s="80">
        <v>45441.71875</v>
      </c>
      <c r="B77" s="112">
        <v>7.27</v>
      </c>
      <c r="C77" s="112">
        <v>6.16</v>
      </c>
      <c r="D77" s="112">
        <v>14.06</v>
      </c>
      <c r="E77" s="112">
        <v>11.41</v>
      </c>
      <c r="F77" s="112">
        <v>26.63</v>
      </c>
      <c r="G77" s="112">
        <v>68.36</v>
      </c>
      <c r="H77" s="112">
        <v>21.08</v>
      </c>
      <c r="I77" s="112">
        <v>6.01</v>
      </c>
      <c r="J77" s="112">
        <v>1.08</v>
      </c>
      <c r="K77" s="112">
        <v>257.19</v>
      </c>
      <c r="L77" s="112">
        <v>41.36</v>
      </c>
      <c r="M77" s="112">
        <v>21.76</v>
      </c>
      <c r="N77" s="112">
        <v>61.9</v>
      </c>
      <c r="O77" s="112">
        <v>0</v>
      </c>
      <c r="P77" s="112">
        <v>0.54</v>
      </c>
      <c r="Q77" s="112">
        <v>4.99</v>
      </c>
    </row>
    <row r="78" spans="1:17">
      <c r="A78" s="80">
        <v>45441.729166666664</v>
      </c>
      <c r="B78" s="112">
        <v>7.28</v>
      </c>
      <c r="C78" s="112">
        <v>6.11</v>
      </c>
      <c r="D78" s="112">
        <v>14.04</v>
      </c>
      <c r="E78" s="112">
        <v>13.02</v>
      </c>
      <c r="F78" s="112">
        <v>33.909999999999997</v>
      </c>
      <c r="G78" s="112">
        <v>66.819999999999993</v>
      </c>
      <c r="H78" s="112">
        <v>20.11</v>
      </c>
      <c r="I78" s="112">
        <v>5.89</v>
      </c>
      <c r="J78" s="112">
        <v>0.8</v>
      </c>
      <c r="K78" s="112">
        <v>262.3</v>
      </c>
      <c r="L78" s="112">
        <v>41.08</v>
      </c>
      <c r="M78" s="112">
        <v>22.52</v>
      </c>
      <c r="N78" s="112">
        <v>53.4</v>
      </c>
      <c r="O78" s="112">
        <v>0</v>
      </c>
      <c r="P78" s="112">
        <v>0.51</v>
      </c>
      <c r="Q78" s="112">
        <v>5</v>
      </c>
    </row>
    <row r="79" spans="1:17">
      <c r="A79" s="80">
        <v>45441.739583333336</v>
      </c>
      <c r="B79" s="112">
        <v>7.25</v>
      </c>
      <c r="C79" s="112">
        <v>6.11</v>
      </c>
      <c r="D79" s="112">
        <v>14.01</v>
      </c>
      <c r="E79" s="112">
        <v>12.05</v>
      </c>
      <c r="F79" s="112">
        <v>23.72</v>
      </c>
      <c r="G79" s="112">
        <v>66.48</v>
      </c>
      <c r="H79" s="112">
        <v>20.11</v>
      </c>
      <c r="I79" s="112">
        <v>5.59</v>
      </c>
      <c r="J79" s="112">
        <v>0.94</v>
      </c>
      <c r="K79" s="112">
        <v>257.41000000000003</v>
      </c>
      <c r="L79" s="112">
        <v>40.71</v>
      </c>
      <c r="M79" s="112">
        <v>22.7</v>
      </c>
      <c r="N79" s="112">
        <v>33.4</v>
      </c>
      <c r="O79" s="112">
        <v>0</v>
      </c>
      <c r="P79" s="112">
        <v>0.53</v>
      </c>
      <c r="Q79" s="112">
        <v>5.0199999999999996</v>
      </c>
    </row>
    <row r="80" spans="1:17">
      <c r="A80" s="80">
        <v>45441.75</v>
      </c>
      <c r="B80" s="112">
        <v>7.26</v>
      </c>
      <c r="C80" s="112">
        <v>6.08</v>
      </c>
      <c r="D80" s="112">
        <v>14.01</v>
      </c>
      <c r="E80" s="112">
        <v>12.44</v>
      </c>
      <c r="F80" s="112">
        <v>28.68</v>
      </c>
      <c r="G80" s="112">
        <v>66.48</v>
      </c>
      <c r="H80" s="112">
        <v>20.11</v>
      </c>
      <c r="I80" s="112">
        <v>5.38</v>
      </c>
      <c r="J80" s="112">
        <v>0.96</v>
      </c>
      <c r="K80" s="112">
        <v>256.26</v>
      </c>
      <c r="L80" s="112">
        <v>40.159999999999997</v>
      </c>
      <c r="M80" s="112">
        <v>23.37</v>
      </c>
      <c r="N80" s="112">
        <v>14.4</v>
      </c>
      <c r="O80" s="112">
        <v>0</v>
      </c>
      <c r="P80" s="112">
        <v>0.52</v>
      </c>
      <c r="Q80" s="112">
        <v>5</v>
      </c>
    </row>
    <row r="81" spans="1:17">
      <c r="A81" s="80">
        <v>45441.760416666664</v>
      </c>
      <c r="B81" s="112">
        <v>7.31</v>
      </c>
      <c r="C81" s="112">
        <v>6.1</v>
      </c>
      <c r="D81" s="112">
        <v>14.06</v>
      </c>
      <c r="E81" s="112">
        <v>12.49</v>
      </c>
      <c r="F81" s="112">
        <v>40.869999999999997</v>
      </c>
      <c r="G81" s="112">
        <v>66.48</v>
      </c>
      <c r="H81" s="112">
        <v>20.11</v>
      </c>
      <c r="I81" s="112">
        <v>5.46</v>
      </c>
      <c r="J81" s="112">
        <v>0.7</v>
      </c>
      <c r="K81" s="112">
        <v>251.2</v>
      </c>
      <c r="L81" s="112">
        <v>39.68</v>
      </c>
      <c r="M81" s="112">
        <v>24.91</v>
      </c>
      <c r="N81" s="112">
        <v>2.9</v>
      </c>
      <c r="O81" s="112">
        <v>0</v>
      </c>
      <c r="P81" s="112">
        <v>0.5</v>
      </c>
      <c r="Q81" s="112">
        <v>5.07</v>
      </c>
    </row>
    <row r="82" spans="1:17">
      <c r="A82" s="80">
        <v>45441.770833333336</v>
      </c>
      <c r="B82" s="112">
        <v>7.34</v>
      </c>
      <c r="C82" s="112">
        <v>6.12</v>
      </c>
      <c r="D82" s="112">
        <v>14.09</v>
      </c>
      <c r="E82" s="112">
        <v>15.42</v>
      </c>
      <c r="F82" s="112">
        <v>45.79</v>
      </c>
      <c r="G82" s="112">
        <v>63.42</v>
      </c>
      <c r="H82" s="112">
        <v>21.59</v>
      </c>
      <c r="I82" s="112">
        <v>5.3</v>
      </c>
      <c r="J82" s="112">
        <v>0.71</v>
      </c>
      <c r="K82" s="112">
        <v>252.93</v>
      </c>
      <c r="L82" s="112">
        <v>39.200000000000003</v>
      </c>
      <c r="M82" s="112">
        <v>26.21</v>
      </c>
      <c r="N82" s="112">
        <v>0</v>
      </c>
      <c r="O82" s="112">
        <v>0</v>
      </c>
      <c r="P82" s="112">
        <v>0.5</v>
      </c>
      <c r="Q82" s="112">
        <v>5.21</v>
      </c>
    </row>
    <row r="83" spans="1:17">
      <c r="A83" s="80">
        <v>45441.78125</v>
      </c>
      <c r="B83" s="112">
        <v>7.32</v>
      </c>
      <c r="C83" s="112">
        <v>6.09</v>
      </c>
      <c r="D83" s="112">
        <v>14.07</v>
      </c>
      <c r="E83" s="112">
        <v>15.19</v>
      </c>
      <c r="F83" s="112">
        <v>33.94</v>
      </c>
      <c r="G83" s="112">
        <v>62.76</v>
      </c>
      <c r="H83" s="112">
        <v>21.59</v>
      </c>
      <c r="I83" s="112">
        <v>5.08</v>
      </c>
      <c r="J83" s="112">
        <v>0.62</v>
      </c>
      <c r="K83" s="112">
        <v>246.89</v>
      </c>
      <c r="L83" s="112">
        <v>38.79</v>
      </c>
      <c r="M83" s="112">
        <v>27.43</v>
      </c>
      <c r="N83" s="112">
        <v>0</v>
      </c>
      <c r="O83" s="112">
        <v>0</v>
      </c>
      <c r="P83" s="112">
        <v>0.51</v>
      </c>
      <c r="Q83" s="112">
        <v>5.13</v>
      </c>
    </row>
    <row r="84" spans="1:17">
      <c r="A84" s="80">
        <v>45441.791666666664</v>
      </c>
      <c r="B84" s="112">
        <v>7.26</v>
      </c>
      <c r="C84" s="112">
        <v>6.07</v>
      </c>
      <c r="D84" s="112">
        <v>14</v>
      </c>
      <c r="E84" s="112">
        <v>14.76</v>
      </c>
      <c r="F84" s="112">
        <v>34.630000000000003</v>
      </c>
      <c r="G84" s="112">
        <v>62.76</v>
      </c>
      <c r="H84" s="112">
        <v>21.59</v>
      </c>
      <c r="I84" s="112">
        <v>5</v>
      </c>
      <c r="J84" s="112">
        <v>0.39</v>
      </c>
      <c r="K84" s="112">
        <v>246.22</v>
      </c>
      <c r="L84" s="112">
        <v>38.299999999999997</v>
      </c>
      <c r="M84" s="112">
        <v>28.93</v>
      </c>
      <c r="N84" s="112">
        <v>0</v>
      </c>
      <c r="O84" s="112">
        <v>0</v>
      </c>
      <c r="P84" s="112">
        <v>0.51</v>
      </c>
      <c r="Q84" s="112">
        <v>5.07</v>
      </c>
    </row>
    <row r="85" spans="1:17">
      <c r="A85" s="80">
        <v>45441.802083333336</v>
      </c>
      <c r="B85" s="112">
        <v>7.37</v>
      </c>
      <c r="C85" s="112">
        <v>6.07</v>
      </c>
      <c r="D85" s="112">
        <v>14.09</v>
      </c>
      <c r="E85" s="112">
        <v>17.93</v>
      </c>
      <c r="F85" s="112">
        <v>42.57</v>
      </c>
      <c r="G85" s="112">
        <v>62.76</v>
      </c>
      <c r="H85" s="112">
        <v>21.59</v>
      </c>
      <c r="I85" s="112">
        <v>5.21</v>
      </c>
      <c r="J85" s="112">
        <v>0.35</v>
      </c>
      <c r="K85" s="112">
        <v>240.8</v>
      </c>
      <c r="L85" s="112">
        <v>37.770000000000003</v>
      </c>
      <c r="M85" s="112">
        <v>30.42</v>
      </c>
      <c r="N85" s="112">
        <v>0</v>
      </c>
      <c r="O85" s="112">
        <v>0</v>
      </c>
      <c r="P85" s="112">
        <v>0.53</v>
      </c>
      <c r="Q85" s="112">
        <v>5.08</v>
      </c>
    </row>
    <row r="86" spans="1:17">
      <c r="A86" s="80">
        <v>45441.8125</v>
      </c>
      <c r="B86" s="112">
        <v>7.41</v>
      </c>
      <c r="C86" s="112">
        <v>6.08</v>
      </c>
      <c r="D86" s="112">
        <v>14.13</v>
      </c>
      <c r="E86" s="112">
        <v>19.98</v>
      </c>
      <c r="F86" s="112">
        <v>40.53</v>
      </c>
      <c r="G86" s="112">
        <v>69.73</v>
      </c>
      <c r="H86" s="112">
        <v>20.97</v>
      </c>
      <c r="I86" s="112">
        <v>5.3</v>
      </c>
      <c r="J86" s="112">
        <v>0.22</v>
      </c>
      <c r="K86" s="112">
        <v>241.64</v>
      </c>
      <c r="L86" s="112">
        <v>37.36</v>
      </c>
      <c r="M86" s="112">
        <v>31.49</v>
      </c>
      <c r="N86" s="112">
        <v>0</v>
      </c>
      <c r="O86" s="112">
        <v>0</v>
      </c>
      <c r="P86" s="112">
        <v>0.51</v>
      </c>
      <c r="Q86" s="112">
        <v>5.18</v>
      </c>
    </row>
    <row r="87" spans="1:17">
      <c r="A87" s="80">
        <v>45441.822916666664</v>
      </c>
      <c r="B87" s="112">
        <v>7.36</v>
      </c>
      <c r="C87" s="112">
        <v>6.1</v>
      </c>
      <c r="D87" s="112">
        <v>14.1</v>
      </c>
      <c r="E87" s="112">
        <v>18</v>
      </c>
      <c r="F87" s="112">
        <v>35.409999999999997</v>
      </c>
      <c r="G87" s="112">
        <v>71.239999999999995</v>
      </c>
      <c r="H87" s="112">
        <v>20.97</v>
      </c>
      <c r="I87" s="112">
        <v>5.41</v>
      </c>
      <c r="J87" s="112">
        <v>0.27</v>
      </c>
      <c r="K87" s="112">
        <v>248.89</v>
      </c>
      <c r="L87" s="112">
        <v>36.96</v>
      </c>
      <c r="M87" s="112">
        <v>31.95</v>
      </c>
      <c r="N87" s="112">
        <v>0</v>
      </c>
      <c r="O87" s="112">
        <v>0</v>
      </c>
      <c r="P87" s="112">
        <v>0.49</v>
      </c>
      <c r="Q87" s="112">
        <v>5.24</v>
      </c>
    </row>
    <row r="88" spans="1:17">
      <c r="A88" s="80">
        <v>45441.833333333336</v>
      </c>
      <c r="B88" s="112">
        <v>7.35</v>
      </c>
      <c r="C88" s="112">
        <v>6.1</v>
      </c>
      <c r="D88" s="112">
        <v>14.09</v>
      </c>
      <c r="E88" s="112">
        <v>19.16</v>
      </c>
      <c r="F88" s="112">
        <v>36.65</v>
      </c>
      <c r="G88" s="112">
        <v>71.239999999999995</v>
      </c>
      <c r="H88" s="112">
        <v>20.97</v>
      </c>
      <c r="I88" s="112">
        <v>5.39</v>
      </c>
      <c r="J88" s="112">
        <v>0.28999999999999998</v>
      </c>
      <c r="K88" s="112">
        <v>250.83</v>
      </c>
      <c r="L88" s="112">
        <v>36.75</v>
      </c>
      <c r="M88" s="112">
        <v>31.63</v>
      </c>
      <c r="N88" s="112">
        <v>0</v>
      </c>
      <c r="O88" s="112">
        <v>0</v>
      </c>
      <c r="P88" s="112">
        <v>0.53</v>
      </c>
      <c r="Q88" s="112">
        <v>5.18</v>
      </c>
    </row>
    <row r="89" spans="1:17">
      <c r="A89" s="80">
        <v>45441.84375</v>
      </c>
      <c r="B89" s="112">
        <v>7.32</v>
      </c>
      <c r="C89" s="112">
        <v>6.1</v>
      </c>
      <c r="D89" s="112">
        <v>14.07</v>
      </c>
      <c r="E89" s="112">
        <v>18.07</v>
      </c>
      <c r="F89" s="112">
        <v>30.7</v>
      </c>
      <c r="G89" s="112">
        <v>71.239999999999995</v>
      </c>
      <c r="H89" s="112">
        <v>20.97</v>
      </c>
      <c r="I89" s="112">
        <v>5.44</v>
      </c>
      <c r="J89" s="112">
        <v>0.44</v>
      </c>
      <c r="K89" s="112">
        <v>251.98</v>
      </c>
      <c r="L89" s="112">
        <v>36.67</v>
      </c>
      <c r="M89" s="112">
        <v>30.86</v>
      </c>
      <c r="N89" s="112">
        <v>0</v>
      </c>
      <c r="O89" s="112">
        <v>0</v>
      </c>
      <c r="P89" s="112">
        <v>0.53</v>
      </c>
      <c r="Q89" s="112">
        <v>5.1100000000000003</v>
      </c>
    </row>
    <row r="90" spans="1:17">
      <c r="A90" s="80">
        <v>45441.854166666664</v>
      </c>
      <c r="B90" s="112">
        <v>7.27</v>
      </c>
      <c r="C90" s="112">
        <v>6.09</v>
      </c>
      <c r="D90" s="112">
        <v>14.02</v>
      </c>
      <c r="E90" s="112">
        <v>17.98</v>
      </c>
      <c r="F90" s="112">
        <v>31.96</v>
      </c>
      <c r="G90" s="112">
        <v>72.569999999999993</v>
      </c>
      <c r="H90" s="112">
        <v>19.100000000000001</v>
      </c>
      <c r="I90" s="112">
        <v>5.61</v>
      </c>
      <c r="J90" s="112">
        <v>0.41</v>
      </c>
      <c r="K90" s="112">
        <v>248.89</v>
      </c>
      <c r="L90" s="112">
        <v>36.56</v>
      </c>
      <c r="M90" s="112">
        <v>30.59</v>
      </c>
      <c r="N90" s="112">
        <v>0</v>
      </c>
      <c r="O90" s="112">
        <v>0</v>
      </c>
      <c r="P90" s="112">
        <v>0.52</v>
      </c>
      <c r="Q90" s="112">
        <v>5.0999999999999996</v>
      </c>
    </row>
    <row r="91" spans="1:17">
      <c r="A91" s="80">
        <v>45441.864583333336</v>
      </c>
      <c r="B91" s="112">
        <v>7.28</v>
      </c>
      <c r="C91" s="112">
        <v>6.1</v>
      </c>
      <c r="D91" s="112">
        <v>14.03</v>
      </c>
      <c r="E91" s="112">
        <v>17.329999999999998</v>
      </c>
      <c r="F91" s="112">
        <v>33.479999999999997</v>
      </c>
      <c r="G91" s="112">
        <v>72.83</v>
      </c>
      <c r="H91" s="112">
        <v>19.100000000000001</v>
      </c>
      <c r="I91" s="112">
        <v>5.73</v>
      </c>
      <c r="J91" s="112">
        <v>0.47</v>
      </c>
      <c r="K91" s="112">
        <v>250.87</v>
      </c>
      <c r="L91" s="112">
        <v>36.4</v>
      </c>
      <c r="M91" s="112">
        <v>30.45</v>
      </c>
      <c r="N91" s="112">
        <v>0</v>
      </c>
      <c r="O91" s="112">
        <v>0</v>
      </c>
      <c r="P91" s="112">
        <v>0.51</v>
      </c>
      <c r="Q91" s="112">
        <v>5.12</v>
      </c>
    </row>
    <row r="92" spans="1:17">
      <c r="A92" s="80">
        <v>45441.875</v>
      </c>
      <c r="B92" s="112">
        <v>7.27</v>
      </c>
      <c r="C92" s="112">
        <v>6.07</v>
      </c>
      <c r="D92" s="112">
        <v>14.01</v>
      </c>
      <c r="E92" s="112">
        <v>15.85</v>
      </c>
      <c r="F92" s="112">
        <v>27.71</v>
      </c>
      <c r="G92" s="112">
        <v>72.83</v>
      </c>
      <c r="H92" s="112">
        <v>19.100000000000001</v>
      </c>
      <c r="I92" s="112">
        <v>5.72</v>
      </c>
      <c r="J92" s="112">
        <v>0.61</v>
      </c>
      <c r="K92" s="112">
        <v>258.11</v>
      </c>
      <c r="L92" s="112">
        <v>36.6</v>
      </c>
      <c r="M92" s="112">
        <v>29.41</v>
      </c>
      <c r="N92" s="112">
        <v>0</v>
      </c>
      <c r="O92" s="112">
        <v>0</v>
      </c>
      <c r="P92" s="112">
        <v>0.5</v>
      </c>
      <c r="Q92" s="112">
        <v>5.12</v>
      </c>
    </row>
    <row r="93" spans="1:17">
      <c r="A93" s="80">
        <v>45441.885416666664</v>
      </c>
      <c r="B93" s="112">
        <v>7.29</v>
      </c>
      <c r="C93" s="112">
        <v>6.07</v>
      </c>
      <c r="D93" s="112">
        <v>14.03</v>
      </c>
      <c r="E93" s="112">
        <v>15.98</v>
      </c>
      <c r="F93" s="112">
        <v>31.17</v>
      </c>
      <c r="G93" s="112">
        <v>72.83</v>
      </c>
      <c r="H93" s="112">
        <v>19.100000000000001</v>
      </c>
      <c r="I93" s="112">
        <v>5.52</v>
      </c>
      <c r="J93" s="112">
        <v>0.52</v>
      </c>
      <c r="K93" s="112">
        <v>248.6</v>
      </c>
      <c r="L93" s="112">
        <v>36.71</v>
      </c>
      <c r="M93" s="112">
        <v>29.01</v>
      </c>
      <c r="N93" s="112">
        <v>0</v>
      </c>
      <c r="O93" s="112">
        <v>0</v>
      </c>
      <c r="P93" s="112">
        <v>0.5</v>
      </c>
      <c r="Q93" s="112">
        <v>5.13</v>
      </c>
    </row>
    <row r="94" spans="1:17">
      <c r="A94" s="80">
        <v>45441.895833333336</v>
      </c>
      <c r="B94" s="112">
        <v>7.3</v>
      </c>
      <c r="C94" s="112">
        <v>6.07</v>
      </c>
      <c r="D94" s="112">
        <v>14.03</v>
      </c>
      <c r="E94" s="112">
        <v>15.25</v>
      </c>
      <c r="F94" s="112">
        <v>32.880000000000003</v>
      </c>
      <c r="G94" s="112">
        <v>72.75</v>
      </c>
      <c r="H94" s="112">
        <v>20.5</v>
      </c>
      <c r="I94" s="112">
        <v>5.43</v>
      </c>
      <c r="J94" s="112">
        <v>0.4</v>
      </c>
      <c r="K94" s="112">
        <v>243.91</v>
      </c>
      <c r="L94" s="112">
        <v>36.799999999999997</v>
      </c>
      <c r="M94" s="112">
        <v>29.02</v>
      </c>
      <c r="N94" s="112">
        <v>0</v>
      </c>
      <c r="O94" s="112">
        <v>0</v>
      </c>
      <c r="P94" s="112">
        <v>0.49</v>
      </c>
      <c r="Q94" s="112">
        <v>5.0599999999999996</v>
      </c>
    </row>
    <row r="95" spans="1:17">
      <c r="A95" s="80">
        <v>45441.90625</v>
      </c>
      <c r="B95" s="112">
        <v>7.29</v>
      </c>
      <c r="C95" s="112">
        <v>6.06</v>
      </c>
      <c r="D95" s="112">
        <v>14.02</v>
      </c>
      <c r="E95" s="112">
        <v>16.329999999999998</v>
      </c>
      <c r="F95" s="112">
        <v>34.619999999999997</v>
      </c>
      <c r="G95" s="112">
        <v>72.73</v>
      </c>
      <c r="H95" s="112">
        <v>20.5</v>
      </c>
      <c r="I95" s="112">
        <v>5.33</v>
      </c>
      <c r="J95" s="112">
        <v>0.34</v>
      </c>
      <c r="K95" s="112">
        <v>248.1</v>
      </c>
      <c r="L95" s="112">
        <v>36.520000000000003</v>
      </c>
      <c r="M95" s="112">
        <v>29.93</v>
      </c>
      <c r="N95" s="112">
        <v>0</v>
      </c>
      <c r="O95" s="112">
        <v>0</v>
      </c>
      <c r="P95" s="112">
        <v>0.48</v>
      </c>
      <c r="Q95" s="112">
        <v>5.0599999999999996</v>
      </c>
    </row>
    <row r="96" spans="1:17">
      <c r="A96" s="80">
        <v>45441.916666666664</v>
      </c>
      <c r="B96" s="112">
        <v>7.31</v>
      </c>
      <c r="C96" s="112">
        <v>6.07</v>
      </c>
      <c r="D96" s="112">
        <v>14.04</v>
      </c>
      <c r="E96" s="112">
        <v>16.23</v>
      </c>
      <c r="F96" s="112">
        <v>34.020000000000003</v>
      </c>
      <c r="G96" s="112">
        <v>72.73</v>
      </c>
      <c r="H96" s="112">
        <v>20.5</v>
      </c>
      <c r="I96" s="112">
        <v>5.21</v>
      </c>
      <c r="J96" s="112">
        <v>0.42</v>
      </c>
      <c r="K96" s="112">
        <v>252.03</v>
      </c>
      <c r="L96" s="112">
        <v>36.56</v>
      </c>
      <c r="M96" s="112">
        <v>29.97</v>
      </c>
      <c r="N96" s="112">
        <v>0</v>
      </c>
      <c r="O96" s="112">
        <v>0</v>
      </c>
      <c r="P96" s="112">
        <v>0.48</v>
      </c>
      <c r="Q96" s="112">
        <v>5.05</v>
      </c>
    </row>
    <row r="97" spans="1:21">
      <c r="A97" s="80">
        <v>45441.927083333336</v>
      </c>
      <c r="B97" s="112">
        <v>7.3</v>
      </c>
      <c r="C97" s="112">
        <v>6.08</v>
      </c>
      <c r="D97" s="112">
        <v>14.04</v>
      </c>
      <c r="E97" s="112">
        <v>15.92</v>
      </c>
      <c r="F97" s="112">
        <v>33.409999999999997</v>
      </c>
      <c r="G97" s="112">
        <v>72.73</v>
      </c>
      <c r="H97" s="112">
        <v>20.5</v>
      </c>
      <c r="I97" s="112">
        <v>5.08</v>
      </c>
      <c r="J97" s="112">
        <v>0.4</v>
      </c>
      <c r="K97" s="112">
        <v>247.48</v>
      </c>
      <c r="L97" s="112">
        <v>36.409999999999997</v>
      </c>
      <c r="M97" s="112">
        <v>30.25</v>
      </c>
      <c r="N97" s="112">
        <v>0</v>
      </c>
      <c r="O97" s="112">
        <v>0</v>
      </c>
      <c r="P97" s="112">
        <v>0.5</v>
      </c>
      <c r="Q97" s="112">
        <v>5.0199999999999996</v>
      </c>
    </row>
    <row r="98" spans="1:21">
      <c r="A98" s="80">
        <v>45441.9375</v>
      </c>
      <c r="B98" s="112">
        <v>7.29</v>
      </c>
      <c r="C98" s="112">
        <v>6.05</v>
      </c>
      <c r="D98" s="112">
        <v>14.02</v>
      </c>
      <c r="E98" s="112">
        <v>16.09</v>
      </c>
      <c r="F98" s="112">
        <v>33.07</v>
      </c>
      <c r="G98" s="112">
        <v>69.84</v>
      </c>
      <c r="H98" s="112">
        <v>22.16</v>
      </c>
      <c r="I98" s="112">
        <v>5.05</v>
      </c>
      <c r="J98" s="112">
        <v>0.32</v>
      </c>
      <c r="K98" s="112">
        <v>243.79</v>
      </c>
      <c r="L98" s="112">
        <v>36.25</v>
      </c>
      <c r="M98" s="112">
        <v>30.55</v>
      </c>
      <c r="N98" s="112">
        <v>0</v>
      </c>
      <c r="O98" s="112">
        <v>0</v>
      </c>
      <c r="P98" s="112">
        <v>0.5</v>
      </c>
      <c r="Q98" s="112">
        <v>5</v>
      </c>
    </row>
    <row r="99" spans="1:21">
      <c r="A99" s="80">
        <v>45441.947916666664</v>
      </c>
      <c r="B99" s="112">
        <v>7.28</v>
      </c>
      <c r="C99" s="112">
        <v>6.08</v>
      </c>
      <c r="D99" s="112">
        <v>14.02</v>
      </c>
      <c r="E99" s="112">
        <v>16.190000000000001</v>
      </c>
      <c r="F99" s="112">
        <v>36.06</v>
      </c>
      <c r="G99" s="112">
        <v>69.209999999999994</v>
      </c>
      <c r="H99" s="112">
        <v>22.16</v>
      </c>
      <c r="I99" s="112">
        <v>5.07</v>
      </c>
      <c r="J99" s="112">
        <v>0.31</v>
      </c>
      <c r="K99" s="112">
        <v>246.27</v>
      </c>
      <c r="L99" s="112">
        <v>35.96</v>
      </c>
      <c r="M99" s="112">
        <v>31.25</v>
      </c>
      <c r="N99" s="112">
        <v>0</v>
      </c>
      <c r="O99" s="112">
        <v>0</v>
      </c>
      <c r="P99" s="112">
        <v>0.5</v>
      </c>
      <c r="Q99" s="112">
        <v>4.99</v>
      </c>
    </row>
    <row r="100" spans="1:21">
      <c r="A100" s="80">
        <v>45441.958333333336</v>
      </c>
      <c r="B100" s="112">
        <v>7.28</v>
      </c>
      <c r="C100" s="112">
        <v>6.09</v>
      </c>
      <c r="D100" s="112">
        <v>14.03</v>
      </c>
      <c r="E100" s="112">
        <v>16.170000000000002</v>
      </c>
      <c r="F100" s="112">
        <v>27.9</v>
      </c>
      <c r="G100" s="112">
        <v>69.209999999999994</v>
      </c>
      <c r="H100" s="112">
        <v>22.16</v>
      </c>
      <c r="I100" s="112">
        <v>5.12</v>
      </c>
      <c r="J100" s="112">
        <v>0.18</v>
      </c>
      <c r="K100" s="112">
        <v>211.52</v>
      </c>
      <c r="L100" s="112">
        <v>35.57</v>
      </c>
      <c r="M100" s="112">
        <v>32.619999999999997</v>
      </c>
      <c r="N100" s="112">
        <v>0</v>
      </c>
      <c r="O100" s="112">
        <v>0</v>
      </c>
      <c r="P100" s="112">
        <v>0.52</v>
      </c>
      <c r="Q100" s="112">
        <v>5.15</v>
      </c>
    </row>
    <row r="101" spans="1:21">
      <c r="A101" s="80">
        <v>45441.96875</v>
      </c>
      <c r="B101" s="112">
        <v>7.27</v>
      </c>
      <c r="C101" s="112">
        <v>6.08</v>
      </c>
      <c r="D101" s="112">
        <v>14.01</v>
      </c>
      <c r="E101" s="112">
        <v>17.16</v>
      </c>
      <c r="F101" s="112">
        <v>23.44</v>
      </c>
      <c r="G101" s="112">
        <v>69.209999999999994</v>
      </c>
      <c r="H101" s="112">
        <v>22.16</v>
      </c>
      <c r="I101" s="112">
        <v>5.13</v>
      </c>
      <c r="J101" s="112">
        <v>0.28000000000000003</v>
      </c>
      <c r="K101" s="112">
        <v>244.39</v>
      </c>
      <c r="L101" s="112">
        <v>35.15</v>
      </c>
      <c r="M101" s="112">
        <v>33.119999999999997</v>
      </c>
      <c r="N101" s="112">
        <v>0</v>
      </c>
      <c r="O101" s="112">
        <v>0</v>
      </c>
      <c r="P101" s="112">
        <v>0.56000000000000005</v>
      </c>
      <c r="Q101" s="112">
        <v>5.03</v>
      </c>
    </row>
    <row r="102" spans="1:21">
      <c r="A102" s="80">
        <v>45441.979166666664</v>
      </c>
      <c r="B102" s="112">
        <v>7.28</v>
      </c>
      <c r="C102" s="112">
        <v>6.07</v>
      </c>
      <c r="D102" s="112">
        <v>14.01</v>
      </c>
      <c r="E102" s="112">
        <v>17.8</v>
      </c>
      <c r="F102" s="112">
        <v>22.32</v>
      </c>
      <c r="G102" s="112">
        <v>66.37</v>
      </c>
      <c r="H102" s="112">
        <v>23.08</v>
      </c>
      <c r="I102" s="112">
        <v>5.3</v>
      </c>
      <c r="J102" s="112">
        <v>0.11</v>
      </c>
      <c r="K102" s="112">
        <v>260.17</v>
      </c>
      <c r="L102" s="112">
        <v>34.92</v>
      </c>
      <c r="M102" s="112">
        <v>33.49</v>
      </c>
      <c r="N102" s="112">
        <v>0</v>
      </c>
      <c r="O102" s="112">
        <v>0</v>
      </c>
      <c r="P102" s="112">
        <v>0.61</v>
      </c>
      <c r="Q102" s="112">
        <v>5.03</v>
      </c>
    </row>
    <row r="103" spans="1:21">
      <c r="A103" s="80">
        <v>45441.989583333336</v>
      </c>
      <c r="B103" s="112">
        <v>7.27</v>
      </c>
      <c r="C103" s="112">
        <v>6.07</v>
      </c>
      <c r="D103" s="112">
        <v>14.01</v>
      </c>
      <c r="E103" s="112">
        <v>18.989999999999998</v>
      </c>
      <c r="F103" s="112">
        <v>11.99</v>
      </c>
      <c r="G103" s="112">
        <v>65.760000000000005</v>
      </c>
      <c r="H103" s="112">
        <v>23.08</v>
      </c>
      <c r="I103" s="112">
        <v>5.59</v>
      </c>
      <c r="J103" s="112">
        <v>0.66</v>
      </c>
      <c r="K103" s="112">
        <v>67.28</v>
      </c>
      <c r="L103" s="112">
        <v>34.799999999999997</v>
      </c>
      <c r="M103" s="112">
        <v>34.14</v>
      </c>
      <c r="N103" s="112">
        <v>0</v>
      </c>
      <c r="O103" s="112">
        <v>0</v>
      </c>
      <c r="P103" s="112">
        <v>0.67</v>
      </c>
      <c r="Q103" s="112">
        <v>5.03</v>
      </c>
    </row>
    <row r="104" spans="1:21">
      <c r="A104" s="80">
        <v>45442</v>
      </c>
      <c r="B104" s="112">
        <v>7.26</v>
      </c>
      <c r="C104" s="112">
        <v>6.08</v>
      </c>
      <c r="D104" s="112">
        <v>14.01</v>
      </c>
      <c r="E104" s="112">
        <v>20.49</v>
      </c>
      <c r="F104" s="112">
        <v>12.82</v>
      </c>
      <c r="G104" s="112">
        <v>65.760000000000005</v>
      </c>
      <c r="H104" s="112">
        <v>23.08</v>
      </c>
      <c r="I104" s="112">
        <v>5.82</v>
      </c>
      <c r="J104" s="112">
        <v>0.18</v>
      </c>
      <c r="K104" s="112">
        <v>85.58</v>
      </c>
      <c r="L104" s="112">
        <v>34.61</v>
      </c>
      <c r="M104" s="112">
        <v>35.5</v>
      </c>
      <c r="N104" s="112">
        <v>0</v>
      </c>
      <c r="O104" s="112">
        <v>0</v>
      </c>
      <c r="P104" s="112">
        <v>0.69</v>
      </c>
      <c r="Q104" s="112">
        <v>5.03</v>
      </c>
    </row>
    <row r="105" spans="1:21">
      <c r="A105" s="32"/>
      <c r="B105" s="2"/>
      <c r="C105" s="2"/>
      <c r="D105" s="2"/>
      <c r="E105" s="2"/>
      <c r="F105" s="2"/>
      <c r="G105" s="32"/>
      <c r="H105" s="32"/>
      <c r="I105" s="32"/>
      <c r="J105" s="2"/>
      <c r="K105" s="2"/>
      <c r="L105" s="32"/>
      <c r="M105" s="32"/>
      <c r="N105" s="32"/>
      <c r="O105" s="32"/>
      <c r="P105" s="32"/>
      <c r="Q105" s="2"/>
      <c r="R105" s="11"/>
      <c r="S105" s="11"/>
      <c r="T105" s="11"/>
      <c r="U105" s="11"/>
    </row>
    <row r="106" spans="1:21">
      <c r="A106" s="182" t="s">
        <v>48</v>
      </c>
      <c r="B106" s="183">
        <f>MIN(B9:B104)</f>
        <v>7.17</v>
      </c>
      <c r="C106" s="183">
        <f>MIN(C9:C104)</f>
        <v>6.01</v>
      </c>
      <c r="D106" s="183">
        <f t="shared" ref="D106:Q106" si="0">MIN(D9:D104)</f>
        <v>13.92</v>
      </c>
      <c r="E106" s="183">
        <f t="shared" si="0"/>
        <v>9.6999999999999993</v>
      </c>
      <c r="F106" s="183">
        <f t="shared" si="0"/>
        <v>11.99</v>
      </c>
      <c r="G106" s="183">
        <f t="shared" si="0"/>
        <v>40.86</v>
      </c>
      <c r="H106" s="183">
        <f t="shared" si="0"/>
        <v>15.25</v>
      </c>
      <c r="I106" s="183">
        <f t="shared" si="0"/>
        <v>3.55</v>
      </c>
      <c r="J106" s="183">
        <f t="shared" si="0"/>
        <v>0.11</v>
      </c>
      <c r="K106" s="183">
        <f t="shared" si="0"/>
        <v>67.28</v>
      </c>
      <c r="L106" s="183">
        <f t="shared" si="0"/>
        <v>32.5</v>
      </c>
      <c r="M106" s="183">
        <f t="shared" si="0"/>
        <v>13.53</v>
      </c>
      <c r="N106" s="183">
        <f t="shared" si="0"/>
        <v>0</v>
      </c>
      <c r="O106" s="183">
        <f t="shared" si="0"/>
        <v>0</v>
      </c>
      <c r="P106" s="183">
        <f t="shared" si="0"/>
        <v>0.25</v>
      </c>
      <c r="Q106" s="183">
        <f t="shared" si="0"/>
        <v>0.77</v>
      </c>
      <c r="R106" s="187"/>
      <c r="S106" s="187"/>
      <c r="T106" s="187"/>
      <c r="U106" s="187"/>
    </row>
    <row r="107" spans="1:21">
      <c r="A107" s="182" t="s">
        <v>49</v>
      </c>
      <c r="B107" s="184">
        <f>MAX(B9:B104)</f>
        <v>7.41</v>
      </c>
      <c r="C107" s="184">
        <f t="shared" ref="C107:Q107" si="1">MAX(C9:C104)</f>
        <v>6.16</v>
      </c>
      <c r="D107" s="184">
        <f t="shared" si="1"/>
        <v>14.13</v>
      </c>
      <c r="E107" s="184">
        <f t="shared" si="1"/>
        <v>21.87</v>
      </c>
      <c r="F107" s="184">
        <f t="shared" si="1"/>
        <v>45.79</v>
      </c>
      <c r="G107" s="184">
        <f t="shared" si="1"/>
        <v>76.22</v>
      </c>
      <c r="H107" s="184">
        <f t="shared" si="1"/>
        <v>23.08</v>
      </c>
      <c r="I107" s="184">
        <f t="shared" si="1"/>
        <v>7.79</v>
      </c>
      <c r="J107" s="184">
        <f t="shared" si="1"/>
        <v>1.5</v>
      </c>
      <c r="K107" s="184">
        <f t="shared" si="1"/>
        <v>301.94</v>
      </c>
      <c r="L107" s="184">
        <f t="shared" si="1"/>
        <v>45.35</v>
      </c>
      <c r="M107" s="184">
        <f t="shared" si="1"/>
        <v>57.69</v>
      </c>
      <c r="N107" s="184">
        <f t="shared" si="1"/>
        <v>756.1</v>
      </c>
      <c r="O107" s="184">
        <f t="shared" si="1"/>
        <v>0</v>
      </c>
      <c r="P107" s="184">
        <f t="shared" si="1"/>
        <v>0.69</v>
      </c>
      <c r="Q107" s="184">
        <f t="shared" si="1"/>
        <v>6.99</v>
      </c>
      <c r="R107" s="188"/>
      <c r="S107" s="188"/>
      <c r="T107" s="188"/>
      <c r="U107" s="188"/>
    </row>
    <row r="108" spans="1:21">
      <c r="A108" s="182" t="s">
        <v>50</v>
      </c>
      <c r="B108" s="183">
        <f>AVERAGE(B9:B104)</f>
        <v>7.2580208333333296</v>
      </c>
      <c r="C108" s="183">
        <f t="shared" ref="C108:Q108" si="2">AVERAGE(C9:C104)</f>
        <v>6.0826041666666706</v>
      </c>
      <c r="D108" s="183">
        <f t="shared" si="2"/>
        <v>14.007083333333322</v>
      </c>
      <c r="E108" s="183">
        <f t="shared" si="2"/>
        <v>14.910312500000002</v>
      </c>
      <c r="F108" s="183">
        <f t="shared" si="2"/>
        <v>27.79666666666667</v>
      </c>
      <c r="G108" s="183">
        <f t="shared" si="2"/>
        <v>58.781354166666638</v>
      </c>
      <c r="H108" s="183">
        <f t="shared" si="2"/>
        <v>19.388854166666651</v>
      </c>
      <c r="I108" s="183">
        <f t="shared" si="2"/>
        <v>5.1241666666666648</v>
      </c>
      <c r="J108" s="183">
        <f t="shared" si="2"/>
        <v>0.67291666666666672</v>
      </c>
      <c r="K108" s="183">
        <f t="shared" si="2"/>
        <v>250.3159374999999</v>
      </c>
      <c r="L108" s="183">
        <f t="shared" si="2"/>
        <v>37.525729166666686</v>
      </c>
      <c r="M108" s="183">
        <f t="shared" si="2"/>
        <v>36.773854166666673</v>
      </c>
      <c r="N108" s="183">
        <f t="shared" si="2"/>
        <v>146.80416666666667</v>
      </c>
      <c r="O108" s="183">
        <f t="shared" si="2"/>
        <v>0</v>
      </c>
      <c r="P108" s="183">
        <f t="shared" si="2"/>
        <v>0.41843750000000002</v>
      </c>
      <c r="Q108" s="183">
        <f t="shared" si="2"/>
        <v>5.0413541666666637</v>
      </c>
      <c r="R108" s="187"/>
      <c r="S108" s="187"/>
      <c r="T108" s="187"/>
      <c r="U108" s="187"/>
    </row>
    <row r="109" spans="1:21">
      <c r="A109" s="182" t="s">
        <v>51</v>
      </c>
      <c r="B109" s="183">
        <f>STDEV(B9:B104)</f>
        <v>4.6760752586502863E-2</v>
      </c>
      <c r="C109" s="183">
        <f t="shared" ref="C109:Q109" si="3">STDEV(C9:C104)</f>
        <v>2.3984415627287183E-2</v>
      </c>
      <c r="D109" s="183">
        <f t="shared" si="3"/>
        <v>4.1241692411714402E-2</v>
      </c>
      <c r="E109" s="183">
        <f t="shared" si="3"/>
        <v>2.9944318336837981</v>
      </c>
      <c r="F109" s="183">
        <f t="shared" si="3"/>
        <v>8.1845338955690785</v>
      </c>
      <c r="G109" s="183">
        <f t="shared" si="3"/>
        <v>11.688354674163433</v>
      </c>
      <c r="H109" s="183">
        <f t="shared" si="3"/>
        <v>2.6013077155809676</v>
      </c>
      <c r="I109" s="183">
        <f t="shared" si="3"/>
        <v>0.9767849159000398</v>
      </c>
      <c r="J109" s="183">
        <f t="shared" si="3"/>
        <v>0.36124030977108412</v>
      </c>
      <c r="K109" s="183">
        <f t="shared" si="3"/>
        <v>30.976141432710474</v>
      </c>
      <c r="L109" s="183">
        <f t="shared" si="3"/>
        <v>3.8739072468832196</v>
      </c>
      <c r="M109" s="183">
        <f t="shared" si="3"/>
        <v>13.535251003430874</v>
      </c>
      <c r="N109" s="183">
        <f t="shared" si="3"/>
        <v>224.97298734534269</v>
      </c>
      <c r="O109" s="183">
        <f t="shared" si="3"/>
        <v>0</v>
      </c>
      <c r="P109" s="183">
        <f t="shared" si="3"/>
        <v>0.11812863751013127</v>
      </c>
      <c r="Q109" s="183">
        <f t="shared" si="3"/>
        <v>0.52036549865744308</v>
      </c>
      <c r="R109" s="187"/>
      <c r="S109" s="187"/>
      <c r="T109" s="187"/>
      <c r="U109" s="187"/>
    </row>
    <row r="110" spans="1:21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</row>
    <row r="111" spans="1:21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1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2"/>
      <c r="M113" s="2"/>
      <c r="N113" s="186"/>
      <c r="O113" s="186"/>
      <c r="P113" s="186"/>
      <c r="Q113" s="186"/>
      <c r="R113" s="186"/>
      <c r="S113" s="186"/>
      <c r="T113" s="186"/>
      <c r="U113" s="186"/>
    </row>
    <row r="114" spans="1:21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53" t="s">
        <v>55</v>
      </c>
      <c r="B115" s="190" t="s">
        <v>56</v>
      </c>
      <c r="C115" s="190"/>
      <c r="D115" s="19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32"/>
      <c r="B116" s="2"/>
      <c r="C116" s="2"/>
      <c r="D116" s="163"/>
      <c r="E116" s="163"/>
      <c r="F116" s="163"/>
      <c r="G116" s="163"/>
      <c r="H116" s="163"/>
      <c r="I116" s="16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ySplit="1" topLeftCell="A98" activePane="bottomLeft" state="frozen"/>
      <selection activeCell="A9" sqref="A9"/>
      <selection pane="bottomLef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45442.010416666664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45442.010416666664</v>
      </c>
      <c r="B9" s="112">
        <v>7.21</v>
      </c>
      <c r="C9" s="112">
        <v>6.1</v>
      </c>
      <c r="D9" s="112">
        <v>13.97</v>
      </c>
      <c r="E9" s="112">
        <v>19.59</v>
      </c>
      <c r="F9" s="112">
        <v>7.98</v>
      </c>
      <c r="G9" s="112">
        <v>65.760000000000005</v>
      </c>
      <c r="H9" s="112">
        <v>23.08</v>
      </c>
      <c r="I9" s="112">
        <v>6.52</v>
      </c>
      <c r="J9" s="112">
        <v>0.2</v>
      </c>
      <c r="K9" s="112">
        <v>106.85</v>
      </c>
      <c r="L9" s="112">
        <v>34.369999999999997</v>
      </c>
      <c r="M9" s="112">
        <v>37.04</v>
      </c>
      <c r="N9" s="112">
        <v>0</v>
      </c>
      <c r="O9" s="112">
        <v>0</v>
      </c>
      <c r="P9" s="112">
        <v>0.7</v>
      </c>
      <c r="Q9" s="112">
        <v>5.0199999999999996</v>
      </c>
    </row>
    <row r="10" spans="1:21" customFormat="1">
      <c r="A10" s="80">
        <v>45442.020833333336</v>
      </c>
      <c r="B10" s="112">
        <v>7.23</v>
      </c>
      <c r="C10" s="112">
        <v>6.08</v>
      </c>
      <c r="D10" s="112">
        <v>13.98</v>
      </c>
      <c r="E10" s="112">
        <v>19.7</v>
      </c>
      <c r="F10" s="112">
        <v>13.36</v>
      </c>
      <c r="G10" s="112">
        <v>69.02</v>
      </c>
      <c r="H10" s="112">
        <v>27.28</v>
      </c>
      <c r="I10" s="112">
        <v>7.13</v>
      </c>
      <c r="J10" s="112">
        <v>0.44</v>
      </c>
      <c r="K10" s="112">
        <v>359.7</v>
      </c>
      <c r="L10" s="112">
        <v>34.409999999999997</v>
      </c>
      <c r="M10" s="112">
        <v>36.840000000000003</v>
      </c>
      <c r="N10" s="112">
        <v>0</v>
      </c>
      <c r="O10" s="112">
        <v>0</v>
      </c>
      <c r="P10" s="112">
        <v>0.71</v>
      </c>
      <c r="Q10" s="112">
        <v>4.99</v>
      </c>
    </row>
    <row r="11" spans="1:21" customFormat="1">
      <c r="A11" s="80">
        <v>45442.03125</v>
      </c>
      <c r="B11" s="112">
        <v>7.24</v>
      </c>
      <c r="C11" s="112">
        <v>6.08</v>
      </c>
      <c r="D11" s="112">
        <v>13.99</v>
      </c>
      <c r="E11" s="112">
        <v>17.27</v>
      </c>
      <c r="F11" s="112">
        <v>24.71</v>
      </c>
      <c r="G11" s="112">
        <v>69.73</v>
      </c>
      <c r="H11" s="112">
        <v>27.28</v>
      </c>
      <c r="I11" s="112">
        <v>6.68</v>
      </c>
      <c r="J11" s="112">
        <v>0.13</v>
      </c>
      <c r="K11" s="112">
        <v>337.23</v>
      </c>
      <c r="L11" s="112">
        <v>34.369999999999997</v>
      </c>
      <c r="M11" s="112">
        <v>37.729999999999997</v>
      </c>
      <c r="N11" s="112">
        <v>0</v>
      </c>
      <c r="O11" s="112">
        <v>0</v>
      </c>
      <c r="P11" s="112">
        <v>0.61</v>
      </c>
      <c r="Q11" s="112">
        <v>4.99</v>
      </c>
    </row>
    <row r="12" spans="1:21" customFormat="1">
      <c r="A12" s="80">
        <v>45442.041666666664</v>
      </c>
      <c r="B12" s="112">
        <v>7.23</v>
      </c>
      <c r="C12" s="112">
        <v>6.12</v>
      </c>
      <c r="D12" s="112">
        <v>14</v>
      </c>
      <c r="E12" s="112">
        <v>16.989999999999998</v>
      </c>
      <c r="F12" s="112">
        <v>20.93</v>
      </c>
      <c r="G12" s="112">
        <v>69.73</v>
      </c>
      <c r="H12" s="112">
        <v>27.28</v>
      </c>
      <c r="I12" s="112">
        <v>5.94</v>
      </c>
      <c r="J12" s="112">
        <v>0.13</v>
      </c>
      <c r="K12" s="112">
        <v>218.75</v>
      </c>
      <c r="L12" s="112">
        <v>34.15</v>
      </c>
      <c r="M12" s="112">
        <v>38.85</v>
      </c>
      <c r="N12" s="112">
        <v>0</v>
      </c>
      <c r="O12" s="112">
        <v>0</v>
      </c>
      <c r="P12" s="112">
        <v>0.61</v>
      </c>
      <c r="Q12" s="112">
        <v>5.04</v>
      </c>
    </row>
    <row r="13" spans="1:21" customFormat="1">
      <c r="A13" s="80">
        <v>45442.052083333336</v>
      </c>
      <c r="B13" s="112">
        <v>7.24</v>
      </c>
      <c r="C13" s="112">
        <v>6.11</v>
      </c>
      <c r="D13" s="112">
        <v>14</v>
      </c>
      <c r="E13" s="112">
        <v>16.43</v>
      </c>
      <c r="F13" s="112">
        <v>23.47</v>
      </c>
      <c r="G13" s="112">
        <v>69.73</v>
      </c>
      <c r="H13" s="112">
        <v>27.28</v>
      </c>
      <c r="I13" s="112">
        <v>5.6</v>
      </c>
      <c r="J13" s="112">
        <v>0.24</v>
      </c>
      <c r="K13" s="112">
        <v>187.9</v>
      </c>
      <c r="L13" s="112">
        <v>33.659999999999997</v>
      </c>
      <c r="M13" s="112">
        <v>41.21</v>
      </c>
      <c r="N13" s="112">
        <v>0</v>
      </c>
      <c r="O13" s="112">
        <v>0</v>
      </c>
      <c r="P13" s="112">
        <v>0.61</v>
      </c>
      <c r="Q13" s="112">
        <v>5.01</v>
      </c>
    </row>
    <row r="14" spans="1:21" customFormat="1">
      <c r="A14" s="80">
        <v>45442.0625</v>
      </c>
      <c r="B14" s="112">
        <v>7.23</v>
      </c>
      <c r="C14" s="112">
        <v>6.08</v>
      </c>
      <c r="D14" s="112">
        <v>13.99</v>
      </c>
      <c r="E14" s="112">
        <v>15.42</v>
      </c>
      <c r="F14" s="112">
        <v>28.51</v>
      </c>
      <c r="G14" s="112">
        <v>74.58</v>
      </c>
      <c r="H14" s="112">
        <v>28.95</v>
      </c>
      <c r="I14" s="112">
        <v>5.55</v>
      </c>
      <c r="J14" s="112">
        <v>0.23</v>
      </c>
      <c r="K14" s="112">
        <v>171.89</v>
      </c>
      <c r="L14" s="112">
        <v>32.770000000000003</v>
      </c>
      <c r="M14" s="112">
        <v>43.75</v>
      </c>
      <c r="N14" s="112">
        <v>0</v>
      </c>
      <c r="O14" s="112">
        <v>0</v>
      </c>
      <c r="P14" s="112">
        <v>0.6</v>
      </c>
      <c r="Q14" s="112">
        <v>4.99</v>
      </c>
    </row>
    <row r="15" spans="1:21" customFormat="1">
      <c r="A15" s="80">
        <v>45442.072916666664</v>
      </c>
      <c r="B15" s="112">
        <v>7.23</v>
      </c>
      <c r="C15" s="112">
        <v>6.1</v>
      </c>
      <c r="D15" s="112">
        <v>13.99</v>
      </c>
      <c r="E15" s="112">
        <v>15.23</v>
      </c>
      <c r="F15" s="112">
        <v>27.62</v>
      </c>
      <c r="G15" s="112">
        <v>75.62</v>
      </c>
      <c r="H15" s="112">
        <v>28.95</v>
      </c>
      <c r="I15" s="112">
        <v>5.49</v>
      </c>
      <c r="J15" s="112">
        <v>0.15</v>
      </c>
      <c r="K15" s="112">
        <v>133.09</v>
      </c>
      <c r="L15" s="112">
        <v>32.770000000000003</v>
      </c>
      <c r="M15" s="112">
        <v>43.92</v>
      </c>
      <c r="N15" s="112">
        <v>0</v>
      </c>
      <c r="O15" s="112">
        <v>0</v>
      </c>
      <c r="P15" s="112">
        <v>0.59</v>
      </c>
      <c r="Q15" s="112">
        <v>4.96</v>
      </c>
    </row>
    <row r="16" spans="1:21" customFormat="1">
      <c r="A16" s="80">
        <v>45442.083333333336</v>
      </c>
      <c r="B16" s="112">
        <v>7.24</v>
      </c>
      <c r="C16" s="112">
        <v>6.1</v>
      </c>
      <c r="D16" s="112">
        <v>14</v>
      </c>
      <c r="E16" s="112">
        <v>14.73</v>
      </c>
      <c r="F16" s="112">
        <v>25.77</v>
      </c>
      <c r="G16" s="112">
        <v>75.62</v>
      </c>
      <c r="H16" s="112">
        <v>28.95</v>
      </c>
      <c r="I16" s="112">
        <v>5.45</v>
      </c>
      <c r="J16" s="112">
        <v>0.21</v>
      </c>
      <c r="K16" s="112">
        <v>163.44</v>
      </c>
      <c r="L16" s="112">
        <v>32.79</v>
      </c>
      <c r="M16" s="112">
        <v>45.33</v>
      </c>
      <c r="N16" s="112">
        <v>0</v>
      </c>
      <c r="O16" s="112">
        <v>0</v>
      </c>
      <c r="P16" s="112">
        <v>0.6</v>
      </c>
      <c r="Q16" s="112">
        <v>4.9800000000000004</v>
      </c>
    </row>
    <row r="17" spans="1:17" customFormat="1">
      <c r="A17" s="80">
        <v>45442.09375</v>
      </c>
      <c r="B17" s="112">
        <v>7.23</v>
      </c>
      <c r="C17" s="112">
        <v>6.07</v>
      </c>
      <c r="D17" s="112">
        <v>13.98</v>
      </c>
      <c r="E17" s="112">
        <v>11</v>
      </c>
      <c r="F17" s="112">
        <v>24.82</v>
      </c>
      <c r="G17" s="112">
        <v>75.62</v>
      </c>
      <c r="H17" s="112">
        <v>28.95</v>
      </c>
      <c r="I17" s="112">
        <v>5.5</v>
      </c>
      <c r="J17" s="112">
        <v>0.18</v>
      </c>
      <c r="K17" s="112">
        <v>195.61</v>
      </c>
      <c r="L17" s="112">
        <v>32.049999999999997</v>
      </c>
      <c r="M17" s="112">
        <v>47.35</v>
      </c>
      <c r="N17" s="112">
        <v>0</v>
      </c>
      <c r="O17" s="112">
        <v>0</v>
      </c>
      <c r="P17" s="112">
        <v>0.57999999999999996</v>
      </c>
      <c r="Q17" s="112">
        <v>5.01</v>
      </c>
    </row>
    <row r="18" spans="1:17" customFormat="1">
      <c r="A18" s="80">
        <v>45442.104166666664</v>
      </c>
      <c r="B18" s="112">
        <v>7.24</v>
      </c>
      <c r="C18" s="112">
        <v>6.05</v>
      </c>
      <c r="D18" s="112">
        <v>13.97</v>
      </c>
      <c r="E18" s="112">
        <v>13.13</v>
      </c>
      <c r="F18" s="112">
        <v>26.49</v>
      </c>
      <c r="G18" s="112">
        <v>71.19</v>
      </c>
      <c r="H18" s="112">
        <v>26.13</v>
      </c>
      <c r="I18" s="112">
        <v>5.55</v>
      </c>
      <c r="J18" s="112">
        <v>0.15</v>
      </c>
      <c r="K18" s="112">
        <v>215</v>
      </c>
      <c r="L18" s="112">
        <v>31.57</v>
      </c>
      <c r="M18" s="112">
        <v>48.4</v>
      </c>
      <c r="N18" s="112">
        <v>0</v>
      </c>
      <c r="O18" s="112">
        <v>0</v>
      </c>
      <c r="P18" s="112">
        <v>0.59</v>
      </c>
      <c r="Q18" s="112">
        <v>5.2</v>
      </c>
    </row>
    <row r="19" spans="1:17" customFormat="1">
      <c r="A19" s="80">
        <v>45442.114583333336</v>
      </c>
      <c r="B19" s="112">
        <v>7.25</v>
      </c>
      <c r="C19" s="112">
        <v>6.06</v>
      </c>
      <c r="D19" s="112">
        <v>13.99</v>
      </c>
      <c r="E19" s="112">
        <v>11.77</v>
      </c>
      <c r="F19" s="112">
        <v>20.74</v>
      </c>
      <c r="G19" s="112">
        <v>70.23</v>
      </c>
      <c r="H19" s="112">
        <v>26.13</v>
      </c>
      <c r="I19" s="112">
        <v>5.54</v>
      </c>
      <c r="J19" s="112">
        <v>0.19</v>
      </c>
      <c r="K19" s="112">
        <v>192.04</v>
      </c>
      <c r="L19" s="112">
        <v>31.38</v>
      </c>
      <c r="M19" s="112">
        <v>49.98</v>
      </c>
      <c r="N19" s="112">
        <v>0</v>
      </c>
      <c r="O19" s="112">
        <v>0</v>
      </c>
      <c r="P19" s="112">
        <v>0.59</v>
      </c>
      <c r="Q19" s="112">
        <v>5.24</v>
      </c>
    </row>
    <row r="20" spans="1:17" customFormat="1">
      <c r="A20" s="80">
        <v>45442.125</v>
      </c>
      <c r="B20" s="112">
        <v>7.24</v>
      </c>
      <c r="C20" s="112">
        <v>6.08</v>
      </c>
      <c r="D20" s="112">
        <v>13.99</v>
      </c>
      <c r="E20" s="112">
        <v>11.1</v>
      </c>
      <c r="F20" s="112">
        <v>19.350000000000001</v>
      </c>
      <c r="G20" s="112">
        <v>70.23</v>
      </c>
      <c r="H20" s="112">
        <v>26.13</v>
      </c>
      <c r="I20" s="112">
        <v>5.73</v>
      </c>
      <c r="J20" s="112">
        <v>0.21</v>
      </c>
      <c r="K20" s="112">
        <v>170.91</v>
      </c>
      <c r="L20" s="112">
        <v>31.3</v>
      </c>
      <c r="M20" s="112">
        <v>49.82</v>
      </c>
      <c r="N20" s="112">
        <v>0</v>
      </c>
      <c r="O20" s="112">
        <v>0</v>
      </c>
      <c r="P20" s="112">
        <v>0.59</v>
      </c>
      <c r="Q20" s="112">
        <v>5.13</v>
      </c>
    </row>
    <row r="21" spans="1:17" customFormat="1">
      <c r="A21" s="80">
        <v>45442.135416666664</v>
      </c>
      <c r="B21" s="112">
        <v>7.25</v>
      </c>
      <c r="C21" s="112">
        <v>6.1</v>
      </c>
      <c r="D21" s="112">
        <v>14.01</v>
      </c>
      <c r="E21" s="112">
        <v>11.4</v>
      </c>
      <c r="F21" s="112">
        <v>19.079999999999998</v>
      </c>
      <c r="G21" s="112">
        <v>70.23</v>
      </c>
      <c r="H21" s="112">
        <v>26.13</v>
      </c>
      <c r="I21" s="112">
        <v>6.32</v>
      </c>
      <c r="J21" s="112">
        <v>0.12</v>
      </c>
      <c r="K21" s="112">
        <v>153.58000000000001</v>
      </c>
      <c r="L21" s="112">
        <v>31.26</v>
      </c>
      <c r="M21" s="112">
        <v>49.88</v>
      </c>
      <c r="N21" s="112">
        <v>0</v>
      </c>
      <c r="O21" s="112">
        <v>0</v>
      </c>
      <c r="P21" s="112">
        <v>0.59</v>
      </c>
      <c r="Q21" s="112">
        <v>5.08</v>
      </c>
    </row>
    <row r="22" spans="1:17" customFormat="1">
      <c r="A22" s="80">
        <v>45442.145833333336</v>
      </c>
      <c r="B22" s="112">
        <v>7.26</v>
      </c>
      <c r="C22" s="112">
        <v>6.1</v>
      </c>
      <c r="D22" s="112">
        <v>14.01</v>
      </c>
      <c r="E22" s="112">
        <v>12.85</v>
      </c>
      <c r="F22" s="112">
        <v>23.61</v>
      </c>
      <c r="G22" s="112">
        <v>66.13</v>
      </c>
      <c r="H22" s="112">
        <v>25.22</v>
      </c>
      <c r="I22" s="112">
        <v>6.75</v>
      </c>
      <c r="J22" s="112">
        <v>0.06</v>
      </c>
      <c r="K22" s="112">
        <v>192.82</v>
      </c>
      <c r="L22" s="112">
        <v>31.35</v>
      </c>
      <c r="M22" s="112">
        <v>48.59</v>
      </c>
      <c r="N22" s="112">
        <v>0</v>
      </c>
      <c r="O22" s="112">
        <v>0</v>
      </c>
      <c r="P22" s="112">
        <v>0.56999999999999995</v>
      </c>
      <c r="Q22" s="112">
        <v>5.04</v>
      </c>
    </row>
    <row r="23" spans="1:17" customFormat="1">
      <c r="A23" s="80">
        <v>45442.15625</v>
      </c>
      <c r="B23" s="112">
        <v>7.26</v>
      </c>
      <c r="C23" s="112">
        <v>6.07</v>
      </c>
      <c r="D23" s="112">
        <v>14</v>
      </c>
      <c r="E23" s="112">
        <v>13.09</v>
      </c>
      <c r="F23" s="112">
        <v>23.83</v>
      </c>
      <c r="G23" s="112">
        <v>65.25</v>
      </c>
      <c r="H23" s="112">
        <v>25.22</v>
      </c>
      <c r="I23" s="112">
        <v>6.91</v>
      </c>
      <c r="J23" s="112">
        <v>0.09</v>
      </c>
      <c r="K23" s="112">
        <v>199.91</v>
      </c>
      <c r="L23" s="112">
        <v>31.34</v>
      </c>
      <c r="M23" s="112">
        <v>48.73</v>
      </c>
      <c r="N23" s="112">
        <v>0</v>
      </c>
      <c r="O23" s="112">
        <v>0</v>
      </c>
      <c r="P23" s="112">
        <v>0.55000000000000004</v>
      </c>
      <c r="Q23" s="112">
        <v>5.03</v>
      </c>
    </row>
    <row r="24" spans="1:17" customFormat="1">
      <c r="A24" s="80">
        <v>45442.166666666664</v>
      </c>
      <c r="B24" s="112">
        <v>7.26</v>
      </c>
      <c r="C24" s="112">
        <v>6.07</v>
      </c>
      <c r="D24" s="112">
        <v>14</v>
      </c>
      <c r="E24" s="112">
        <v>13.08</v>
      </c>
      <c r="F24" s="112">
        <v>24.4</v>
      </c>
      <c r="G24" s="112">
        <v>65.25</v>
      </c>
      <c r="H24" s="112">
        <v>25.22</v>
      </c>
      <c r="I24" s="112">
        <v>7.26</v>
      </c>
      <c r="J24" s="112">
        <v>0.09</v>
      </c>
      <c r="K24" s="112">
        <v>218.07</v>
      </c>
      <c r="L24" s="112">
        <v>31.2</v>
      </c>
      <c r="M24" s="112">
        <v>49.71</v>
      </c>
      <c r="N24" s="112">
        <v>0</v>
      </c>
      <c r="O24" s="112">
        <v>0</v>
      </c>
      <c r="P24" s="112">
        <v>0.55000000000000004</v>
      </c>
      <c r="Q24" s="112">
        <v>5.05</v>
      </c>
    </row>
    <row r="25" spans="1:17" customFormat="1">
      <c r="A25" s="80">
        <v>45442.177083333336</v>
      </c>
      <c r="B25" s="112">
        <v>7.25</v>
      </c>
      <c r="C25" s="112">
        <v>6.07</v>
      </c>
      <c r="D25" s="112">
        <v>14</v>
      </c>
      <c r="E25" s="112">
        <v>12.33</v>
      </c>
      <c r="F25" s="112">
        <v>19.850000000000001</v>
      </c>
      <c r="G25" s="112">
        <v>65.25</v>
      </c>
      <c r="H25" s="112">
        <v>25.22</v>
      </c>
      <c r="I25" s="112">
        <v>7.78</v>
      </c>
      <c r="J25" s="112">
        <v>0.11</v>
      </c>
      <c r="K25" s="112">
        <v>167.62</v>
      </c>
      <c r="L25" s="112">
        <v>31.17</v>
      </c>
      <c r="M25" s="112">
        <v>50.27</v>
      </c>
      <c r="N25" s="112">
        <v>0</v>
      </c>
      <c r="O25" s="112">
        <v>0</v>
      </c>
      <c r="P25" s="112">
        <v>0.55000000000000004</v>
      </c>
      <c r="Q25" s="112">
        <v>5.14</v>
      </c>
    </row>
    <row r="26" spans="1:17" customFormat="1">
      <c r="A26" s="80">
        <v>45442.1875</v>
      </c>
      <c r="B26" s="112">
        <v>7.25</v>
      </c>
      <c r="C26" s="112">
        <v>6.07</v>
      </c>
      <c r="D26" s="112">
        <v>13.99</v>
      </c>
      <c r="E26" s="112">
        <v>10.59</v>
      </c>
      <c r="F26" s="112">
        <v>14.78</v>
      </c>
      <c r="G26" s="112">
        <v>65.91</v>
      </c>
      <c r="H26" s="112">
        <v>24.66</v>
      </c>
      <c r="I26" s="112">
        <v>7.65</v>
      </c>
      <c r="J26" s="112">
        <v>0.11</v>
      </c>
      <c r="K26" s="112">
        <v>201.43</v>
      </c>
      <c r="L26" s="112">
        <v>31.13</v>
      </c>
      <c r="M26" s="112">
        <v>50.51</v>
      </c>
      <c r="N26" s="112">
        <v>0</v>
      </c>
      <c r="O26" s="112">
        <v>0</v>
      </c>
      <c r="P26" s="112">
        <v>0.56000000000000005</v>
      </c>
      <c r="Q26" s="112">
        <v>5.37</v>
      </c>
    </row>
    <row r="27" spans="1:17" customFormat="1">
      <c r="A27" s="80">
        <v>45442.197916666664</v>
      </c>
      <c r="B27" s="112">
        <v>7.23</v>
      </c>
      <c r="C27" s="112">
        <v>6.09</v>
      </c>
      <c r="D27" s="112">
        <v>13.99</v>
      </c>
      <c r="E27" s="112">
        <v>9.73</v>
      </c>
      <c r="F27" s="112">
        <v>12.07</v>
      </c>
      <c r="G27" s="112">
        <v>66.06</v>
      </c>
      <c r="H27" s="112">
        <v>24.66</v>
      </c>
      <c r="I27" s="112">
        <v>7.03</v>
      </c>
      <c r="J27" s="112">
        <v>0.13</v>
      </c>
      <c r="K27" s="112">
        <v>167.51</v>
      </c>
      <c r="L27" s="112">
        <v>31.07</v>
      </c>
      <c r="M27" s="112">
        <v>51.71</v>
      </c>
      <c r="N27" s="112">
        <v>0</v>
      </c>
      <c r="O27" s="112">
        <v>0</v>
      </c>
      <c r="P27" s="112">
        <v>0.56999999999999995</v>
      </c>
      <c r="Q27" s="112">
        <v>5.55</v>
      </c>
    </row>
    <row r="28" spans="1:17" customFormat="1">
      <c r="A28" s="80">
        <v>45442.208333333336</v>
      </c>
      <c r="B28" s="112">
        <v>7.24</v>
      </c>
      <c r="C28" s="112">
        <v>6.1</v>
      </c>
      <c r="D28" s="112">
        <v>14</v>
      </c>
      <c r="E28" s="112">
        <v>9.5</v>
      </c>
      <c r="F28" s="112">
        <v>12.1</v>
      </c>
      <c r="G28" s="112">
        <v>66.06</v>
      </c>
      <c r="H28" s="112">
        <v>24.66</v>
      </c>
      <c r="I28" s="112">
        <v>6.66</v>
      </c>
      <c r="J28" s="112">
        <v>0.15</v>
      </c>
      <c r="K28" s="112">
        <v>177.9</v>
      </c>
      <c r="L28" s="112">
        <v>30.99</v>
      </c>
      <c r="M28" s="112">
        <v>51.23</v>
      </c>
      <c r="N28" s="112">
        <v>0</v>
      </c>
      <c r="O28" s="112">
        <v>0</v>
      </c>
      <c r="P28" s="112">
        <v>0.57999999999999996</v>
      </c>
      <c r="Q28" s="112">
        <v>5.15</v>
      </c>
    </row>
    <row r="29" spans="1:17" customFormat="1">
      <c r="A29" s="80">
        <v>45442.21875</v>
      </c>
      <c r="B29" s="112">
        <v>7.25</v>
      </c>
      <c r="C29" s="112">
        <v>6.1</v>
      </c>
      <c r="D29" s="112">
        <v>14.01</v>
      </c>
      <c r="E29" s="112">
        <v>9.2899999999999991</v>
      </c>
      <c r="F29" s="112">
        <v>13.42</v>
      </c>
      <c r="G29" s="112">
        <v>66.06</v>
      </c>
      <c r="H29" s="112">
        <v>24.66</v>
      </c>
      <c r="I29" s="112">
        <v>6.54</v>
      </c>
      <c r="J29" s="112">
        <v>0.16</v>
      </c>
      <c r="K29" s="112">
        <v>183.48</v>
      </c>
      <c r="L29" s="112">
        <v>31.05</v>
      </c>
      <c r="M29" s="112">
        <v>51.24</v>
      </c>
      <c r="N29" s="112">
        <v>0</v>
      </c>
      <c r="O29" s="112">
        <v>0</v>
      </c>
      <c r="P29" s="112">
        <v>0.56999999999999995</v>
      </c>
      <c r="Q29" s="112">
        <v>5.0199999999999996</v>
      </c>
    </row>
    <row r="30" spans="1:17" customFormat="1">
      <c r="A30" s="80">
        <v>45442.229166666664</v>
      </c>
      <c r="B30" s="112">
        <v>7.26</v>
      </c>
      <c r="C30" s="112">
        <v>6.08</v>
      </c>
      <c r="D30" s="112">
        <v>14.01</v>
      </c>
      <c r="E30" s="112">
        <v>9.9499999999999993</v>
      </c>
      <c r="F30" s="112">
        <v>14.11</v>
      </c>
      <c r="G30" s="112">
        <v>63.54</v>
      </c>
      <c r="H30" s="112">
        <v>20.41</v>
      </c>
      <c r="I30" s="112">
        <v>6.46</v>
      </c>
      <c r="J30" s="112">
        <v>0.16</v>
      </c>
      <c r="K30" s="112">
        <v>225.48</v>
      </c>
      <c r="L30" s="112">
        <v>31.1</v>
      </c>
      <c r="M30" s="112">
        <v>50.96</v>
      </c>
      <c r="N30" s="112">
        <v>4.5</v>
      </c>
      <c r="O30" s="112">
        <v>0</v>
      </c>
      <c r="P30" s="112">
        <v>0.56000000000000005</v>
      </c>
      <c r="Q30" s="112">
        <v>4.99</v>
      </c>
    </row>
    <row r="31" spans="1:17" customFormat="1">
      <c r="A31" s="80">
        <v>45442.239583333336</v>
      </c>
      <c r="B31" s="112">
        <v>7.26</v>
      </c>
      <c r="C31" s="112">
        <v>6.06</v>
      </c>
      <c r="D31" s="112">
        <v>14</v>
      </c>
      <c r="E31" s="112">
        <v>9.49</v>
      </c>
      <c r="F31" s="112">
        <v>13.44</v>
      </c>
      <c r="G31" s="112">
        <v>63</v>
      </c>
      <c r="H31" s="112">
        <v>20.41</v>
      </c>
      <c r="I31" s="112">
        <v>6.37</v>
      </c>
      <c r="J31" s="112">
        <v>0.18</v>
      </c>
      <c r="K31" s="112">
        <v>210.32</v>
      </c>
      <c r="L31" s="112">
        <v>31.28</v>
      </c>
      <c r="M31" s="112">
        <v>51.49</v>
      </c>
      <c r="N31" s="112">
        <v>16.3</v>
      </c>
      <c r="O31" s="112">
        <v>0</v>
      </c>
      <c r="P31" s="112">
        <v>0.55000000000000004</v>
      </c>
      <c r="Q31" s="112">
        <v>4.9800000000000004</v>
      </c>
    </row>
    <row r="32" spans="1:17" customFormat="1">
      <c r="A32" s="80">
        <v>45442.25</v>
      </c>
      <c r="B32" s="112">
        <v>7.27</v>
      </c>
      <c r="C32" s="112">
        <v>6.07</v>
      </c>
      <c r="D32" s="112">
        <v>14.01</v>
      </c>
      <c r="E32" s="112">
        <v>10.08</v>
      </c>
      <c r="F32" s="112">
        <v>14.69</v>
      </c>
      <c r="G32" s="112">
        <v>63</v>
      </c>
      <c r="H32" s="112">
        <v>20.41</v>
      </c>
      <c r="I32" s="112">
        <v>6.49</v>
      </c>
      <c r="J32" s="112">
        <v>0.24</v>
      </c>
      <c r="K32" s="112">
        <v>257.08999999999997</v>
      </c>
      <c r="L32" s="112">
        <v>31.49</v>
      </c>
      <c r="M32" s="112">
        <v>51.58</v>
      </c>
      <c r="N32" s="112">
        <v>28.5</v>
      </c>
      <c r="O32" s="112">
        <v>0</v>
      </c>
      <c r="P32" s="112">
        <v>0.55000000000000004</v>
      </c>
      <c r="Q32" s="112">
        <v>5</v>
      </c>
    </row>
    <row r="33" spans="1:17" customFormat="1">
      <c r="A33" s="80">
        <v>45442.260416666664</v>
      </c>
      <c r="B33" s="112">
        <v>7.27</v>
      </c>
      <c r="C33" s="112">
        <v>6.07</v>
      </c>
      <c r="D33" s="112">
        <v>14.01</v>
      </c>
      <c r="E33" s="112">
        <v>9.7899999999999991</v>
      </c>
      <c r="F33" s="112">
        <v>13.25</v>
      </c>
      <c r="G33" s="112">
        <v>63</v>
      </c>
      <c r="H33" s="112">
        <v>20.41</v>
      </c>
      <c r="I33" s="112">
        <v>6.69</v>
      </c>
      <c r="J33" s="112">
        <v>0.38</v>
      </c>
      <c r="K33" s="112">
        <v>255.01</v>
      </c>
      <c r="L33" s="112">
        <v>32.14</v>
      </c>
      <c r="M33" s="112">
        <v>49.85</v>
      </c>
      <c r="N33" s="112">
        <v>44.7</v>
      </c>
      <c r="O33" s="112">
        <v>0</v>
      </c>
      <c r="P33" s="112">
        <v>0.55000000000000004</v>
      </c>
      <c r="Q33" s="112">
        <v>5.03</v>
      </c>
    </row>
    <row r="34" spans="1:17" customFormat="1">
      <c r="A34" s="80">
        <v>45442.270833333336</v>
      </c>
      <c r="B34" s="112">
        <v>7.28</v>
      </c>
      <c r="C34" s="112">
        <v>6.05</v>
      </c>
      <c r="D34" s="112">
        <v>14.01</v>
      </c>
      <c r="E34" s="112">
        <v>10.130000000000001</v>
      </c>
      <c r="F34" s="112">
        <v>12.68</v>
      </c>
      <c r="G34" s="112">
        <v>62.21</v>
      </c>
      <c r="H34" s="112">
        <v>21.28</v>
      </c>
      <c r="I34" s="112">
        <v>6.54</v>
      </c>
      <c r="J34" s="112">
        <v>0.45</v>
      </c>
      <c r="K34" s="112">
        <v>248.37</v>
      </c>
      <c r="L34" s="112">
        <v>32.619999999999997</v>
      </c>
      <c r="M34" s="112">
        <v>48.83</v>
      </c>
      <c r="N34" s="112">
        <v>62.3</v>
      </c>
      <c r="O34" s="112">
        <v>0</v>
      </c>
      <c r="P34" s="112">
        <v>0.54</v>
      </c>
      <c r="Q34" s="112">
        <v>5</v>
      </c>
    </row>
    <row r="35" spans="1:17" customFormat="1">
      <c r="A35" s="80">
        <v>45442.28125</v>
      </c>
      <c r="B35" s="112">
        <v>7.29</v>
      </c>
      <c r="C35" s="112">
        <v>6.05</v>
      </c>
      <c r="D35" s="112">
        <v>14.02</v>
      </c>
      <c r="E35" s="112">
        <v>10.34</v>
      </c>
      <c r="F35" s="112">
        <v>15.02</v>
      </c>
      <c r="G35" s="112">
        <v>62.04</v>
      </c>
      <c r="H35" s="112">
        <v>21.28</v>
      </c>
      <c r="I35" s="112">
        <v>6.46</v>
      </c>
      <c r="J35" s="112">
        <v>0.37</v>
      </c>
      <c r="K35" s="112">
        <v>267.33</v>
      </c>
      <c r="L35" s="112">
        <v>33.03</v>
      </c>
      <c r="M35" s="112">
        <v>48.24</v>
      </c>
      <c r="N35" s="112">
        <v>60.6</v>
      </c>
      <c r="O35" s="112">
        <v>0</v>
      </c>
      <c r="P35" s="112">
        <v>0.54</v>
      </c>
      <c r="Q35" s="112">
        <v>5</v>
      </c>
    </row>
    <row r="36" spans="1:17" customFormat="1">
      <c r="A36" s="80">
        <v>45442.291666666664</v>
      </c>
      <c r="B36" s="112">
        <v>7.3</v>
      </c>
      <c r="C36" s="112">
        <v>6.09</v>
      </c>
      <c r="D36" s="112">
        <v>14.04</v>
      </c>
      <c r="E36" s="112">
        <v>10.85</v>
      </c>
      <c r="F36" s="112">
        <v>14.68</v>
      </c>
      <c r="G36" s="112">
        <v>62.04</v>
      </c>
      <c r="H36" s="112">
        <v>21.28</v>
      </c>
      <c r="I36" s="112">
        <v>6.41</v>
      </c>
      <c r="J36" s="112">
        <v>0.52</v>
      </c>
      <c r="K36" s="112">
        <v>265.20999999999998</v>
      </c>
      <c r="L36" s="112">
        <v>33.549999999999997</v>
      </c>
      <c r="M36" s="112">
        <v>47.15</v>
      </c>
      <c r="N36" s="112">
        <v>68.3</v>
      </c>
      <c r="O36" s="112">
        <v>0</v>
      </c>
      <c r="P36" s="112">
        <v>0.53</v>
      </c>
      <c r="Q36" s="112">
        <v>4.99</v>
      </c>
    </row>
    <row r="37" spans="1:17" customFormat="1">
      <c r="A37" s="80">
        <v>45442.302083333336</v>
      </c>
      <c r="B37" s="112">
        <v>7.31</v>
      </c>
      <c r="C37" s="112">
        <v>6.08</v>
      </c>
      <c r="D37" s="112">
        <v>14.05</v>
      </c>
      <c r="E37" s="112">
        <v>10.96</v>
      </c>
      <c r="F37" s="112">
        <v>12.22</v>
      </c>
      <c r="G37" s="112">
        <v>62.04</v>
      </c>
      <c r="H37" s="112">
        <v>21.28</v>
      </c>
      <c r="I37" s="112">
        <v>6.29</v>
      </c>
      <c r="J37" s="112">
        <v>0.94</v>
      </c>
      <c r="K37" s="112">
        <v>260.83999999999997</v>
      </c>
      <c r="L37" s="112">
        <v>34.36</v>
      </c>
      <c r="M37" s="112">
        <v>45.11</v>
      </c>
      <c r="N37" s="112">
        <v>81.400000000000006</v>
      </c>
      <c r="O37" s="112">
        <v>0</v>
      </c>
      <c r="P37" s="112">
        <v>0.53</v>
      </c>
      <c r="Q37" s="112">
        <v>5</v>
      </c>
    </row>
    <row r="38" spans="1:17" customFormat="1">
      <c r="A38" s="80">
        <v>45442.3125</v>
      </c>
      <c r="B38" s="112">
        <v>7.28</v>
      </c>
      <c r="C38" s="112">
        <v>6.1</v>
      </c>
      <c r="D38" s="112">
        <v>14.03</v>
      </c>
      <c r="E38" s="112">
        <v>10.62</v>
      </c>
      <c r="F38" s="112">
        <v>11.92</v>
      </c>
      <c r="G38" s="112">
        <v>58.99</v>
      </c>
      <c r="H38" s="112">
        <v>19.41</v>
      </c>
      <c r="I38" s="112">
        <v>6.26</v>
      </c>
      <c r="J38" s="112">
        <v>1.06</v>
      </c>
      <c r="K38" s="112">
        <v>259.11</v>
      </c>
      <c r="L38" s="112">
        <v>34.700000000000003</v>
      </c>
      <c r="M38" s="112">
        <v>44.76</v>
      </c>
      <c r="N38" s="112">
        <v>90.6</v>
      </c>
      <c r="O38" s="112">
        <v>0</v>
      </c>
      <c r="P38" s="112">
        <v>0.54</v>
      </c>
      <c r="Q38" s="112">
        <v>4.9800000000000004</v>
      </c>
    </row>
    <row r="39" spans="1:17" customFormat="1">
      <c r="A39" s="80">
        <v>45442.322916666664</v>
      </c>
      <c r="B39" s="112">
        <v>7.26</v>
      </c>
      <c r="C39" s="112">
        <v>6.11</v>
      </c>
      <c r="D39" s="112">
        <v>14.03</v>
      </c>
      <c r="E39" s="112">
        <v>10.76</v>
      </c>
      <c r="F39" s="112">
        <v>12.09</v>
      </c>
      <c r="G39" s="112">
        <v>58.33</v>
      </c>
      <c r="H39" s="112">
        <v>19.41</v>
      </c>
      <c r="I39" s="112">
        <v>6.32</v>
      </c>
      <c r="J39" s="112">
        <v>0.88</v>
      </c>
      <c r="K39" s="112">
        <v>258.91000000000003</v>
      </c>
      <c r="L39" s="112">
        <v>35.119999999999997</v>
      </c>
      <c r="M39" s="112">
        <v>43.25</v>
      </c>
      <c r="N39" s="112">
        <v>97.4</v>
      </c>
      <c r="O39" s="112">
        <v>0</v>
      </c>
      <c r="P39" s="112">
        <v>0.54</v>
      </c>
      <c r="Q39" s="112">
        <v>4.99</v>
      </c>
    </row>
    <row r="40" spans="1:17" customFormat="1">
      <c r="A40" s="80">
        <v>45442.333333333336</v>
      </c>
      <c r="B40" s="112">
        <v>7.3</v>
      </c>
      <c r="C40" s="112">
        <v>6.07</v>
      </c>
      <c r="D40" s="112">
        <v>14.04</v>
      </c>
      <c r="E40" s="112">
        <v>10.98</v>
      </c>
      <c r="F40" s="112">
        <v>10.53</v>
      </c>
      <c r="G40" s="112">
        <v>58.33</v>
      </c>
      <c r="H40" s="112">
        <v>19.41</v>
      </c>
      <c r="I40" s="112">
        <v>6.35</v>
      </c>
      <c r="J40" s="112">
        <v>0.98</v>
      </c>
      <c r="K40" s="112">
        <v>263.54000000000002</v>
      </c>
      <c r="L40" s="112">
        <v>35.82</v>
      </c>
      <c r="M40" s="112">
        <v>41.04</v>
      </c>
      <c r="N40" s="112">
        <v>104.3</v>
      </c>
      <c r="O40" s="112">
        <v>0</v>
      </c>
      <c r="P40" s="112">
        <v>0.54</v>
      </c>
      <c r="Q40" s="112">
        <v>4.99</v>
      </c>
    </row>
    <row r="41" spans="1:17" customFormat="1">
      <c r="A41" s="80">
        <v>45442.34375</v>
      </c>
      <c r="B41" s="112">
        <v>7.31</v>
      </c>
      <c r="C41" s="112">
        <v>6.07</v>
      </c>
      <c r="D41" s="112">
        <v>14.04</v>
      </c>
      <c r="E41" s="112">
        <v>11.78</v>
      </c>
      <c r="F41" s="112">
        <v>14.34</v>
      </c>
      <c r="G41" s="112">
        <v>58.33</v>
      </c>
      <c r="H41" s="112">
        <v>19.41</v>
      </c>
      <c r="I41" s="112">
        <v>6.34</v>
      </c>
      <c r="J41" s="112">
        <v>0.92</v>
      </c>
      <c r="K41" s="112">
        <v>265.75</v>
      </c>
      <c r="L41" s="112">
        <v>36.43</v>
      </c>
      <c r="M41" s="112">
        <v>39.049999999999997</v>
      </c>
      <c r="N41" s="112">
        <v>111.2</v>
      </c>
      <c r="O41" s="112">
        <v>0</v>
      </c>
      <c r="P41" s="112">
        <v>0.53</v>
      </c>
      <c r="Q41" s="112">
        <v>4.99</v>
      </c>
    </row>
    <row r="42" spans="1:17" customFormat="1">
      <c r="A42" s="80">
        <v>45442.354166666664</v>
      </c>
      <c r="B42" s="112">
        <v>7.32</v>
      </c>
      <c r="C42" s="112">
        <v>6.06</v>
      </c>
      <c r="D42" s="112">
        <v>14.05</v>
      </c>
      <c r="E42" s="112">
        <v>12</v>
      </c>
      <c r="F42" s="112">
        <v>12.81</v>
      </c>
      <c r="G42" s="112">
        <v>57.91</v>
      </c>
      <c r="H42" s="112">
        <v>19.670000000000002</v>
      </c>
      <c r="I42" s="112">
        <v>6.31</v>
      </c>
      <c r="J42" s="112">
        <v>0.9</v>
      </c>
      <c r="K42" s="112">
        <v>268.26</v>
      </c>
      <c r="L42" s="112">
        <v>37.409999999999997</v>
      </c>
      <c r="M42" s="112">
        <v>35.6</v>
      </c>
      <c r="N42" s="112">
        <v>118</v>
      </c>
      <c r="O42" s="112">
        <v>0</v>
      </c>
      <c r="P42" s="112">
        <v>0.53</v>
      </c>
      <c r="Q42" s="112">
        <v>4.97</v>
      </c>
    </row>
    <row r="43" spans="1:17" customFormat="1">
      <c r="A43" s="80">
        <v>45442.364583333336</v>
      </c>
      <c r="B43" s="112">
        <v>7.31</v>
      </c>
      <c r="C43" s="112">
        <v>6.06</v>
      </c>
      <c r="D43" s="112">
        <v>14.04</v>
      </c>
      <c r="E43" s="112">
        <v>12.89</v>
      </c>
      <c r="F43" s="112">
        <v>16.12</v>
      </c>
      <c r="G43" s="112">
        <v>57.82</v>
      </c>
      <c r="H43" s="112">
        <v>19.670000000000002</v>
      </c>
      <c r="I43" s="112">
        <v>6.25</v>
      </c>
      <c r="J43" s="112">
        <v>1.1399999999999999</v>
      </c>
      <c r="K43" s="112">
        <v>279.64999999999998</v>
      </c>
      <c r="L43" s="112">
        <v>37.85</v>
      </c>
      <c r="M43" s="112">
        <v>32.979999999999997</v>
      </c>
      <c r="N43" s="112">
        <v>125.8</v>
      </c>
      <c r="O43" s="112">
        <v>0</v>
      </c>
      <c r="P43" s="112">
        <v>0.54</v>
      </c>
      <c r="Q43" s="112">
        <v>4.97</v>
      </c>
    </row>
    <row r="44" spans="1:17" customFormat="1">
      <c r="A44" s="80">
        <v>45442.375</v>
      </c>
      <c r="B44" s="112">
        <v>7.3</v>
      </c>
      <c r="C44" s="112">
        <v>6.08</v>
      </c>
      <c r="D44" s="112">
        <v>14.04</v>
      </c>
      <c r="E44" s="112">
        <v>13.73</v>
      </c>
      <c r="F44" s="112">
        <v>16.84</v>
      </c>
      <c r="G44" s="112">
        <v>57.82</v>
      </c>
      <c r="H44" s="112">
        <v>19.670000000000002</v>
      </c>
      <c r="I44" s="112">
        <v>6.27</v>
      </c>
      <c r="J44" s="112">
        <v>0.82</v>
      </c>
      <c r="K44" s="112">
        <v>276.72000000000003</v>
      </c>
      <c r="L44" s="112">
        <v>38.71</v>
      </c>
      <c r="M44" s="112">
        <v>31.41</v>
      </c>
      <c r="N44" s="112">
        <v>131.30000000000001</v>
      </c>
      <c r="O44" s="112">
        <v>0</v>
      </c>
      <c r="P44" s="112">
        <v>0.57999999999999996</v>
      </c>
      <c r="Q44" s="112">
        <v>4.9800000000000004</v>
      </c>
    </row>
    <row r="45" spans="1:17" customFormat="1">
      <c r="A45" s="80">
        <v>45442.385416666664</v>
      </c>
      <c r="B45" s="112">
        <v>7.32</v>
      </c>
      <c r="C45" s="112">
        <v>6.06</v>
      </c>
      <c r="D45" s="112">
        <v>14.04</v>
      </c>
      <c r="E45" s="112">
        <v>16.11</v>
      </c>
      <c r="F45" s="112">
        <v>27.79</v>
      </c>
      <c r="G45" s="112">
        <v>57.82</v>
      </c>
      <c r="H45" s="112">
        <v>19.670000000000002</v>
      </c>
      <c r="I45" s="112">
        <v>6.51</v>
      </c>
      <c r="J45" s="112">
        <v>1.07</v>
      </c>
      <c r="K45" s="112">
        <v>275.42</v>
      </c>
      <c r="L45" s="112">
        <v>38.89</v>
      </c>
      <c r="M45" s="112">
        <v>30.72</v>
      </c>
      <c r="N45" s="112">
        <v>140.69999999999999</v>
      </c>
      <c r="O45" s="112">
        <v>0</v>
      </c>
      <c r="P45" s="112">
        <v>0.63</v>
      </c>
      <c r="Q45" s="112">
        <v>4.96</v>
      </c>
    </row>
    <row r="46" spans="1:17" customFormat="1">
      <c r="A46" s="80">
        <v>45442.395833333336</v>
      </c>
      <c r="B46" s="112">
        <v>7.32</v>
      </c>
      <c r="C46" s="112">
        <v>6.07</v>
      </c>
      <c r="D46" s="112">
        <v>14.05</v>
      </c>
      <c r="E46" s="112">
        <v>19.91</v>
      </c>
      <c r="F46" s="112">
        <v>35.15</v>
      </c>
      <c r="G46" s="112">
        <v>60.72</v>
      </c>
      <c r="H46" s="112">
        <v>17.97</v>
      </c>
      <c r="I46" s="112">
        <v>7.24</v>
      </c>
      <c r="J46" s="112">
        <v>1.04</v>
      </c>
      <c r="K46" s="112">
        <v>271.05</v>
      </c>
      <c r="L46" s="112">
        <v>39.26</v>
      </c>
      <c r="M46" s="112">
        <v>30.34</v>
      </c>
      <c r="N46" s="112">
        <v>147.6</v>
      </c>
      <c r="O46" s="112">
        <v>0</v>
      </c>
      <c r="P46" s="112">
        <v>0.7</v>
      </c>
      <c r="Q46" s="112">
        <v>4.96</v>
      </c>
    </row>
    <row r="47" spans="1:17" customFormat="1">
      <c r="A47" s="80">
        <v>45442.40625</v>
      </c>
      <c r="B47" s="112">
        <v>7.29</v>
      </c>
      <c r="C47" s="112">
        <v>6.09</v>
      </c>
      <c r="D47" s="112">
        <v>14.03</v>
      </c>
      <c r="E47" s="112">
        <v>20.47</v>
      </c>
      <c r="F47" s="112">
        <v>36.93</v>
      </c>
      <c r="G47" s="112">
        <v>61.35</v>
      </c>
      <c r="H47" s="112">
        <v>17.97</v>
      </c>
      <c r="I47" s="112">
        <v>8.7100000000000009</v>
      </c>
      <c r="J47" s="112">
        <v>1.3</v>
      </c>
      <c r="K47" s="112">
        <v>306.02</v>
      </c>
      <c r="L47" s="112">
        <v>39.9</v>
      </c>
      <c r="M47" s="112">
        <v>28.2</v>
      </c>
      <c r="N47" s="112">
        <v>153.19999999999999</v>
      </c>
      <c r="O47" s="112">
        <v>0</v>
      </c>
      <c r="P47" s="112">
        <v>0.71</v>
      </c>
      <c r="Q47" s="112">
        <v>4.9400000000000004</v>
      </c>
    </row>
    <row r="48" spans="1:17" customFormat="1">
      <c r="A48" s="80">
        <v>45442.416666666664</v>
      </c>
      <c r="B48" s="112">
        <v>7.28</v>
      </c>
      <c r="C48" s="112">
        <v>6.12</v>
      </c>
      <c r="D48" s="112">
        <v>14.04</v>
      </c>
      <c r="E48" s="112">
        <v>20.91</v>
      </c>
      <c r="F48" s="112">
        <v>35.869999999999997</v>
      </c>
      <c r="G48" s="112">
        <v>61.35</v>
      </c>
      <c r="H48" s="112">
        <v>17.97</v>
      </c>
      <c r="I48" s="112">
        <v>10.07</v>
      </c>
      <c r="J48" s="112">
        <v>1.35</v>
      </c>
      <c r="K48" s="112">
        <v>297.24</v>
      </c>
      <c r="L48" s="112">
        <v>40.24</v>
      </c>
      <c r="M48" s="112">
        <v>26.79</v>
      </c>
      <c r="N48" s="112">
        <v>158.6</v>
      </c>
      <c r="O48" s="112">
        <v>0</v>
      </c>
      <c r="P48" s="112">
        <v>0.66</v>
      </c>
      <c r="Q48" s="112">
        <v>4.95</v>
      </c>
    </row>
    <row r="49" spans="1:17" customFormat="1">
      <c r="A49" s="80">
        <v>45442.427083333336</v>
      </c>
      <c r="B49" s="112">
        <v>7.3</v>
      </c>
      <c r="C49" s="112">
        <v>6.15</v>
      </c>
      <c r="D49" s="112">
        <v>14.08</v>
      </c>
      <c r="E49" s="112">
        <v>17.41</v>
      </c>
      <c r="F49" s="112">
        <v>38.799999999999997</v>
      </c>
      <c r="G49" s="112">
        <v>61.35</v>
      </c>
      <c r="H49" s="112">
        <v>17.97</v>
      </c>
      <c r="I49" s="112">
        <v>9.42</v>
      </c>
      <c r="J49" s="112">
        <v>1.28</v>
      </c>
      <c r="K49" s="112">
        <v>308.75</v>
      </c>
      <c r="L49" s="112">
        <v>40.82</v>
      </c>
      <c r="M49" s="112">
        <v>24.82</v>
      </c>
      <c r="N49" s="112">
        <v>165.3</v>
      </c>
      <c r="O49" s="112">
        <v>0</v>
      </c>
      <c r="P49" s="112">
        <v>0.64</v>
      </c>
      <c r="Q49" s="112">
        <v>4.96</v>
      </c>
    </row>
    <row r="50" spans="1:17" customFormat="1">
      <c r="A50" s="80">
        <v>45442.4375</v>
      </c>
      <c r="B50" s="112">
        <v>7.26</v>
      </c>
      <c r="C50" s="112">
        <v>6.08</v>
      </c>
      <c r="D50" s="112">
        <v>14.01</v>
      </c>
      <c r="E50" s="112">
        <v>19.23</v>
      </c>
      <c r="F50" s="112">
        <v>35.15</v>
      </c>
      <c r="G50" s="112">
        <v>69.73</v>
      </c>
      <c r="H50" s="112">
        <v>19.87</v>
      </c>
      <c r="I50" s="112">
        <v>8.32</v>
      </c>
      <c r="J50" s="112">
        <v>1.64</v>
      </c>
      <c r="K50" s="112">
        <v>309.37</v>
      </c>
      <c r="L50" s="112">
        <v>41.31</v>
      </c>
      <c r="M50" s="112">
        <v>23.63</v>
      </c>
      <c r="N50" s="112">
        <v>171.3</v>
      </c>
      <c r="O50" s="112">
        <v>0</v>
      </c>
      <c r="P50" s="112">
        <v>0.64</v>
      </c>
      <c r="Q50" s="112">
        <v>4.96</v>
      </c>
    </row>
    <row r="51" spans="1:17" customFormat="1">
      <c r="A51" s="80">
        <v>45442.447916666664</v>
      </c>
      <c r="B51" s="112">
        <v>7.25</v>
      </c>
      <c r="C51" s="112">
        <v>6.04</v>
      </c>
      <c r="D51" s="112">
        <v>13.98</v>
      </c>
      <c r="E51" s="112">
        <v>18.84</v>
      </c>
      <c r="F51" s="112">
        <v>44.66</v>
      </c>
      <c r="G51" s="112">
        <v>71.55</v>
      </c>
      <c r="H51" s="112">
        <v>19.87</v>
      </c>
      <c r="I51" s="112">
        <v>7.72</v>
      </c>
      <c r="J51" s="112">
        <v>0.84</v>
      </c>
      <c r="K51" s="112">
        <v>325.37</v>
      </c>
      <c r="L51" s="112">
        <v>41.74</v>
      </c>
      <c r="M51" s="112">
        <v>23.35</v>
      </c>
      <c r="N51" s="112">
        <v>179.3</v>
      </c>
      <c r="O51" s="112">
        <v>0</v>
      </c>
      <c r="P51" s="112">
        <v>0.65</v>
      </c>
      <c r="Q51" s="112">
        <v>4.95</v>
      </c>
    </row>
    <row r="52" spans="1:17" customFormat="1">
      <c r="A52" s="80">
        <v>45442.458333333336</v>
      </c>
      <c r="B52" s="112">
        <v>7.22</v>
      </c>
      <c r="C52" s="112">
        <v>6.09</v>
      </c>
      <c r="D52" s="112">
        <v>13.98</v>
      </c>
      <c r="E52" s="112">
        <v>19.579999999999998</v>
      </c>
      <c r="F52" s="112">
        <v>45.97</v>
      </c>
      <c r="G52" s="112">
        <v>71.55</v>
      </c>
      <c r="H52" s="112">
        <v>19.87</v>
      </c>
      <c r="I52" s="112">
        <v>7.48</v>
      </c>
      <c r="J52" s="112">
        <v>1.1200000000000001</v>
      </c>
      <c r="K52" s="112">
        <v>318.55</v>
      </c>
      <c r="L52" s="112">
        <v>42.19</v>
      </c>
      <c r="M52" s="112">
        <v>22.65</v>
      </c>
      <c r="N52" s="112">
        <v>189.9</v>
      </c>
      <c r="O52" s="112">
        <v>0</v>
      </c>
      <c r="P52" s="112">
        <v>0.64</v>
      </c>
      <c r="Q52" s="112">
        <v>4.95</v>
      </c>
    </row>
    <row r="53" spans="1:17" customFormat="1">
      <c r="A53" s="80">
        <v>45442.46875</v>
      </c>
      <c r="B53" s="112">
        <v>7.24</v>
      </c>
      <c r="C53" s="112">
        <v>6.1</v>
      </c>
      <c r="D53" s="112">
        <v>14</v>
      </c>
      <c r="E53" s="112">
        <v>18.989999999999998</v>
      </c>
      <c r="F53" s="112">
        <v>53.7</v>
      </c>
      <c r="G53" s="112">
        <v>71.55</v>
      </c>
      <c r="H53" s="112">
        <v>19.87</v>
      </c>
      <c r="I53" s="112">
        <v>8.35</v>
      </c>
      <c r="J53" s="112">
        <v>0.56999999999999995</v>
      </c>
      <c r="K53" s="112">
        <v>358.98</v>
      </c>
      <c r="L53" s="112">
        <v>42.81</v>
      </c>
      <c r="M53" s="112">
        <v>21.68</v>
      </c>
      <c r="N53" s="112">
        <v>199.5</v>
      </c>
      <c r="O53" s="112">
        <v>0</v>
      </c>
      <c r="P53" s="112">
        <v>0.63</v>
      </c>
      <c r="Q53" s="112">
        <v>4.95</v>
      </c>
    </row>
    <row r="54" spans="1:17" customFormat="1">
      <c r="A54" s="80">
        <v>45442.479166666664</v>
      </c>
      <c r="B54" s="112">
        <v>7.25</v>
      </c>
      <c r="C54" s="112">
        <v>6.08</v>
      </c>
      <c r="D54" s="112">
        <v>14</v>
      </c>
      <c r="E54" s="112">
        <v>20.57</v>
      </c>
      <c r="F54" s="112">
        <v>48.87</v>
      </c>
      <c r="G54" s="112">
        <v>75.84</v>
      </c>
      <c r="H54" s="112">
        <v>23.84</v>
      </c>
      <c r="I54" s="112">
        <v>7.97</v>
      </c>
      <c r="J54" s="112">
        <v>0.73</v>
      </c>
      <c r="K54" s="112">
        <v>325.77</v>
      </c>
      <c r="L54" s="112">
        <v>43.49</v>
      </c>
      <c r="M54" s="112">
        <v>20.82</v>
      </c>
      <c r="N54" s="112">
        <v>266.5</v>
      </c>
      <c r="O54" s="112">
        <v>0</v>
      </c>
      <c r="P54" s="112">
        <v>0.64</v>
      </c>
      <c r="Q54" s="112">
        <v>4.9400000000000004</v>
      </c>
    </row>
    <row r="55" spans="1:17" customFormat="1">
      <c r="A55" s="80">
        <v>45442.489583333336</v>
      </c>
      <c r="B55" s="112">
        <v>7.28</v>
      </c>
      <c r="C55" s="112">
        <v>6.07</v>
      </c>
      <c r="D55" s="112">
        <v>14.01</v>
      </c>
      <c r="E55" s="112">
        <v>22.17</v>
      </c>
      <c r="F55" s="112">
        <v>50.87</v>
      </c>
      <c r="G55" s="112">
        <v>76.77</v>
      </c>
      <c r="H55" s="112">
        <v>23.84</v>
      </c>
      <c r="I55" s="112">
        <v>6.96</v>
      </c>
      <c r="J55" s="112">
        <v>0.57999999999999996</v>
      </c>
      <c r="K55" s="112">
        <v>331.72</v>
      </c>
      <c r="L55" s="112">
        <v>43.57</v>
      </c>
      <c r="M55" s="112">
        <v>20.22</v>
      </c>
      <c r="N55" s="112">
        <v>504.8</v>
      </c>
      <c r="O55" s="112">
        <v>0</v>
      </c>
      <c r="P55" s="112">
        <v>0.62</v>
      </c>
      <c r="Q55" s="112">
        <v>4.92</v>
      </c>
    </row>
    <row r="56" spans="1:17" customFormat="1">
      <c r="A56" s="80">
        <v>45442.5</v>
      </c>
      <c r="B56" s="112">
        <v>7.24</v>
      </c>
      <c r="C56" s="112">
        <v>6.12</v>
      </c>
      <c r="D56" s="112">
        <v>14.02</v>
      </c>
      <c r="E56" s="112">
        <v>20.420000000000002</v>
      </c>
      <c r="F56" s="112">
        <v>45.91</v>
      </c>
      <c r="G56" s="112">
        <v>76.77</v>
      </c>
      <c r="H56" s="112">
        <v>23.84</v>
      </c>
      <c r="I56" s="112">
        <v>6.8</v>
      </c>
      <c r="J56" s="112">
        <v>0.78</v>
      </c>
      <c r="K56" s="112">
        <v>351.38</v>
      </c>
      <c r="L56" s="112">
        <v>44.11</v>
      </c>
      <c r="M56" s="112">
        <v>18.86</v>
      </c>
      <c r="N56" s="112">
        <v>747.9</v>
      </c>
      <c r="O56" s="112">
        <v>0</v>
      </c>
      <c r="P56" s="112">
        <v>0.62</v>
      </c>
      <c r="Q56" s="112">
        <v>4.93</v>
      </c>
    </row>
    <row r="57" spans="1:17" customFormat="1">
      <c r="A57" s="80">
        <v>45442.510416666664</v>
      </c>
      <c r="B57" s="112">
        <v>7.24</v>
      </c>
      <c r="C57" s="112">
        <v>6.08</v>
      </c>
      <c r="D57" s="112">
        <v>14</v>
      </c>
      <c r="E57" s="112">
        <v>17.59</v>
      </c>
      <c r="F57" s="112">
        <v>31.23</v>
      </c>
      <c r="G57" s="112">
        <v>76.77</v>
      </c>
      <c r="H57" s="112">
        <v>23.84</v>
      </c>
      <c r="I57" s="112">
        <v>7.02</v>
      </c>
      <c r="J57" s="112">
        <v>1.02</v>
      </c>
      <c r="K57" s="112">
        <v>310.07</v>
      </c>
      <c r="L57" s="112">
        <v>43.92</v>
      </c>
      <c r="M57" s="112">
        <v>18.3</v>
      </c>
      <c r="N57" s="112">
        <v>764.6</v>
      </c>
      <c r="O57" s="112">
        <v>0</v>
      </c>
      <c r="P57" s="112">
        <v>0.63</v>
      </c>
      <c r="Q57" s="112">
        <v>4.9400000000000004</v>
      </c>
    </row>
    <row r="58" spans="1:17" customFormat="1">
      <c r="A58" s="80">
        <v>45442.520833333336</v>
      </c>
      <c r="B58" s="112">
        <v>7.23</v>
      </c>
      <c r="C58" s="112">
        <v>6.11</v>
      </c>
      <c r="D58" s="112">
        <v>14</v>
      </c>
      <c r="E58" s="112">
        <v>15.34</v>
      </c>
      <c r="F58" s="112">
        <v>32.86</v>
      </c>
      <c r="G58" s="112">
        <v>78.17</v>
      </c>
      <c r="H58" s="112">
        <v>24.67</v>
      </c>
      <c r="I58" s="112">
        <v>6.84</v>
      </c>
      <c r="J58" s="112">
        <v>1.07</v>
      </c>
      <c r="K58" s="112">
        <v>293.76</v>
      </c>
      <c r="L58" s="112">
        <v>44.31</v>
      </c>
      <c r="M58" s="112">
        <v>17.829999999999998</v>
      </c>
      <c r="N58" s="112">
        <v>771.8</v>
      </c>
      <c r="O58" s="112">
        <v>0</v>
      </c>
      <c r="P58" s="112">
        <v>0.62</v>
      </c>
      <c r="Q58" s="112">
        <v>4.9400000000000004</v>
      </c>
    </row>
    <row r="59" spans="1:17" customFormat="1">
      <c r="A59" s="80">
        <v>45442.53125</v>
      </c>
      <c r="B59" s="112">
        <v>7.2</v>
      </c>
      <c r="C59" s="112">
        <v>6.11</v>
      </c>
      <c r="D59" s="112">
        <v>13.98</v>
      </c>
      <c r="E59" s="112">
        <v>14.21</v>
      </c>
      <c r="F59" s="112">
        <v>32.340000000000003</v>
      </c>
      <c r="G59" s="112">
        <v>78.48</v>
      </c>
      <c r="H59" s="112">
        <v>24.67</v>
      </c>
      <c r="I59" s="112">
        <v>7.11</v>
      </c>
      <c r="J59" s="112">
        <v>0.81</v>
      </c>
      <c r="K59" s="112">
        <v>282.77</v>
      </c>
      <c r="L59" s="112">
        <v>45.05</v>
      </c>
      <c r="M59" s="112">
        <v>17.14</v>
      </c>
      <c r="N59" s="112">
        <v>766.5</v>
      </c>
      <c r="O59" s="112">
        <v>0</v>
      </c>
      <c r="P59" s="112">
        <v>0.62</v>
      </c>
      <c r="Q59" s="112">
        <v>4.9400000000000004</v>
      </c>
    </row>
    <row r="60" spans="1:17" customFormat="1">
      <c r="A60" s="80">
        <v>45442.541666666664</v>
      </c>
      <c r="B60" s="112">
        <v>7.26</v>
      </c>
      <c r="C60" s="112">
        <v>6.08</v>
      </c>
      <c r="D60" s="112">
        <v>14.01</v>
      </c>
      <c r="E60" s="112">
        <v>13.05</v>
      </c>
      <c r="F60" s="112">
        <v>28.68</v>
      </c>
      <c r="G60" s="112">
        <v>78.48</v>
      </c>
      <c r="H60" s="112">
        <v>24.67</v>
      </c>
      <c r="I60" s="112">
        <v>7.02</v>
      </c>
      <c r="J60" s="112">
        <v>1.19</v>
      </c>
      <c r="K60" s="112">
        <v>288.94</v>
      </c>
      <c r="L60" s="112">
        <v>44.94</v>
      </c>
      <c r="M60" s="112">
        <v>17.12</v>
      </c>
      <c r="N60" s="112">
        <v>758.1</v>
      </c>
      <c r="O60" s="112">
        <v>0</v>
      </c>
      <c r="P60" s="112">
        <v>0.62</v>
      </c>
      <c r="Q60" s="112">
        <v>4.93</v>
      </c>
    </row>
    <row r="61" spans="1:17" customFormat="1">
      <c r="A61" s="80">
        <v>45442.552083333336</v>
      </c>
      <c r="B61" s="112">
        <v>7.3</v>
      </c>
      <c r="C61" s="112">
        <v>6.11</v>
      </c>
      <c r="D61" s="112">
        <v>14.06</v>
      </c>
      <c r="E61" s="112">
        <v>12.78</v>
      </c>
      <c r="F61" s="112">
        <v>25.49</v>
      </c>
      <c r="G61" s="112">
        <v>78.48</v>
      </c>
      <c r="H61" s="112">
        <v>24.67</v>
      </c>
      <c r="I61" s="112">
        <v>7.08</v>
      </c>
      <c r="J61" s="112">
        <v>0.97</v>
      </c>
      <c r="K61" s="112">
        <v>283.23</v>
      </c>
      <c r="L61" s="112">
        <v>44.89</v>
      </c>
      <c r="M61" s="112">
        <v>16.649999999999999</v>
      </c>
      <c r="N61" s="112">
        <v>676.2</v>
      </c>
      <c r="O61" s="112">
        <v>0</v>
      </c>
      <c r="P61" s="112">
        <v>0.62</v>
      </c>
      <c r="Q61" s="112">
        <v>4.9400000000000004</v>
      </c>
    </row>
    <row r="62" spans="1:17" customFormat="1">
      <c r="A62" s="80">
        <v>45442.5625</v>
      </c>
      <c r="B62" s="112">
        <v>7.29</v>
      </c>
      <c r="C62" s="112">
        <v>6.1</v>
      </c>
      <c r="D62" s="112">
        <v>14.04</v>
      </c>
      <c r="E62" s="112">
        <v>12.92</v>
      </c>
      <c r="F62" s="112">
        <v>34.65</v>
      </c>
      <c r="G62" s="112">
        <v>74.05</v>
      </c>
      <c r="H62" s="112">
        <v>23.31</v>
      </c>
      <c r="I62" s="112">
        <v>7.21</v>
      </c>
      <c r="J62" s="112">
        <v>0.99</v>
      </c>
      <c r="K62" s="112">
        <v>289.41000000000003</v>
      </c>
      <c r="L62" s="112">
        <v>45.07</v>
      </c>
      <c r="M62" s="112">
        <v>16.8</v>
      </c>
      <c r="N62" s="112">
        <v>341</v>
      </c>
      <c r="O62" s="112">
        <v>0</v>
      </c>
      <c r="P62" s="112">
        <v>0.6</v>
      </c>
      <c r="Q62" s="112">
        <v>4.95</v>
      </c>
    </row>
    <row r="63" spans="1:17" customFormat="1">
      <c r="A63" s="80">
        <v>45442.572916666664</v>
      </c>
      <c r="B63" s="112">
        <v>7.28</v>
      </c>
      <c r="C63" s="112">
        <v>6.09</v>
      </c>
      <c r="D63" s="112">
        <v>14.02</v>
      </c>
      <c r="E63" s="112">
        <v>10.36</v>
      </c>
      <c r="F63" s="112">
        <v>19.13</v>
      </c>
      <c r="G63" s="112">
        <v>73.09</v>
      </c>
      <c r="H63" s="112">
        <v>23.31</v>
      </c>
      <c r="I63" s="112">
        <v>6.96</v>
      </c>
      <c r="J63" s="112">
        <v>0.5</v>
      </c>
      <c r="K63" s="112">
        <v>271.85000000000002</v>
      </c>
      <c r="L63" s="112">
        <v>45.6</v>
      </c>
      <c r="M63" s="112">
        <v>16.07</v>
      </c>
      <c r="N63" s="112">
        <v>323.5</v>
      </c>
      <c r="O63" s="112">
        <v>0</v>
      </c>
      <c r="P63" s="112">
        <v>0.62</v>
      </c>
      <c r="Q63" s="112">
        <v>4.9400000000000004</v>
      </c>
    </row>
    <row r="64" spans="1:17" customFormat="1">
      <c r="A64" s="80">
        <v>45442.583333333336</v>
      </c>
      <c r="B64" s="112">
        <v>7.32</v>
      </c>
      <c r="C64" s="112">
        <v>6.21</v>
      </c>
      <c r="D64" s="112">
        <v>14.13</v>
      </c>
      <c r="E64" s="112">
        <v>10.039999999999999</v>
      </c>
      <c r="F64" s="112">
        <v>7.55</v>
      </c>
      <c r="G64" s="112">
        <v>73.09</v>
      </c>
      <c r="H64" s="112">
        <v>23.31</v>
      </c>
      <c r="I64" s="112">
        <v>6.85</v>
      </c>
      <c r="J64" s="112">
        <v>0.93</v>
      </c>
      <c r="K64" s="112">
        <v>283.02</v>
      </c>
      <c r="L64" s="112">
        <v>46.2</v>
      </c>
      <c r="M64" s="112">
        <v>15.24</v>
      </c>
      <c r="N64" s="112">
        <v>648.6</v>
      </c>
      <c r="O64" s="112">
        <v>0</v>
      </c>
      <c r="P64" s="112">
        <v>0.62</v>
      </c>
      <c r="Q64" s="112">
        <v>4.95</v>
      </c>
    </row>
    <row r="65" spans="1:17" customFormat="1">
      <c r="A65" s="80">
        <v>45442.59375</v>
      </c>
      <c r="B65" s="112">
        <v>7.35</v>
      </c>
      <c r="C65" s="112">
        <v>6.16</v>
      </c>
      <c r="D65" s="112">
        <v>14.12</v>
      </c>
      <c r="E65" s="112">
        <v>10.039999999999999</v>
      </c>
      <c r="F65" s="112">
        <v>9.4499999999999993</v>
      </c>
      <c r="G65" s="112">
        <v>73.09</v>
      </c>
      <c r="H65" s="112">
        <v>23.31</v>
      </c>
      <c r="I65" s="112">
        <v>7.2</v>
      </c>
      <c r="J65" s="112">
        <v>0.95</v>
      </c>
      <c r="K65" s="112">
        <v>283.83999999999997</v>
      </c>
      <c r="L65" s="112">
        <v>45.91</v>
      </c>
      <c r="M65" s="112">
        <v>15.16</v>
      </c>
      <c r="N65" s="112">
        <v>675.3</v>
      </c>
      <c r="O65" s="112">
        <v>0</v>
      </c>
      <c r="P65" s="112">
        <v>0.52</v>
      </c>
      <c r="Q65" s="112">
        <v>4.95</v>
      </c>
    </row>
    <row r="66" spans="1:17" customFormat="1">
      <c r="A66" s="80">
        <v>45442.604166666664</v>
      </c>
      <c r="B66" s="112">
        <v>7.28</v>
      </c>
      <c r="C66" s="112">
        <v>6.09</v>
      </c>
      <c r="D66" s="112">
        <v>14.03</v>
      </c>
      <c r="E66" s="112">
        <v>9.66</v>
      </c>
      <c r="F66" s="112">
        <v>11.03</v>
      </c>
      <c r="G66" s="112">
        <v>65.36</v>
      </c>
      <c r="H66" s="112">
        <v>20.09</v>
      </c>
      <c r="I66" s="112">
        <v>7.34</v>
      </c>
      <c r="J66" s="112">
        <v>0.87</v>
      </c>
      <c r="K66" s="112">
        <v>272.77</v>
      </c>
      <c r="L66" s="112">
        <v>46.24</v>
      </c>
      <c r="M66" s="112">
        <v>14.85</v>
      </c>
      <c r="N66" s="112">
        <v>637.29999999999995</v>
      </c>
      <c r="O66" s="112">
        <v>0</v>
      </c>
      <c r="P66" s="112">
        <v>0.53</v>
      </c>
      <c r="Q66" s="112">
        <v>4.96</v>
      </c>
    </row>
    <row r="67" spans="1:17" customFormat="1">
      <c r="A67" s="80">
        <v>45442.614583333336</v>
      </c>
      <c r="B67" s="112">
        <v>7.28</v>
      </c>
      <c r="C67" s="112">
        <v>6.12</v>
      </c>
      <c r="D67" s="112">
        <v>14.04</v>
      </c>
      <c r="E67" s="112">
        <v>9.49</v>
      </c>
      <c r="F67" s="112">
        <v>10.91</v>
      </c>
      <c r="G67" s="112">
        <v>63.69</v>
      </c>
      <c r="H67" s="112">
        <v>20.09</v>
      </c>
      <c r="I67" s="112">
        <v>7.06</v>
      </c>
      <c r="J67" s="112">
        <v>0.33</v>
      </c>
      <c r="K67" s="112">
        <v>267.25</v>
      </c>
      <c r="L67" s="112">
        <v>46.17</v>
      </c>
      <c r="M67" s="112">
        <v>14.62</v>
      </c>
      <c r="N67" s="112">
        <v>590.4</v>
      </c>
      <c r="O67" s="112">
        <v>0</v>
      </c>
      <c r="P67" s="112">
        <v>0.51</v>
      </c>
      <c r="Q67" s="112">
        <v>4.96</v>
      </c>
    </row>
    <row r="68" spans="1:17" customFormat="1">
      <c r="A68" s="80">
        <v>45442.625</v>
      </c>
      <c r="B68" s="112">
        <v>7.3</v>
      </c>
      <c r="C68" s="112">
        <v>6.17</v>
      </c>
      <c r="D68" s="112">
        <v>14.08</v>
      </c>
      <c r="E68" s="112">
        <v>9.6</v>
      </c>
      <c r="F68" s="112">
        <v>10.73</v>
      </c>
      <c r="G68" s="112">
        <v>63.69</v>
      </c>
      <c r="H68" s="112">
        <v>20.09</v>
      </c>
      <c r="I68" s="112">
        <v>6.74</v>
      </c>
      <c r="J68" s="112">
        <v>0.48</v>
      </c>
      <c r="K68" s="112">
        <v>299.31</v>
      </c>
      <c r="L68" s="112">
        <v>46.62</v>
      </c>
      <c r="M68" s="112">
        <v>13.98</v>
      </c>
      <c r="N68" s="112">
        <v>583</v>
      </c>
      <c r="O68" s="112">
        <v>0</v>
      </c>
      <c r="P68" s="112">
        <v>0.49</v>
      </c>
      <c r="Q68" s="112">
        <v>4.96</v>
      </c>
    </row>
    <row r="69" spans="1:17" customFormat="1">
      <c r="A69" s="80">
        <v>45442.635416666664</v>
      </c>
      <c r="B69" s="112">
        <v>7.23</v>
      </c>
      <c r="C69" s="112">
        <v>6.14</v>
      </c>
      <c r="D69" s="112">
        <v>14.02</v>
      </c>
      <c r="E69" s="112">
        <v>9.34</v>
      </c>
      <c r="F69" s="112">
        <v>9.27</v>
      </c>
      <c r="G69" s="112">
        <v>63.69</v>
      </c>
      <c r="H69" s="112">
        <v>20.09</v>
      </c>
      <c r="I69" s="112">
        <v>6.58</v>
      </c>
      <c r="J69" s="112">
        <v>1.17</v>
      </c>
      <c r="K69" s="112">
        <v>286.07</v>
      </c>
      <c r="L69" s="112">
        <v>46</v>
      </c>
      <c r="M69" s="112">
        <v>14.29</v>
      </c>
      <c r="N69" s="112">
        <v>547.1</v>
      </c>
      <c r="O69" s="112">
        <v>0</v>
      </c>
      <c r="P69" s="112">
        <v>0.48</v>
      </c>
      <c r="Q69" s="112">
        <v>4.96</v>
      </c>
    </row>
    <row r="70" spans="1:17" customFormat="1">
      <c r="A70" s="80">
        <v>45442.645833333336</v>
      </c>
      <c r="B70" s="112">
        <v>7.23</v>
      </c>
      <c r="C70" s="112">
        <v>6.06</v>
      </c>
      <c r="D70" s="112">
        <v>13.98</v>
      </c>
      <c r="E70" s="112">
        <v>9.0299999999999994</v>
      </c>
      <c r="F70" s="112">
        <v>12.01</v>
      </c>
      <c r="G70" s="112">
        <v>70.22</v>
      </c>
      <c r="H70" s="112">
        <v>19.66</v>
      </c>
      <c r="I70" s="112">
        <v>6.37</v>
      </c>
      <c r="J70" s="112">
        <v>0.71</v>
      </c>
      <c r="K70" s="112">
        <v>261.64999999999998</v>
      </c>
      <c r="L70" s="112">
        <v>45.89</v>
      </c>
      <c r="M70" s="112">
        <v>14.05</v>
      </c>
      <c r="N70" s="112">
        <v>484.8</v>
      </c>
      <c r="O70" s="112">
        <v>0</v>
      </c>
      <c r="P70" s="112">
        <v>0.46</v>
      </c>
      <c r="Q70" s="112">
        <v>4.95</v>
      </c>
    </row>
    <row r="71" spans="1:17" customFormat="1">
      <c r="A71" s="80">
        <v>45442.65625</v>
      </c>
      <c r="B71" s="112">
        <v>7.22</v>
      </c>
      <c r="C71" s="112">
        <v>6.08</v>
      </c>
      <c r="D71" s="112">
        <v>13.97</v>
      </c>
      <c r="E71" s="112">
        <v>8.82</v>
      </c>
      <c r="F71" s="112">
        <v>12.64</v>
      </c>
      <c r="G71" s="112">
        <v>71.64</v>
      </c>
      <c r="H71" s="112">
        <v>19.66</v>
      </c>
      <c r="I71" s="112">
        <v>6.14</v>
      </c>
      <c r="J71" s="112">
        <v>0.56999999999999995</v>
      </c>
      <c r="K71" s="112">
        <v>301.8</v>
      </c>
      <c r="L71" s="112">
        <v>46.27</v>
      </c>
      <c r="M71" s="112">
        <v>13.92</v>
      </c>
      <c r="N71" s="112">
        <v>431.5</v>
      </c>
      <c r="O71" s="112">
        <v>0</v>
      </c>
      <c r="P71" s="112">
        <v>0.44</v>
      </c>
      <c r="Q71" s="112">
        <v>4.96</v>
      </c>
    </row>
    <row r="72" spans="1:17" customFormat="1">
      <c r="A72" s="80">
        <v>45442.666666666664</v>
      </c>
      <c r="B72" s="112">
        <v>7.19</v>
      </c>
      <c r="C72" s="112">
        <v>6.11</v>
      </c>
      <c r="D72" s="112">
        <v>13.97</v>
      </c>
      <c r="E72" s="112">
        <v>9.14</v>
      </c>
      <c r="F72" s="112">
        <v>12.09</v>
      </c>
      <c r="G72" s="112">
        <v>71.64</v>
      </c>
      <c r="H72" s="112">
        <v>19.66</v>
      </c>
      <c r="I72" s="112">
        <v>6</v>
      </c>
      <c r="J72" s="112">
        <v>0.47</v>
      </c>
      <c r="K72" s="112">
        <v>286.02999999999997</v>
      </c>
      <c r="L72" s="112">
        <v>46.01</v>
      </c>
      <c r="M72" s="112">
        <v>13.98</v>
      </c>
      <c r="N72" s="112">
        <v>327.7</v>
      </c>
      <c r="O72" s="112">
        <v>0</v>
      </c>
      <c r="P72" s="112">
        <v>0.44</v>
      </c>
      <c r="Q72" s="112">
        <v>4.96</v>
      </c>
    </row>
    <row r="73" spans="1:17" customFormat="1">
      <c r="A73" s="80">
        <v>45442.677083333336</v>
      </c>
      <c r="B73" s="112">
        <v>7.17</v>
      </c>
      <c r="C73" s="112">
        <v>6.1</v>
      </c>
      <c r="D73" s="112">
        <v>13.95</v>
      </c>
      <c r="E73" s="112">
        <v>9.18</v>
      </c>
      <c r="F73" s="112">
        <v>13.54</v>
      </c>
      <c r="G73" s="112">
        <v>71.64</v>
      </c>
      <c r="H73" s="112">
        <v>19.66</v>
      </c>
      <c r="I73" s="112">
        <v>5.81</v>
      </c>
      <c r="J73" s="112">
        <v>0.82</v>
      </c>
      <c r="K73" s="112">
        <v>264.42</v>
      </c>
      <c r="L73" s="112">
        <v>45.29</v>
      </c>
      <c r="M73" s="112">
        <v>14.99</v>
      </c>
      <c r="N73" s="112">
        <v>178.9</v>
      </c>
      <c r="O73" s="112">
        <v>0</v>
      </c>
      <c r="P73" s="112">
        <v>0.43</v>
      </c>
      <c r="Q73" s="112">
        <v>4.97</v>
      </c>
    </row>
    <row r="74" spans="1:17" customFormat="1">
      <c r="A74" s="80">
        <v>45442.6875</v>
      </c>
      <c r="B74" s="112">
        <v>7.18</v>
      </c>
      <c r="C74" s="112">
        <v>6.08</v>
      </c>
      <c r="D74" s="112">
        <v>13.95</v>
      </c>
      <c r="E74" s="112">
        <v>8.85</v>
      </c>
      <c r="F74" s="112">
        <v>14.72</v>
      </c>
      <c r="G74" s="112">
        <v>65.7</v>
      </c>
      <c r="H74" s="112">
        <v>18.22</v>
      </c>
      <c r="I74" s="112">
        <v>5.63</v>
      </c>
      <c r="J74" s="112">
        <v>0.87</v>
      </c>
      <c r="K74" s="112">
        <v>286.54000000000002</v>
      </c>
      <c r="L74" s="112">
        <v>44.74</v>
      </c>
      <c r="M74" s="112">
        <v>14.83</v>
      </c>
      <c r="N74" s="112">
        <v>188.8</v>
      </c>
      <c r="O74" s="112">
        <v>0</v>
      </c>
      <c r="P74" s="112">
        <v>0.41</v>
      </c>
      <c r="Q74" s="112">
        <v>4.96</v>
      </c>
    </row>
    <row r="75" spans="1:17" customFormat="1">
      <c r="A75" s="80">
        <v>45442.697916666664</v>
      </c>
      <c r="B75" s="112">
        <v>7.2</v>
      </c>
      <c r="C75" s="112">
        <v>6.08</v>
      </c>
      <c r="D75" s="112">
        <v>13.96</v>
      </c>
      <c r="E75" s="112">
        <v>9.1199999999999992</v>
      </c>
      <c r="F75" s="112">
        <v>15.62</v>
      </c>
      <c r="G75" s="112">
        <v>64.41</v>
      </c>
      <c r="H75" s="112">
        <v>18.22</v>
      </c>
      <c r="I75" s="112">
        <v>5.47</v>
      </c>
      <c r="J75" s="112">
        <v>0.56000000000000005</v>
      </c>
      <c r="K75" s="112">
        <v>290.89</v>
      </c>
      <c r="L75" s="112">
        <v>44.96</v>
      </c>
      <c r="M75" s="112">
        <v>14.77</v>
      </c>
      <c r="N75" s="112">
        <v>121.7</v>
      </c>
      <c r="O75" s="112">
        <v>0</v>
      </c>
      <c r="P75" s="112">
        <v>0.41</v>
      </c>
      <c r="Q75" s="112">
        <v>4.95</v>
      </c>
    </row>
    <row r="76" spans="1:17" customFormat="1">
      <c r="A76" s="80">
        <v>45442.708333333336</v>
      </c>
      <c r="B76" s="112">
        <v>7.2</v>
      </c>
      <c r="C76" s="112">
        <v>6.09</v>
      </c>
      <c r="D76" s="112">
        <v>13.96</v>
      </c>
      <c r="E76" s="112">
        <v>8.9</v>
      </c>
      <c r="F76" s="112">
        <v>13.67</v>
      </c>
      <c r="G76" s="112">
        <v>64.41</v>
      </c>
      <c r="H76" s="112">
        <v>18.22</v>
      </c>
      <c r="I76" s="112">
        <v>5.44</v>
      </c>
      <c r="J76" s="112">
        <v>0.64</v>
      </c>
      <c r="K76" s="112">
        <v>256.73</v>
      </c>
      <c r="L76" s="112">
        <v>44.3</v>
      </c>
      <c r="M76" s="112">
        <v>15.05</v>
      </c>
      <c r="N76" s="112">
        <v>66</v>
      </c>
      <c r="O76" s="112">
        <v>0</v>
      </c>
      <c r="P76" s="112">
        <v>0.41</v>
      </c>
      <c r="Q76" s="112">
        <v>4.95</v>
      </c>
    </row>
    <row r="77" spans="1:17" customFormat="1">
      <c r="A77" s="80">
        <v>45442.71875</v>
      </c>
      <c r="B77" s="112">
        <v>7.2</v>
      </c>
      <c r="C77" s="112">
        <v>6.09</v>
      </c>
      <c r="D77" s="112">
        <v>13.97</v>
      </c>
      <c r="E77" s="112">
        <v>9.6300000000000008</v>
      </c>
      <c r="F77" s="112">
        <v>17.149999999999999</v>
      </c>
      <c r="G77" s="112">
        <v>64.41</v>
      </c>
      <c r="H77" s="112">
        <v>18.22</v>
      </c>
      <c r="I77" s="112">
        <v>5.47</v>
      </c>
      <c r="J77" s="112">
        <v>0.67</v>
      </c>
      <c r="K77" s="112">
        <v>252.1</v>
      </c>
      <c r="L77" s="112">
        <v>43.29</v>
      </c>
      <c r="M77" s="112">
        <v>15.54</v>
      </c>
      <c r="N77" s="112">
        <v>31.1</v>
      </c>
      <c r="O77" s="112">
        <v>0</v>
      </c>
      <c r="P77" s="112">
        <v>0.4</v>
      </c>
      <c r="Q77" s="112">
        <v>4.96</v>
      </c>
    </row>
    <row r="78" spans="1:17" customFormat="1">
      <c r="A78" s="80">
        <v>45442.729166666664</v>
      </c>
      <c r="B78" s="112">
        <v>7.21</v>
      </c>
      <c r="C78" s="112">
        <v>6.08</v>
      </c>
      <c r="D78" s="112">
        <v>13.97</v>
      </c>
      <c r="E78" s="112">
        <v>10.42</v>
      </c>
      <c r="F78" s="112">
        <v>20.5</v>
      </c>
      <c r="G78" s="112">
        <v>64.849999999999994</v>
      </c>
      <c r="H78" s="112">
        <v>18.38</v>
      </c>
      <c r="I78" s="112">
        <v>5.48</v>
      </c>
      <c r="J78" s="112">
        <v>0.49</v>
      </c>
      <c r="K78" s="112">
        <v>249.34</v>
      </c>
      <c r="L78" s="112">
        <v>42.63</v>
      </c>
      <c r="M78" s="112">
        <v>16.66</v>
      </c>
      <c r="N78" s="112">
        <v>26.9</v>
      </c>
      <c r="O78" s="112">
        <v>0</v>
      </c>
      <c r="P78" s="112">
        <v>0.4</v>
      </c>
      <c r="Q78" s="112">
        <v>5.07</v>
      </c>
    </row>
    <row r="79" spans="1:17" customFormat="1">
      <c r="A79" s="80">
        <v>45442.739583333336</v>
      </c>
      <c r="B79" s="112">
        <v>7.24</v>
      </c>
      <c r="C79" s="112">
        <v>6.06</v>
      </c>
      <c r="D79" s="112">
        <v>13.98</v>
      </c>
      <c r="E79" s="112">
        <v>11.07</v>
      </c>
      <c r="F79" s="112">
        <v>20.190000000000001</v>
      </c>
      <c r="G79" s="112">
        <v>64.95</v>
      </c>
      <c r="H79" s="112">
        <v>18.38</v>
      </c>
      <c r="I79" s="112">
        <v>5.55</v>
      </c>
      <c r="J79" s="112">
        <v>0.42</v>
      </c>
      <c r="K79" s="112">
        <v>245.34</v>
      </c>
      <c r="L79" s="112">
        <v>42.38</v>
      </c>
      <c r="M79" s="112">
        <v>16.850000000000001</v>
      </c>
      <c r="N79" s="112">
        <v>20.3</v>
      </c>
      <c r="O79" s="112">
        <v>0</v>
      </c>
      <c r="P79" s="112">
        <v>0.41</v>
      </c>
      <c r="Q79" s="112">
        <v>5.0199999999999996</v>
      </c>
    </row>
    <row r="80" spans="1:17" customFormat="1">
      <c r="A80" s="80">
        <v>45442.75</v>
      </c>
      <c r="B80" s="112">
        <v>7.26</v>
      </c>
      <c r="C80" s="112">
        <v>6.04</v>
      </c>
      <c r="D80" s="112">
        <v>13.98</v>
      </c>
      <c r="E80" s="112">
        <v>14.53</v>
      </c>
      <c r="F80" s="112">
        <v>25.39</v>
      </c>
      <c r="G80" s="112">
        <v>64.95</v>
      </c>
      <c r="H80" s="112">
        <v>18.38</v>
      </c>
      <c r="I80" s="112">
        <v>5.84</v>
      </c>
      <c r="J80" s="112">
        <v>0.56000000000000005</v>
      </c>
      <c r="K80" s="112">
        <v>242.95</v>
      </c>
      <c r="L80" s="112">
        <v>42.24</v>
      </c>
      <c r="M80" s="112">
        <v>17.34</v>
      </c>
      <c r="N80" s="112">
        <v>9.9</v>
      </c>
      <c r="O80" s="112">
        <v>0</v>
      </c>
      <c r="P80" s="112">
        <v>0.47</v>
      </c>
      <c r="Q80" s="112">
        <v>5</v>
      </c>
    </row>
    <row r="81" spans="1:17" customFormat="1">
      <c r="A81" s="80">
        <v>45442.760416666664</v>
      </c>
      <c r="B81" s="112">
        <v>7.28</v>
      </c>
      <c r="C81" s="112">
        <v>6.06</v>
      </c>
      <c r="D81" s="112">
        <v>14.01</v>
      </c>
      <c r="E81" s="112">
        <v>17.059999999999999</v>
      </c>
      <c r="F81" s="112">
        <v>30.02</v>
      </c>
      <c r="G81" s="112">
        <v>64.95</v>
      </c>
      <c r="H81" s="112">
        <v>18.38</v>
      </c>
      <c r="I81" s="112">
        <v>6.5</v>
      </c>
      <c r="J81" s="112">
        <v>0.49</v>
      </c>
      <c r="K81" s="112">
        <v>234.66</v>
      </c>
      <c r="L81" s="112">
        <v>42.12</v>
      </c>
      <c r="M81" s="112">
        <v>18.29</v>
      </c>
      <c r="N81" s="112">
        <v>3.7</v>
      </c>
      <c r="O81" s="112">
        <v>0</v>
      </c>
      <c r="P81" s="112">
        <v>0.54</v>
      </c>
      <c r="Q81" s="112">
        <v>5</v>
      </c>
    </row>
    <row r="82" spans="1:17" customFormat="1">
      <c r="A82" s="80">
        <v>45442.770833333336</v>
      </c>
      <c r="B82" s="112">
        <v>7.32</v>
      </c>
      <c r="C82" s="112">
        <v>6.04</v>
      </c>
      <c r="D82" s="112">
        <v>14.04</v>
      </c>
      <c r="E82" s="112">
        <v>22.03</v>
      </c>
      <c r="F82" s="112">
        <v>37.25</v>
      </c>
      <c r="G82" s="112">
        <v>67.099999999999994</v>
      </c>
      <c r="H82" s="112">
        <v>18.100000000000001</v>
      </c>
      <c r="I82" s="112">
        <v>7.62</v>
      </c>
      <c r="J82" s="112">
        <v>0.52</v>
      </c>
      <c r="K82" s="112">
        <v>233.09</v>
      </c>
      <c r="L82" s="112">
        <v>41.75</v>
      </c>
      <c r="M82" s="112">
        <v>19.66</v>
      </c>
      <c r="N82" s="112">
        <v>0</v>
      </c>
      <c r="O82" s="112">
        <v>0</v>
      </c>
      <c r="P82" s="112">
        <v>0.59</v>
      </c>
      <c r="Q82" s="112">
        <v>4.99</v>
      </c>
    </row>
    <row r="83" spans="1:17" customFormat="1">
      <c r="A83" s="80">
        <v>45442.78125</v>
      </c>
      <c r="B83" s="112">
        <v>7.29</v>
      </c>
      <c r="C83" s="112">
        <v>6.07</v>
      </c>
      <c r="D83" s="112">
        <v>14.03</v>
      </c>
      <c r="E83" s="112">
        <v>23.09</v>
      </c>
      <c r="F83" s="112">
        <v>46.67</v>
      </c>
      <c r="G83" s="112">
        <v>67.569999999999993</v>
      </c>
      <c r="H83" s="112">
        <v>18.100000000000001</v>
      </c>
      <c r="I83" s="112">
        <v>9.09</v>
      </c>
      <c r="J83" s="112">
        <v>0.46</v>
      </c>
      <c r="K83" s="112">
        <v>237.81</v>
      </c>
      <c r="L83" s="112">
        <v>40.909999999999997</v>
      </c>
      <c r="M83" s="112">
        <v>21.23</v>
      </c>
      <c r="N83" s="112">
        <v>0</v>
      </c>
      <c r="O83" s="112">
        <v>0</v>
      </c>
      <c r="P83" s="112">
        <v>0.7</v>
      </c>
      <c r="Q83" s="112">
        <v>4.97</v>
      </c>
    </row>
    <row r="84" spans="1:17" customFormat="1">
      <c r="A84" s="80">
        <v>45442.791666666664</v>
      </c>
      <c r="B84" s="112">
        <v>7.23</v>
      </c>
      <c r="C84" s="112">
        <v>6.07</v>
      </c>
      <c r="D84" s="112">
        <v>13.98</v>
      </c>
      <c r="E84" s="112">
        <v>19.62</v>
      </c>
      <c r="F84" s="112">
        <v>23.91</v>
      </c>
      <c r="G84" s="112">
        <v>67.569999999999993</v>
      </c>
      <c r="H84" s="112">
        <v>18.100000000000001</v>
      </c>
      <c r="I84" s="112">
        <v>10.19</v>
      </c>
      <c r="J84" s="112">
        <v>0.88</v>
      </c>
      <c r="K84" s="112">
        <v>290.93</v>
      </c>
      <c r="L84" s="112">
        <v>40.86</v>
      </c>
      <c r="M84" s="112">
        <v>21.13</v>
      </c>
      <c r="N84" s="112">
        <v>0</v>
      </c>
      <c r="O84" s="112">
        <v>0</v>
      </c>
      <c r="P84" s="112">
        <v>0.77</v>
      </c>
      <c r="Q84" s="112">
        <v>4.95</v>
      </c>
    </row>
    <row r="85" spans="1:17" customFormat="1">
      <c r="A85" s="80">
        <v>45442.802083333336</v>
      </c>
      <c r="B85" s="112">
        <v>7.21</v>
      </c>
      <c r="C85" s="112">
        <v>6.12</v>
      </c>
      <c r="D85" s="112">
        <v>13.98</v>
      </c>
      <c r="E85" s="112">
        <v>13.39</v>
      </c>
      <c r="F85" s="112">
        <v>17.940000000000001</v>
      </c>
      <c r="G85" s="112">
        <v>67.569999999999993</v>
      </c>
      <c r="H85" s="112">
        <v>18.100000000000001</v>
      </c>
      <c r="I85" s="112">
        <v>11.01</v>
      </c>
      <c r="J85" s="112">
        <v>1.1299999999999999</v>
      </c>
      <c r="K85" s="112">
        <v>288.42</v>
      </c>
      <c r="L85" s="112">
        <v>41.29</v>
      </c>
      <c r="M85" s="112">
        <v>20.25</v>
      </c>
      <c r="N85" s="112">
        <v>0</v>
      </c>
      <c r="O85" s="112">
        <v>0</v>
      </c>
      <c r="P85" s="112">
        <v>0.73</v>
      </c>
      <c r="Q85" s="112">
        <v>4.93</v>
      </c>
    </row>
    <row r="86" spans="1:17" customFormat="1">
      <c r="A86" s="80">
        <v>45442.8125</v>
      </c>
      <c r="B86" s="112">
        <v>7.23</v>
      </c>
      <c r="C86" s="112">
        <v>6.08</v>
      </c>
      <c r="D86" s="112">
        <v>13.99</v>
      </c>
      <c r="E86" s="112">
        <v>14.24</v>
      </c>
      <c r="F86" s="112">
        <v>28.48</v>
      </c>
      <c r="G86" s="112">
        <v>74.86</v>
      </c>
      <c r="H86" s="112">
        <v>21.76</v>
      </c>
      <c r="I86" s="112">
        <v>10.32</v>
      </c>
      <c r="J86" s="112">
        <v>0.67</v>
      </c>
      <c r="K86" s="112">
        <v>275.12</v>
      </c>
      <c r="L86" s="112">
        <v>40.799999999999997</v>
      </c>
      <c r="M86" s="112">
        <v>21.66</v>
      </c>
      <c r="N86" s="112">
        <v>0</v>
      </c>
      <c r="O86" s="112">
        <v>0</v>
      </c>
      <c r="P86" s="112">
        <v>0.79</v>
      </c>
      <c r="Q86" s="112">
        <v>4.96</v>
      </c>
    </row>
    <row r="87" spans="1:17" customFormat="1">
      <c r="A87" s="80">
        <v>45442.822916666664</v>
      </c>
      <c r="B87" s="112">
        <v>7.2</v>
      </c>
      <c r="C87" s="112">
        <v>6.08</v>
      </c>
      <c r="D87" s="112">
        <v>13.96</v>
      </c>
      <c r="E87" s="112">
        <v>14.22</v>
      </c>
      <c r="F87" s="112">
        <v>32.67</v>
      </c>
      <c r="G87" s="112">
        <v>76.44</v>
      </c>
      <c r="H87" s="112">
        <v>21.76</v>
      </c>
      <c r="I87" s="112">
        <v>9.0399999999999991</v>
      </c>
      <c r="J87" s="112">
        <v>0.43</v>
      </c>
      <c r="K87" s="112">
        <v>234.79</v>
      </c>
      <c r="L87" s="112">
        <v>40.049999999999997</v>
      </c>
      <c r="M87" s="112">
        <v>23.58</v>
      </c>
      <c r="N87" s="112">
        <v>0</v>
      </c>
      <c r="O87" s="112">
        <v>0</v>
      </c>
      <c r="P87" s="112">
        <v>0.72</v>
      </c>
      <c r="Q87" s="112">
        <v>4.95</v>
      </c>
    </row>
    <row r="88" spans="1:17" customFormat="1">
      <c r="A88" s="80">
        <v>45442.833333333336</v>
      </c>
      <c r="B88" s="112">
        <v>7.18</v>
      </c>
      <c r="C88" s="112">
        <v>6.06</v>
      </c>
      <c r="D88" s="112">
        <v>13.93</v>
      </c>
      <c r="E88" s="112">
        <v>15.54</v>
      </c>
      <c r="F88" s="112">
        <v>28.64</v>
      </c>
      <c r="G88" s="112">
        <v>76.44</v>
      </c>
      <c r="H88" s="112">
        <v>21.76</v>
      </c>
      <c r="I88" s="112">
        <v>8.2799999999999994</v>
      </c>
      <c r="J88" s="112">
        <v>0.64</v>
      </c>
      <c r="K88" s="112">
        <v>252.81</v>
      </c>
      <c r="L88" s="112">
        <v>39.49</v>
      </c>
      <c r="M88" s="112">
        <v>24.8</v>
      </c>
      <c r="N88" s="112">
        <v>0</v>
      </c>
      <c r="O88" s="112">
        <v>0</v>
      </c>
      <c r="P88" s="112">
        <v>0.74</v>
      </c>
      <c r="Q88" s="112">
        <v>4.96</v>
      </c>
    </row>
    <row r="89" spans="1:17" customFormat="1">
      <c r="A89" s="80">
        <v>45442.84375</v>
      </c>
      <c r="B89" s="112">
        <v>7.19</v>
      </c>
      <c r="C89" s="112">
        <v>6.02</v>
      </c>
      <c r="D89" s="112">
        <v>13.92</v>
      </c>
      <c r="E89" s="112">
        <v>16.46</v>
      </c>
      <c r="F89" s="112">
        <v>22.21</v>
      </c>
      <c r="G89" s="112">
        <v>76.44</v>
      </c>
      <c r="H89" s="112">
        <v>21.76</v>
      </c>
      <c r="I89" s="112">
        <v>8</v>
      </c>
      <c r="J89" s="112">
        <v>0.52</v>
      </c>
      <c r="K89" s="112">
        <v>253.01</v>
      </c>
      <c r="L89" s="112">
        <v>39.39</v>
      </c>
      <c r="M89" s="112">
        <v>24.75</v>
      </c>
      <c r="N89" s="112">
        <v>0</v>
      </c>
      <c r="O89" s="112">
        <v>0</v>
      </c>
      <c r="P89" s="112">
        <v>0.86</v>
      </c>
      <c r="Q89" s="112">
        <v>4.96</v>
      </c>
    </row>
    <row r="90" spans="1:17" customFormat="1">
      <c r="A90" s="80">
        <v>45442.854166666664</v>
      </c>
      <c r="B90" s="112">
        <v>7.2</v>
      </c>
      <c r="C90" s="112">
        <v>6.11</v>
      </c>
      <c r="D90" s="112">
        <v>13.97</v>
      </c>
      <c r="E90" s="112">
        <v>14.47</v>
      </c>
      <c r="F90" s="112">
        <v>23.44</v>
      </c>
      <c r="G90" s="112">
        <v>73.95</v>
      </c>
      <c r="H90" s="112">
        <v>21.43</v>
      </c>
      <c r="I90" s="112">
        <v>8.4</v>
      </c>
      <c r="J90" s="112">
        <v>0.54</v>
      </c>
      <c r="K90" s="112">
        <v>245.89</v>
      </c>
      <c r="L90" s="112">
        <v>39.21</v>
      </c>
      <c r="M90" s="112">
        <v>25.06</v>
      </c>
      <c r="N90" s="112">
        <v>0</v>
      </c>
      <c r="O90" s="112">
        <v>0</v>
      </c>
      <c r="P90" s="112">
        <v>0.79</v>
      </c>
      <c r="Q90" s="112">
        <v>4.9800000000000004</v>
      </c>
    </row>
    <row r="91" spans="1:17" customFormat="1">
      <c r="A91" s="80">
        <v>45442.864583333336</v>
      </c>
      <c r="B91" s="112">
        <v>7.19</v>
      </c>
      <c r="C91" s="112">
        <v>6.12</v>
      </c>
      <c r="D91" s="112">
        <v>13.97</v>
      </c>
      <c r="E91" s="112">
        <v>14.47</v>
      </c>
      <c r="F91" s="112">
        <v>29.27</v>
      </c>
      <c r="G91" s="112">
        <v>73.41</v>
      </c>
      <c r="H91" s="112">
        <v>21.43</v>
      </c>
      <c r="I91" s="112">
        <v>8.4499999999999993</v>
      </c>
      <c r="J91" s="112">
        <v>0.5</v>
      </c>
      <c r="K91" s="112">
        <v>247.16</v>
      </c>
      <c r="L91" s="112">
        <v>38.85</v>
      </c>
      <c r="M91" s="112">
        <v>26.18</v>
      </c>
      <c r="N91" s="112">
        <v>0</v>
      </c>
      <c r="O91" s="112">
        <v>0</v>
      </c>
      <c r="P91" s="112">
        <v>0.76</v>
      </c>
      <c r="Q91" s="112">
        <v>4.97</v>
      </c>
    </row>
    <row r="92" spans="1:17" customFormat="1">
      <c r="A92" s="80">
        <v>45442.875</v>
      </c>
      <c r="B92" s="112">
        <v>7.2</v>
      </c>
      <c r="C92" s="112">
        <v>6.07</v>
      </c>
      <c r="D92" s="112">
        <v>13.95</v>
      </c>
      <c r="E92" s="112">
        <v>15.65</v>
      </c>
      <c r="F92" s="112">
        <v>31.87</v>
      </c>
      <c r="G92" s="112">
        <v>73.41</v>
      </c>
      <c r="H92" s="112">
        <v>21.43</v>
      </c>
      <c r="I92" s="112">
        <v>8.07</v>
      </c>
      <c r="J92" s="112">
        <v>0.49</v>
      </c>
      <c r="K92" s="112">
        <v>255.01</v>
      </c>
      <c r="L92" s="112">
        <v>38.61</v>
      </c>
      <c r="M92" s="112">
        <v>26.33</v>
      </c>
      <c r="N92" s="112">
        <v>0</v>
      </c>
      <c r="O92" s="112">
        <v>0</v>
      </c>
      <c r="P92" s="112">
        <v>0.76</v>
      </c>
      <c r="Q92" s="112">
        <v>4.9800000000000004</v>
      </c>
    </row>
    <row r="93" spans="1:17" customFormat="1">
      <c r="A93" s="80">
        <v>45442.885416666664</v>
      </c>
      <c r="B93" s="112">
        <v>7.2</v>
      </c>
      <c r="C93" s="112">
        <v>6.09</v>
      </c>
      <c r="D93" s="112">
        <v>13.96</v>
      </c>
      <c r="E93" s="112">
        <v>14.48</v>
      </c>
      <c r="F93" s="112">
        <v>17.420000000000002</v>
      </c>
      <c r="G93" s="112">
        <v>73.41</v>
      </c>
      <c r="H93" s="112">
        <v>21.43</v>
      </c>
      <c r="I93" s="112">
        <v>8.26</v>
      </c>
      <c r="J93" s="112">
        <v>0.23</v>
      </c>
      <c r="K93" s="112">
        <v>273.89999999999998</v>
      </c>
      <c r="L93" s="112">
        <v>38.630000000000003</v>
      </c>
      <c r="M93" s="112">
        <v>26.3</v>
      </c>
      <c r="N93" s="112">
        <v>0</v>
      </c>
      <c r="O93" s="112">
        <v>0</v>
      </c>
      <c r="P93" s="112">
        <v>0.85</v>
      </c>
      <c r="Q93" s="112">
        <v>4.97</v>
      </c>
    </row>
    <row r="94" spans="1:17" customFormat="1">
      <c r="A94" s="80">
        <v>45442.895833333336</v>
      </c>
      <c r="B94" s="112">
        <v>7.21</v>
      </c>
      <c r="C94" s="112">
        <v>6.09</v>
      </c>
      <c r="D94" s="112">
        <v>13.97</v>
      </c>
      <c r="E94" s="112">
        <v>14.03</v>
      </c>
      <c r="F94" s="112">
        <v>11.05</v>
      </c>
      <c r="G94" s="112">
        <v>72.930000000000007</v>
      </c>
      <c r="H94" s="112">
        <v>21.96</v>
      </c>
      <c r="I94" s="112">
        <v>8.27</v>
      </c>
      <c r="J94" s="112">
        <v>0.49</v>
      </c>
      <c r="K94" s="112">
        <v>35.01</v>
      </c>
      <c r="L94" s="112">
        <v>38.61</v>
      </c>
      <c r="M94" s="112">
        <v>26.06</v>
      </c>
      <c r="N94" s="112">
        <v>0</v>
      </c>
      <c r="O94" s="112">
        <v>0</v>
      </c>
      <c r="P94" s="112">
        <v>1.04</v>
      </c>
      <c r="Q94" s="112">
        <v>4.97</v>
      </c>
    </row>
    <row r="95" spans="1:17" customFormat="1">
      <c r="A95" s="80">
        <v>45442.90625</v>
      </c>
      <c r="B95" s="112">
        <v>7.21</v>
      </c>
      <c r="C95" s="112">
        <v>6.11</v>
      </c>
      <c r="D95" s="112">
        <v>13.99</v>
      </c>
      <c r="E95" s="112">
        <v>19.97</v>
      </c>
      <c r="F95" s="112">
        <v>10.84</v>
      </c>
      <c r="G95" s="112">
        <v>72.819999999999993</v>
      </c>
      <c r="H95" s="112">
        <v>21.96</v>
      </c>
      <c r="I95" s="112">
        <v>8.7200000000000006</v>
      </c>
      <c r="J95" s="112">
        <v>0.31</v>
      </c>
      <c r="K95" s="112">
        <v>24.48</v>
      </c>
      <c r="L95" s="112">
        <v>38.25</v>
      </c>
      <c r="M95" s="112">
        <v>26.88</v>
      </c>
      <c r="N95" s="112">
        <v>0</v>
      </c>
      <c r="O95" s="112">
        <v>0</v>
      </c>
      <c r="P95" s="112">
        <v>1</v>
      </c>
      <c r="Q95" s="112">
        <v>4.97</v>
      </c>
    </row>
    <row r="96" spans="1:17" customFormat="1">
      <c r="A96" s="80">
        <v>45442.916666666664</v>
      </c>
      <c r="B96" s="112">
        <v>7.21</v>
      </c>
      <c r="C96" s="112">
        <v>6.11</v>
      </c>
      <c r="D96" s="112">
        <v>13.98</v>
      </c>
      <c r="E96" s="112">
        <v>25.66</v>
      </c>
      <c r="F96" s="112">
        <v>7.78</v>
      </c>
      <c r="G96" s="112">
        <v>72.819999999999993</v>
      </c>
      <c r="H96" s="112">
        <v>21.96</v>
      </c>
      <c r="I96" s="112">
        <v>9.23</v>
      </c>
      <c r="J96" s="112">
        <v>0.21</v>
      </c>
      <c r="K96" s="112">
        <v>178.05</v>
      </c>
      <c r="L96" s="112">
        <v>37.35</v>
      </c>
      <c r="M96" s="112">
        <v>31.18</v>
      </c>
      <c r="N96" s="112">
        <v>0</v>
      </c>
      <c r="O96" s="112">
        <v>0</v>
      </c>
      <c r="P96" s="112">
        <v>0.89</v>
      </c>
      <c r="Q96" s="112">
        <v>4.99</v>
      </c>
    </row>
    <row r="97" spans="1:22" customFormat="1">
      <c r="A97" s="80">
        <v>45442.927083333336</v>
      </c>
      <c r="B97" s="112">
        <v>7.21</v>
      </c>
      <c r="C97" s="112">
        <v>6.1</v>
      </c>
      <c r="D97" s="112">
        <v>13.98</v>
      </c>
      <c r="E97" s="112">
        <v>18.61</v>
      </c>
      <c r="F97" s="112">
        <v>9.2200000000000006</v>
      </c>
      <c r="G97" s="112">
        <v>72.819999999999993</v>
      </c>
      <c r="H97" s="112">
        <v>21.96</v>
      </c>
      <c r="I97" s="112">
        <v>9.57</v>
      </c>
      <c r="J97" s="112">
        <v>0.2</v>
      </c>
      <c r="K97" s="112">
        <v>174.9</v>
      </c>
      <c r="L97" s="112">
        <v>36.1</v>
      </c>
      <c r="M97" s="112">
        <v>34.53</v>
      </c>
      <c r="N97" s="112">
        <v>0</v>
      </c>
      <c r="O97" s="112">
        <v>0</v>
      </c>
      <c r="P97" s="112">
        <v>0.85</v>
      </c>
      <c r="Q97" s="112">
        <v>4.97</v>
      </c>
    </row>
    <row r="98" spans="1:22" customFormat="1">
      <c r="A98" s="80">
        <v>45442.9375</v>
      </c>
      <c r="B98" s="112">
        <v>7.21</v>
      </c>
      <c r="C98" s="112">
        <v>6.09</v>
      </c>
      <c r="D98" s="112">
        <v>13.97</v>
      </c>
      <c r="E98" s="112">
        <v>17.25</v>
      </c>
      <c r="F98" s="112">
        <v>12.72</v>
      </c>
      <c r="G98" s="112">
        <v>83.47</v>
      </c>
      <c r="H98" s="112">
        <v>24.86</v>
      </c>
      <c r="I98" s="112">
        <v>9.33</v>
      </c>
      <c r="J98" s="112">
        <v>0.22</v>
      </c>
      <c r="K98" s="112">
        <v>174.22</v>
      </c>
      <c r="L98" s="112">
        <v>35.6</v>
      </c>
      <c r="M98" s="112">
        <v>36.22</v>
      </c>
      <c r="N98" s="112">
        <v>0</v>
      </c>
      <c r="O98" s="112">
        <v>0</v>
      </c>
      <c r="P98" s="112">
        <v>0.83</v>
      </c>
      <c r="Q98" s="112">
        <v>4.97</v>
      </c>
    </row>
    <row r="99" spans="1:22" customFormat="1">
      <c r="A99" s="80">
        <v>45442.947916666664</v>
      </c>
      <c r="B99" s="112">
        <v>7.23</v>
      </c>
      <c r="C99" s="112">
        <v>6.06</v>
      </c>
      <c r="D99" s="112">
        <v>13.97</v>
      </c>
      <c r="E99" s="112">
        <v>16.39</v>
      </c>
      <c r="F99" s="112">
        <v>11.12</v>
      </c>
      <c r="G99" s="112">
        <v>85.77</v>
      </c>
      <c r="H99" s="112">
        <v>24.86</v>
      </c>
      <c r="I99" s="112">
        <v>8.9</v>
      </c>
      <c r="J99" s="112">
        <v>0.44</v>
      </c>
      <c r="K99" s="112">
        <v>171.03</v>
      </c>
      <c r="L99" s="112">
        <v>35.04</v>
      </c>
      <c r="M99" s="112">
        <v>36.950000000000003</v>
      </c>
      <c r="N99" s="112">
        <v>0</v>
      </c>
      <c r="O99" s="112">
        <v>0</v>
      </c>
      <c r="P99" s="112">
        <v>0.83</v>
      </c>
      <c r="Q99" s="112">
        <v>4.97</v>
      </c>
    </row>
    <row r="100" spans="1:22" customFormat="1">
      <c r="A100" s="80">
        <v>45442.958333333336</v>
      </c>
      <c r="B100" s="112">
        <v>7.26</v>
      </c>
      <c r="C100" s="112">
        <v>6.09</v>
      </c>
      <c r="D100" s="112">
        <v>14.01</v>
      </c>
      <c r="E100" s="112">
        <v>15.68</v>
      </c>
      <c r="F100" s="112">
        <v>12.06</v>
      </c>
      <c r="G100" s="112">
        <v>85.77</v>
      </c>
      <c r="H100" s="112">
        <v>24.86</v>
      </c>
      <c r="I100" s="112">
        <v>8.92</v>
      </c>
      <c r="J100" s="112">
        <v>0.25</v>
      </c>
      <c r="K100" s="112">
        <v>162.97999999999999</v>
      </c>
      <c r="L100" s="112">
        <v>34.840000000000003</v>
      </c>
      <c r="M100" s="112">
        <v>37.47</v>
      </c>
      <c r="N100" s="112">
        <v>0</v>
      </c>
      <c r="O100" s="112">
        <v>0</v>
      </c>
      <c r="P100" s="112">
        <v>0.83</v>
      </c>
      <c r="Q100" s="112">
        <v>4.9800000000000004</v>
      </c>
    </row>
    <row r="101" spans="1:22" customFormat="1">
      <c r="A101" s="80">
        <v>45442.96875</v>
      </c>
      <c r="B101" s="112">
        <v>7.26</v>
      </c>
      <c r="C101" s="112">
        <v>6.12</v>
      </c>
      <c r="D101" s="112">
        <v>14.03</v>
      </c>
      <c r="E101" s="112">
        <v>14.1</v>
      </c>
      <c r="F101" s="112">
        <v>12.11</v>
      </c>
      <c r="G101" s="112">
        <v>85.77</v>
      </c>
      <c r="H101" s="112">
        <v>24.86</v>
      </c>
      <c r="I101" s="112">
        <v>9.02</v>
      </c>
      <c r="J101" s="112">
        <v>0.14000000000000001</v>
      </c>
      <c r="K101" s="112">
        <v>160.05000000000001</v>
      </c>
      <c r="L101" s="112">
        <v>34.729999999999997</v>
      </c>
      <c r="M101" s="112">
        <v>37.28</v>
      </c>
      <c r="N101" s="112">
        <v>0</v>
      </c>
      <c r="O101" s="112">
        <v>0</v>
      </c>
      <c r="P101" s="112">
        <v>0.83</v>
      </c>
      <c r="Q101" s="112">
        <v>5.25</v>
      </c>
    </row>
    <row r="102" spans="1:22" customFormat="1">
      <c r="A102" s="80">
        <v>45442.979166666664</v>
      </c>
      <c r="B102" s="112">
        <v>7.3</v>
      </c>
      <c r="C102" s="112">
        <v>6.08</v>
      </c>
      <c r="D102" s="112">
        <v>14.04</v>
      </c>
      <c r="E102" s="112">
        <v>12.64</v>
      </c>
      <c r="F102" s="112">
        <v>12.33</v>
      </c>
      <c r="G102" s="112">
        <v>83.81</v>
      </c>
      <c r="H102" s="112">
        <v>24.71</v>
      </c>
      <c r="I102" s="112">
        <v>9.1300000000000008</v>
      </c>
      <c r="J102" s="112">
        <v>0.13</v>
      </c>
      <c r="K102" s="112">
        <v>153.63</v>
      </c>
      <c r="L102" s="112">
        <v>34.700000000000003</v>
      </c>
      <c r="M102" s="112">
        <v>37.07</v>
      </c>
      <c r="N102" s="112">
        <v>0</v>
      </c>
      <c r="O102" s="112">
        <v>0</v>
      </c>
      <c r="P102" s="112">
        <v>0.78</v>
      </c>
      <c r="Q102" s="112">
        <v>5.05</v>
      </c>
    </row>
    <row r="103" spans="1:22" customFormat="1">
      <c r="A103" s="80">
        <v>45442.989583333336</v>
      </c>
      <c r="B103" s="112">
        <v>7.33</v>
      </c>
      <c r="C103" s="112">
        <v>6.11</v>
      </c>
      <c r="D103" s="112">
        <v>14.08</v>
      </c>
      <c r="E103" s="112">
        <v>12.45</v>
      </c>
      <c r="F103" s="112">
        <v>14.02</v>
      </c>
      <c r="G103" s="112">
        <v>83.39</v>
      </c>
      <c r="H103" s="112">
        <v>24.71</v>
      </c>
      <c r="I103" s="112">
        <v>9.25</v>
      </c>
      <c r="J103" s="112">
        <v>0.18</v>
      </c>
      <c r="K103" s="112">
        <v>155.4</v>
      </c>
      <c r="L103" s="112">
        <v>34.950000000000003</v>
      </c>
      <c r="M103" s="112">
        <v>35.42</v>
      </c>
      <c r="N103" s="112">
        <v>0</v>
      </c>
      <c r="O103" s="112">
        <v>0</v>
      </c>
      <c r="P103" s="112">
        <v>0.75</v>
      </c>
      <c r="Q103" s="112">
        <v>5.0199999999999996</v>
      </c>
    </row>
    <row r="104" spans="1:22" customFormat="1">
      <c r="A104" s="80">
        <v>45443</v>
      </c>
      <c r="B104" s="112">
        <v>7.29</v>
      </c>
      <c r="C104" s="112">
        <v>6.12</v>
      </c>
      <c r="D104" s="112">
        <v>14.05</v>
      </c>
      <c r="E104" s="112">
        <v>12.24</v>
      </c>
      <c r="F104" s="112">
        <v>6.56</v>
      </c>
      <c r="G104" s="112">
        <v>83.39</v>
      </c>
      <c r="H104" s="112">
        <v>24.71</v>
      </c>
      <c r="I104" s="112">
        <v>9.1999999999999993</v>
      </c>
      <c r="J104" s="112">
        <v>0.08</v>
      </c>
      <c r="K104" s="112">
        <v>337.81</v>
      </c>
      <c r="L104" s="112">
        <v>34.99</v>
      </c>
      <c r="M104" s="112">
        <v>35.83</v>
      </c>
      <c r="N104" s="112">
        <v>0</v>
      </c>
      <c r="O104" s="112">
        <v>0</v>
      </c>
      <c r="P104" s="112">
        <v>0.77</v>
      </c>
      <c r="Q104" s="112">
        <v>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7.17</v>
      </c>
      <c r="C106" s="183">
        <f>MIN(C9:C104)</f>
        <v>6.02</v>
      </c>
      <c r="D106" s="183">
        <f t="shared" ref="D106:Q106" si="0">MIN(D9:D104)</f>
        <v>13.92</v>
      </c>
      <c r="E106" s="183">
        <f t="shared" si="0"/>
        <v>8.82</v>
      </c>
      <c r="F106" s="183">
        <f t="shared" si="0"/>
        <v>6.56</v>
      </c>
      <c r="G106" s="183">
        <f t="shared" si="0"/>
        <v>57.82</v>
      </c>
      <c r="H106" s="183">
        <f t="shared" si="0"/>
        <v>17.97</v>
      </c>
      <c r="I106" s="183">
        <f t="shared" si="0"/>
        <v>5.44</v>
      </c>
      <c r="J106" s="183">
        <f t="shared" si="0"/>
        <v>0.06</v>
      </c>
      <c r="K106" s="183">
        <f t="shared" si="0"/>
        <v>24.48</v>
      </c>
      <c r="L106" s="183">
        <f t="shared" si="0"/>
        <v>30.99</v>
      </c>
      <c r="M106" s="183">
        <f t="shared" si="0"/>
        <v>13.92</v>
      </c>
      <c r="N106" s="183">
        <f t="shared" si="0"/>
        <v>0</v>
      </c>
      <c r="O106" s="183">
        <f t="shared" si="0"/>
        <v>0</v>
      </c>
      <c r="P106" s="183">
        <f t="shared" si="0"/>
        <v>0.4</v>
      </c>
      <c r="Q106" s="183">
        <f t="shared" si="0"/>
        <v>4.92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7.35</v>
      </c>
      <c r="C107" s="184">
        <f t="shared" ref="C107:Q107" si="1">MAX(C9:C104)</f>
        <v>6.21</v>
      </c>
      <c r="D107" s="184">
        <f t="shared" si="1"/>
        <v>14.13</v>
      </c>
      <c r="E107" s="184">
        <f t="shared" si="1"/>
        <v>25.66</v>
      </c>
      <c r="F107" s="184">
        <f t="shared" si="1"/>
        <v>53.7</v>
      </c>
      <c r="G107" s="184">
        <f t="shared" si="1"/>
        <v>85.77</v>
      </c>
      <c r="H107" s="184">
        <f t="shared" si="1"/>
        <v>28.95</v>
      </c>
      <c r="I107" s="184">
        <f t="shared" si="1"/>
        <v>11.01</v>
      </c>
      <c r="J107" s="184">
        <f t="shared" si="1"/>
        <v>1.64</v>
      </c>
      <c r="K107" s="184">
        <f t="shared" si="1"/>
        <v>359.7</v>
      </c>
      <c r="L107" s="184">
        <f t="shared" si="1"/>
        <v>46.62</v>
      </c>
      <c r="M107" s="184">
        <f t="shared" si="1"/>
        <v>51.71</v>
      </c>
      <c r="N107" s="184">
        <f t="shared" si="1"/>
        <v>771.8</v>
      </c>
      <c r="O107" s="184">
        <f t="shared" si="1"/>
        <v>0</v>
      </c>
      <c r="P107" s="184">
        <f t="shared" si="1"/>
        <v>1.04</v>
      </c>
      <c r="Q107" s="184">
        <f t="shared" si="1"/>
        <v>5.55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7.2513541666666717</v>
      </c>
      <c r="C108" s="183">
        <f t="shared" ref="C108:Q108" si="2">AVERAGE(C9:C104)</f>
        <v>6.0883333333333347</v>
      </c>
      <c r="D108" s="183">
        <f t="shared" si="2"/>
        <v>14.004687500000005</v>
      </c>
      <c r="E108" s="183">
        <f t="shared" si="2"/>
        <v>13.958645833333337</v>
      </c>
      <c r="F108" s="183">
        <f t="shared" si="2"/>
        <v>21.476458333333337</v>
      </c>
      <c r="G108" s="183">
        <f t="shared" si="2"/>
        <v>69.508750000000006</v>
      </c>
      <c r="H108" s="183">
        <f t="shared" si="2"/>
        <v>22.143020833333328</v>
      </c>
      <c r="I108" s="183">
        <f t="shared" si="2"/>
        <v>7.2075000000000022</v>
      </c>
      <c r="J108" s="183">
        <f t="shared" si="2"/>
        <v>0.56177083333333366</v>
      </c>
      <c r="K108" s="183">
        <f t="shared" si="2"/>
        <v>244.3352083333333</v>
      </c>
      <c r="L108" s="183">
        <f t="shared" si="2"/>
        <v>38.397187499999987</v>
      </c>
      <c r="M108" s="183">
        <f t="shared" si="2"/>
        <v>30.995937499999986</v>
      </c>
      <c r="N108" s="183">
        <f t="shared" si="2"/>
        <v>147.33854166666666</v>
      </c>
      <c r="O108" s="183">
        <f t="shared" si="2"/>
        <v>0</v>
      </c>
      <c r="P108" s="183">
        <f t="shared" si="2"/>
        <v>0.62041666666666651</v>
      </c>
      <c r="Q108" s="183">
        <f t="shared" si="2"/>
        <v>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4.0200020729679493E-2</v>
      </c>
      <c r="C109" s="183">
        <f t="shared" ref="C109:Q109" si="3">STDEV(C9:C104)</f>
        <v>2.856817024027257E-2</v>
      </c>
      <c r="D109" s="183">
        <f t="shared" si="3"/>
        <v>3.679110661988539E-2</v>
      </c>
      <c r="E109" s="183">
        <f t="shared" si="3"/>
        <v>4.0218907885906967</v>
      </c>
      <c r="F109" s="183">
        <f t="shared" si="3"/>
        <v>11.150126171499169</v>
      </c>
      <c r="G109" s="183">
        <f t="shared" si="3"/>
        <v>7.0599242951060619</v>
      </c>
      <c r="H109" s="183">
        <f t="shared" si="3"/>
        <v>3.0743259833975283</v>
      </c>
      <c r="I109" s="183">
        <f t="shared" si="3"/>
        <v>1.3293076947676163</v>
      </c>
      <c r="J109" s="183">
        <f t="shared" si="3"/>
        <v>0.37333206551319764</v>
      </c>
      <c r="K109" s="183">
        <f t="shared" si="3"/>
        <v>63.305578534915597</v>
      </c>
      <c r="L109" s="183">
        <f t="shared" si="3"/>
        <v>5.1672606410839794</v>
      </c>
      <c r="M109" s="183">
        <f t="shared" si="3"/>
        <v>13.064955904864492</v>
      </c>
      <c r="N109" s="183">
        <f t="shared" si="3"/>
        <v>231.12802165388851</v>
      </c>
      <c r="O109" s="183">
        <f t="shared" si="3"/>
        <v>0</v>
      </c>
      <c r="P109" s="183">
        <f t="shared" si="3"/>
        <v>0.1304318064750726</v>
      </c>
      <c r="Q109" s="183">
        <f t="shared" si="3"/>
        <v>9.1605561770906535E-2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ySplit="8" topLeftCell="A66" activePane="bottomLeft" state="frozen"/>
      <selection activeCell="A9" sqref="A9"/>
      <selection pane="bottomLef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45443.010416666664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45443.010416666664</v>
      </c>
      <c r="B9" s="112">
        <v>7.27</v>
      </c>
      <c r="C9" s="112">
        <v>6.18</v>
      </c>
      <c r="D9" s="112">
        <v>14.07</v>
      </c>
      <c r="E9" s="112">
        <v>11.89</v>
      </c>
      <c r="F9" s="112">
        <v>3.02</v>
      </c>
      <c r="G9" s="112">
        <v>83.39</v>
      </c>
      <c r="H9" s="112">
        <v>24.71</v>
      </c>
      <c r="I9" s="112">
        <v>9.07</v>
      </c>
      <c r="J9" s="112">
        <v>0.18</v>
      </c>
      <c r="K9" s="112">
        <v>217.52</v>
      </c>
      <c r="L9" s="112">
        <v>34.85</v>
      </c>
      <c r="M9" s="112">
        <v>37.69</v>
      </c>
      <c r="N9" s="112">
        <v>0</v>
      </c>
      <c r="O9" s="112">
        <v>0</v>
      </c>
      <c r="P9" s="112">
        <v>0.83</v>
      </c>
      <c r="Q9" s="112">
        <v>5.03</v>
      </c>
    </row>
    <row r="10" spans="1:21" customFormat="1">
      <c r="A10" s="80">
        <v>45443.020833333336</v>
      </c>
      <c r="B10" s="112">
        <v>7.27</v>
      </c>
      <c r="C10" s="112">
        <v>6.11</v>
      </c>
      <c r="D10" s="112">
        <v>14.03</v>
      </c>
      <c r="E10" s="112">
        <v>10.84</v>
      </c>
      <c r="F10" s="112">
        <v>3.27</v>
      </c>
      <c r="G10" s="112">
        <v>85.14</v>
      </c>
      <c r="H10" s="112">
        <v>25.81</v>
      </c>
      <c r="I10" s="112">
        <v>9.41</v>
      </c>
      <c r="J10" s="112">
        <v>0.16</v>
      </c>
      <c r="K10" s="112">
        <v>169.67</v>
      </c>
      <c r="L10" s="112">
        <v>34.270000000000003</v>
      </c>
      <c r="M10" s="112">
        <v>39.770000000000003</v>
      </c>
      <c r="N10" s="112">
        <v>0</v>
      </c>
      <c r="O10" s="112">
        <v>0</v>
      </c>
      <c r="P10" s="112">
        <v>0.82</v>
      </c>
      <c r="Q10" s="112">
        <v>5</v>
      </c>
    </row>
    <row r="11" spans="1:21" customFormat="1">
      <c r="A11" s="80">
        <v>45443.03125</v>
      </c>
      <c r="B11" s="112">
        <v>7.28</v>
      </c>
      <c r="C11" s="112">
        <v>6.08</v>
      </c>
      <c r="D11" s="112">
        <v>14.02</v>
      </c>
      <c r="E11" s="112">
        <v>10.55</v>
      </c>
      <c r="F11" s="112">
        <v>6.67</v>
      </c>
      <c r="G11" s="112">
        <v>85.52</v>
      </c>
      <c r="H11" s="112">
        <v>25.81</v>
      </c>
      <c r="I11" s="112">
        <v>9.64</v>
      </c>
      <c r="J11" s="112">
        <v>0.18</v>
      </c>
      <c r="K11" s="112">
        <v>184.16</v>
      </c>
      <c r="L11" s="112">
        <v>33.82</v>
      </c>
      <c r="M11" s="112">
        <v>40.97</v>
      </c>
      <c r="N11" s="112">
        <v>0</v>
      </c>
      <c r="O11" s="112">
        <v>0</v>
      </c>
      <c r="P11" s="112">
        <v>0.79</v>
      </c>
      <c r="Q11" s="112">
        <v>4.99</v>
      </c>
    </row>
    <row r="12" spans="1:21" customFormat="1">
      <c r="A12" s="80">
        <v>45443.041666666664</v>
      </c>
      <c r="B12" s="112">
        <v>7.3</v>
      </c>
      <c r="C12" s="112">
        <v>6.03</v>
      </c>
      <c r="D12" s="112">
        <v>14.01</v>
      </c>
      <c r="E12" s="112">
        <v>10.79</v>
      </c>
      <c r="F12" s="112">
        <v>9.1199999999999992</v>
      </c>
      <c r="G12" s="112">
        <v>85.52</v>
      </c>
      <c r="H12" s="112">
        <v>25.81</v>
      </c>
      <c r="I12" s="112">
        <v>9.61</v>
      </c>
      <c r="J12" s="112">
        <v>0.11</v>
      </c>
      <c r="K12" s="112">
        <v>186.9</v>
      </c>
      <c r="L12" s="112">
        <v>33.47</v>
      </c>
      <c r="M12" s="112">
        <v>41.21</v>
      </c>
      <c r="N12" s="112">
        <v>0</v>
      </c>
      <c r="O12" s="112">
        <v>0</v>
      </c>
      <c r="P12" s="112">
        <v>0.79</v>
      </c>
      <c r="Q12" s="112">
        <v>4.99</v>
      </c>
    </row>
    <row r="13" spans="1:21" customFormat="1">
      <c r="A13" s="80">
        <v>45443.052083333336</v>
      </c>
      <c r="B13" s="112">
        <v>7.29</v>
      </c>
      <c r="C13" s="112">
        <v>6.06</v>
      </c>
      <c r="D13" s="112">
        <v>14.02</v>
      </c>
      <c r="E13" s="112">
        <v>9.89</v>
      </c>
      <c r="F13" s="112">
        <v>7.35</v>
      </c>
      <c r="G13" s="112">
        <v>85.52</v>
      </c>
      <c r="H13" s="112">
        <v>25.81</v>
      </c>
      <c r="I13" s="112">
        <v>9.59</v>
      </c>
      <c r="J13" s="112">
        <v>0.16</v>
      </c>
      <c r="K13" s="112">
        <v>192.55</v>
      </c>
      <c r="L13" s="112">
        <v>33.54</v>
      </c>
      <c r="M13" s="112">
        <v>41.78</v>
      </c>
      <c r="N13" s="112">
        <v>0</v>
      </c>
      <c r="O13" s="112">
        <v>0</v>
      </c>
      <c r="P13" s="112">
        <v>0.78</v>
      </c>
      <c r="Q13" s="112">
        <v>5</v>
      </c>
    </row>
    <row r="14" spans="1:21" customFormat="1">
      <c r="A14" s="80">
        <v>45443.0625</v>
      </c>
      <c r="B14" s="112">
        <v>7.29</v>
      </c>
      <c r="C14" s="112">
        <v>6.07</v>
      </c>
      <c r="D14" s="112">
        <v>14.03</v>
      </c>
      <c r="E14" s="112">
        <v>10.6</v>
      </c>
      <c r="F14" s="112">
        <v>5.62</v>
      </c>
      <c r="G14" s="112">
        <v>85.02</v>
      </c>
      <c r="H14" s="112">
        <v>24.21</v>
      </c>
      <c r="I14" s="112">
        <v>9.48</v>
      </c>
      <c r="J14" s="112">
        <v>0.19</v>
      </c>
      <c r="K14" s="112">
        <v>130.72</v>
      </c>
      <c r="L14" s="112">
        <v>33.33</v>
      </c>
      <c r="M14" s="112">
        <v>41.08</v>
      </c>
      <c r="N14" s="112">
        <v>0</v>
      </c>
      <c r="O14" s="112">
        <v>0</v>
      </c>
      <c r="P14" s="112">
        <v>0.77</v>
      </c>
      <c r="Q14" s="112">
        <v>5</v>
      </c>
    </row>
    <row r="15" spans="1:21" customFormat="1">
      <c r="A15" s="80">
        <v>45443.072916666664</v>
      </c>
      <c r="B15" s="112">
        <v>7.27</v>
      </c>
      <c r="C15" s="112">
        <v>6.09</v>
      </c>
      <c r="D15" s="112">
        <v>14.02</v>
      </c>
      <c r="E15" s="112">
        <v>9.7100000000000009</v>
      </c>
      <c r="F15" s="112">
        <v>5.88</v>
      </c>
      <c r="G15" s="112">
        <v>84.92</v>
      </c>
      <c r="H15" s="112">
        <v>24.21</v>
      </c>
      <c r="I15" s="112">
        <v>9.35</v>
      </c>
      <c r="J15" s="112">
        <v>0.27</v>
      </c>
      <c r="K15" s="112">
        <v>200.43</v>
      </c>
      <c r="L15" s="112">
        <v>33.020000000000003</v>
      </c>
      <c r="M15" s="112">
        <v>42.55</v>
      </c>
      <c r="N15" s="112">
        <v>0</v>
      </c>
      <c r="O15" s="112">
        <v>0</v>
      </c>
      <c r="P15" s="112">
        <v>0.77</v>
      </c>
      <c r="Q15" s="112">
        <v>4.99</v>
      </c>
    </row>
    <row r="16" spans="1:21" customFormat="1">
      <c r="A16" s="80">
        <v>45443.083333333336</v>
      </c>
      <c r="B16" s="112">
        <v>7.26</v>
      </c>
      <c r="C16" s="112">
        <v>6.08</v>
      </c>
      <c r="D16" s="112">
        <v>14.01</v>
      </c>
      <c r="E16" s="112">
        <v>10.199999999999999</v>
      </c>
      <c r="F16" s="112">
        <v>7.45</v>
      </c>
      <c r="G16" s="112">
        <v>84.92</v>
      </c>
      <c r="H16" s="112">
        <v>24.21</v>
      </c>
      <c r="I16" s="112">
        <v>9.33</v>
      </c>
      <c r="J16" s="112">
        <v>0.16</v>
      </c>
      <c r="K16" s="112">
        <v>162.22</v>
      </c>
      <c r="L16" s="112">
        <v>32.71</v>
      </c>
      <c r="M16" s="112">
        <v>42.31</v>
      </c>
      <c r="N16" s="112">
        <v>0</v>
      </c>
      <c r="O16" s="112">
        <v>0</v>
      </c>
      <c r="P16" s="112">
        <v>0.76</v>
      </c>
      <c r="Q16" s="112">
        <v>4.9800000000000004</v>
      </c>
    </row>
    <row r="17" spans="1:17" customFormat="1">
      <c r="A17" s="80">
        <v>45443.09375</v>
      </c>
      <c r="B17" s="112">
        <v>7.27</v>
      </c>
      <c r="C17" s="112">
        <v>6.09</v>
      </c>
      <c r="D17" s="112">
        <v>14.02</v>
      </c>
      <c r="E17" s="112">
        <v>10.45</v>
      </c>
      <c r="F17" s="112">
        <v>7.94</v>
      </c>
      <c r="G17" s="112">
        <v>84.92</v>
      </c>
      <c r="H17" s="112">
        <v>24.21</v>
      </c>
      <c r="I17" s="112">
        <v>9.32</v>
      </c>
      <c r="J17" s="112">
        <v>0.22</v>
      </c>
      <c r="K17" s="112">
        <v>176.47</v>
      </c>
      <c r="L17" s="112">
        <v>32.69</v>
      </c>
      <c r="M17" s="112">
        <v>42.69</v>
      </c>
      <c r="N17" s="112">
        <v>0</v>
      </c>
      <c r="O17" s="112">
        <v>0</v>
      </c>
      <c r="P17" s="112">
        <v>0.76</v>
      </c>
      <c r="Q17" s="112">
        <v>4.9800000000000004</v>
      </c>
    </row>
    <row r="18" spans="1:17" customFormat="1">
      <c r="A18" s="80">
        <v>45443.104166666664</v>
      </c>
      <c r="B18" s="112">
        <v>7.26</v>
      </c>
      <c r="C18" s="112">
        <v>6.12</v>
      </c>
      <c r="D18" s="112">
        <v>14.03</v>
      </c>
      <c r="E18" s="112">
        <v>12.6</v>
      </c>
      <c r="F18" s="112">
        <v>6.2</v>
      </c>
      <c r="G18" s="112">
        <v>84.91</v>
      </c>
      <c r="H18" s="112">
        <v>23.97</v>
      </c>
      <c r="I18" s="112">
        <v>9.19</v>
      </c>
      <c r="J18" s="112">
        <v>0.23</v>
      </c>
      <c r="K18" s="112">
        <v>197.44</v>
      </c>
      <c r="L18" s="112">
        <v>32.299999999999997</v>
      </c>
      <c r="M18" s="112">
        <v>44.79</v>
      </c>
      <c r="N18" s="112">
        <v>0</v>
      </c>
      <c r="O18" s="112">
        <v>0</v>
      </c>
      <c r="P18" s="112">
        <v>0.77</v>
      </c>
      <c r="Q18" s="112">
        <v>4.99</v>
      </c>
    </row>
    <row r="19" spans="1:17" customFormat="1">
      <c r="A19" s="80">
        <v>45443.114583333336</v>
      </c>
      <c r="B19" s="112">
        <v>7.27</v>
      </c>
      <c r="C19" s="112">
        <v>6.09</v>
      </c>
      <c r="D19" s="112">
        <v>14.02</v>
      </c>
      <c r="E19" s="112">
        <v>12.43</v>
      </c>
      <c r="F19" s="112">
        <v>7.27</v>
      </c>
      <c r="G19" s="112">
        <v>84.91</v>
      </c>
      <c r="H19" s="112">
        <v>23.97</v>
      </c>
      <c r="I19" s="112">
        <v>9.15</v>
      </c>
      <c r="J19" s="112">
        <v>0.19</v>
      </c>
      <c r="K19" s="112">
        <v>169.81</v>
      </c>
      <c r="L19" s="112">
        <v>32.130000000000003</v>
      </c>
      <c r="M19" s="112">
        <v>44.24</v>
      </c>
      <c r="N19" s="112">
        <v>0</v>
      </c>
      <c r="O19" s="112">
        <v>0</v>
      </c>
      <c r="P19" s="112">
        <v>0.76</v>
      </c>
      <c r="Q19" s="112">
        <v>4.99</v>
      </c>
    </row>
    <row r="20" spans="1:17" customFormat="1">
      <c r="A20" s="80">
        <v>45443.125</v>
      </c>
      <c r="B20" s="112">
        <v>7.26</v>
      </c>
      <c r="C20" s="112">
        <v>6.1</v>
      </c>
      <c r="D20" s="112">
        <v>14.02</v>
      </c>
      <c r="E20" s="112">
        <v>12.17</v>
      </c>
      <c r="F20" s="112">
        <v>5.75</v>
      </c>
      <c r="G20" s="112">
        <v>84.91</v>
      </c>
      <c r="H20" s="112">
        <v>23.97</v>
      </c>
      <c r="I20" s="112">
        <v>9.15</v>
      </c>
      <c r="J20" s="112">
        <v>0.1</v>
      </c>
      <c r="K20" s="112">
        <v>125.28</v>
      </c>
      <c r="L20" s="112">
        <v>31.6</v>
      </c>
      <c r="M20" s="112">
        <v>45.49</v>
      </c>
      <c r="N20" s="112">
        <v>0</v>
      </c>
      <c r="O20" s="112">
        <v>0</v>
      </c>
      <c r="P20" s="112">
        <v>0.76</v>
      </c>
      <c r="Q20" s="112">
        <v>4.9800000000000004</v>
      </c>
    </row>
    <row r="21" spans="1:17" customFormat="1">
      <c r="A21" s="80">
        <v>45443.135416666664</v>
      </c>
      <c r="B21" s="112">
        <v>7.28</v>
      </c>
      <c r="C21" s="112">
        <v>6.15</v>
      </c>
      <c r="D21" s="112">
        <v>14.06</v>
      </c>
      <c r="E21" s="112">
        <v>13.42</v>
      </c>
      <c r="F21" s="112">
        <v>4</v>
      </c>
      <c r="G21" s="112">
        <v>84.91</v>
      </c>
      <c r="H21" s="112">
        <v>23.97</v>
      </c>
      <c r="I21" s="112">
        <v>9.17</v>
      </c>
      <c r="J21" s="112">
        <v>0.1</v>
      </c>
      <c r="K21" s="112">
        <v>138.80000000000001</v>
      </c>
      <c r="L21" s="112">
        <v>32.19</v>
      </c>
      <c r="M21" s="112">
        <v>42.11</v>
      </c>
      <c r="N21" s="112">
        <v>0</v>
      </c>
      <c r="O21" s="112">
        <v>0</v>
      </c>
      <c r="P21" s="112">
        <v>0.75</v>
      </c>
      <c r="Q21" s="112">
        <v>4.9800000000000004</v>
      </c>
    </row>
    <row r="22" spans="1:17" customFormat="1">
      <c r="A22" s="80">
        <v>45443.145833333336</v>
      </c>
      <c r="B22" s="112">
        <v>7.29</v>
      </c>
      <c r="C22" s="112">
        <v>6.14</v>
      </c>
      <c r="D22" s="112">
        <v>14.07</v>
      </c>
      <c r="E22" s="112">
        <v>13.12</v>
      </c>
      <c r="F22" s="112">
        <v>2.31</v>
      </c>
      <c r="G22" s="112">
        <v>76.48</v>
      </c>
      <c r="H22" s="112">
        <v>24.92</v>
      </c>
      <c r="I22" s="112">
        <v>9.1</v>
      </c>
      <c r="J22" s="112">
        <v>0.2</v>
      </c>
      <c r="K22" s="112">
        <v>177.7</v>
      </c>
      <c r="L22" s="112">
        <v>32.090000000000003</v>
      </c>
      <c r="M22" s="112">
        <v>44.87</v>
      </c>
      <c r="N22" s="112">
        <v>0</v>
      </c>
      <c r="O22" s="112">
        <v>0</v>
      </c>
      <c r="P22" s="112">
        <v>0.75</v>
      </c>
      <c r="Q22" s="112">
        <v>4.99</v>
      </c>
    </row>
    <row r="23" spans="1:17" customFormat="1">
      <c r="A23" s="80">
        <v>45443.15625</v>
      </c>
      <c r="B23" s="112">
        <v>7.29</v>
      </c>
      <c r="C23" s="112">
        <v>6.06</v>
      </c>
      <c r="D23" s="112">
        <v>14.02</v>
      </c>
      <c r="E23" s="112">
        <v>12.97</v>
      </c>
      <c r="F23" s="112">
        <v>3.22</v>
      </c>
      <c r="G23" s="112">
        <v>74.66</v>
      </c>
      <c r="H23" s="112">
        <v>24.92</v>
      </c>
      <c r="I23" s="112">
        <v>8.98</v>
      </c>
      <c r="J23" s="112">
        <v>0.14000000000000001</v>
      </c>
      <c r="K23" s="112">
        <v>209.72</v>
      </c>
      <c r="L23" s="112">
        <v>31.51</v>
      </c>
      <c r="M23" s="112">
        <v>45.33</v>
      </c>
      <c r="N23" s="112">
        <v>0</v>
      </c>
      <c r="O23" s="112">
        <v>0</v>
      </c>
      <c r="P23" s="112">
        <v>0.74</v>
      </c>
      <c r="Q23" s="112">
        <v>4.99</v>
      </c>
    </row>
    <row r="24" spans="1:17" customFormat="1">
      <c r="A24" s="80">
        <v>45443.166666666664</v>
      </c>
      <c r="B24" s="112">
        <v>7.25</v>
      </c>
      <c r="C24" s="112">
        <v>6.06</v>
      </c>
      <c r="D24" s="112">
        <v>13.99</v>
      </c>
      <c r="E24" s="112">
        <v>12.07</v>
      </c>
      <c r="F24" s="112">
        <v>3.21</v>
      </c>
      <c r="G24" s="112">
        <v>74.66</v>
      </c>
      <c r="H24" s="112">
        <v>24.92</v>
      </c>
      <c r="I24" s="112">
        <v>8.9600000000000009</v>
      </c>
      <c r="J24" s="112">
        <v>0.28000000000000003</v>
      </c>
      <c r="K24" s="112">
        <v>175.04</v>
      </c>
      <c r="L24" s="112">
        <v>31.63</v>
      </c>
      <c r="M24" s="112">
        <v>45.77</v>
      </c>
      <c r="N24" s="112">
        <v>0</v>
      </c>
      <c r="O24" s="112">
        <v>0</v>
      </c>
      <c r="P24" s="112">
        <v>0.75</v>
      </c>
      <c r="Q24" s="112">
        <v>4.99</v>
      </c>
    </row>
    <row r="25" spans="1:17" customFormat="1">
      <c r="A25" s="80">
        <v>45443.177083333336</v>
      </c>
      <c r="B25" s="112">
        <v>7.24</v>
      </c>
      <c r="C25" s="112">
        <v>6.07</v>
      </c>
      <c r="D25" s="112">
        <v>13.99</v>
      </c>
      <c r="E25" s="112">
        <v>12.71</v>
      </c>
      <c r="F25" s="112">
        <v>4.74</v>
      </c>
      <c r="G25" s="112">
        <v>74.66</v>
      </c>
      <c r="H25" s="112">
        <v>24.92</v>
      </c>
      <c r="I25" s="112">
        <v>8.91</v>
      </c>
      <c r="J25" s="112">
        <v>0.28999999999999998</v>
      </c>
      <c r="K25" s="112">
        <v>174.82</v>
      </c>
      <c r="L25" s="112">
        <v>30.84</v>
      </c>
      <c r="M25" s="112">
        <v>48.78</v>
      </c>
      <c r="N25" s="112">
        <v>0</v>
      </c>
      <c r="O25" s="112">
        <v>0</v>
      </c>
      <c r="P25" s="112">
        <v>0.74</v>
      </c>
      <c r="Q25" s="112">
        <v>4.9800000000000004</v>
      </c>
    </row>
    <row r="26" spans="1:17" customFormat="1">
      <c r="A26" s="80">
        <v>45443.1875</v>
      </c>
      <c r="B26" s="112">
        <v>7.25</v>
      </c>
      <c r="C26" s="112">
        <v>6.07</v>
      </c>
      <c r="D26" s="112">
        <v>14</v>
      </c>
      <c r="E26" s="112">
        <v>12.95</v>
      </c>
      <c r="F26" s="112">
        <v>6.65</v>
      </c>
      <c r="G26" s="112">
        <v>75.39</v>
      </c>
      <c r="H26" s="112">
        <v>25.42</v>
      </c>
      <c r="I26" s="112">
        <v>9.01</v>
      </c>
      <c r="J26" s="112">
        <v>0.23</v>
      </c>
      <c r="K26" s="112">
        <v>187.98</v>
      </c>
      <c r="L26" s="112">
        <v>30.53</v>
      </c>
      <c r="M26" s="112">
        <v>49.44</v>
      </c>
      <c r="N26" s="112">
        <v>0</v>
      </c>
      <c r="O26" s="112">
        <v>0</v>
      </c>
      <c r="P26" s="112">
        <v>0.73</v>
      </c>
      <c r="Q26" s="112">
        <v>4.97</v>
      </c>
    </row>
    <row r="27" spans="1:17" customFormat="1">
      <c r="A27" s="80">
        <v>45443.197916666664</v>
      </c>
      <c r="B27" s="112">
        <v>7.28</v>
      </c>
      <c r="C27" s="112">
        <v>6.07</v>
      </c>
      <c r="D27" s="112">
        <v>14.01</v>
      </c>
      <c r="E27" s="112">
        <v>12.98</v>
      </c>
      <c r="F27" s="112">
        <v>8.35</v>
      </c>
      <c r="G27" s="112">
        <v>75.540000000000006</v>
      </c>
      <c r="H27" s="112">
        <v>25.42</v>
      </c>
      <c r="I27" s="112">
        <v>8.81</v>
      </c>
      <c r="J27" s="112">
        <v>0.19</v>
      </c>
      <c r="K27" s="112">
        <v>161.76</v>
      </c>
      <c r="L27" s="112">
        <v>30.57</v>
      </c>
      <c r="M27" s="112">
        <v>48.05</v>
      </c>
      <c r="N27" s="112">
        <v>0</v>
      </c>
      <c r="O27" s="112">
        <v>0</v>
      </c>
      <c r="P27" s="112">
        <v>0.7</v>
      </c>
      <c r="Q27" s="112">
        <v>4.97</v>
      </c>
    </row>
    <row r="28" spans="1:17" customFormat="1">
      <c r="A28" s="80">
        <v>45443.208333333336</v>
      </c>
      <c r="B28" s="112">
        <v>7.24</v>
      </c>
      <c r="C28" s="112">
        <v>6.09</v>
      </c>
      <c r="D28" s="112">
        <v>14</v>
      </c>
      <c r="E28" s="112">
        <v>13.4</v>
      </c>
      <c r="F28" s="112">
        <v>11.91</v>
      </c>
      <c r="G28" s="112">
        <v>75.540000000000006</v>
      </c>
      <c r="H28" s="112">
        <v>25.42</v>
      </c>
      <c r="I28" s="112">
        <v>8.52</v>
      </c>
      <c r="J28" s="112">
        <v>0.2</v>
      </c>
      <c r="K28" s="112">
        <v>194.95</v>
      </c>
      <c r="L28" s="112">
        <v>30.7</v>
      </c>
      <c r="M28" s="112">
        <v>45.02</v>
      </c>
      <c r="N28" s="112">
        <v>0</v>
      </c>
      <c r="O28" s="112">
        <v>0</v>
      </c>
      <c r="P28" s="112">
        <v>0.67</v>
      </c>
      <c r="Q28" s="112">
        <v>4.96</v>
      </c>
    </row>
    <row r="29" spans="1:17" customFormat="1">
      <c r="A29" s="80">
        <v>45443.21875</v>
      </c>
      <c r="B29" s="112">
        <v>7.24</v>
      </c>
      <c r="C29" s="112">
        <v>6.07</v>
      </c>
      <c r="D29" s="112">
        <v>13.99</v>
      </c>
      <c r="E29" s="112">
        <v>13.51</v>
      </c>
      <c r="F29" s="112">
        <v>15.86</v>
      </c>
      <c r="G29" s="112">
        <v>75.540000000000006</v>
      </c>
      <c r="H29" s="112">
        <v>25.42</v>
      </c>
      <c r="I29" s="112">
        <v>8.2899999999999991</v>
      </c>
      <c r="J29" s="112">
        <v>0.15</v>
      </c>
      <c r="K29" s="112">
        <v>194.05</v>
      </c>
      <c r="L29" s="112">
        <v>30.97</v>
      </c>
      <c r="M29" s="112">
        <v>43.18</v>
      </c>
      <c r="N29" s="112">
        <v>0</v>
      </c>
      <c r="O29" s="112">
        <v>0</v>
      </c>
      <c r="P29" s="112">
        <v>0.64</v>
      </c>
      <c r="Q29" s="112">
        <v>5.01</v>
      </c>
    </row>
    <row r="30" spans="1:17" customFormat="1">
      <c r="A30" s="80">
        <v>45443.229166666664</v>
      </c>
      <c r="B30" s="112">
        <v>7.23</v>
      </c>
      <c r="C30" s="112">
        <v>6.07</v>
      </c>
      <c r="D30" s="112">
        <v>13.98</v>
      </c>
      <c r="E30" s="112">
        <v>13.73</v>
      </c>
      <c r="F30" s="112">
        <v>18.5</v>
      </c>
      <c r="G30" s="112">
        <v>73.19</v>
      </c>
      <c r="H30" s="112">
        <v>24.24</v>
      </c>
      <c r="I30" s="112">
        <v>7.92</v>
      </c>
      <c r="J30" s="112">
        <v>0.18</v>
      </c>
      <c r="K30" s="112">
        <v>169.72</v>
      </c>
      <c r="L30" s="112">
        <v>30.89</v>
      </c>
      <c r="M30" s="112">
        <v>44</v>
      </c>
      <c r="N30" s="112">
        <v>1.2</v>
      </c>
      <c r="O30" s="112">
        <v>0</v>
      </c>
      <c r="P30" s="112">
        <v>0.63</v>
      </c>
      <c r="Q30" s="112">
        <v>5.0199999999999996</v>
      </c>
    </row>
    <row r="31" spans="1:17" customFormat="1">
      <c r="A31" s="80">
        <v>45443.239583333336</v>
      </c>
      <c r="B31" s="112">
        <v>7.23</v>
      </c>
      <c r="C31" s="112">
        <v>6.07</v>
      </c>
      <c r="D31" s="112">
        <v>13.97</v>
      </c>
      <c r="E31" s="112">
        <v>13.09</v>
      </c>
      <c r="F31" s="112">
        <v>14.64</v>
      </c>
      <c r="G31" s="112">
        <v>72.680000000000007</v>
      </c>
      <c r="H31" s="112">
        <v>24.24</v>
      </c>
      <c r="I31" s="112">
        <v>7.53</v>
      </c>
      <c r="J31" s="112">
        <v>0.1</v>
      </c>
      <c r="K31" s="112">
        <v>201.12</v>
      </c>
      <c r="L31" s="112">
        <v>31</v>
      </c>
      <c r="M31" s="112">
        <v>44.59</v>
      </c>
      <c r="N31" s="112">
        <v>10.9</v>
      </c>
      <c r="O31" s="112">
        <v>0</v>
      </c>
      <c r="P31" s="112">
        <v>0.62</v>
      </c>
      <c r="Q31" s="112">
        <v>5.01</v>
      </c>
    </row>
    <row r="32" spans="1:17" customFormat="1">
      <c r="A32" s="80">
        <v>45443.25</v>
      </c>
      <c r="B32" s="112">
        <v>7.24</v>
      </c>
      <c r="C32" s="112">
        <v>6.05</v>
      </c>
      <c r="D32" s="112">
        <v>13.98</v>
      </c>
      <c r="E32" s="112">
        <v>12.71</v>
      </c>
      <c r="F32" s="112">
        <v>11.99</v>
      </c>
      <c r="G32" s="112">
        <v>72.680000000000007</v>
      </c>
      <c r="H32" s="112">
        <v>24.24</v>
      </c>
      <c r="I32" s="112">
        <v>7.47</v>
      </c>
      <c r="J32" s="112">
        <v>0.21</v>
      </c>
      <c r="K32" s="112">
        <v>154.94999999999999</v>
      </c>
      <c r="L32" s="112">
        <v>31.28</v>
      </c>
      <c r="M32" s="112">
        <v>47.02</v>
      </c>
      <c r="N32" s="112">
        <v>23.5</v>
      </c>
      <c r="O32" s="112">
        <v>0</v>
      </c>
      <c r="P32" s="112">
        <v>0.65</v>
      </c>
      <c r="Q32" s="112">
        <v>5.04</v>
      </c>
    </row>
    <row r="33" spans="1:17" customFormat="1">
      <c r="A33" s="80">
        <v>45443.260416666664</v>
      </c>
      <c r="B33" s="112">
        <v>7.23</v>
      </c>
      <c r="C33" s="112">
        <v>6.06</v>
      </c>
      <c r="D33" s="112">
        <v>13.97</v>
      </c>
      <c r="E33" s="112">
        <v>12.78</v>
      </c>
      <c r="F33" s="112">
        <v>11.11</v>
      </c>
      <c r="G33" s="112">
        <v>72.680000000000007</v>
      </c>
      <c r="H33" s="112">
        <v>24.24</v>
      </c>
      <c r="I33" s="112">
        <v>7.69</v>
      </c>
      <c r="J33" s="112">
        <v>0.24</v>
      </c>
      <c r="K33" s="112">
        <v>171.73</v>
      </c>
      <c r="L33" s="112">
        <v>31.38</v>
      </c>
      <c r="M33" s="112">
        <v>47.15</v>
      </c>
      <c r="N33" s="112">
        <v>36.1</v>
      </c>
      <c r="O33" s="112">
        <v>0</v>
      </c>
      <c r="P33" s="112">
        <v>0.68</v>
      </c>
      <c r="Q33" s="112">
        <v>5.0199999999999996</v>
      </c>
    </row>
    <row r="34" spans="1:17" customFormat="1">
      <c r="A34" s="80">
        <v>45443.270833333336</v>
      </c>
      <c r="B34" s="112">
        <v>7.21</v>
      </c>
      <c r="C34" s="112">
        <v>6.07</v>
      </c>
      <c r="D34" s="112">
        <v>13.96</v>
      </c>
      <c r="E34" s="112">
        <v>12.68</v>
      </c>
      <c r="F34" s="112">
        <v>11.14</v>
      </c>
      <c r="G34" s="112">
        <v>72.489999999999995</v>
      </c>
      <c r="H34" s="112">
        <v>25.16</v>
      </c>
      <c r="I34" s="112">
        <v>8.1</v>
      </c>
      <c r="J34" s="112">
        <v>0.44</v>
      </c>
      <c r="K34" s="112">
        <v>173.26</v>
      </c>
      <c r="L34" s="112">
        <v>31.67</v>
      </c>
      <c r="M34" s="112">
        <v>47.95</v>
      </c>
      <c r="N34" s="112">
        <v>47.5</v>
      </c>
      <c r="O34" s="112">
        <v>0</v>
      </c>
      <c r="P34" s="112">
        <v>0.67</v>
      </c>
      <c r="Q34" s="112">
        <v>4.99</v>
      </c>
    </row>
    <row r="35" spans="1:17" customFormat="1">
      <c r="A35" s="80">
        <v>45443.28125</v>
      </c>
      <c r="B35" s="112">
        <v>7.22</v>
      </c>
      <c r="C35" s="112">
        <v>6.06</v>
      </c>
      <c r="D35" s="112">
        <v>13.97</v>
      </c>
      <c r="E35" s="112">
        <v>16.34</v>
      </c>
      <c r="F35" s="112">
        <v>13.48</v>
      </c>
      <c r="G35" s="112">
        <v>72.45</v>
      </c>
      <c r="H35" s="112">
        <v>25.16</v>
      </c>
      <c r="I35" s="112">
        <v>8.43</v>
      </c>
      <c r="J35" s="112">
        <v>0.33</v>
      </c>
      <c r="K35" s="112">
        <v>165.04</v>
      </c>
      <c r="L35" s="112">
        <v>32.72</v>
      </c>
      <c r="M35" s="112">
        <v>45.56</v>
      </c>
      <c r="N35" s="112">
        <v>59.5</v>
      </c>
      <c r="O35" s="112">
        <v>0</v>
      </c>
      <c r="P35" s="112">
        <v>0.7</v>
      </c>
      <c r="Q35" s="112">
        <v>4.9800000000000004</v>
      </c>
    </row>
    <row r="36" spans="1:17" customFormat="1">
      <c r="A36" s="80">
        <v>45443.291666666664</v>
      </c>
      <c r="B36" s="112">
        <v>7.22</v>
      </c>
      <c r="C36" s="112">
        <v>6.08</v>
      </c>
      <c r="D36" s="112">
        <v>13.98</v>
      </c>
      <c r="E36" s="112">
        <v>19</v>
      </c>
      <c r="F36" s="112">
        <v>17.79</v>
      </c>
      <c r="G36" s="112">
        <v>72.45</v>
      </c>
      <c r="H36" s="112">
        <v>25.16</v>
      </c>
      <c r="I36" s="112">
        <v>9.3800000000000008</v>
      </c>
      <c r="J36" s="112">
        <v>0.18</v>
      </c>
      <c r="K36" s="112">
        <v>188.03</v>
      </c>
      <c r="L36" s="112">
        <v>33.76</v>
      </c>
      <c r="M36" s="112">
        <v>43.37</v>
      </c>
      <c r="N36" s="112">
        <v>72.900000000000006</v>
      </c>
      <c r="O36" s="112">
        <v>0</v>
      </c>
      <c r="P36" s="112">
        <v>0.72</v>
      </c>
      <c r="Q36" s="112">
        <v>4.9800000000000004</v>
      </c>
    </row>
    <row r="37" spans="1:17" customFormat="1">
      <c r="A37" s="80">
        <v>45443.302083333336</v>
      </c>
      <c r="B37" s="112">
        <v>7.23</v>
      </c>
      <c r="C37" s="112">
        <v>6.08</v>
      </c>
      <c r="D37" s="112">
        <v>13.98</v>
      </c>
      <c r="E37" s="112">
        <v>24.16</v>
      </c>
      <c r="F37" s="112">
        <v>21.98</v>
      </c>
      <c r="G37" s="112">
        <v>72.45</v>
      </c>
      <c r="H37" s="112">
        <v>25.16</v>
      </c>
      <c r="I37" s="112">
        <v>10.38</v>
      </c>
      <c r="J37" s="112">
        <v>0.12</v>
      </c>
      <c r="K37" s="112">
        <v>165.8</v>
      </c>
      <c r="L37" s="112">
        <v>35.24</v>
      </c>
      <c r="M37" s="112">
        <v>38.979999999999997</v>
      </c>
      <c r="N37" s="112">
        <v>83.7</v>
      </c>
      <c r="O37" s="112">
        <v>0</v>
      </c>
      <c r="P37" s="112">
        <v>0.74</v>
      </c>
      <c r="Q37" s="112">
        <v>4.99</v>
      </c>
    </row>
    <row r="38" spans="1:17" customFormat="1">
      <c r="A38" s="80">
        <v>45443.3125</v>
      </c>
      <c r="B38" s="112">
        <v>7.23</v>
      </c>
      <c r="C38" s="112">
        <v>6.1</v>
      </c>
      <c r="D38" s="112">
        <v>14</v>
      </c>
      <c r="E38" s="112">
        <v>66.489999999999995</v>
      </c>
      <c r="F38" s="112">
        <v>24.07</v>
      </c>
      <c r="G38" s="112">
        <v>74.34</v>
      </c>
      <c r="H38" s="112">
        <v>26.76</v>
      </c>
      <c r="I38" s="112">
        <v>10.53</v>
      </c>
      <c r="J38" s="112">
        <v>0.4</v>
      </c>
      <c r="K38" s="112">
        <v>13.49</v>
      </c>
      <c r="L38" s="112">
        <v>36.619999999999997</v>
      </c>
      <c r="M38" s="112">
        <v>31.23</v>
      </c>
      <c r="N38" s="112">
        <v>94</v>
      </c>
      <c r="O38" s="112">
        <v>0</v>
      </c>
      <c r="P38" s="112">
        <v>0.83</v>
      </c>
      <c r="Q38" s="112">
        <v>4.99</v>
      </c>
    </row>
    <row r="39" spans="1:17" customFormat="1">
      <c r="A39" s="80">
        <v>45443.322916666664</v>
      </c>
      <c r="B39" s="112">
        <v>7.26</v>
      </c>
      <c r="C39" s="112">
        <v>6.07</v>
      </c>
      <c r="D39" s="112">
        <v>14.01</v>
      </c>
      <c r="E39" s="112">
        <v>89.05</v>
      </c>
      <c r="F39" s="112">
        <v>23.31</v>
      </c>
      <c r="G39" s="112">
        <v>74.75</v>
      </c>
      <c r="H39" s="112">
        <v>26.76</v>
      </c>
      <c r="I39" s="112">
        <v>10.28</v>
      </c>
      <c r="J39" s="112">
        <v>0.52</v>
      </c>
      <c r="K39" s="112">
        <v>37.369999999999997</v>
      </c>
      <c r="L39" s="112">
        <v>37.450000000000003</v>
      </c>
      <c r="M39" s="112">
        <v>28.96</v>
      </c>
      <c r="N39" s="112">
        <v>101.2</v>
      </c>
      <c r="O39" s="112">
        <v>0</v>
      </c>
      <c r="P39" s="112">
        <v>0.79</v>
      </c>
      <c r="Q39" s="112">
        <v>4.9800000000000004</v>
      </c>
    </row>
    <row r="40" spans="1:17" customFormat="1">
      <c r="A40" s="80">
        <v>45443.333333333336</v>
      </c>
      <c r="B40" s="112">
        <v>7.25</v>
      </c>
      <c r="C40" s="112">
        <v>6.09</v>
      </c>
      <c r="D40" s="112">
        <v>14</v>
      </c>
      <c r="E40" s="112">
        <v>105.75</v>
      </c>
      <c r="F40" s="112">
        <v>23.82</v>
      </c>
      <c r="G40" s="112">
        <v>74.75</v>
      </c>
      <c r="H40" s="112">
        <v>26.76</v>
      </c>
      <c r="I40" s="112">
        <v>10.029999999999999</v>
      </c>
      <c r="J40" s="112">
        <v>0.52</v>
      </c>
      <c r="K40" s="112">
        <v>14.35</v>
      </c>
      <c r="L40" s="112">
        <v>37.99</v>
      </c>
      <c r="M40" s="112">
        <v>28.44</v>
      </c>
      <c r="N40" s="112">
        <v>106.5</v>
      </c>
      <c r="O40" s="112">
        <v>0</v>
      </c>
      <c r="P40" s="112">
        <v>0.8</v>
      </c>
      <c r="Q40" s="112">
        <v>4.9800000000000004</v>
      </c>
    </row>
    <row r="41" spans="1:17" customFormat="1">
      <c r="A41" s="80">
        <v>45443.34375</v>
      </c>
      <c r="B41" s="112">
        <v>7.25</v>
      </c>
      <c r="C41" s="112">
        <v>6.09</v>
      </c>
      <c r="D41" s="112">
        <v>14.01</v>
      </c>
      <c r="E41" s="112">
        <v>128.32</v>
      </c>
      <c r="F41" s="112">
        <v>25.5</v>
      </c>
      <c r="G41" s="112">
        <v>74.75</v>
      </c>
      <c r="H41" s="112">
        <v>26.76</v>
      </c>
      <c r="I41" s="112">
        <v>9.9600000000000009</v>
      </c>
      <c r="J41" s="112">
        <v>0.48</v>
      </c>
      <c r="K41" s="112">
        <v>350.14</v>
      </c>
      <c r="L41" s="112">
        <v>38.49</v>
      </c>
      <c r="M41" s="112">
        <v>27.59</v>
      </c>
      <c r="N41" s="112">
        <v>117</v>
      </c>
      <c r="O41" s="112">
        <v>0</v>
      </c>
      <c r="P41" s="112">
        <v>0.82</v>
      </c>
      <c r="Q41" s="112">
        <v>4.9800000000000004</v>
      </c>
    </row>
    <row r="42" spans="1:17" customFormat="1">
      <c r="A42" s="80">
        <v>45443.354166666664</v>
      </c>
      <c r="B42" s="112">
        <v>7.26</v>
      </c>
      <c r="C42" s="112">
        <v>6.09</v>
      </c>
      <c r="D42" s="112">
        <v>14.01</v>
      </c>
      <c r="E42" s="112">
        <v>114.94</v>
      </c>
      <c r="F42" s="112">
        <v>24.64</v>
      </c>
      <c r="G42" s="112">
        <v>93.95</v>
      </c>
      <c r="H42" s="112">
        <v>33.270000000000003</v>
      </c>
      <c r="I42" s="112">
        <v>10.09</v>
      </c>
      <c r="J42" s="112">
        <v>0.56999999999999995</v>
      </c>
      <c r="K42" s="112">
        <v>352.36</v>
      </c>
      <c r="L42" s="112">
        <v>38.799999999999997</v>
      </c>
      <c r="M42" s="112">
        <v>25.79</v>
      </c>
      <c r="N42" s="112">
        <v>120.7</v>
      </c>
      <c r="O42" s="112">
        <v>0</v>
      </c>
      <c r="P42" s="112">
        <v>0.77</v>
      </c>
      <c r="Q42" s="112">
        <v>4.97</v>
      </c>
    </row>
    <row r="43" spans="1:17" customFormat="1">
      <c r="A43" s="80">
        <v>45443.364583333336</v>
      </c>
      <c r="B43" s="112">
        <v>7.26</v>
      </c>
      <c r="C43" s="112">
        <v>6.11</v>
      </c>
      <c r="D43" s="112">
        <v>14.02</v>
      </c>
      <c r="E43" s="112">
        <v>60.75</v>
      </c>
      <c r="F43" s="112">
        <v>19.45</v>
      </c>
      <c r="G43" s="112">
        <v>98.1</v>
      </c>
      <c r="H43" s="112">
        <v>33.270000000000003</v>
      </c>
      <c r="I43" s="112">
        <v>9.99</v>
      </c>
      <c r="J43" s="112">
        <v>0.44</v>
      </c>
      <c r="K43" s="112">
        <v>1.1299999999999999</v>
      </c>
      <c r="L43" s="112">
        <v>39.03</v>
      </c>
      <c r="M43" s="112">
        <v>25.26</v>
      </c>
      <c r="N43" s="112">
        <v>128.80000000000001</v>
      </c>
      <c r="O43" s="112">
        <v>0</v>
      </c>
      <c r="P43" s="112">
        <v>0.75</v>
      </c>
      <c r="Q43" s="112">
        <v>4.97</v>
      </c>
    </row>
    <row r="44" spans="1:17" customFormat="1">
      <c r="A44" s="80">
        <v>45443.375</v>
      </c>
      <c r="B44" s="112">
        <v>7.24</v>
      </c>
      <c r="C44" s="112">
        <v>6.1</v>
      </c>
      <c r="D44" s="112">
        <v>14</v>
      </c>
      <c r="E44" s="112">
        <v>62.29</v>
      </c>
      <c r="F44" s="112">
        <v>22.3</v>
      </c>
      <c r="G44" s="112">
        <v>98.1</v>
      </c>
      <c r="H44" s="112">
        <v>33.270000000000003</v>
      </c>
      <c r="I44" s="112">
        <v>9.44</v>
      </c>
      <c r="J44" s="112">
        <v>0.59</v>
      </c>
      <c r="K44" s="112">
        <v>342.37</v>
      </c>
      <c r="L44" s="112">
        <v>39.58</v>
      </c>
      <c r="M44" s="112">
        <v>22.76</v>
      </c>
      <c r="N44" s="112">
        <v>134.80000000000001</v>
      </c>
      <c r="O44" s="112">
        <v>0</v>
      </c>
      <c r="P44" s="112">
        <v>0.72</v>
      </c>
      <c r="Q44" s="112">
        <v>4.99</v>
      </c>
    </row>
    <row r="45" spans="1:17" customFormat="1">
      <c r="A45" s="80">
        <v>45443.385416666664</v>
      </c>
      <c r="B45" s="112">
        <v>7.29</v>
      </c>
      <c r="C45" s="112">
        <v>6.1</v>
      </c>
      <c r="D45" s="112">
        <v>14.05</v>
      </c>
      <c r="E45" s="112">
        <v>62.94</v>
      </c>
      <c r="F45" s="112">
        <v>25.11</v>
      </c>
      <c r="G45" s="112">
        <v>98.1</v>
      </c>
      <c r="H45" s="112">
        <v>33.270000000000003</v>
      </c>
      <c r="I45" s="112">
        <v>9.25</v>
      </c>
      <c r="J45" s="112">
        <v>0.9</v>
      </c>
      <c r="K45" s="112">
        <v>2.14</v>
      </c>
      <c r="L45" s="112">
        <v>40.340000000000003</v>
      </c>
      <c r="M45" s="112">
        <v>20.61</v>
      </c>
      <c r="N45" s="112">
        <v>144</v>
      </c>
      <c r="O45" s="112">
        <v>0</v>
      </c>
      <c r="P45" s="112">
        <v>0.66</v>
      </c>
      <c r="Q45" s="112">
        <v>4.99</v>
      </c>
    </row>
    <row r="46" spans="1:17" customFormat="1">
      <c r="A46" s="80">
        <v>45443.395833333336</v>
      </c>
      <c r="B46" s="112">
        <v>7.37</v>
      </c>
      <c r="C46" s="112">
        <v>6.08</v>
      </c>
      <c r="D46" s="112">
        <v>14.1</v>
      </c>
      <c r="E46" s="112">
        <v>55.91</v>
      </c>
      <c r="F46" s="112">
        <v>31.89</v>
      </c>
      <c r="G46" s="112">
        <v>104.07</v>
      </c>
      <c r="H46" s="112">
        <v>34.72</v>
      </c>
      <c r="I46" s="112">
        <v>8.82</v>
      </c>
      <c r="J46" s="112">
        <v>1.07</v>
      </c>
      <c r="K46" s="112">
        <v>10.92</v>
      </c>
      <c r="L46" s="112">
        <v>41.06</v>
      </c>
      <c r="M46" s="112">
        <v>19.91</v>
      </c>
      <c r="N46" s="112">
        <v>150.30000000000001</v>
      </c>
      <c r="O46" s="112">
        <v>0</v>
      </c>
      <c r="P46" s="112">
        <v>0.66</v>
      </c>
      <c r="Q46" s="112">
        <v>4.99</v>
      </c>
    </row>
    <row r="47" spans="1:17" customFormat="1">
      <c r="A47" s="80">
        <v>45443.40625</v>
      </c>
      <c r="B47" s="112">
        <v>7.37</v>
      </c>
      <c r="C47" s="112">
        <v>6.09</v>
      </c>
      <c r="D47" s="112">
        <v>14.1</v>
      </c>
      <c r="E47" s="112">
        <v>47.13</v>
      </c>
      <c r="F47" s="112">
        <v>26.89</v>
      </c>
      <c r="G47" s="112">
        <v>105.36</v>
      </c>
      <c r="H47" s="112">
        <v>34.72</v>
      </c>
      <c r="I47" s="112">
        <v>8.48</v>
      </c>
      <c r="J47" s="112">
        <v>0.66</v>
      </c>
      <c r="K47" s="112">
        <v>358.43</v>
      </c>
      <c r="L47" s="112">
        <v>41.36</v>
      </c>
      <c r="M47" s="112">
        <v>20.25</v>
      </c>
      <c r="N47" s="112">
        <v>159.9</v>
      </c>
      <c r="O47" s="112">
        <v>0</v>
      </c>
      <c r="P47" s="112">
        <v>0.67</v>
      </c>
      <c r="Q47" s="112">
        <v>4.99</v>
      </c>
    </row>
    <row r="48" spans="1:17" customFormat="1">
      <c r="A48" s="80">
        <v>45443.416666666664</v>
      </c>
      <c r="B48" s="112">
        <v>7.34</v>
      </c>
      <c r="C48" s="112">
        <v>6.08</v>
      </c>
      <c r="D48" s="112">
        <v>14.07</v>
      </c>
      <c r="E48" s="112">
        <v>33.31</v>
      </c>
      <c r="F48" s="112">
        <v>24.24</v>
      </c>
      <c r="G48" s="112">
        <v>105.36</v>
      </c>
      <c r="H48" s="112">
        <v>34.72</v>
      </c>
      <c r="I48" s="112">
        <v>8.1199999999999992</v>
      </c>
      <c r="J48" s="112">
        <v>1.43</v>
      </c>
      <c r="K48" s="112">
        <v>306.83999999999997</v>
      </c>
      <c r="L48" s="112">
        <v>41.34</v>
      </c>
      <c r="M48" s="112">
        <v>20.18</v>
      </c>
      <c r="N48" s="112">
        <v>165.1</v>
      </c>
      <c r="O48" s="112">
        <v>0</v>
      </c>
      <c r="P48" s="112">
        <v>0.68</v>
      </c>
      <c r="Q48" s="112">
        <v>5</v>
      </c>
    </row>
    <row r="49" spans="1:17" customFormat="1">
      <c r="A49" s="80">
        <v>45443.427083333336</v>
      </c>
      <c r="B49" s="112">
        <v>7.31</v>
      </c>
      <c r="C49" s="112">
        <v>6.08</v>
      </c>
      <c r="D49" s="112">
        <v>14.05</v>
      </c>
      <c r="E49" s="112">
        <v>17.97</v>
      </c>
      <c r="F49" s="112">
        <v>26.62</v>
      </c>
      <c r="G49" s="112">
        <v>105.36</v>
      </c>
      <c r="H49" s="112">
        <v>34.72</v>
      </c>
      <c r="I49" s="112">
        <v>8.2200000000000006</v>
      </c>
      <c r="J49" s="112">
        <v>1.42</v>
      </c>
      <c r="K49" s="112">
        <v>303.68</v>
      </c>
      <c r="L49" s="112">
        <v>41.51</v>
      </c>
      <c r="M49" s="112">
        <v>19.52</v>
      </c>
      <c r="N49" s="112">
        <v>170.8</v>
      </c>
      <c r="O49" s="112">
        <v>0</v>
      </c>
      <c r="P49" s="112">
        <v>0.66</v>
      </c>
      <c r="Q49" s="112">
        <v>4.99</v>
      </c>
    </row>
    <row r="50" spans="1:17" customFormat="1">
      <c r="A50" s="80">
        <v>45443.4375</v>
      </c>
      <c r="B50" s="112">
        <v>7.29</v>
      </c>
      <c r="C50" s="112">
        <v>6.09</v>
      </c>
      <c r="D50" s="112">
        <v>14.04</v>
      </c>
      <c r="E50" s="112">
        <v>26.26</v>
      </c>
      <c r="F50" s="112">
        <v>36.86</v>
      </c>
      <c r="G50" s="112">
        <v>110.15</v>
      </c>
      <c r="H50" s="112">
        <v>35.44</v>
      </c>
      <c r="I50" s="112">
        <v>8.5</v>
      </c>
      <c r="J50" s="112">
        <v>0.91</v>
      </c>
      <c r="K50" s="112">
        <v>336.37</v>
      </c>
      <c r="L50" s="112">
        <v>42.15</v>
      </c>
      <c r="M50" s="112">
        <v>18.96</v>
      </c>
      <c r="N50" s="112">
        <v>177.2</v>
      </c>
      <c r="O50" s="112">
        <v>0</v>
      </c>
      <c r="P50" s="112">
        <v>0.63</v>
      </c>
      <c r="Q50" s="112">
        <v>4.9800000000000004</v>
      </c>
    </row>
    <row r="51" spans="1:17" customFormat="1">
      <c r="A51" s="80">
        <v>45443.447916666664</v>
      </c>
      <c r="B51" s="112">
        <v>7.27</v>
      </c>
      <c r="C51" s="112">
        <v>6.09</v>
      </c>
      <c r="D51" s="112">
        <v>14.02</v>
      </c>
      <c r="E51" s="112">
        <v>35.28</v>
      </c>
      <c r="F51" s="112">
        <v>47.85</v>
      </c>
      <c r="G51" s="112">
        <v>111.19</v>
      </c>
      <c r="H51" s="112">
        <v>35.44</v>
      </c>
      <c r="I51" s="112">
        <v>8.1300000000000008</v>
      </c>
      <c r="J51" s="112">
        <v>0.78</v>
      </c>
      <c r="K51" s="112">
        <v>9.7200000000000006</v>
      </c>
      <c r="L51" s="112">
        <v>42.66</v>
      </c>
      <c r="M51" s="112">
        <v>18.78</v>
      </c>
      <c r="N51" s="112">
        <v>185.8</v>
      </c>
      <c r="O51" s="112">
        <v>0</v>
      </c>
      <c r="P51" s="112">
        <v>0.64</v>
      </c>
      <c r="Q51" s="112">
        <v>5</v>
      </c>
    </row>
    <row r="52" spans="1:17" customFormat="1">
      <c r="A52" s="80">
        <v>45443.458333333336</v>
      </c>
      <c r="B52" s="112">
        <v>7.28</v>
      </c>
      <c r="C52" s="112">
        <v>6.08</v>
      </c>
      <c r="D52" s="112">
        <v>14.02</v>
      </c>
      <c r="E52" s="112">
        <v>31.68</v>
      </c>
      <c r="F52" s="112">
        <v>48.63</v>
      </c>
      <c r="G52" s="112">
        <v>111.19</v>
      </c>
      <c r="H52" s="112">
        <v>35.44</v>
      </c>
      <c r="I52" s="112">
        <v>7.67</v>
      </c>
      <c r="J52" s="112">
        <v>0.98</v>
      </c>
      <c r="K52" s="112">
        <v>4.57</v>
      </c>
      <c r="L52" s="112">
        <v>42.66</v>
      </c>
      <c r="M52" s="112">
        <v>18.920000000000002</v>
      </c>
      <c r="N52" s="112">
        <v>195</v>
      </c>
      <c r="O52" s="112">
        <v>0</v>
      </c>
      <c r="P52" s="112">
        <v>0.61</v>
      </c>
      <c r="Q52" s="112">
        <v>4.9800000000000004</v>
      </c>
    </row>
    <row r="53" spans="1:17" customFormat="1">
      <c r="A53" s="80">
        <v>45443.46875</v>
      </c>
      <c r="B53" s="112">
        <v>7.29</v>
      </c>
      <c r="C53" s="112">
        <v>6.07</v>
      </c>
      <c r="D53" s="112">
        <v>14.03</v>
      </c>
      <c r="E53" s="112">
        <v>33.82</v>
      </c>
      <c r="F53" s="112">
        <v>52.38</v>
      </c>
      <c r="G53" s="112">
        <v>111.19</v>
      </c>
      <c r="H53" s="112">
        <v>35.44</v>
      </c>
      <c r="I53" s="112">
        <v>7.49</v>
      </c>
      <c r="J53" s="112">
        <v>0.9</v>
      </c>
      <c r="K53" s="112">
        <v>15.46</v>
      </c>
      <c r="L53" s="112">
        <v>43.19</v>
      </c>
      <c r="M53" s="112">
        <v>17.670000000000002</v>
      </c>
      <c r="N53" s="112">
        <v>207.1</v>
      </c>
      <c r="O53" s="112">
        <v>0</v>
      </c>
      <c r="P53" s="112">
        <v>0.6</v>
      </c>
      <c r="Q53" s="112">
        <v>4.9800000000000004</v>
      </c>
    </row>
    <row r="54" spans="1:17" customFormat="1">
      <c r="A54" s="80">
        <v>45443.479166666664</v>
      </c>
      <c r="B54" s="112">
        <v>7.29</v>
      </c>
      <c r="C54" s="112">
        <v>6.08</v>
      </c>
      <c r="D54" s="112">
        <v>14.03</v>
      </c>
      <c r="E54" s="112">
        <v>30.4</v>
      </c>
      <c r="F54" s="112">
        <v>42.99</v>
      </c>
      <c r="G54" s="112">
        <v>108.42</v>
      </c>
      <c r="H54" s="112">
        <v>35.340000000000003</v>
      </c>
      <c r="I54" s="112">
        <v>7.28</v>
      </c>
      <c r="J54" s="112">
        <v>1.1299999999999999</v>
      </c>
      <c r="K54" s="112">
        <v>336.62</v>
      </c>
      <c r="L54" s="112">
        <v>43.16</v>
      </c>
      <c r="M54" s="112">
        <v>18.18</v>
      </c>
      <c r="N54" s="112">
        <v>256.10000000000002</v>
      </c>
      <c r="O54" s="112">
        <v>0</v>
      </c>
      <c r="P54" s="112">
        <v>0.56000000000000005</v>
      </c>
      <c r="Q54" s="112">
        <v>4.97</v>
      </c>
    </row>
    <row r="55" spans="1:17" customFormat="1">
      <c r="A55" s="80">
        <v>45443.489583333336</v>
      </c>
      <c r="B55" s="112">
        <v>7.3</v>
      </c>
      <c r="C55" s="112">
        <v>6.06</v>
      </c>
      <c r="D55" s="112">
        <v>14.03</v>
      </c>
      <c r="E55" s="112">
        <v>24.48</v>
      </c>
      <c r="F55" s="112">
        <v>38.85</v>
      </c>
      <c r="G55" s="112">
        <v>107.82</v>
      </c>
      <c r="H55" s="112">
        <v>35.340000000000003</v>
      </c>
      <c r="I55" s="112">
        <v>7.06</v>
      </c>
      <c r="J55" s="112">
        <v>0.71</v>
      </c>
      <c r="K55" s="112">
        <v>347.69</v>
      </c>
      <c r="L55" s="112">
        <v>43.48</v>
      </c>
      <c r="M55" s="112">
        <v>17.57</v>
      </c>
      <c r="N55" s="112">
        <v>476.2</v>
      </c>
      <c r="O55" s="112">
        <v>0</v>
      </c>
      <c r="P55" s="112">
        <v>0.55000000000000004</v>
      </c>
      <c r="Q55" s="112">
        <v>4.9800000000000004</v>
      </c>
    </row>
    <row r="56" spans="1:17" customFormat="1">
      <c r="A56" s="80">
        <v>45443.5</v>
      </c>
      <c r="B56" s="112">
        <v>7.31</v>
      </c>
      <c r="C56" s="112">
        <v>6.07</v>
      </c>
      <c r="D56" s="112">
        <v>14.04</v>
      </c>
      <c r="E56" s="112">
        <v>18.88</v>
      </c>
      <c r="F56" s="112">
        <v>29.44</v>
      </c>
      <c r="G56" s="112">
        <v>107.82</v>
      </c>
      <c r="H56" s="112">
        <v>35.340000000000003</v>
      </c>
      <c r="I56" s="112">
        <v>6.86</v>
      </c>
      <c r="J56" s="112">
        <v>1.45</v>
      </c>
      <c r="K56" s="112">
        <v>306.14</v>
      </c>
      <c r="L56" s="112">
        <v>44.01</v>
      </c>
      <c r="M56" s="112">
        <v>15.96</v>
      </c>
      <c r="N56" s="112">
        <v>743</v>
      </c>
      <c r="O56" s="112">
        <v>0</v>
      </c>
      <c r="P56" s="112">
        <v>0.52</v>
      </c>
      <c r="Q56" s="112">
        <v>4.9800000000000004</v>
      </c>
    </row>
    <row r="57" spans="1:17" customFormat="1">
      <c r="A57" s="80">
        <v>45443.510416666664</v>
      </c>
      <c r="B57" s="112">
        <v>7.32</v>
      </c>
      <c r="C57" s="112">
        <v>6.08</v>
      </c>
      <c r="D57" s="112">
        <v>14.05</v>
      </c>
      <c r="E57" s="112">
        <v>14.52</v>
      </c>
      <c r="F57" s="112">
        <v>32.270000000000003</v>
      </c>
      <c r="G57" s="112">
        <v>107.82</v>
      </c>
      <c r="H57" s="112">
        <v>35.340000000000003</v>
      </c>
      <c r="I57" s="112">
        <v>6.58</v>
      </c>
      <c r="J57" s="112">
        <v>0.99</v>
      </c>
      <c r="K57" s="112">
        <v>302.98</v>
      </c>
      <c r="L57" s="112">
        <v>44.31</v>
      </c>
      <c r="M57" s="112">
        <v>15.55</v>
      </c>
      <c r="N57" s="112">
        <v>743</v>
      </c>
      <c r="O57" s="112">
        <v>0</v>
      </c>
      <c r="P57" s="112">
        <v>0.51</v>
      </c>
      <c r="Q57" s="112">
        <v>4.99</v>
      </c>
    </row>
    <row r="58" spans="1:17" customFormat="1">
      <c r="A58" s="80">
        <v>45443.520833333336</v>
      </c>
      <c r="B58" s="112">
        <v>7.31</v>
      </c>
      <c r="C58" s="112">
        <v>6.06</v>
      </c>
      <c r="D58" s="112">
        <v>14.04</v>
      </c>
      <c r="E58" s="112">
        <v>16.190000000000001</v>
      </c>
      <c r="F58" s="112">
        <v>35.9</v>
      </c>
      <c r="G58" s="112">
        <v>100.57</v>
      </c>
      <c r="H58" s="112">
        <v>32.340000000000003</v>
      </c>
      <c r="I58" s="112">
        <v>6.56</v>
      </c>
      <c r="J58" s="112">
        <v>0.81</v>
      </c>
      <c r="K58" s="112">
        <v>8.7799999999999994</v>
      </c>
      <c r="L58" s="112">
        <v>44.41</v>
      </c>
      <c r="M58" s="112">
        <v>15.89</v>
      </c>
      <c r="N58" s="112">
        <v>745</v>
      </c>
      <c r="O58" s="112">
        <v>0</v>
      </c>
      <c r="P58" s="112">
        <v>0.48</v>
      </c>
      <c r="Q58" s="112">
        <v>4.97</v>
      </c>
    </row>
    <row r="59" spans="1:17" customFormat="1">
      <c r="A59" s="80">
        <v>45443.53125</v>
      </c>
      <c r="B59" s="112">
        <v>7.31</v>
      </c>
      <c r="C59" s="112">
        <v>6.07</v>
      </c>
      <c r="D59" s="112">
        <v>14.05</v>
      </c>
      <c r="E59" s="112">
        <v>14.06</v>
      </c>
      <c r="F59" s="112">
        <v>36.43</v>
      </c>
      <c r="G59" s="112">
        <v>99</v>
      </c>
      <c r="H59" s="112">
        <v>32.340000000000003</v>
      </c>
      <c r="I59" s="112">
        <v>6.33</v>
      </c>
      <c r="J59" s="112">
        <v>1.05</v>
      </c>
      <c r="K59" s="112">
        <v>332.82</v>
      </c>
      <c r="L59" s="112">
        <v>44.78</v>
      </c>
      <c r="M59" s="112">
        <v>15.84</v>
      </c>
      <c r="N59" s="112">
        <v>724.8</v>
      </c>
      <c r="O59" s="112">
        <v>0</v>
      </c>
      <c r="P59" s="112">
        <v>0.48</v>
      </c>
      <c r="Q59" s="112">
        <v>4.97</v>
      </c>
    </row>
    <row r="60" spans="1:17" customFormat="1">
      <c r="A60" s="80">
        <v>45443.541666666664</v>
      </c>
      <c r="B60" s="112">
        <v>7.31</v>
      </c>
      <c r="C60" s="112">
        <v>6.11</v>
      </c>
      <c r="D60" s="112">
        <v>14.06</v>
      </c>
      <c r="E60" s="112">
        <v>13.61</v>
      </c>
      <c r="F60" s="112">
        <v>35.869999999999997</v>
      </c>
      <c r="G60" s="112">
        <v>99</v>
      </c>
      <c r="H60" s="112">
        <v>32.340000000000003</v>
      </c>
      <c r="I60" s="112">
        <v>6.05</v>
      </c>
      <c r="J60" s="112">
        <v>0.74</v>
      </c>
      <c r="K60" s="112">
        <v>299.68</v>
      </c>
      <c r="L60" s="112">
        <v>44.6</v>
      </c>
      <c r="M60" s="112">
        <v>15.67</v>
      </c>
      <c r="N60" s="112">
        <v>727.3</v>
      </c>
      <c r="O60" s="112">
        <v>0</v>
      </c>
      <c r="P60" s="112">
        <v>0.46</v>
      </c>
      <c r="Q60" s="112">
        <v>4.9800000000000004</v>
      </c>
    </row>
    <row r="61" spans="1:17" customFormat="1">
      <c r="A61" s="80">
        <v>45443.552083333336</v>
      </c>
      <c r="B61" s="112">
        <v>7.3</v>
      </c>
      <c r="C61" s="112">
        <v>6.08</v>
      </c>
      <c r="D61" s="112">
        <v>14.04</v>
      </c>
      <c r="E61" s="112">
        <v>12.45</v>
      </c>
      <c r="F61" s="112">
        <v>37.08</v>
      </c>
      <c r="G61" s="112">
        <v>99</v>
      </c>
      <c r="H61" s="112">
        <v>32.340000000000003</v>
      </c>
      <c r="I61" s="112">
        <v>5.86</v>
      </c>
      <c r="J61" s="112">
        <v>0.64</v>
      </c>
      <c r="K61" s="112">
        <v>349.57</v>
      </c>
      <c r="L61" s="112">
        <v>45.08</v>
      </c>
      <c r="M61" s="112">
        <v>14.98</v>
      </c>
      <c r="N61" s="112">
        <v>669.3</v>
      </c>
      <c r="O61" s="112">
        <v>0</v>
      </c>
      <c r="P61" s="112">
        <v>0.46</v>
      </c>
      <c r="Q61" s="112">
        <v>4.99</v>
      </c>
    </row>
    <row r="62" spans="1:17" customFormat="1">
      <c r="A62" s="80">
        <v>45443.5625</v>
      </c>
      <c r="B62" s="112">
        <v>7.3</v>
      </c>
      <c r="C62" s="112">
        <v>6.07</v>
      </c>
      <c r="D62" s="112">
        <v>14.03</v>
      </c>
      <c r="E62" s="112">
        <v>14.51</v>
      </c>
      <c r="F62" s="112">
        <v>48.33</v>
      </c>
      <c r="G62" s="112">
        <v>93.89</v>
      </c>
      <c r="H62" s="112">
        <v>28.18</v>
      </c>
      <c r="I62" s="112">
        <v>5.65</v>
      </c>
      <c r="J62" s="112">
        <v>0.65</v>
      </c>
      <c r="K62" s="112">
        <v>333.23</v>
      </c>
      <c r="L62" s="112">
        <v>45.94</v>
      </c>
      <c r="M62" s="112">
        <v>13.79</v>
      </c>
      <c r="N62" s="112">
        <v>324.10000000000002</v>
      </c>
      <c r="O62" s="112">
        <v>0</v>
      </c>
      <c r="P62" s="112">
        <v>0.42</v>
      </c>
      <c r="Q62" s="112">
        <v>4.97</v>
      </c>
    </row>
    <row r="63" spans="1:17" customFormat="1">
      <c r="A63" s="80">
        <v>45443.572916666664</v>
      </c>
      <c r="B63" s="112">
        <v>7.31</v>
      </c>
      <c r="C63" s="112">
        <v>6.08</v>
      </c>
      <c r="D63" s="112">
        <v>14.04</v>
      </c>
      <c r="E63" s="112">
        <v>12.89</v>
      </c>
      <c r="F63" s="112">
        <v>30.83</v>
      </c>
      <c r="G63" s="112">
        <v>92.79</v>
      </c>
      <c r="H63" s="112">
        <v>28.18</v>
      </c>
      <c r="I63" s="112">
        <v>5.33</v>
      </c>
      <c r="J63" s="112">
        <v>1.1599999999999999</v>
      </c>
      <c r="K63" s="112">
        <v>282.33999999999997</v>
      </c>
      <c r="L63" s="112">
        <v>45.13</v>
      </c>
      <c r="M63" s="112">
        <v>13.99</v>
      </c>
      <c r="N63" s="112">
        <v>373</v>
      </c>
      <c r="O63" s="112">
        <v>0</v>
      </c>
      <c r="P63" s="112">
        <v>0.45</v>
      </c>
      <c r="Q63" s="112">
        <v>4.95</v>
      </c>
    </row>
    <row r="64" spans="1:17" customFormat="1">
      <c r="A64" s="80">
        <v>45443.583333333336</v>
      </c>
      <c r="B64" s="112">
        <v>7.35</v>
      </c>
      <c r="C64" s="112">
        <v>6.15</v>
      </c>
      <c r="D64" s="112">
        <v>14.12</v>
      </c>
      <c r="E64" s="112">
        <v>12.74</v>
      </c>
      <c r="F64" s="112">
        <v>36.74</v>
      </c>
      <c r="G64" s="112">
        <v>92.79</v>
      </c>
      <c r="H64" s="112">
        <v>28.18</v>
      </c>
      <c r="I64" s="112">
        <v>5.15</v>
      </c>
      <c r="J64" s="112">
        <v>0.97</v>
      </c>
      <c r="K64" s="112">
        <v>345.34</v>
      </c>
      <c r="L64" s="112">
        <v>45.57</v>
      </c>
      <c r="M64" s="112">
        <v>13.43</v>
      </c>
      <c r="N64" s="112">
        <v>641.79999999999995</v>
      </c>
      <c r="O64" s="112">
        <v>0</v>
      </c>
      <c r="P64" s="112">
        <v>0.46</v>
      </c>
      <c r="Q64" s="112">
        <v>4.9400000000000004</v>
      </c>
    </row>
    <row r="65" spans="1:17" customFormat="1">
      <c r="A65" s="80">
        <v>45443.59375</v>
      </c>
      <c r="B65" s="112">
        <v>7.31</v>
      </c>
      <c r="C65" s="112">
        <v>6.13</v>
      </c>
      <c r="D65" s="112">
        <v>14.08</v>
      </c>
      <c r="E65" s="112">
        <v>12.97</v>
      </c>
      <c r="F65" s="112">
        <v>39.200000000000003</v>
      </c>
      <c r="G65" s="112">
        <v>92.79</v>
      </c>
      <c r="H65" s="112">
        <v>28.18</v>
      </c>
      <c r="I65" s="112">
        <v>5.39</v>
      </c>
      <c r="J65" s="112">
        <v>0.42</v>
      </c>
      <c r="K65" s="112">
        <v>290.25</v>
      </c>
      <c r="L65" s="112">
        <v>45.69</v>
      </c>
      <c r="M65" s="112">
        <v>13.73</v>
      </c>
      <c r="N65" s="112">
        <v>505.8</v>
      </c>
      <c r="O65" s="112">
        <v>0</v>
      </c>
      <c r="P65" s="112">
        <v>0.46</v>
      </c>
      <c r="Q65" s="112">
        <v>4.95</v>
      </c>
    </row>
    <row r="66" spans="1:17" customFormat="1">
      <c r="A66" s="80">
        <v>45443.604166666664</v>
      </c>
      <c r="B66" s="112">
        <v>7.27</v>
      </c>
      <c r="C66" s="112">
        <v>6.12</v>
      </c>
      <c r="D66" s="112">
        <v>14.04</v>
      </c>
      <c r="E66" s="112">
        <v>12.93</v>
      </c>
      <c r="F66" s="112">
        <v>41.88</v>
      </c>
      <c r="G66" s="112">
        <v>77.709999999999994</v>
      </c>
      <c r="H66" s="112">
        <v>26.4</v>
      </c>
      <c r="I66" s="112">
        <v>5.29</v>
      </c>
      <c r="J66" s="112">
        <v>0.69</v>
      </c>
      <c r="K66" s="112">
        <v>13.98</v>
      </c>
      <c r="L66" s="112">
        <v>45.62</v>
      </c>
      <c r="M66" s="112">
        <v>13.58</v>
      </c>
      <c r="N66" s="112">
        <v>455.8</v>
      </c>
      <c r="O66" s="112">
        <v>0</v>
      </c>
      <c r="P66" s="112">
        <v>0.46</v>
      </c>
      <c r="Q66" s="112">
        <v>4.96</v>
      </c>
    </row>
    <row r="67" spans="1:17" customFormat="1">
      <c r="A67" s="80">
        <v>45443.614583333336</v>
      </c>
      <c r="B67" s="112">
        <v>7.26</v>
      </c>
      <c r="C67" s="112">
        <v>6.11</v>
      </c>
      <c r="D67" s="112">
        <v>14.03</v>
      </c>
      <c r="E67" s="112">
        <v>12.33</v>
      </c>
      <c r="F67" s="112">
        <v>28.18</v>
      </c>
      <c r="G67" s="112">
        <v>74.45</v>
      </c>
      <c r="H67" s="112">
        <v>26.4</v>
      </c>
      <c r="I67" s="112">
        <v>4.9400000000000004</v>
      </c>
      <c r="J67" s="112">
        <v>1.54</v>
      </c>
      <c r="K67" s="112">
        <v>20.16</v>
      </c>
      <c r="L67" s="112">
        <v>45.38</v>
      </c>
      <c r="M67" s="112">
        <v>13.55</v>
      </c>
      <c r="N67" s="112">
        <v>589.5</v>
      </c>
      <c r="O67" s="112">
        <v>0</v>
      </c>
      <c r="P67" s="112">
        <v>0.5</v>
      </c>
      <c r="Q67" s="112">
        <v>4.9400000000000004</v>
      </c>
    </row>
    <row r="68" spans="1:17" customFormat="1">
      <c r="A68" s="80">
        <v>45443.625</v>
      </c>
      <c r="B68" s="112">
        <v>7.33</v>
      </c>
      <c r="C68" s="112">
        <v>6.08</v>
      </c>
      <c r="D68" s="112">
        <v>14.06</v>
      </c>
      <c r="E68" s="112">
        <v>10.92</v>
      </c>
      <c r="F68" s="112">
        <v>23</v>
      </c>
      <c r="G68" s="112">
        <v>74.45</v>
      </c>
      <c r="H68" s="112">
        <v>26.4</v>
      </c>
      <c r="I68" s="112">
        <v>5.04</v>
      </c>
      <c r="J68" s="112">
        <v>1.31</v>
      </c>
      <c r="K68" s="112">
        <v>291.10000000000002</v>
      </c>
      <c r="L68" s="112">
        <v>45.16</v>
      </c>
      <c r="M68" s="112">
        <v>13.59</v>
      </c>
      <c r="N68" s="112">
        <v>561.29999999999995</v>
      </c>
      <c r="O68" s="112">
        <v>0</v>
      </c>
      <c r="P68" s="112">
        <v>0.51</v>
      </c>
      <c r="Q68" s="112">
        <v>4.9400000000000004</v>
      </c>
    </row>
    <row r="69" spans="1:17" customFormat="1">
      <c r="A69" s="80">
        <v>45443.635416666664</v>
      </c>
      <c r="B69" s="112">
        <v>7.36</v>
      </c>
      <c r="C69" s="112">
        <v>6.08</v>
      </c>
      <c r="D69" s="112">
        <v>14.08</v>
      </c>
      <c r="E69" s="112">
        <v>10.3</v>
      </c>
      <c r="F69" s="112">
        <v>22.84</v>
      </c>
      <c r="G69" s="112">
        <v>74.45</v>
      </c>
      <c r="H69" s="112">
        <v>26.4</v>
      </c>
      <c r="I69" s="112">
        <v>5.43</v>
      </c>
      <c r="J69" s="112">
        <v>0.93</v>
      </c>
      <c r="K69" s="112">
        <v>290.93</v>
      </c>
      <c r="L69" s="112">
        <v>45.8</v>
      </c>
      <c r="M69" s="112">
        <v>13.03</v>
      </c>
      <c r="N69" s="112">
        <v>449.1</v>
      </c>
      <c r="O69" s="112">
        <v>0</v>
      </c>
      <c r="P69" s="112">
        <v>0.5</v>
      </c>
      <c r="Q69" s="112">
        <v>4.96</v>
      </c>
    </row>
    <row r="70" spans="1:17" customFormat="1">
      <c r="A70" s="80">
        <v>45443.645833333336</v>
      </c>
      <c r="B70" s="112">
        <v>7.36</v>
      </c>
      <c r="C70" s="112">
        <v>6.07</v>
      </c>
      <c r="D70" s="112">
        <v>14.08</v>
      </c>
      <c r="E70" s="112">
        <v>11.71</v>
      </c>
      <c r="F70" s="112">
        <v>26.24</v>
      </c>
      <c r="G70" s="112">
        <v>73.84</v>
      </c>
      <c r="H70" s="112">
        <v>24.19</v>
      </c>
      <c r="I70" s="112">
        <v>5.49</v>
      </c>
      <c r="J70" s="112">
        <v>0.87</v>
      </c>
      <c r="K70" s="112">
        <v>293.14999999999998</v>
      </c>
      <c r="L70" s="112">
        <v>44.72</v>
      </c>
      <c r="M70" s="112">
        <v>14.01</v>
      </c>
      <c r="N70" s="112">
        <v>228.6</v>
      </c>
      <c r="O70" s="112">
        <v>0</v>
      </c>
      <c r="P70" s="112">
        <v>0.49</v>
      </c>
      <c r="Q70" s="112">
        <v>4.95</v>
      </c>
    </row>
    <row r="71" spans="1:17" customFormat="1">
      <c r="A71" s="80">
        <v>45443.65625</v>
      </c>
      <c r="B71" s="112">
        <v>7.32</v>
      </c>
      <c r="C71" s="112">
        <v>6.12</v>
      </c>
      <c r="D71" s="112">
        <v>14.08</v>
      </c>
      <c r="E71" s="112">
        <v>9.64</v>
      </c>
      <c r="F71" s="112">
        <v>23.1</v>
      </c>
      <c r="G71" s="112">
        <v>73.709999999999994</v>
      </c>
      <c r="H71" s="112">
        <v>24.19</v>
      </c>
      <c r="I71" s="112">
        <v>5.43</v>
      </c>
      <c r="J71" s="112">
        <v>0.95</v>
      </c>
      <c r="K71" s="112">
        <v>292.54000000000002</v>
      </c>
      <c r="L71" s="112">
        <v>44.38</v>
      </c>
      <c r="M71" s="112">
        <v>14.76</v>
      </c>
      <c r="N71" s="112">
        <v>212.4</v>
      </c>
      <c r="O71" s="112">
        <v>0</v>
      </c>
      <c r="P71" s="112">
        <v>0.49</v>
      </c>
      <c r="Q71" s="112">
        <v>4.95</v>
      </c>
    </row>
    <row r="72" spans="1:17" customFormat="1">
      <c r="A72" s="80">
        <v>45443.666666666664</v>
      </c>
      <c r="B72" s="112">
        <v>7.4</v>
      </c>
      <c r="C72" s="112">
        <v>6.15</v>
      </c>
      <c r="D72" s="112">
        <v>14.15</v>
      </c>
      <c r="E72" s="112">
        <v>9.6300000000000008</v>
      </c>
      <c r="F72" s="112">
        <v>21.29</v>
      </c>
      <c r="G72" s="112">
        <v>73.709999999999994</v>
      </c>
      <c r="H72" s="112">
        <v>24.19</v>
      </c>
      <c r="I72" s="112">
        <v>5.37</v>
      </c>
      <c r="J72" s="112">
        <v>0.99</v>
      </c>
      <c r="K72" s="112">
        <v>286.14</v>
      </c>
      <c r="L72" s="112">
        <v>44.18</v>
      </c>
      <c r="M72" s="112">
        <v>15.1</v>
      </c>
      <c r="N72" s="112">
        <v>119.9</v>
      </c>
      <c r="O72" s="112">
        <v>0</v>
      </c>
      <c r="P72" s="112">
        <v>0.5</v>
      </c>
      <c r="Q72" s="112">
        <v>4.95</v>
      </c>
    </row>
    <row r="73" spans="1:17" customFormat="1">
      <c r="A73" s="80">
        <v>45443.677083333336</v>
      </c>
      <c r="B73" s="112">
        <v>7.4</v>
      </c>
      <c r="C73" s="112">
        <v>6.1</v>
      </c>
      <c r="D73" s="112">
        <v>14.13</v>
      </c>
      <c r="E73" s="112">
        <v>9.48</v>
      </c>
      <c r="F73" s="112">
        <v>22.89</v>
      </c>
      <c r="G73" s="112">
        <v>73.709999999999994</v>
      </c>
      <c r="H73" s="112">
        <v>24.19</v>
      </c>
      <c r="I73" s="112">
        <v>5.4</v>
      </c>
      <c r="J73" s="112">
        <v>1</v>
      </c>
      <c r="K73" s="112">
        <v>297.60000000000002</v>
      </c>
      <c r="L73" s="112">
        <v>43.65</v>
      </c>
      <c r="M73" s="112">
        <v>15.54</v>
      </c>
      <c r="N73" s="112">
        <v>95.7</v>
      </c>
      <c r="O73" s="112">
        <v>0</v>
      </c>
      <c r="P73" s="112">
        <v>0.51</v>
      </c>
      <c r="Q73" s="112">
        <v>4.97</v>
      </c>
    </row>
    <row r="74" spans="1:17" customFormat="1">
      <c r="A74" s="80">
        <v>45443.6875</v>
      </c>
      <c r="B74" s="112">
        <v>7.36</v>
      </c>
      <c r="C74" s="112">
        <v>6.12</v>
      </c>
      <c r="D74" s="112">
        <v>14.11</v>
      </c>
      <c r="E74" s="112">
        <v>9.31</v>
      </c>
      <c r="F74" s="112">
        <v>21.31</v>
      </c>
      <c r="G74" s="112">
        <v>70.58</v>
      </c>
      <c r="H74" s="112">
        <v>24.43</v>
      </c>
      <c r="I74" s="112">
        <v>5.38</v>
      </c>
      <c r="J74" s="112">
        <v>1.05</v>
      </c>
      <c r="K74" s="112">
        <v>290.70999999999998</v>
      </c>
      <c r="L74" s="112">
        <v>43.51</v>
      </c>
      <c r="M74" s="112">
        <v>15.97</v>
      </c>
      <c r="N74" s="112">
        <v>86.2</v>
      </c>
      <c r="O74" s="112">
        <v>0</v>
      </c>
      <c r="P74" s="112">
        <v>0.5</v>
      </c>
      <c r="Q74" s="112">
        <v>4.9800000000000004</v>
      </c>
    </row>
    <row r="75" spans="1:17" customFormat="1">
      <c r="A75" s="80">
        <v>45443.697916666664</v>
      </c>
      <c r="B75" s="112">
        <v>7.37</v>
      </c>
      <c r="C75" s="112">
        <v>6.23</v>
      </c>
      <c r="D75" s="112">
        <v>14.17</v>
      </c>
      <c r="E75" s="112">
        <v>8.85</v>
      </c>
      <c r="F75" s="112">
        <v>19.13</v>
      </c>
      <c r="G75" s="112">
        <v>69.900000000000006</v>
      </c>
      <c r="H75" s="112">
        <v>24.43</v>
      </c>
      <c r="I75" s="112">
        <v>5.19</v>
      </c>
      <c r="J75" s="112">
        <v>1.1200000000000001</v>
      </c>
      <c r="K75" s="112">
        <v>294.01</v>
      </c>
      <c r="L75" s="112">
        <v>43.09</v>
      </c>
      <c r="M75" s="112">
        <v>16.23</v>
      </c>
      <c r="N75" s="112">
        <v>56.3</v>
      </c>
      <c r="O75" s="112">
        <v>0</v>
      </c>
      <c r="P75" s="112">
        <v>0.51</v>
      </c>
      <c r="Q75" s="112">
        <v>4.97</v>
      </c>
    </row>
    <row r="76" spans="1:17" customFormat="1">
      <c r="A76" s="80">
        <v>45443.708333333336</v>
      </c>
      <c r="B76" s="112">
        <v>7.37</v>
      </c>
      <c r="C76" s="112">
        <v>6.11</v>
      </c>
      <c r="D76" s="112">
        <v>14.11</v>
      </c>
      <c r="E76" s="112">
        <v>9.7100000000000009</v>
      </c>
      <c r="F76" s="112">
        <v>23.21</v>
      </c>
      <c r="G76" s="112">
        <v>69.900000000000006</v>
      </c>
      <c r="H76" s="112">
        <v>24.43</v>
      </c>
      <c r="I76" s="112">
        <v>5.26</v>
      </c>
      <c r="J76" s="112">
        <v>0.69</v>
      </c>
      <c r="K76" s="112">
        <v>271.32</v>
      </c>
      <c r="L76" s="112">
        <v>42.81</v>
      </c>
      <c r="M76" s="112">
        <v>17.53</v>
      </c>
      <c r="N76" s="112">
        <v>62.3</v>
      </c>
      <c r="O76" s="112">
        <v>0</v>
      </c>
      <c r="P76" s="112">
        <v>0.5</v>
      </c>
      <c r="Q76" s="112">
        <v>4.95</v>
      </c>
    </row>
    <row r="77" spans="1:17" customFormat="1">
      <c r="A77" s="80">
        <v>45443.71875</v>
      </c>
      <c r="B77" s="112">
        <v>7.39</v>
      </c>
      <c r="C77" s="112">
        <v>6.08</v>
      </c>
      <c r="D77" s="112">
        <v>14.11</v>
      </c>
      <c r="E77" s="112">
        <v>8.93</v>
      </c>
      <c r="F77" s="112">
        <v>24.47</v>
      </c>
      <c r="G77" s="112">
        <v>69.900000000000006</v>
      </c>
      <c r="H77" s="112">
        <v>24.43</v>
      </c>
      <c r="I77" s="112">
        <v>5.25</v>
      </c>
      <c r="J77" s="112">
        <v>0.73</v>
      </c>
      <c r="K77" s="112">
        <v>257.23</v>
      </c>
      <c r="L77" s="112">
        <v>42.25</v>
      </c>
      <c r="M77" s="112">
        <v>18.93</v>
      </c>
      <c r="N77" s="112">
        <v>61.3</v>
      </c>
      <c r="O77" s="112">
        <v>0</v>
      </c>
      <c r="P77" s="112">
        <v>0.49</v>
      </c>
      <c r="Q77" s="112">
        <v>4.95</v>
      </c>
    </row>
    <row r="78" spans="1:17" customFormat="1">
      <c r="A78" s="80">
        <v>45443.729166666664</v>
      </c>
      <c r="B78" s="112">
        <v>7.38</v>
      </c>
      <c r="C78" s="112">
        <v>6.11</v>
      </c>
      <c r="D78" s="112">
        <v>14.12</v>
      </c>
      <c r="E78" s="112">
        <v>9.24</v>
      </c>
      <c r="F78" s="112">
        <v>29.51</v>
      </c>
      <c r="G78" s="112">
        <v>67.38</v>
      </c>
      <c r="H78" s="112">
        <v>17.98</v>
      </c>
      <c r="I78" s="112">
        <v>5.27</v>
      </c>
      <c r="J78" s="112">
        <v>0.63</v>
      </c>
      <c r="K78" s="112">
        <v>255.79</v>
      </c>
      <c r="L78" s="112">
        <v>42.24</v>
      </c>
      <c r="M78" s="112">
        <v>19.22</v>
      </c>
      <c r="N78" s="112">
        <v>79.900000000000006</v>
      </c>
      <c r="O78" s="112">
        <v>0</v>
      </c>
      <c r="P78" s="112">
        <v>0.48</v>
      </c>
      <c r="Q78" s="112">
        <v>4.95</v>
      </c>
    </row>
    <row r="79" spans="1:17" customFormat="1">
      <c r="A79" s="80">
        <v>45443.739583333336</v>
      </c>
      <c r="B79" s="112">
        <v>7.4</v>
      </c>
      <c r="C79" s="112">
        <v>6.08</v>
      </c>
      <c r="D79" s="112">
        <v>14.11</v>
      </c>
      <c r="E79" s="112">
        <v>9.2200000000000006</v>
      </c>
      <c r="F79" s="112">
        <v>29.04</v>
      </c>
      <c r="G79" s="112">
        <v>66.84</v>
      </c>
      <c r="H79" s="112">
        <v>17.98</v>
      </c>
      <c r="I79" s="112">
        <v>5.67</v>
      </c>
      <c r="J79" s="112">
        <v>0.56999999999999995</v>
      </c>
      <c r="K79" s="112">
        <v>254.17</v>
      </c>
      <c r="L79" s="112">
        <v>42.08</v>
      </c>
      <c r="M79" s="112">
        <v>19.77</v>
      </c>
      <c r="N79" s="112">
        <v>54</v>
      </c>
      <c r="O79" s="112">
        <v>0</v>
      </c>
      <c r="P79" s="112">
        <v>0.48</v>
      </c>
      <c r="Q79" s="112">
        <v>4.97</v>
      </c>
    </row>
    <row r="80" spans="1:17" customFormat="1">
      <c r="A80" s="80">
        <v>45443.75</v>
      </c>
      <c r="B80" s="112">
        <v>7.41</v>
      </c>
      <c r="C80" s="112">
        <v>6.06</v>
      </c>
      <c r="D80" s="112">
        <v>14.12</v>
      </c>
      <c r="E80" s="112">
        <v>9.8699999999999992</v>
      </c>
      <c r="F80" s="112">
        <v>28.07</v>
      </c>
      <c r="G80" s="112">
        <v>66.84</v>
      </c>
      <c r="H80" s="112">
        <v>17.98</v>
      </c>
      <c r="I80" s="112">
        <v>5.78</v>
      </c>
      <c r="J80" s="112">
        <v>0.6</v>
      </c>
      <c r="K80" s="112">
        <v>247.65</v>
      </c>
      <c r="L80" s="112">
        <v>41.78</v>
      </c>
      <c r="M80" s="112">
        <v>20.07</v>
      </c>
      <c r="N80" s="112">
        <v>30.9</v>
      </c>
      <c r="O80" s="112">
        <v>0</v>
      </c>
      <c r="P80" s="112">
        <v>0.49</v>
      </c>
      <c r="Q80" s="112">
        <v>4.9800000000000004</v>
      </c>
    </row>
    <row r="81" spans="1:17" customFormat="1">
      <c r="A81" s="80">
        <v>45443.760416666664</v>
      </c>
      <c r="B81" s="112">
        <v>7.4</v>
      </c>
      <c r="C81" s="112">
        <v>6.07</v>
      </c>
      <c r="D81" s="112">
        <v>14.11</v>
      </c>
      <c r="E81" s="112">
        <v>8.93</v>
      </c>
      <c r="F81" s="112">
        <v>15.45</v>
      </c>
      <c r="G81" s="112">
        <v>66.84</v>
      </c>
      <c r="H81" s="112">
        <v>17.98</v>
      </c>
      <c r="I81" s="112">
        <v>5.63</v>
      </c>
      <c r="J81" s="112">
        <v>0.52</v>
      </c>
      <c r="K81" s="112">
        <v>248.27</v>
      </c>
      <c r="L81" s="112">
        <v>41.61</v>
      </c>
      <c r="M81" s="112">
        <v>20.57</v>
      </c>
      <c r="N81" s="112">
        <v>12.6</v>
      </c>
      <c r="O81" s="112">
        <v>0</v>
      </c>
      <c r="P81" s="112">
        <v>0.51</v>
      </c>
      <c r="Q81" s="112">
        <v>4.96</v>
      </c>
    </row>
    <row r="82" spans="1:17" customFormat="1">
      <c r="A82" s="80">
        <v>45443.770833333336</v>
      </c>
      <c r="B82" s="112">
        <v>7.45</v>
      </c>
      <c r="C82" s="112">
        <v>6.19</v>
      </c>
      <c r="D82" s="112">
        <v>14.22</v>
      </c>
      <c r="E82" s="112">
        <v>9.76</v>
      </c>
      <c r="F82" s="112">
        <v>11.54</v>
      </c>
      <c r="G82" s="112">
        <v>65.069999999999993</v>
      </c>
      <c r="H82" s="112">
        <v>16.59</v>
      </c>
      <c r="I82" s="112">
        <v>5.79</v>
      </c>
      <c r="J82" s="112">
        <v>0.47</v>
      </c>
      <c r="K82" s="112">
        <v>243.02</v>
      </c>
      <c r="L82" s="112">
        <v>41.41</v>
      </c>
      <c r="M82" s="112">
        <v>20.75</v>
      </c>
      <c r="N82" s="112">
        <v>0.4</v>
      </c>
      <c r="O82" s="112">
        <v>0</v>
      </c>
      <c r="P82" s="112">
        <v>0.47</v>
      </c>
      <c r="Q82" s="112">
        <v>4.97</v>
      </c>
    </row>
    <row r="83" spans="1:17" customFormat="1">
      <c r="A83" s="80">
        <v>45443.78125</v>
      </c>
      <c r="B83" s="112">
        <v>7.44</v>
      </c>
      <c r="C83" s="112">
        <v>6.14</v>
      </c>
      <c r="D83" s="112">
        <v>14.18</v>
      </c>
      <c r="E83" s="112">
        <v>9.6999999999999993</v>
      </c>
      <c r="F83" s="112">
        <v>22.54</v>
      </c>
      <c r="G83" s="112">
        <v>64.709999999999994</v>
      </c>
      <c r="H83" s="112">
        <v>16.59</v>
      </c>
      <c r="I83" s="112">
        <v>5.83</v>
      </c>
      <c r="J83" s="112">
        <v>0.36</v>
      </c>
      <c r="K83" s="112">
        <v>231.91</v>
      </c>
      <c r="L83" s="112">
        <v>41.09</v>
      </c>
      <c r="M83" s="112">
        <v>21.82</v>
      </c>
      <c r="N83" s="112">
        <v>0</v>
      </c>
      <c r="O83" s="112">
        <v>0</v>
      </c>
      <c r="P83" s="112">
        <v>0.45</v>
      </c>
      <c r="Q83" s="112">
        <v>4.97</v>
      </c>
    </row>
    <row r="84" spans="1:17" customFormat="1">
      <c r="A84" s="80">
        <v>45443.791666666664</v>
      </c>
      <c r="B84" s="112">
        <v>7.44</v>
      </c>
      <c r="C84" s="112">
        <v>6.12</v>
      </c>
      <c r="D84" s="112">
        <v>14.17</v>
      </c>
      <c r="E84" s="112">
        <v>9.84</v>
      </c>
      <c r="F84" s="112">
        <v>27.49</v>
      </c>
      <c r="G84" s="112">
        <v>64.709999999999994</v>
      </c>
      <c r="H84" s="112">
        <v>16.59</v>
      </c>
      <c r="I84" s="112">
        <v>5.71</v>
      </c>
      <c r="J84" s="112">
        <v>0.19</v>
      </c>
      <c r="K84" s="112">
        <v>212.54</v>
      </c>
      <c r="L84" s="112">
        <v>40.03</v>
      </c>
      <c r="M84" s="112">
        <v>26.58</v>
      </c>
      <c r="N84" s="112">
        <v>0</v>
      </c>
      <c r="O84" s="112">
        <v>0</v>
      </c>
      <c r="P84" s="112">
        <v>0.46</v>
      </c>
      <c r="Q84" s="112">
        <v>4.99</v>
      </c>
    </row>
    <row r="85" spans="1:17" customFormat="1">
      <c r="A85" s="80">
        <v>45443.802083333336</v>
      </c>
      <c r="B85" s="112">
        <v>7.45</v>
      </c>
      <c r="C85" s="112">
        <v>6.13</v>
      </c>
      <c r="D85" s="112">
        <v>14.19</v>
      </c>
      <c r="E85" s="112">
        <v>10.46</v>
      </c>
      <c r="F85" s="112">
        <v>27.04</v>
      </c>
      <c r="G85" s="112">
        <v>64.709999999999994</v>
      </c>
      <c r="H85" s="112">
        <v>16.59</v>
      </c>
      <c r="I85" s="112">
        <v>5.52</v>
      </c>
      <c r="J85" s="112">
        <v>0.37</v>
      </c>
      <c r="K85" s="112">
        <v>230.5</v>
      </c>
      <c r="L85" s="112">
        <v>39.44</v>
      </c>
      <c r="M85" s="112">
        <v>26.69</v>
      </c>
      <c r="N85" s="112">
        <v>0</v>
      </c>
      <c r="O85" s="112">
        <v>0</v>
      </c>
      <c r="P85" s="112">
        <v>0.49</v>
      </c>
      <c r="Q85" s="112">
        <v>4.9800000000000004</v>
      </c>
    </row>
    <row r="86" spans="1:17" customFormat="1">
      <c r="A86" s="80">
        <v>45443.8125</v>
      </c>
      <c r="B86" s="112">
        <v>7.43</v>
      </c>
      <c r="C86" s="112">
        <v>6.12</v>
      </c>
      <c r="D86" s="112">
        <v>14.16</v>
      </c>
      <c r="E86" s="112">
        <v>11.33</v>
      </c>
      <c r="F86" s="112">
        <v>22.85</v>
      </c>
      <c r="G86" s="112">
        <v>61.5</v>
      </c>
      <c r="H86" s="112">
        <v>14.57</v>
      </c>
      <c r="I86" s="112">
        <v>5.57</v>
      </c>
      <c r="J86" s="112">
        <v>0.56999999999999995</v>
      </c>
      <c r="K86" s="112">
        <v>242.5</v>
      </c>
      <c r="L86" s="112">
        <v>39.74</v>
      </c>
      <c r="M86" s="112">
        <v>24.24</v>
      </c>
      <c r="N86" s="112">
        <v>0</v>
      </c>
      <c r="O86" s="112">
        <v>0</v>
      </c>
      <c r="P86" s="112">
        <v>0.62</v>
      </c>
      <c r="Q86" s="112">
        <v>4.99</v>
      </c>
    </row>
    <row r="87" spans="1:17" customFormat="1">
      <c r="A87" s="80">
        <v>45443.822916666664</v>
      </c>
      <c r="B87" s="112">
        <v>7.38</v>
      </c>
      <c r="C87" s="112">
        <v>6.1</v>
      </c>
      <c r="D87" s="112">
        <v>14.11</v>
      </c>
      <c r="E87" s="112">
        <v>11.37</v>
      </c>
      <c r="F87" s="112">
        <v>11.63</v>
      </c>
      <c r="G87" s="112">
        <v>60.81</v>
      </c>
      <c r="H87" s="112">
        <v>14.57</v>
      </c>
      <c r="I87" s="112">
        <v>6.12</v>
      </c>
      <c r="J87" s="112">
        <v>0.67</v>
      </c>
      <c r="K87" s="112">
        <v>264.18</v>
      </c>
      <c r="L87" s="112">
        <v>39.869999999999997</v>
      </c>
      <c r="M87" s="112">
        <v>23.05</v>
      </c>
      <c r="N87" s="112">
        <v>0</v>
      </c>
      <c r="O87" s="112">
        <v>0</v>
      </c>
      <c r="P87" s="112">
        <v>0.65</v>
      </c>
      <c r="Q87" s="112">
        <v>4.9800000000000004</v>
      </c>
    </row>
    <row r="88" spans="1:17" customFormat="1">
      <c r="A88" s="80">
        <v>45443.833333333336</v>
      </c>
      <c r="B88" s="112">
        <v>7.3</v>
      </c>
      <c r="C88" s="112">
        <v>6.07</v>
      </c>
      <c r="D88" s="112">
        <v>14.03</v>
      </c>
      <c r="E88" s="112">
        <v>11.06</v>
      </c>
      <c r="F88" s="112">
        <v>12.48</v>
      </c>
      <c r="G88" s="112">
        <v>60.81</v>
      </c>
      <c r="H88" s="112">
        <v>14.57</v>
      </c>
      <c r="I88" s="112">
        <v>6.94</v>
      </c>
      <c r="J88" s="112">
        <v>1.1100000000000001</v>
      </c>
      <c r="K88" s="112">
        <v>300.83999999999997</v>
      </c>
      <c r="L88" s="112">
        <v>40.21</v>
      </c>
      <c r="M88" s="112">
        <v>20.84</v>
      </c>
      <c r="N88" s="112">
        <v>0</v>
      </c>
      <c r="O88" s="112">
        <v>0</v>
      </c>
      <c r="P88" s="112">
        <v>0.62</v>
      </c>
      <c r="Q88" s="112">
        <v>4.9800000000000004</v>
      </c>
    </row>
    <row r="89" spans="1:17" customFormat="1">
      <c r="A89" s="80">
        <v>45443.84375</v>
      </c>
      <c r="B89" s="112">
        <v>7.25</v>
      </c>
      <c r="C89" s="112">
        <v>6.11</v>
      </c>
      <c r="D89" s="112">
        <v>14.02</v>
      </c>
      <c r="E89" s="112">
        <v>11.31</v>
      </c>
      <c r="F89" s="112">
        <v>14.22</v>
      </c>
      <c r="G89" s="112">
        <v>60.81</v>
      </c>
      <c r="H89" s="112">
        <v>14.57</v>
      </c>
      <c r="I89" s="112">
        <v>7.01</v>
      </c>
      <c r="J89" s="112">
        <v>0.86</v>
      </c>
      <c r="K89" s="112">
        <v>280.82</v>
      </c>
      <c r="L89" s="112">
        <v>39.950000000000003</v>
      </c>
      <c r="M89" s="112">
        <v>21.06</v>
      </c>
      <c r="N89" s="112">
        <v>0</v>
      </c>
      <c r="O89" s="112">
        <v>0</v>
      </c>
      <c r="P89" s="112">
        <v>0.64</v>
      </c>
      <c r="Q89" s="112">
        <v>4.97</v>
      </c>
    </row>
    <row r="90" spans="1:17" customFormat="1">
      <c r="A90" s="80">
        <v>45443.854166666664</v>
      </c>
      <c r="B90" s="112">
        <v>7.27</v>
      </c>
      <c r="C90" s="112">
        <v>6.11</v>
      </c>
      <c r="D90" s="112">
        <v>14.03</v>
      </c>
      <c r="E90" s="112">
        <v>10.88</v>
      </c>
      <c r="F90" s="112">
        <v>14.24</v>
      </c>
      <c r="G90" s="112">
        <v>59.22</v>
      </c>
      <c r="H90" s="112">
        <v>16.239999999999998</v>
      </c>
      <c r="I90" s="112">
        <v>6.71</v>
      </c>
      <c r="J90" s="112">
        <v>1.01</v>
      </c>
      <c r="K90" s="112">
        <v>281.72000000000003</v>
      </c>
      <c r="L90" s="112">
        <v>39.729999999999997</v>
      </c>
      <c r="M90" s="112">
        <v>21.2</v>
      </c>
      <c r="N90" s="112">
        <v>0</v>
      </c>
      <c r="O90" s="112">
        <v>0</v>
      </c>
      <c r="P90" s="112">
        <v>0.65</v>
      </c>
      <c r="Q90" s="112">
        <v>4.97</v>
      </c>
    </row>
    <row r="91" spans="1:17" customFormat="1">
      <c r="A91" s="80">
        <v>45443.864583333336</v>
      </c>
      <c r="B91" s="112">
        <v>7.32</v>
      </c>
      <c r="C91" s="112">
        <v>6.09</v>
      </c>
      <c r="D91" s="112">
        <v>14.06</v>
      </c>
      <c r="E91" s="112">
        <v>10.65</v>
      </c>
      <c r="F91" s="112">
        <v>14.95</v>
      </c>
      <c r="G91" s="112">
        <v>58.87</v>
      </c>
      <c r="H91" s="112">
        <v>16.239999999999998</v>
      </c>
      <c r="I91" s="112">
        <v>6.86</v>
      </c>
      <c r="J91" s="112">
        <v>1.04</v>
      </c>
      <c r="K91" s="112">
        <v>281.18</v>
      </c>
      <c r="L91" s="112">
        <v>39.61</v>
      </c>
      <c r="M91" s="112">
        <v>20.96</v>
      </c>
      <c r="N91" s="112">
        <v>0</v>
      </c>
      <c r="O91" s="112">
        <v>0</v>
      </c>
      <c r="P91" s="112">
        <v>0.62</v>
      </c>
      <c r="Q91" s="112">
        <v>4.97</v>
      </c>
    </row>
    <row r="92" spans="1:17" customFormat="1">
      <c r="A92" s="80">
        <v>45443.875</v>
      </c>
      <c r="B92" s="112">
        <v>7.32</v>
      </c>
      <c r="C92" s="112">
        <v>6.1</v>
      </c>
      <c r="D92" s="112">
        <v>14.07</v>
      </c>
      <c r="E92" s="112">
        <v>10.02</v>
      </c>
      <c r="F92" s="112">
        <v>15.5</v>
      </c>
      <c r="G92" s="112">
        <v>58.87</v>
      </c>
      <c r="H92" s="112">
        <v>16.239999999999998</v>
      </c>
      <c r="I92" s="112">
        <v>7.02</v>
      </c>
      <c r="J92" s="112">
        <v>0.88</v>
      </c>
      <c r="K92" s="112">
        <v>284.22000000000003</v>
      </c>
      <c r="L92" s="112">
        <v>39.450000000000003</v>
      </c>
      <c r="M92" s="112">
        <v>20.95</v>
      </c>
      <c r="N92" s="112">
        <v>0</v>
      </c>
      <c r="O92" s="112">
        <v>0</v>
      </c>
      <c r="P92" s="112">
        <v>0.62</v>
      </c>
      <c r="Q92" s="112">
        <v>4.9800000000000004</v>
      </c>
    </row>
    <row r="93" spans="1:17" customFormat="1">
      <c r="A93" s="80">
        <v>45443.885416666664</v>
      </c>
      <c r="B93" s="112">
        <v>7.31</v>
      </c>
      <c r="C93" s="112">
        <v>6.12</v>
      </c>
      <c r="D93" s="112">
        <v>14.07</v>
      </c>
      <c r="E93" s="112">
        <v>10.28</v>
      </c>
      <c r="F93" s="112">
        <v>19.579999999999998</v>
      </c>
      <c r="G93" s="112">
        <v>58.87</v>
      </c>
      <c r="H93" s="112">
        <v>16.239999999999998</v>
      </c>
      <c r="I93" s="112">
        <v>7.1</v>
      </c>
      <c r="J93" s="112">
        <v>0.52</v>
      </c>
      <c r="K93" s="112">
        <v>249.97</v>
      </c>
      <c r="L93" s="112">
        <v>39.18</v>
      </c>
      <c r="M93" s="112">
        <v>21.71</v>
      </c>
      <c r="N93" s="112">
        <v>0</v>
      </c>
      <c r="O93" s="112">
        <v>0</v>
      </c>
      <c r="P93" s="112">
        <v>0.66</v>
      </c>
      <c r="Q93" s="112">
        <v>4.9800000000000004</v>
      </c>
    </row>
    <row r="94" spans="1:17" customFormat="1">
      <c r="A94" s="80">
        <v>45443.895833333336</v>
      </c>
      <c r="B94" s="112">
        <v>7.31</v>
      </c>
      <c r="C94" s="112">
        <v>6.08</v>
      </c>
      <c r="D94" s="112">
        <v>14.05</v>
      </c>
      <c r="E94" s="112">
        <v>10.84</v>
      </c>
      <c r="F94" s="112">
        <v>19.39</v>
      </c>
      <c r="G94" s="112">
        <v>68.599999999999994</v>
      </c>
      <c r="H94" s="112">
        <v>15.68</v>
      </c>
      <c r="I94" s="112">
        <v>7.3</v>
      </c>
      <c r="J94" s="112">
        <v>0.53</v>
      </c>
      <c r="K94" s="112">
        <v>258.42</v>
      </c>
      <c r="L94" s="112">
        <v>38.840000000000003</v>
      </c>
      <c r="M94" s="112">
        <v>22.34</v>
      </c>
      <c r="N94" s="112">
        <v>0</v>
      </c>
      <c r="O94" s="112">
        <v>0</v>
      </c>
      <c r="P94" s="112">
        <v>0.65</v>
      </c>
      <c r="Q94" s="112">
        <v>4.97</v>
      </c>
    </row>
    <row r="95" spans="1:17" customFormat="1">
      <c r="A95" s="80">
        <v>45443.90625</v>
      </c>
      <c r="B95" s="112">
        <v>7.31</v>
      </c>
      <c r="C95" s="112">
        <v>6.1</v>
      </c>
      <c r="D95" s="112">
        <v>14.06</v>
      </c>
      <c r="E95" s="112">
        <v>11</v>
      </c>
      <c r="F95" s="112">
        <v>18.45</v>
      </c>
      <c r="G95" s="112">
        <v>70.7</v>
      </c>
      <c r="H95" s="112">
        <v>15.68</v>
      </c>
      <c r="I95" s="112">
        <v>7.61</v>
      </c>
      <c r="J95" s="112">
        <v>0.5</v>
      </c>
      <c r="K95" s="112">
        <v>258.19</v>
      </c>
      <c r="L95" s="112">
        <v>38.71</v>
      </c>
      <c r="M95" s="112">
        <v>21.78</v>
      </c>
      <c r="N95" s="112">
        <v>0</v>
      </c>
      <c r="O95" s="112">
        <v>0</v>
      </c>
      <c r="P95" s="112">
        <v>0.65</v>
      </c>
      <c r="Q95" s="112">
        <v>4.9800000000000004</v>
      </c>
    </row>
    <row r="96" spans="1:17" customFormat="1">
      <c r="A96" s="80">
        <v>45443.916666666664</v>
      </c>
      <c r="B96" s="112">
        <v>7.32</v>
      </c>
      <c r="C96" s="112">
        <v>6.09</v>
      </c>
      <c r="D96" s="112">
        <v>14.06</v>
      </c>
      <c r="E96" s="112">
        <v>12.23</v>
      </c>
      <c r="F96" s="112">
        <v>13.52</v>
      </c>
      <c r="G96" s="112">
        <v>70.7</v>
      </c>
      <c r="H96" s="112">
        <v>15.68</v>
      </c>
      <c r="I96" s="112">
        <v>7.67</v>
      </c>
      <c r="J96" s="112">
        <v>0.54</v>
      </c>
      <c r="K96" s="112">
        <v>294.44</v>
      </c>
      <c r="L96" s="112">
        <v>38.72</v>
      </c>
      <c r="M96" s="112">
        <v>21.55</v>
      </c>
      <c r="N96" s="112">
        <v>0</v>
      </c>
      <c r="O96" s="112">
        <v>0</v>
      </c>
      <c r="P96" s="112">
        <v>0.78</v>
      </c>
      <c r="Q96" s="112">
        <v>4.99</v>
      </c>
    </row>
    <row r="97" spans="1:22" customFormat="1">
      <c r="A97" s="80">
        <v>45443.927083333336</v>
      </c>
      <c r="B97" s="112">
        <v>7.33</v>
      </c>
      <c r="C97" s="112">
        <v>6.07</v>
      </c>
      <c r="D97" s="112">
        <v>14.06</v>
      </c>
      <c r="E97" s="112">
        <v>13.55</v>
      </c>
      <c r="F97" s="112">
        <v>22.59</v>
      </c>
      <c r="G97" s="112">
        <v>70.7</v>
      </c>
      <c r="H97" s="112">
        <v>15.68</v>
      </c>
      <c r="I97" s="112">
        <v>7.77</v>
      </c>
      <c r="J97" s="112">
        <v>0.62</v>
      </c>
      <c r="K97" s="112">
        <v>271.14999999999998</v>
      </c>
      <c r="L97" s="112">
        <v>38.630000000000003</v>
      </c>
      <c r="M97" s="112">
        <v>21.51</v>
      </c>
      <c r="N97" s="112">
        <v>0</v>
      </c>
      <c r="O97" s="112">
        <v>0</v>
      </c>
      <c r="P97" s="112">
        <v>0.73</v>
      </c>
      <c r="Q97" s="112">
        <v>4.99</v>
      </c>
    </row>
    <row r="98" spans="1:22" customFormat="1">
      <c r="A98" s="80">
        <v>45443.9375</v>
      </c>
      <c r="B98" s="112">
        <v>7.32</v>
      </c>
      <c r="C98" s="112">
        <v>6.09</v>
      </c>
      <c r="D98" s="112">
        <v>14.06</v>
      </c>
      <c r="E98" s="112">
        <v>15.23</v>
      </c>
      <c r="F98" s="112">
        <v>16.66</v>
      </c>
      <c r="G98" s="112">
        <v>73.209999999999994</v>
      </c>
      <c r="H98" s="112">
        <v>17.350000000000001</v>
      </c>
      <c r="I98" s="112">
        <v>9.1999999999999993</v>
      </c>
      <c r="J98" s="112">
        <v>0.54</v>
      </c>
      <c r="K98" s="112">
        <v>242.02</v>
      </c>
      <c r="L98" s="112">
        <v>38.24</v>
      </c>
      <c r="M98" s="112">
        <v>22.6</v>
      </c>
      <c r="N98" s="112">
        <v>0</v>
      </c>
      <c r="O98" s="112">
        <v>0</v>
      </c>
      <c r="P98" s="112">
        <v>0.67</v>
      </c>
      <c r="Q98" s="112">
        <v>4.99</v>
      </c>
    </row>
    <row r="99" spans="1:22" customFormat="1">
      <c r="A99" s="80">
        <v>45443.947916666664</v>
      </c>
      <c r="B99" s="112">
        <v>7.3</v>
      </c>
      <c r="C99" s="112">
        <v>6.09</v>
      </c>
      <c r="D99" s="112">
        <v>14.05</v>
      </c>
      <c r="E99" s="112">
        <v>15.11</v>
      </c>
      <c r="F99" s="112">
        <v>23.02</v>
      </c>
      <c r="G99" s="112">
        <v>73.72</v>
      </c>
      <c r="H99" s="112">
        <v>17.350000000000001</v>
      </c>
      <c r="I99" s="112">
        <v>8.59</v>
      </c>
      <c r="J99" s="112">
        <v>0.35</v>
      </c>
      <c r="K99" s="112">
        <v>226.44</v>
      </c>
      <c r="L99" s="112">
        <v>37.880000000000003</v>
      </c>
      <c r="M99" s="112">
        <v>24.38</v>
      </c>
      <c r="N99" s="112">
        <v>0</v>
      </c>
      <c r="O99" s="112">
        <v>0</v>
      </c>
      <c r="P99" s="112">
        <v>0.65</v>
      </c>
      <c r="Q99" s="112">
        <v>5</v>
      </c>
    </row>
    <row r="100" spans="1:22" customFormat="1">
      <c r="A100" s="80">
        <v>45443.958333333336</v>
      </c>
      <c r="B100" s="112">
        <v>7.3</v>
      </c>
      <c r="C100" s="112">
        <v>6.12</v>
      </c>
      <c r="D100" s="112">
        <v>14.06</v>
      </c>
      <c r="E100" s="112">
        <v>20.46</v>
      </c>
      <c r="F100" s="112">
        <v>22.86</v>
      </c>
      <c r="G100" s="112">
        <v>73.72</v>
      </c>
      <c r="H100" s="112">
        <v>17.350000000000001</v>
      </c>
      <c r="I100" s="112">
        <v>7.61</v>
      </c>
      <c r="J100" s="112">
        <v>0.24</v>
      </c>
      <c r="K100" s="112">
        <v>225.85</v>
      </c>
      <c r="L100" s="112">
        <v>37.19</v>
      </c>
      <c r="M100" s="112">
        <v>25.95</v>
      </c>
      <c r="N100" s="112">
        <v>0</v>
      </c>
      <c r="O100" s="112">
        <v>0</v>
      </c>
      <c r="P100" s="112">
        <v>0.65</v>
      </c>
      <c r="Q100" s="112">
        <v>4.9800000000000004</v>
      </c>
    </row>
    <row r="101" spans="1:22" customFormat="1">
      <c r="A101" s="80">
        <v>45443.96875</v>
      </c>
      <c r="B101" s="112">
        <v>7.27</v>
      </c>
      <c r="C101" s="112">
        <v>6.1</v>
      </c>
      <c r="D101" s="112">
        <v>14.03</v>
      </c>
      <c r="E101" s="112">
        <v>48.81</v>
      </c>
      <c r="F101" s="112">
        <v>21.04</v>
      </c>
      <c r="G101" s="112">
        <v>73.72</v>
      </c>
      <c r="H101" s="112">
        <v>17.350000000000001</v>
      </c>
      <c r="I101" s="112">
        <v>7.67</v>
      </c>
      <c r="J101" s="112">
        <v>0.24</v>
      </c>
      <c r="K101" s="112">
        <v>215.78</v>
      </c>
      <c r="L101" s="112">
        <v>36.729999999999997</v>
      </c>
      <c r="M101" s="112">
        <v>27.08</v>
      </c>
      <c r="N101" s="112">
        <v>0</v>
      </c>
      <c r="O101" s="112">
        <v>0</v>
      </c>
      <c r="P101" s="112">
        <v>0.7</v>
      </c>
      <c r="Q101" s="112">
        <v>4.97</v>
      </c>
    </row>
    <row r="102" spans="1:22" customFormat="1">
      <c r="A102" s="80">
        <v>45443.979166666664</v>
      </c>
      <c r="B102" s="112">
        <v>7.29</v>
      </c>
      <c r="C102" s="112">
        <v>6.09</v>
      </c>
      <c r="D102" s="112">
        <v>14.03</v>
      </c>
      <c r="E102" s="112">
        <v>51.65</v>
      </c>
      <c r="F102" s="112">
        <v>16.89</v>
      </c>
      <c r="G102" s="112">
        <v>72.760000000000005</v>
      </c>
      <c r="H102" s="112">
        <v>19.600000000000001</v>
      </c>
      <c r="I102" s="112">
        <v>8.11</v>
      </c>
      <c r="J102" s="112">
        <v>0.28999999999999998</v>
      </c>
      <c r="K102" s="112">
        <v>198.11</v>
      </c>
      <c r="L102" s="112">
        <v>36.28</v>
      </c>
      <c r="M102" s="112">
        <v>29.05</v>
      </c>
      <c r="N102" s="112">
        <v>0</v>
      </c>
      <c r="O102" s="112">
        <v>0</v>
      </c>
      <c r="P102" s="112">
        <v>0.72</v>
      </c>
      <c r="Q102" s="112">
        <v>4.96</v>
      </c>
    </row>
    <row r="103" spans="1:22" customFormat="1">
      <c r="A103" s="80">
        <v>45443.989583333336</v>
      </c>
      <c r="B103" s="112">
        <v>7.29</v>
      </c>
      <c r="C103" s="112">
        <v>6.09</v>
      </c>
      <c r="D103" s="112">
        <v>14.03</v>
      </c>
      <c r="E103" s="112">
        <v>32.61</v>
      </c>
      <c r="F103" s="112">
        <v>15.94</v>
      </c>
      <c r="G103" s="112">
        <v>72.569999999999993</v>
      </c>
      <c r="H103" s="112">
        <v>19.600000000000001</v>
      </c>
      <c r="I103" s="112">
        <v>8.4499999999999993</v>
      </c>
      <c r="J103" s="112">
        <v>0.23</v>
      </c>
      <c r="K103" s="112">
        <v>169.92</v>
      </c>
      <c r="L103" s="112">
        <v>35.24</v>
      </c>
      <c r="M103" s="112">
        <v>32.25</v>
      </c>
      <c r="N103" s="112">
        <v>0</v>
      </c>
      <c r="O103" s="112">
        <v>0</v>
      </c>
      <c r="P103" s="112">
        <v>0.7</v>
      </c>
      <c r="Q103" s="112">
        <v>4.96</v>
      </c>
    </row>
    <row r="104" spans="1:22" customFormat="1">
      <c r="A104" s="80">
        <v>45444</v>
      </c>
      <c r="B104" s="112">
        <v>7.28</v>
      </c>
      <c r="C104" s="112">
        <v>6.09</v>
      </c>
      <c r="D104" s="112">
        <v>14.03</v>
      </c>
      <c r="E104" s="112">
        <v>30.01</v>
      </c>
      <c r="F104" s="112">
        <v>15</v>
      </c>
      <c r="G104" s="112">
        <v>72.569999999999993</v>
      </c>
      <c r="H104" s="112">
        <v>19.600000000000001</v>
      </c>
      <c r="I104" s="112">
        <v>8.3699999999999992</v>
      </c>
      <c r="J104" s="112">
        <v>0.2</v>
      </c>
      <c r="K104" s="112">
        <v>185.91</v>
      </c>
      <c r="L104" s="112">
        <v>34.61</v>
      </c>
      <c r="M104" s="112">
        <v>34.32</v>
      </c>
      <c r="N104" s="112">
        <v>0</v>
      </c>
      <c r="O104" s="112">
        <v>0</v>
      </c>
      <c r="P104" s="112">
        <v>0.71</v>
      </c>
      <c r="Q104" s="112">
        <v>4.96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7.21</v>
      </c>
      <c r="C106" s="183">
        <f>MIN(C9:C104)</f>
        <v>6.03</v>
      </c>
      <c r="D106" s="183">
        <f t="shared" ref="D106:Q106" si="0">MIN(D9:D104)</f>
        <v>13.96</v>
      </c>
      <c r="E106" s="183">
        <f t="shared" si="0"/>
        <v>8.85</v>
      </c>
      <c r="F106" s="183">
        <f t="shared" si="0"/>
        <v>2.31</v>
      </c>
      <c r="G106" s="183">
        <f t="shared" si="0"/>
        <v>58.87</v>
      </c>
      <c r="H106" s="183">
        <f t="shared" si="0"/>
        <v>14.57</v>
      </c>
      <c r="I106" s="183">
        <f t="shared" si="0"/>
        <v>4.9400000000000004</v>
      </c>
      <c r="J106" s="183">
        <f t="shared" si="0"/>
        <v>0.1</v>
      </c>
      <c r="K106" s="183">
        <f t="shared" si="0"/>
        <v>1.1299999999999999</v>
      </c>
      <c r="L106" s="183">
        <f t="shared" si="0"/>
        <v>30.53</v>
      </c>
      <c r="M106" s="183">
        <f t="shared" si="0"/>
        <v>13.03</v>
      </c>
      <c r="N106" s="183">
        <f t="shared" si="0"/>
        <v>0</v>
      </c>
      <c r="O106" s="183">
        <f t="shared" si="0"/>
        <v>0</v>
      </c>
      <c r="P106" s="183">
        <f t="shared" si="0"/>
        <v>0.42</v>
      </c>
      <c r="Q106" s="183">
        <f t="shared" si="0"/>
        <v>4.9400000000000004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7.45</v>
      </c>
      <c r="C107" s="184">
        <f t="shared" ref="C107:Q107" si="1">MAX(C9:C104)</f>
        <v>6.23</v>
      </c>
      <c r="D107" s="184">
        <f t="shared" si="1"/>
        <v>14.22</v>
      </c>
      <c r="E107" s="184">
        <f t="shared" si="1"/>
        <v>128.32</v>
      </c>
      <c r="F107" s="184">
        <f t="shared" si="1"/>
        <v>52.38</v>
      </c>
      <c r="G107" s="184">
        <f t="shared" si="1"/>
        <v>111.19</v>
      </c>
      <c r="H107" s="184">
        <f t="shared" si="1"/>
        <v>35.44</v>
      </c>
      <c r="I107" s="184">
        <f t="shared" si="1"/>
        <v>10.53</v>
      </c>
      <c r="J107" s="184">
        <f t="shared" si="1"/>
        <v>1.54</v>
      </c>
      <c r="K107" s="184">
        <f t="shared" si="1"/>
        <v>358.43</v>
      </c>
      <c r="L107" s="184">
        <f t="shared" si="1"/>
        <v>45.94</v>
      </c>
      <c r="M107" s="184">
        <f t="shared" si="1"/>
        <v>49.44</v>
      </c>
      <c r="N107" s="184">
        <f t="shared" si="1"/>
        <v>745</v>
      </c>
      <c r="O107" s="184">
        <f t="shared" si="1"/>
        <v>0</v>
      </c>
      <c r="P107" s="184">
        <f t="shared" si="1"/>
        <v>0.83</v>
      </c>
      <c r="Q107" s="184">
        <f t="shared" si="1"/>
        <v>5.04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7.3041666666666663</v>
      </c>
      <c r="C108" s="183">
        <f t="shared" ref="C108:Q108" si="2">AVERAGE(C9:C104)</f>
        <v>6.0934375000000029</v>
      </c>
      <c r="D108" s="183">
        <f t="shared" si="2"/>
        <v>14.049999999999992</v>
      </c>
      <c r="E108" s="183">
        <f t="shared" si="2"/>
        <v>21.796770833333341</v>
      </c>
      <c r="F108" s="183">
        <f t="shared" si="2"/>
        <v>20.863958333333333</v>
      </c>
      <c r="G108" s="183">
        <f t="shared" si="2"/>
        <v>80.381354166666668</v>
      </c>
      <c r="H108" s="183">
        <f t="shared" si="2"/>
        <v>24.753645833333323</v>
      </c>
      <c r="I108" s="183">
        <f t="shared" si="2"/>
        <v>7.5873958333333329</v>
      </c>
      <c r="J108" s="183">
        <f t="shared" si="2"/>
        <v>0.57854166666666662</v>
      </c>
      <c r="K108" s="183">
        <f t="shared" si="2"/>
        <v>215.27916666666661</v>
      </c>
      <c r="L108" s="183">
        <f t="shared" si="2"/>
        <v>38.605520833333337</v>
      </c>
      <c r="M108" s="183">
        <f t="shared" si="2"/>
        <v>27.492291666666677</v>
      </c>
      <c r="N108" s="183">
        <f t="shared" si="2"/>
        <v>133.11562499999994</v>
      </c>
      <c r="O108" s="183">
        <f t="shared" si="2"/>
        <v>0</v>
      </c>
      <c r="P108" s="183">
        <f t="shared" si="2"/>
        <v>0.63354166666666645</v>
      </c>
      <c r="Q108" s="183">
        <f t="shared" si="2"/>
        <v>4.9791666666666696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5.7154760664940879E-2</v>
      </c>
      <c r="C109" s="183">
        <f t="shared" ref="C109:Q109" si="3">STDEV(C9:C104)</f>
        <v>3.0394879243229918E-2</v>
      </c>
      <c r="D109" s="183">
        <f t="shared" si="3"/>
        <v>5.2954797009485202E-2</v>
      </c>
      <c r="E109" s="183">
        <f t="shared" si="3"/>
        <v>22.96258006294001</v>
      </c>
      <c r="F109" s="183">
        <f t="shared" si="3"/>
        <v>11.617181783363783</v>
      </c>
      <c r="G109" s="183">
        <f t="shared" si="3"/>
        <v>14.53048335630935</v>
      </c>
      <c r="H109" s="183">
        <f t="shared" si="3"/>
        <v>6.2349931194478483</v>
      </c>
      <c r="I109" s="183">
        <f t="shared" si="3"/>
        <v>1.6316980143665405</v>
      </c>
      <c r="J109" s="183">
        <f t="shared" si="3"/>
        <v>0.37263211480286618</v>
      </c>
      <c r="K109" s="183">
        <f t="shared" si="3"/>
        <v>96.707345921019567</v>
      </c>
      <c r="L109" s="183">
        <f t="shared" si="3"/>
        <v>4.8789269462586935</v>
      </c>
      <c r="M109" s="183">
        <f t="shared" si="3"/>
        <v>11.807744512922678</v>
      </c>
      <c r="N109" s="183">
        <f t="shared" si="3"/>
        <v>212.05300594954286</v>
      </c>
      <c r="O109" s="183">
        <f t="shared" si="3"/>
        <v>0</v>
      </c>
      <c r="P109" s="183">
        <f t="shared" si="3"/>
        <v>0.11732078531388634</v>
      </c>
      <c r="Q109" s="183">
        <f t="shared" si="3"/>
        <v>1.844860095489578E-2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55"/>
  <sheetViews>
    <sheetView zoomScale="80" zoomScaleNormal="80" workbookViewId="0">
      <pane xSplit="1" ySplit="8" topLeftCell="B30" activePane="bottomRight" state="frozen"/>
      <selection pane="topRight"/>
      <selection pane="bottomLeft"/>
      <selection pane="bottomRight" activeCell="E36" sqref="E36"/>
    </sheetView>
  </sheetViews>
  <sheetFormatPr defaultColWidth="8.85546875" defaultRowHeight="15"/>
  <cols>
    <col min="1" max="1" width="15.85546875" style="143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44" t="s">
        <v>0</v>
      </c>
      <c r="B1" s="145" t="s">
        <v>58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 s="2" customFormat="1">
      <c r="A2" s="144" t="s">
        <v>2</v>
      </c>
      <c r="B2" s="148">
        <f>$A$9</f>
        <v>45413.010416666664</v>
      </c>
      <c r="C2"/>
      <c r="D2" s="48" t="s">
        <v>3</v>
      </c>
      <c r="E2" s="48"/>
      <c r="F2" s="48"/>
      <c r="G2" s="149" t="s">
        <v>4</v>
      </c>
      <c r="H2" s="150"/>
      <c r="I2" s="150"/>
      <c r="J2" s="150"/>
      <c r="K2" s="147"/>
      <c r="L2" s="48" t="s">
        <v>5</v>
      </c>
      <c r="M2" s="147"/>
      <c r="N2" s="165" t="s">
        <v>6</v>
      </c>
      <c r="P2" s="166" t="s">
        <v>7</v>
      </c>
      <c r="Q2" s="147"/>
      <c r="R2" s="172" t="s">
        <v>8</v>
      </c>
      <c r="S2"/>
      <c r="T2"/>
      <c r="U2"/>
    </row>
    <row r="3" spans="1:21" s="2" customFormat="1">
      <c r="A3" s="144" t="s">
        <v>9</v>
      </c>
      <c r="B3" s="147" t="s">
        <v>10</v>
      </c>
      <c r="C3"/>
      <c r="D3" s="48" t="s">
        <v>11</v>
      </c>
      <c r="E3" s="48"/>
      <c r="F3" s="48"/>
      <c r="G3" s="151" t="s">
        <v>12</v>
      </c>
      <c r="H3" s="150"/>
      <c r="I3" s="144"/>
      <c r="J3" s="150"/>
      <c r="K3"/>
      <c r="L3" s="48" t="s">
        <v>13</v>
      </c>
      <c r="M3" s="147"/>
      <c r="N3" s="167" t="s">
        <v>14</v>
      </c>
      <c r="O3" s="147"/>
      <c r="P3" s="168" t="s">
        <v>15</v>
      </c>
      <c r="Q3" s="147"/>
      <c r="R3" s="173" t="s">
        <v>15</v>
      </c>
      <c r="S3"/>
      <c r="T3"/>
      <c r="U3"/>
    </row>
    <row r="4" spans="1:21" s="2" customFormat="1">
      <c r="A4" s="144" t="s">
        <v>16</v>
      </c>
      <c r="B4" s="147" t="s">
        <v>59</v>
      </c>
      <c r="C4"/>
      <c r="D4" s="48" t="s">
        <v>18</v>
      </c>
      <c r="E4" s="48"/>
      <c r="F4" s="48"/>
      <c r="G4" s="152" t="s">
        <v>19</v>
      </c>
      <c r="H4" s="150"/>
      <c r="I4" s="144"/>
      <c r="J4" s="150"/>
      <c r="K4" s="169"/>
      <c r="L4" s="48" t="s">
        <v>20</v>
      </c>
      <c r="M4" s="147"/>
      <c r="N4" s="170" t="s">
        <v>21</v>
      </c>
      <c r="O4" s="147"/>
      <c r="P4" s="147"/>
      <c r="Q4" s="147"/>
      <c r="R4" s="147"/>
      <c r="S4"/>
      <c r="T4"/>
      <c r="U4"/>
    </row>
    <row r="5" spans="1:21" s="2" customFormat="1">
      <c r="A5" s="144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 s="2" customFormat="1">
      <c r="A6" s="144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 s="2" customFormat="1">
      <c r="A7" s="154" t="s">
        <v>22</v>
      </c>
      <c r="B7" s="155" t="s">
        <v>23</v>
      </c>
      <c r="C7" s="155" t="s">
        <v>24</v>
      </c>
      <c r="D7" s="155" t="s">
        <v>25</v>
      </c>
      <c r="E7" s="155" t="s">
        <v>26</v>
      </c>
      <c r="F7" s="155" t="s">
        <v>27</v>
      </c>
      <c r="G7" s="155" t="s">
        <v>28</v>
      </c>
      <c r="H7" s="155" t="s">
        <v>29</v>
      </c>
      <c r="I7" s="155" t="s">
        <v>30</v>
      </c>
      <c r="J7" s="155" t="s">
        <v>31</v>
      </c>
      <c r="K7" s="155" t="s">
        <v>32</v>
      </c>
      <c r="L7" s="155" t="s">
        <v>33</v>
      </c>
      <c r="M7" s="155" t="s">
        <v>34</v>
      </c>
      <c r="N7" s="155" t="s">
        <v>35</v>
      </c>
      <c r="O7" s="155" t="s">
        <v>36</v>
      </c>
      <c r="P7" s="155" t="s">
        <v>37</v>
      </c>
      <c r="Q7" s="155" t="s">
        <v>38</v>
      </c>
      <c r="R7" s="174"/>
      <c r="S7" s="175"/>
      <c r="T7" s="174"/>
      <c r="U7" s="174"/>
    </row>
    <row r="8" spans="1:21" s="2" customFormat="1">
      <c r="A8" s="154"/>
      <c r="B8" s="156" t="s">
        <v>39</v>
      </c>
      <c r="C8" s="156" t="s">
        <v>39</v>
      </c>
      <c r="D8" s="156" t="s">
        <v>40</v>
      </c>
      <c r="E8" s="156" t="s">
        <v>39</v>
      </c>
      <c r="F8" s="156" t="s">
        <v>39</v>
      </c>
      <c r="G8" s="156" t="s">
        <v>39</v>
      </c>
      <c r="H8" s="156" t="s">
        <v>39</v>
      </c>
      <c r="I8" s="156" t="s">
        <v>39</v>
      </c>
      <c r="J8" s="156" t="s">
        <v>41</v>
      </c>
      <c r="K8" s="156" t="s">
        <v>42</v>
      </c>
      <c r="L8" s="171" t="s">
        <v>43</v>
      </c>
      <c r="M8" s="156" t="s">
        <v>44</v>
      </c>
      <c r="N8" s="156" t="s">
        <v>45</v>
      </c>
      <c r="O8" s="171" t="s">
        <v>46</v>
      </c>
      <c r="P8" s="156" t="s">
        <v>47</v>
      </c>
      <c r="Q8" s="114" t="s">
        <v>39</v>
      </c>
      <c r="R8" s="174"/>
      <c r="S8" s="175"/>
      <c r="T8" s="174"/>
      <c r="U8" s="174"/>
    </row>
    <row r="9" spans="1:21">
      <c r="A9" s="157">
        <f>'01'!$B$2</f>
        <v>45413.010416666664</v>
      </c>
      <c r="B9" s="95">
        <f>'01'!B108</f>
        <v>11.283020833333339</v>
      </c>
      <c r="C9" s="95">
        <f>'01'!C108</f>
        <v>13.154895833333343</v>
      </c>
      <c r="D9" s="95">
        <f>'01'!D108</f>
        <v>25.064583333333346</v>
      </c>
      <c r="E9" s="95">
        <f>'01'!E108</f>
        <v>14.002291666666666</v>
      </c>
      <c r="F9" s="95">
        <f>'01'!F108</f>
        <v>10.946041666666668</v>
      </c>
      <c r="G9" s="95">
        <f>'01'!G108</f>
        <v>58.595624999999949</v>
      </c>
      <c r="H9" s="95">
        <f>'01'!H108</f>
        <v>20.210000000000012</v>
      </c>
      <c r="I9" s="95">
        <f>'01'!I108</f>
        <v>6.9454166666666666</v>
      </c>
      <c r="J9" s="95">
        <f>'01'!J108</f>
        <v>0.87937500000000002</v>
      </c>
      <c r="K9" s="95">
        <f>'01'!K108</f>
        <v>247.76354166666661</v>
      </c>
      <c r="L9" s="95">
        <f>'01'!L108</f>
        <v>34.700625000000009</v>
      </c>
      <c r="M9" s="95">
        <f>'01'!M108</f>
        <v>33.196041666666687</v>
      </c>
      <c r="N9" s="95">
        <f>'01'!N108</f>
        <v>198.50520833333334</v>
      </c>
      <c r="O9" s="95">
        <f>'01'!O108</f>
        <v>0</v>
      </c>
      <c r="P9" s="95">
        <f>'01'!P108</f>
        <v>0.6348958333333331</v>
      </c>
      <c r="Q9" s="95" t="str">
        <f>'01'!Q108</f>
        <v>Data F</v>
      </c>
      <c r="R9" s="160"/>
      <c r="S9" s="160"/>
      <c r="T9" s="160"/>
      <c r="U9" s="160"/>
    </row>
    <row r="10" spans="1:21">
      <c r="A10" s="157">
        <f>'02'!$B$2</f>
        <v>45414.010416666664</v>
      </c>
      <c r="B10" s="95">
        <f>'02'!B108</f>
        <v>11.229687499999999</v>
      </c>
      <c r="C10" s="95">
        <f>'02'!C108</f>
        <v>13.18989583333334</v>
      </c>
      <c r="D10" s="95">
        <f>'02'!D108</f>
        <v>25.041354166666665</v>
      </c>
      <c r="E10" s="95">
        <f>'02'!E108</f>
        <v>28.007604166666656</v>
      </c>
      <c r="F10" s="95">
        <f>'02'!F108</f>
        <v>18.239166666666666</v>
      </c>
      <c r="G10" s="95">
        <f>'02'!G108</f>
        <v>88.308645833333287</v>
      </c>
      <c r="H10" s="95">
        <f>'02'!H108</f>
        <v>28.646666666666658</v>
      </c>
      <c r="I10" s="95">
        <f>'02'!I108</f>
        <v>6.5877083333333326</v>
      </c>
      <c r="J10" s="95">
        <f>'02'!J108</f>
        <v>0.62197916666666653</v>
      </c>
      <c r="K10" s="95">
        <f>'02'!K108</f>
        <v>185.44822916666666</v>
      </c>
      <c r="L10" s="95">
        <f>'02'!L108</f>
        <v>33.949166666666663</v>
      </c>
      <c r="M10" s="95">
        <f>'02'!M108</f>
        <v>19.401666666666671</v>
      </c>
      <c r="N10" s="95">
        <f>'02'!N108</f>
        <v>199.15729166666665</v>
      </c>
      <c r="O10" s="95">
        <f>'02'!O108</f>
        <v>0</v>
      </c>
      <c r="P10" s="95">
        <f>'02'!P108</f>
        <v>0.64864583333333337</v>
      </c>
      <c r="Q10" s="95" t="str">
        <f>'02'!Q108</f>
        <v>Data F</v>
      </c>
      <c r="R10" s="160"/>
      <c r="S10" s="160"/>
      <c r="T10" s="160"/>
      <c r="U10" s="160"/>
    </row>
    <row r="11" spans="1:21">
      <c r="A11" s="157">
        <f>'03'!$B$2</f>
        <v>45415.010416666664</v>
      </c>
      <c r="B11" s="95">
        <f>'03'!B108</f>
        <v>11.253437499999997</v>
      </c>
      <c r="C11" s="95">
        <f>'03'!C108</f>
        <v>13.178958333333343</v>
      </c>
      <c r="D11" s="95">
        <f>'03'!D108</f>
        <v>25.053854166666667</v>
      </c>
      <c r="E11" s="95">
        <f>'03'!E108</f>
        <v>19.158541666666665</v>
      </c>
      <c r="F11" s="95">
        <f>'03'!F108</f>
        <v>14.856874999999995</v>
      </c>
      <c r="G11" s="95">
        <f>'03'!G108</f>
        <v>96.126041666666723</v>
      </c>
      <c r="H11" s="95">
        <f>'03'!H108</f>
        <v>29.125833333333333</v>
      </c>
      <c r="I11" s="95">
        <f>'03'!I108</f>
        <v>6.8689583333333326</v>
      </c>
      <c r="J11" s="95">
        <f>'03'!J108</f>
        <v>0.39906250000000015</v>
      </c>
      <c r="K11" s="95">
        <f>'03'!K108</f>
        <v>152.46343750000003</v>
      </c>
      <c r="L11" s="95">
        <f>'03'!L108</f>
        <v>32.085208333333334</v>
      </c>
      <c r="M11" s="95">
        <f>'03'!M108</f>
        <v>24.577500000000001</v>
      </c>
      <c r="N11" s="95">
        <f>'03'!N108</f>
        <v>194.66145833333334</v>
      </c>
      <c r="O11" s="95">
        <f>'03'!O108</f>
        <v>0</v>
      </c>
      <c r="P11" s="95">
        <f>'03'!P108</f>
        <v>0.65552083333333333</v>
      </c>
      <c r="Q11" s="95" t="str">
        <f>'03'!Q108</f>
        <v>Data F</v>
      </c>
      <c r="R11" s="160"/>
      <c r="S11" s="160"/>
      <c r="T11" s="160"/>
      <c r="U11" s="160"/>
    </row>
    <row r="12" spans="1:21">
      <c r="A12" s="157">
        <f>'04'!$B$2</f>
        <v>45416.010416666664</v>
      </c>
      <c r="B12" s="95">
        <f>'04'!B108</f>
        <v>10.62494382022472</v>
      </c>
      <c r="C12" s="95">
        <f>'04'!C108</f>
        <v>14.136966292134835</v>
      </c>
      <c r="D12" s="95">
        <f>'04'!D108</f>
        <v>25.05056179775281</v>
      </c>
      <c r="E12" s="95">
        <f>'04'!E108</f>
        <v>20.485555555555557</v>
      </c>
      <c r="F12" s="95">
        <f>'04'!F108</f>
        <v>34.817555555555572</v>
      </c>
      <c r="G12" s="95">
        <f>'04'!G108</f>
        <v>104.95451219512191</v>
      </c>
      <c r="H12" s="95">
        <f>'04'!H108</f>
        <v>36.643902439024409</v>
      </c>
      <c r="I12" s="95">
        <f>'04'!I108</f>
        <v>8.7627272727272771</v>
      </c>
      <c r="J12" s="95">
        <f>'04'!J108</f>
        <v>0.36359550561797743</v>
      </c>
      <c r="K12" s="95">
        <f>'04'!K108</f>
        <v>169.67606741573039</v>
      </c>
      <c r="L12" s="95">
        <f>'04'!L108</f>
        <v>31.882888888888878</v>
      </c>
      <c r="M12" s="95">
        <f>'04'!M108</f>
        <v>30.124444444444428</v>
      </c>
      <c r="N12" s="95">
        <f>'04'!N108</f>
        <v>148.81666666666669</v>
      </c>
      <c r="O12" s="95">
        <f>'04'!O108</f>
        <v>0</v>
      </c>
      <c r="P12" s="95">
        <f>'04'!P108</f>
        <v>0.80566666666666609</v>
      </c>
      <c r="Q12" s="95">
        <f>'04'!Q108</f>
        <v>4.7337499999999988</v>
      </c>
      <c r="R12" s="160"/>
      <c r="S12" s="160"/>
      <c r="T12" s="160"/>
      <c r="U12" s="160"/>
    </row>
    <row r="13" spans="1:21">
      <c r="A13" s="157">
        <f>'05'!$B$2</f>
        <v>45417.010416666664</v>
      </c>
      <c r="B13" s="95">
        <f>'05'!B108</f>
        <v>11.270208333333334</v>
      </c>
      <c r="C13" s="95">
        <f>'05'!C108</f>
        <v>13.144062499999999</v>
      </c>
      <c r="D13" s="95">
        <f>'05'!D108</f>
        <v>25.047812500000006</v>
      </c>
      <c r="E13" s="95">
        <f>'05'!E108</f>
        <v>18.415312499999995</v>
      </c>
      <c r="F13" s="95">
        <f>'05'!F108</f>
        <v>20.226041666666664</v>
      </c>
      <c r="G13" s="95">
        <f>'05'!G108</f>
        <v>76.574791666666627</v>
      </c>
      <c r="H13" s="95">
        <f>'05'!H108</f>
        <v>27.910624999999992</v>
      </c>
      <c r="I13" s="95">
        <f>'05'!I108</f>
        <v>8.6065625000000008</v>
      </c>
      <c r="J13" s="95">
        <f>'05'!J108</f>
        <v>0.51958333333333351</v>
      </c>
      <c r="K13" s="95">
        <f>'05'!K108</f>
        <v>218.48374999999999</v>
      </c>
      <c r="L13" s="95">
        <f>'05'!L108</f>
        <v>33.798333333333339</v>
      </c>
      <c r="M13" s="95">
        <f>'05'!M108</f>
        <v>27.820208333333341</v>
      </c>
      <c r="N13" s="95">
        <f>'05'!N108</f>
        <v>182.71979166666665</v>
      </c>
      <c r="O13" s="95">
        <f>'05'!O108</f>
        <v>0</v>
      </c>
      <c r="P13" s="95">
        <f>'05'!P108</f>
        <v>0.76354166666666679</v>
      </c>
      <c r="Q13" s="95" t="str">
        <f>'05'!Q108</f>
        <v>Data F</v>
      </c>
      <c r="R13" s="160"/>
      <c r="S13" s="160"/>
      <c r="T13" s="160"/>
      <c r="U13" s="160"/>
    </row>
    <row r="14" spans="1:21">
      <c r="A14" s="157">
        <f>'06'!$B$2</f>
        <v>45418.010416666664</v>
      </c>
      <c r="B14" s="95">
        <f>'06'!B108</f>
        <v>11.286666666666664</v>
      </c>
      <c r="C14" s="95">
        <f>'06'!C108</f>
        <v>13.145624999999997</v>
      </c>
      <c r="D14" s="95">
        <f>'06'!D108</f>
        <v>25.062291666666663</v>
      </c>
      <c r="E14" s="95">
        <f>'06'!E108</f>
        <v>15.817187500000005</v>
      </c>
      <c r="F14" s="95">
        <f>'06'!F108</f>
        <v>15.557812500000004</v>
      </c>
      <c r="G14" s="95">
        <f>'06'!G108</f>
        <v>53.688020833333304</v>
      </c>
      <c r="H14" s="95">
        <f>'06'!H108</f>
        <v>19.897395833333338</v>
      </c>
      <c r="I14" s="95">
        <f>'06'!I108</f>
        <v>7.7778125000000031</v>
      </c>
      <c r="J14" s="95">
        <f>'06'!J108</f>
        <v>0.78645833333333348</v>
      </c>
      <c r="K14" s="95">
        <f>'06'!K108</f>
        <v>246.11458333333317</v>
      </c>
      <c r="L14" s="95">
        <f>'06'!L108</f>
        <v>35.482291666666669</v>
      </c>
      <c r="M14" s="95">
        <f>'06'!M108</f>
        <v>29.889791666666664</v>
      </c>
      <c r="N14" s="95">
        <f>'06'!N108</f>
        <v>188.75208333333339</v>
      </c>
      <c r="O14" s="95">
        <f>'06'!O108</f>
        <v>0</v>
      </c>
      <c r="P14" s="95">
        <f>'06'!P108</f>
        <v>0.61052083333333307</v>
      </c>
      <c r="Q14" s="95">
        <f>'06'!Q108</f>
        <v>4.6400000000000006</v>
      </c>
      <c r="R14" s="160"/>
      <c r="S14" s="160"/>
      <c r="T14" s="160"/>
      <c r="U14" s="160"/>
    </row>
    <row r="15" spans="1:21">
      <c r="A15" s="157">
        <f>'07'!$B$2</f>
        <v>45419.010416666664</v>
      </c>
      <c r="B15" s="95">
        <f>'07'!B108</f>
        <v>11.240520833333335</v>
      </c>
      <c r="C15" s="95">
        <f>'07'!C108</f>
        <v>13.158750000000003</v>
      </c>
      <c r="D15" s="95">
        <f>'07'!D108</f>
        <v>25.032291666666662</v>
      </c>
      <c r="E15" s="95">
        <f>'07'!E108</f>
        <v>12.478749999999998</v>
      </c>
      <c r="F15" s="95">
        <f>'07'!F108</f>
        <v>8.1469791666666698</v>
      </c>
      <c r="G15" s="95">
        <f>'07'!G108</f>
        <v>35.227708333333311</v>
      </c>
      <c r="H15" s="95">
        <f>'07'!H108</f>
        <v>11.091354166666674</v>
      </c>
      <c r="I15" s="95">
        <f>'07'!I108</f>
        <v>4.7280208333333329</v>
      </c>
      <c r="J15" s="95">
        <f>'07'!J108</f>
        <v>0.85072916666666698</v>
      </c>
      <c r="K15" s="95">
        <f>'07'!K108</f>
        <v>202.41552083333329</v>
      </c>
      <c r="L15" s="95">
        <f>'07'!L108</f>
        <v>30.309895833333332</v>
      </c>
      <c r="M15" s="95">
        <f>'07'!M108</f>
        <v>53.074583333333322</v>
      </c>
      <c r="N15" s="95">
        <f>'07'!N108</f>
        <v>183.56250000000003</v>
      </c>
      <c r="O15" s="95">
        <f>'07'!O108</f>
        <v>7.0833333333333345E-2</v>
      </c>
      <c r="P15" s="95">
        <f>'07'!P108</f>
        <v>0.41187500000000005</v>
      </c>
      <c r="Q15" s="95">
        <f>'07'!Q108</f>
        <v>4.63</v>
      </c>
      <c r="R15" s="160"/>
      <c r="S15" s="160"/>
      <c r="T15" s="160"/>
      <c r="U15" s="160"/>
    </row>
    <row r="16" spans="1:21">
      <c r="A16" s="157">
        <f>'08'!$B$2</f>
        <v>45420.010416666664</v>
      </c>
      <c r="B16" s="95">
        <f>'08'!B108</f>
        <v>11.099166666666664</v>
      </c>
      <c r="C16" s="95">
        <f>'08'!C108</f>
        <v>13.321249999999985</v>
      </c>
      <c r="D16" s="95">
        <f>'08'!D108</f>
        <v>25.004270833333337</v>
      </c>
      <c r="E16" s="95">
        <f>'08'!E108</f>
        <v>11.249270833333329</v>
      </c>
      <c r="F16" s="95">
        <f>'08'!F108</f>
        <v>7.4826041666666656</v>
      </c>
      <c r="G16" s="95">
        <f>'08'!G108</f>
        <v>27.645624999999985</v>
      </c>
      <c r="H16" s="95">
        <f>'08'!H108</f>
        <v>10.436979166666665</v>
      </c>
      <c r="I16" s="95">
        <f>'08'!I108</f>
        <v>5.8305208333333312</v>
      </c>
      <c r="J16" s="95">
        <f>'08'!J108</f>
        <v>0.46364583333333309</v>
      </c>
      <c r="K16" s="95">
        <f>'08'!K108</f>
        <v>213.00083333333339</v>
      </c>
      <c r="L16" s="95">
        <f>'08'!L108</f>
        <v>29.114791666666672</v>
      </c>
      <c r="M16" s="95">
        <f>'08'!M108</f>
        <v>63.068854166666682</v>
      </c>
      <c r="N16" s="95">
        <f>'08'!N108</f>
        <v>198.15520833333335</v>
      </c>
      <c r="O16" s="95">
        <f>'08'!O108</f>
        <v>0</v>
      </c>
      <c r="P16" s="95">
        <f>'08'!P108</f>
        <v>0.56562499999999993</v>
      </c>
      <c r="Q16" s="95" t="str">
        <f>'08'!Q108</f>
        <v>Data F</v>
      </c>
      <c r="R16" s="160"/>
      <c r="S16" s="160"/>
      <c r="T16" s="160"/>
      <c r="U16" s="160"/>
    </row>
    <row r="17" spans="1:21">
      <c r="A17" s="157">
        <f>'09'!$B$2</f>
        <v>45421.010416666664</v>
      </c>
      <c r="B17" s="95">
        <f>'09'!B108</f>
        <v>11.362604166666676</v>
      </c>
      <c r="C17" s="95">
        <f>'09'!C108</f>
        <v>13.135312499999998</v>
      </c>
      <c r="D17" s="95">
        <f>'09'!D108</f>
        <v>25.119270833333317</v>
      </c>
      <c r="E17" s="95">
        <f>'09'!E108</f>
        <v>13.65104166666667</v>
      </c>
      <c r="F17" s="95">
        <f>'09'!F108</f>
        <v>6.1457291666666682</v>
      </c>
      <c r="G17" s="95">
        <f>'09'!G108</f>
        <v>46.525208333333325</v>
      </c>
      <c r="H17" s="95">
        <f>'09'!H108</f>
        <v>16.430625000000006</v>
      </c>
      <c r="I17" s="95">
        <f>'09'!I108</f>
        <v>6.1641666666666692</v>
      </c>
      <c r="J17" s="95">
        <f>'09'!J108</f>
        <v>0.73062500000000019</v>
      </c>
      <c r="K17" s="95">
        <f>'09'!K108</f>
        <v>217.2074999999999</v>
      </c>
      <c r="L17" s="95">
        <f>'09'!L108</f>
        <v>29.639479166666675</v>
      </c>
      <c r="M17" s="95">
        <f>'09'!M108</f>
        <v>54.961250000000014</v>
      </c>
      <c r="N17" s="95">
        <f>'09'!N108</f>
        <v>157.15</v>
      </c>
      <c r="O17" s="95">
        <f>'09'!O108</f>
        <v>0</v>
      </c>
      <c r="P17" s="95">
        <f>'09'!P108</f>
        <v>0.56729166666666664</v>
      </c>
      <c r="Q17" s="95">
        <f>'09'!Q108</f>
        <v>4.62</v>
      </c>
      <c r="R17" s="160"/>
      <c r="S17" s="160"/>
      <c r="T17" s="160"/>
      <c r="U17" s="160"/>
    </row>
    <row r="18" spans="1:21">
      <c r="A18" s="157">
        <f>'10'!$B$2</f>
        <v>45422.010416666664</v>
      </c>
      <c r="B18" s="95">
        <f>'10'!B108</f>
        <v>11.289374999999994</v>
      </c>
      <c r="C18" s="95">
        <f>'10'!C108</f>
        <v>13.121770833333327</v>
      </c>
      <c r="D18" s="95">
        <f>'10'!D108</f>
        <v>25.052916666666651</v>
      </c>
      <c r="E18" s="95">
        <f>'10'!E108</f>
        <v>14.049270833333333</v>
      </c>
      <c r="F18" s="95">
        <f>'10'!F108</f>
        <v>9.9705208333333317</v>
      </c>
      <c r="G18" s="95">
        <f>'10'!G108</f>
        <v>34.935833333333335</v>
      </c>
      <c r="H18" s="95">
        <f>'10'!H108</f>
        <v>11.871354166666672</v>
      </c>
      <c r="I18" s="95">
        <f>'10'!I108</f>
        <v>5.9942708333333314</v>
      </c>
      <c r="J18" s="95">
        <f>'10'!J108</f>
        <v>0.67604166666666643</v>
      </c>
      <c r="K18" s="95">
        <f>'10'!K108</f>
        <v>217.14479166666663</v>
      </c>
      <c r="L18" s="95">
        <f>'10'!L108</f>
        <v>31.30854166666667</v>
      </c>
      <c r="M18" s="95">
        <f>'10'!M108</f>
        <v>54.156145833333341</v>
      </c>
      <c r="N18" s="95">
        <f>'10'!N108</f>
        <v>191.90729166666674</v>
      </c>
      <c r="O18" s="95">
        <f>'10'!O108</f>
        <v>0</v>
      </c>
      <c r="P18" s="95">
        <f>'10'!P108</f>
        <v>0.49583333333333335</v>
      </c>
      <c r="Q18" s="95" t="str">
        <f>'10'!Q108</f>
        <v>Data F</v>
      </c>
      <c r="R18" s="160"/>
      <c r="S18" s="160"/>
      <c r="T18" s="160"/>
      <c r="U18" s="160"/>
    </row>
    <row r="19" spans="1:21">
      <c r="A19" s="157">
        <f>'11'!$B$2</f>
        <v>45423.010416666664</v>
      </c>
      <c r="B19" s="95">
        <f>'11'!B108</f>
        <v>11.337708333333333</v>
      </c>
      <c r="C19" s="95">
        <f>'11'!C108</f>
        <v>13.127395833333329</v>
      </c>
      <c r="D19" s="95">
        <f>'11'!D108</f>
        <v>25.094895833333325</v>
      </c>
      <c r="E19" s="95">
        <f>'11'!E108</f>
        <v>18.975729166666664</v>
      </c>
      <c r="F19" s="95">
        <f>'11'!F108</f>
        <v>10.941979166666668</v>
      </c>
      <c r="G19" s="95">
        <f>'11'!G108</f>
        <v>58.161041666666684</v>
      </c>
      <c r="H19" s="95">
        <f>'11'!H108</f>
        <v>16.817187499999992</v>
      </c>
      <c r="I19" s="95">
        <f>'11'!I108</f>
        <v>5.2069791666666658</v>
      </c>
      <c r="J19" s="95">
        <f>'11'!J108</f>
        <v>0.81187500000000012</v>
      </c>
      <c r="K19" s="95">
        <f>'11'!K108</f>
        <v>185.06822916666655</v>
      </c>
      <c r="L19" s="95">
        <f>'11'!L108</f>
        <v>32.881666666666675</v>
      </c>
      <c r="M19" s="95">
        <f>'11'!M108</f>
        <v>47.950104166666677</v>
      </c>
      <c r="N19" s="95">
        <f>'11'!N108</f>
        <v>187.48125000000005</v>
      </c>
      <c r="O19" s="95">
        <f>'11'!O108</f>
        <v>0</v>
      </c>
      <c r="P19" s="95">
        <f>'11'!P108</f>
        <v>0.5117708333333334</v>
      </c>
      <c r="Q19" s="95">
        <f>'11'!Q108</f>
        <v>4.6228571428571428</v>
      </c>
      <c r="R19" s="160"/>
      <c r="S19" s="160"/>
      <c r="T19" s="160"/>
      <c r="U19" s="160"/>
    </row>
    <row r="20" spans="1:21">
      <c r="A20" s="157">
        <f>'12'!$B$2</f>
        <v>45424.010416666664</v>
      </c>
      <c r="B20" s="95">
        <f>'12'!B108</f>
        <v>11.301354166666664</v>
      </c>
      <c r="C20" s="95">
        <f>'12'!C108</f>
        <v>13.12322916666667</v>
      </c>
      <c r="D20" s="95">
        <f>'12'!D108</f>
        <v>25.063229166666659</v>
      </c>
      <c r="E20" s="95">
        <f>'12'!E108</f>
        <v>16.604583333333334</v>
      </c>
      <c r="F20" s="95">
        <f>'12'!F108</f>
        <v>15.065104166666664</v>
      </c>
      <c r="G20" s="95">
        <f>'12'!G108</f>
        <v>57.096041666666686</v>
      </c>
      <c r="H20" s="95">
        <f>'12'!H108</f>
        <v>18.762916666666669</v>
      </c>
      <c r="I20" s="95">
        <f>'12'!I108</f>
        <v>8.8883333333333336</v>
      </c>
      <c r="J20" s="95">
        <f>'12'!J108</f>
        <v>0.64874999999999994</v>
      </c>
      <c r="K20" s="95">
        <f>'12'!K108</f>
        <v>191.43302083333342</v>
      </c>
      <c r="L20" s="95">
        <f>'12'!L108</f>
        <v>31.656041666666656</v>
      </c>
      <c r="M20" s="95">
        <f>'12'!M108</f>
        <v>53.316770833333351</v>
      </c>
      <c r="N20" s="95">
        <f>'12'!N108</f>
        <v>155.66979166666667</v>
      </c>
      <c r="O20" s="95">
        <f>'12'!O108</f>
        <v>5.6250000000000015E-2</v>
      </c>
      <c r="P20" s="95">
        <f>'12'!P108</f>
        <v>0.58010416666666653</v>
      </c>
      <c r="Q20" s="95">
        <f>'12'!Q108</f>
        <v>4.63</v>
      </c>
      <c r="R20" s="160"/>
      <c r="S20" s="160"/>
      <c r="T20" s="160"/>
      <c r="U20" s="160"/>
    </row>
    <row r="21" spans="1:21" s="142" customFormat="1">
      <c r="A21" s="157">
        <f>'13'!$B$2</f>
        <v>45425.010416666664</v>
      </c>
      <c r="B21" s="158">
        <f>'13'!B108</f>
        <v>11.319479166666675</v>
      </c>
      <c r="C21" s="158">
        <f>'13'!C108</f>
        <v>13.126979166666667</v>
      </c>
      <c r="D21" s="158">
        <f>'13'!D108</f>
        <v>25.078854166666645</v>
      </c>
      <c r="E21" s="158">
        <f>'13'!E108</f>
        <v>17.159479166666667</v>
      </c>
      <c r="F21" s="158">
        <f>'13'!F108</f>
        <v>13.14645833333334</v>
      </c>
      <c r="G21" s="158">
        <f>'13'!G108</f>
        <v>39.55572916666668</v>
      </c>
      <c r="H21" s="158">
        <f>'13'!H108</f>
        <v>15.837395833333344</v>
      </c>
      <c r="I21" s="158">
        <f>'13'!I108</f>
        <v>5.8646874999999961</v>
      </c>
      <c r="J21" s="158">
        <f>'13'!J108</f>
        <v>0.58468749999999992</v>
      </c>
      <c r="K21" s="158">
        <f>'13'!K108</f>
        <v>186.9942708333333</v>
      </c>
      <c r="L21" s="158">
        <f>'13'!L108</f>
        <v>30.779479166666651</v>
      </c>
      <c r="M21" s="158">
        <f>'13'!M108</f>
        <v>53.728437499999984</v>
      </c>
      <c r="N21" s="158">
        <f>'13'!N108</f>
        <v>187.11874999999998</v>
      </c>
      <c r="O21" s="158">
        <f>'13'!O108</f>
        <v>0</v>
      </c>
      <c r="P21" s="158">
        <f>'13'!P108</f>
        <v>0.50072916666666656</v>
      </c>
      <c r="Q21" s="158">
        <f>'13'!Q108</f>
        <v>4.6233333333333331</v>
      </c>
      <c r="R21" s="176"/>
      <c r="S21" s="176"/>
      <c r="T21" s="176"/>
      <c r="U21" s="176"/>
    </row>
    <row r="22" spans="1:21" s="142" customFormat="1">
      <c r="A22" s="157">
        <f>'14'!$B$2</f>
        <v>45426.010416666664</v>
      </c>
      <c r="B22" s="159">
        <f>'14'!B108</f>
        <v>11.093846153846153</v>
      </c>
      <c r="C22" s="159">
        <f>'14'!C108</f>
        <v>13.091098901098885</v>
      </c>
      <c r="D22" s="159">
        <f>'14'!D108</f>
        <v>24.908241758241751</v>
      </c>
      <c r="E22" s="159">
        <f>'14'!E108</f>
        <v>23.29336842105262</v>
      </c>
      <c r="F22" s="159">
        <f>'14'!F108</f>
        <v>21.463404255319137</v>
      </c>
      <c r="G22" s="159">
        <f>'14'!G108</f>
        <v>78.319213483146086</v>
      </c>
      <c r="H22" s="159">
        <f>'14'!H108</f>
        <v>27.59011235955057</v>
      </c>
      <c r="I22" s="159">
        <f>'14'!I108</f>
        <v>8.4068421052631592</v>
      </c>
      <c r="J22" s="159">
        <f>'14'!J108</f>
        <v>0.35768421052631583</v>
      </c>
      <c r="K22" s="159">
        <f>'14'!K108</f>
        <v>160.87989473684212</v>
      </c>
      <c r="L22" s="159">
        <f>'14'!L108</f>
        <v>32.191473684210514</v>
      </c>
      <c r="M22" s="159">
        <f>'14'!M108</f>
        <v>46.576105263157899</v>
      </c>
      <c r="N22" s="159">
        <f>'14'!N108</f>
        <v>163.33473684210523</v>
      </c>
      <c r="O22" s="159">
        <f>'14'!O108</f>
        <v>0</v>
      </c>
      <c r="P22" s="159">
        <f>'14'!P108</f>
        <v>0.66663157894736813</v>
      </c>
      <c r="Q22" s="159">
        <f>'14'!Q108</f>
        <v>4.63375</v>
      </c>
      <c r="R22" s="177"/>
      <c r="S22" s="177"/>
      <c r="T22" s="177"/>
      <c r="U22" s="177"/>
    </row>
    <row r="23" spans="1:21">
      <c r="A23" s="157">
        <f>'15'!$B$2</f>
        <v>45427.010416666664</v>
      </c>
      <c r="B23" s="95">
        <f>'15'!B108</f>
        <v>11.287083333333333</v>
      </c>
      <c r="C23" s="95">
        <f>'15'!C108</f>
        <v>13.10885416666666</v>
      </c>
      <c r="D23" s="95">
        <f>'15'!D108</f>
        <v>25.043749999999974</v>
      </c>
      <c r="E23" s="95">
        <f>'15'!E108</f>
        <v>25.717187500000005</v>
      </c>
      <c r="F23" s="95">
        <f>'15'!F108</f>
        <v>27.710624999999997</v>
      </c>
      <c r="G23" s="95">
        <f>'15'!G108</f>
        <v>66.768854166666657</v>
      </c>
      <c r="H23" s="95">
        <f>'15'!H108</f>
        <v>26.122499999999999</v>
      </c>
      <c r="I23" s="95">
        <f>'15'!I108</f>
        <v>8.5289583333333336</v>
      </c>
      <c r="J23" s="95">
        <f>'15'!J108</f>
        <v>0.44968749999999996</v>
      </c>
      <c r="K23" s="95">
        <f>'15'!K108</f>
        <v>177.17281250000005</v>
      </c>
      <c r="L23" s="95">
        <f>'15'!L108</f>
        <v>32.440312500000005</v>
      </c>
      <c r="M23" s="95">
        <f>'15'!M108</f>
        <v>46.111666666666657</v>
      </c>
      <c r="N23" s="95">
        <f>'15'!N108</f>
        <v>152.54375000000005</v>
      </c>
      <c r="O23" s="95">
        <f>'15'!O108</f>
        <v>0</v>
      </c>
      <c r="P23" s="95">
        <f>'15'!P108</f>
        <v>0.71447916666666667</v>
      </c>
      <c r="Q23" s="95">
        <f>'15'!Q108</f>
        <v>4.3771428571428572</v>
      </c>
      <c r="R23" s="160"/>
      <c r="S23" s="160"/>
      <c r="T23" s="160"/>
      <c r="U23" s="160"/>
    </row>
    <row r="24" spans="1:21">
      <c r="A24" s="157">
        <f>'16'!$B$2</f>
        <v>45428.010416666664</v>
      </c>
      <c r="B24" s="95">
        <f>'16'!B108</f>
        <v>11.215000000000002</v>
      </c>
      <c r="C24" s="95">
        <f>'16'!C108</f>
        <v>13.112916666666663</v>
      </c>
      <c r="D24" s="95">
        <f>'16'!D108</f>
        <v>24.988437500000003</v>
      </c>
      <c r="E24" s="95">
        <f>'16'!E108</f>
        <v>17.140208333333334</v>
      </c>
      <c r="F24" s="95">
        <f>'16'!F108</f>
        <v>23.879062499999993</v>
      </c>
      <c r="G24" s="95">
        <f>'16'!G108</f>
        <v>53.85812499999998</v>
      </c>
      <c r="H24" s="95">
        <f>'16'!H108</f>
        <v>22.253749999999993</v>
      </c>
      <c r="I24" s="95">
        <f>'16'!I108</f>
        <v>5.7467708333333327</v>
      </c>
      <c r="J24" s="95">
        <f>'16'!J108</f>
        <v>0.48666666666666675</v>
      </c>
      <c r="K24" s="95">
        <f>'16'!K108</f>
        <v>141.2253125</v>
      </c>
      <c r="L24" s="95">
        <f>'16'!L108</f>
        <v>33.194687499999993</v>
      </c>
      <c r="M24" s="95">
        <f>'16'!M108</f>
        <v>45.795833333333341</v>
      </c>
      <c r="N24" s="95">
        <f>'16'!N108</f>
        <v>157.94895833333331</v>
      </c>
      <c r="O24" s="95">
        <f>'16'!O108</f>
        <v>0</v>
      </c>
      <c r="P24" s="95">
        <f>'16'!P108</f>
        <v>0.55604166666666688</v>
      </c>
      <c r="Q24" s="95">
        <f>'16'!Q108</f>
        <v>4.6257142857142863</v>
      </c>
      <c r="R24" s="160"/>
      <c r="S24" s="160"/>
      <c r="T24" s="160"/>
      <c r="U24" s="160"/>
    </row>
    <row r="25" spans="1:21">
      <c r="A25" s="157">
        <f>'17'!$B$2</f>
        <v>45429.010416666664</v>
      </c>
      <c r="B25" s="95">
        <f>'17'!B108</f>
        <v>11.347187499999999</v>
      </c>
      <c r="C25" s="95">
        <f>'17'!C108</f>
        <v>13.102187499999991</v>
      </c>
      <c r="D25" s="95">
        <f>'17'!D108</f>
        <v>25.089062499999986</v>
      </c>
      <c r="E25" s="95">
        <f>'17'!E108</f>
        <v>10.04447916666666</v>
      </c>
      <c r="F25" s="95">
        <f>'17'!F108</f>
        <v>17.350833333333334</v>
      </c>
      <c r="G25" s="95">
        <f>'17'!G108</f>
        <v>40.424062499999977</v>
      </c>
      <c r="H25" s="95">
        <f>'17'!H108</f>
        <v>18.29958333333332</v>
      </c>
      <c r="I25" s="95">
        <f>'17'!I108</f>
        <v>6.7232291666666661</v>
      </c>
      <c r="J25" s="95">
        <f>'17'!J108</f>
        <v>0.45072916666666663</v>
      </c>
      <c r="K25" s="95">
        <f>'17'!K108</f>
        <v>243.28791666666666</v>
      </c>
      <c r="L25" s="95">
        <f>'17'!L108</f>
        <v>31.148124999999997</v>
      </c>
      <c r="M25" s="95">
        <f>'17'!M108</f>
        <v>55.113020833333344</v>
      </c>
      <c r="N25" s="95">
        <f>'17'!N108</f>
        <v>78.970833333333346</v>
      </c>
      <c r="O25" s="95">
        <f>'17'!O108</f>
        <v>0</v>
      </c>
      <c r="P25" s="95">
        <f>'17'!P108</f>
        <v>0.55916666666666648</v>
      </c>
      <c r="Q25" s="95">
        <f>'17'!Q108</f>
        <v>4.5209523809523802</v>
      </c>
      <c r="R25" s="160"/>
      <c r="S25" s="160"/>
      <c r="T25" s="160"/>
      <c r="U25" s="160"/>
    </row>
    <row r="26" spans="1:21">
      <c r="A26" s="157">
        <f>'18'!$B$2</f>
        <v>45430.010416666664</v>
      </c>
      <c r="B26" s="95">
        <f>'18'!B108</f>
        <v>11.247656249999997</v>
      </c>
      <c r="C26" s="95">
        <f>'18'!C108</f>
        <v>13.056718750000009</v>
      </c>
      <c r="D26" s="95">
        <f>'18'!D108</f>
        <v>24.979218749999983</v>
      </c>
      <c r="E26" s="95">
        <f>'18'!E108</f>
        <v>10.550631578947364</v>
      </c>
      <c r="F26" s="95">
        <f>'18'!F108</f>
        <v>22.024687499999988</v>
      </c>
      <c r="G26" s="95">
        <f>'18'!G108</f>
        <v>18.986842105263161</v>
      </c>
      <c r="H26" s="95">
        <f>'18'!H108</f>
        <v>7.7747368421052618</v>
      </c>
      <c r="I26" s="95">
        <f>'18'!I108</f>
        <v>3.6245744680851066</v>
      </c>
      <c r="J26" s="95">
        <f>'18'!J108</f>
        <v>0.34572916666666659</v>
      </c>
      <c r="K26" s="95">
        <f>'18'!K108</f>
        <v>221.2621874999999</v>
      </c>
      <c r="L26" s="95">
        <f>'18'!L108</f>
        <v>30.653645833333343</v>
      </c>
      <c r="M26" s="95">
        <f>'18'!M108</f>
        <v>58.600416666666668</v>
      </c>
      <c r="N26" s="95">
        <f>'18'!N108</f>
        <v>136.85312500000001</v>
      </c>
      <c r="O26" s="95">
        <f>'18'!O108</f>
        <v>0</v>
      </c>
      <c r="P26" s="95">
        <f>'18'!P108</f>
        <v>0.35906250000000006</v>
      </c>
      <c r="Q26" s="95">
        <f>'18'!Q108</f>
        <v>4.5298387096774189</v>
      </c>
      <c r="R26" s="160"/>
      <c r="S26" s="160"/>
      <c r="T26" s="160"/>
      <c r="U26" s="160"/>
    </row>
    <row r="27" spans="1:21">
      <c r="A27" s="157">
        <f>'19'!$B$2</f>
        <v>45431.010416666664</v>
      </c>
      <c r="B27" s="95">
        <f>'19'!B108</f>
        <v>11.318749999999996</v>
      </c>
      <c r="C27" s="95">
        <f>'19'!C108</f>
        <v>13.094374999999998</v>
      </c>
      <c r="D27" s="95">
        <f>'19'!D108</f>
        <v>25.061979166666656</v>
      </c>
      <c r="E27" s="95">
        <f>'19'!E108</f>
        <v>13.657187499999999</v>
      </c>
      <c r="F27" s="95">
        <f>'19'!F108</f>
        <v>21.587708333333335</v>
      </c>
      <c r="G27" s="95">
        <f>'19'!G108</f>
        <v>24.452083333333334</v>
      </c>
      <c r="H27" s="95">
        <f>'19'!H108</f>
        <v>7.1191666666666675</v>
      </c>
      <c r="I27" s="95">
        <f>'19'!I108</f>
        <v>4.1077083333333331</v>
      </c>
      <c r="J27" s="95">
        <f>'19'!J108</f>
        <v>0.58614583333333348</v>
      </c>
      <c r="K27" s="95">
        <f>'19'!K108</f>
        <v>221.21697916666665</v>
      </c>
      <c r="L27" s="95">
        <f>'19'!L108</f>
        <v>32.425312499999997</v>
      </c>
      <c r="M27" s="95">
        <f>'19'!M108</f>
        <v>52.230104166666678</v>
      </c>
      <c r="N27" s="95">
        <f>'19'!N108</f>
        <v>155.23229166666673</v>
      </c>
      <c r="O27" s="95">
        <f>'19'!O108</f>
        <v>0</v>
      </c>
      <c r="P27" s="95">
        <f>'19'!P108</f>
        <v>0.43541666666666662</v>
      </c>
      <c r="Q27" s="95">
        <f>'19'!Q108</f>
        <v>4.887142857142857</v>
      </c>
      <c r="R27" s="160"/>
      <c r="S27" s="160"/>
      <c r="T27" s="160"/>
      <c r="U27" s="160"/>
    </row>
    <row r="28" spans="1:21">
      <c r="A28" s="157">
        <f>'20'!$B$2</f>
        <v>45432.010416666664</v>
      </c>
      <c r="B28" s="95">
        <f>'20'!B108</f>
        <v>11.196666666666673</v>
      </c>
      <c r="C28" s="95">
        <f>'20'!C108</f>
        <v>13.110937500000006</v>
      </c>
      <c r="D28" s="95">
        <f>'20'!D108</f>
        <v>24.971979166666689</v>
      </c>
      <c r="E28" s="95">
        <f>'20'!E108</f>
        <v>13.896979166666663</v>
      </c>
      <c r="F28" s="95">
        <f>'20'!F108</f>
        <v>21.837812500000002</v>
      </c>
      <c r="G28" s="95">
        <f>'20'!G108</f>
        <v>39.086249999999978</v>
      </c>
      <c r="H28" s="95">
        <f>'20'!H108</f>
        <v>11.853750000000007</v>
      </c>
      <c r="I28" s="95">
        <f>'20'!I108</f>
        <v>5.0270833333333336</v>
      </c>
      <c r="J28" s="95">
        <f>'20'!J108</f>
        <v>0.72416666666666651</v>
      </c>
      <c r="K28" s="95">
        <f>'20'!K108</f>
        <v>230.7973958333333</v>
      </c>
      <c r="L28" s="95">
        <f>'20'!L108</f>
        <v>33.836875000000013</v>
      </c>
      <c r="M28" s="95">
        <f>'20'!M108</f>
        <v>42.788125000000008</v>
      </c>
      <c r="N28" s="95">
        <f>'20'!N108</f>
        <v>163.87812499999998</v>
      </c>
      <c r="O28" s="95">
        <f>'20'!O108</f>
        <v>0</v>
      </c>
      <c r="P28" s="95">
        <f>'20'!P108</f>
        <v>0.51906250000000009</v>
      </c>
      <c r="Q28" s="95">
        <f>'20'!Q108</f>
        <v>4.93</v>
      </c>
      <c r="R28" s="160"/>
      <c r="S28" s="160"/>
      <c r="T28" s="160"/>
      <c r="U28" s="160"/>
    </row>
    <row r="29" spans="1:21">
      <c r="A29" s="157">
        <f>'21'!$B$2</f>
        <v>45433.010416666664</v>
      </c>
      <c r="B29" s="95">
        <f>'21'!B108</f>
        <v>7.5679012345679038</v>
      </c>
      <c r="C29" s="95">
        <f>'21'!C108</f>
        <v>7.6249382716049423</v>
      </c>
      <c r="D29" s="95">
        <f>'21'!D108</f>
        <v>15.915185185185237</v>
      </c>
      <c r="E29" s="95">
        <f>'21'!E108</f>
        <v>22.557500000000005</v>
      </c>
      <c r="F29" s="95">
        <f>'21'!F108</f>
        <v>36.754583333333322</v>
      </c>
      <c r="G29" s="95">
        <f>'21'!G108</f>
        <v>38.872500000000002</v>
      </c>
      <c r="H29" s="95">
        <f>'21'!H108</f>
        <v>14.46666666666667</v>
      </c>
      <c r="I29" s="95">
        <f>'21'!I108</f>
        <v>4.1763541666666679</v>
      </c>
      <c r="J29" s="95">
        <f>'21'!J108</f>
        <v>0.63302083333333348</v>
      </c>
      <c r="K29" s="95">
        <f>'21'!K108</f>
        <v>202.63447916666658</v>
      </c>
      <c r="L29" s="95">
        <f>'21'!L108</f>
        <v>33.529166666666661</v>
      </c>
      <c r="M29" s="95">
        <f>'21'!M108</f>
        <v>45.826458333333342</v>
      </c>
      <c r="N29" s="95">
        <f>'21'!N108</f>
        <v>142.60729166666667</v>
      </c>
      <c r="O29" s="95">
        <f>'21'!O108</f>
        <v>0</v>
      </c>
      <c r="P29" s="95">
        <f>'21'!P108</f>
        <v>0.49718749999999989</v>
      </c>
      <c r="Q29" s="95">
        <f>'21'!Q108</f>
        <v>4.7857627118644093</v>
      </c>
      <c r="R29" s="160"/>
      <c r="S29" s="160"/>
      <c r="T29" s="160"/>
      <c r="U29" s="160"/>
    </row>
    <row r="30" spans="1:21">
      <c r="A30" s="157">
        <f>'22'!$B$2</f>
        <v>45434.010416666664</v>
      </c>
      <c r="B30" s="95">
        <f>'22'!B108</f>
        <v>3.2880769230769249</v>
      </c>
      <c r="C30" s="95">
        <f>'22'!C108</f>
        <v>1.0823076923076926</v>
      </c>
      <c r="D30" s="95">
        <f>'22'!D108</f>
        <v>5.1616666666666662</v>
      </c>
      <c r="E30" s="95">
        <f>'22'!E108</f>
        <v>18.667435897435897</v>
      </c>
      <c r="F30" s="95">
        <f>'22'!F108</f>
        <v>31.414358974358976</v>
      </c>
      <c r="G30" s="95">
        <f>'22'!G108</f>
        <v>46.856794871794868</v>
      </c>
      <c r="H30" s="95">
        <f>'22'!H108</f>
        <v>15.027692307692305</v>
      </c>
      <c r="I30" s="95">
        <f>'22'!I108</f>
        <v>5.6133333333333324</v>
      </c>
      <c r="J30" s="95">
        <f>'22'!J108</f>
        <v>0.52358974358974342</v>
      </c>
      <c r="K30" s="95">
        <f>'22'!K108</f>
        <v>225.79974358974354</v>
      </c>
      <c r="L30" s="95">
        <f>'22'!L108</f>
        <v>33.403333333333329</v>
      </c>
      <c r="M30" s="95">
        <f>'22'!M108</f>
        <v>48.915256410256411</v>
      </c>
      <c r="N30" s="95">
        <f>'22'!N108</f>
        <v>176.13076923076923</v>
      </c>
      <c r="O30" s="95">
        <f>'22'!O108</f>
        <v>1.5384615384615384E-2</v>
      </c>
      <c r="P30" s="95">
        <f>'22'!P108</f>
        <v>0.58358974358974358</v>
      </c>
      <c r="Q30" s="95">
        <f>'22'!Q108</f>
        <v>4.359264705882353</v>
      </c>
      <c r="R30" s="160"/>
      <c r="S30" s="160"/>
      <c r="T30" s="160"/>
      <c r="U30" s="160"/>
    </row>
    <row r="31" spans="1:21">
      <c r="A31" s="157">
        <f>'23'!$B$2</f>
        <v>45435.010416666664</v>
      </c>
      <c r="B31" s="95">
        <f>'23'!B108</f>
        <v>7.3038461538461563</v>
      </c>
      <c r="C31" s="95">
        <f>'23'!C108</f>
        <v>6.0815384615384636</v>
      </c>
      <c r="D31" s="95">
        <f>'23'!D108</f>
        <v>14.043589743589738</v>
      </c>
      <c r="E31" s="95">
        <f>'23'!E108</f>
        <v>15.200714285714284</v>
      </c>
      <c r="F31" s="95">
        <f>'23'!F108</f>
        <v>49.403999999999996</v>
      </c>
      <c r="G31" s="95">
        <f>'23'!G108</f>
        <v>38.000999999999983</v>
      </c>
      <c r="H31" s="95">
        <f>'23'!H108</f>
        <v>12.42625</v>
      </c>
      <c r="I31" s="95">
        <f>'23'!I108</f>
        <v>6.4893478260869601</v>
      </c>
      <c r="J31" s="95">
        <f>'23'!J108</f>
        <v>0.50630434782608713</v>
      </c>
      <c r="K31" s="95">
        <f>'23'!K108</f>
        <v>229.25760869565218</v>
      </c>
      <c r="L31" s="95">
        <f>'23'!L108</f>
        <v>36.642173913043472</v>
      </c>
      <c r="M31" s="95">
        <f>'23'!M108</f>
        <v>38.490000000000009</v>
      </c>
      <c r="N31" s="95">
        <f>'23'!N108</f>
        <v>194.25652173913042</v>
      </c>
      <c r="O31" s="95">
        <f>'23'!O108</f>
        <v>0</v>
      </c>
      <c r="P31" s="95">
        <f>'23'!P108</f>
        <v>0.65152173913043487</v>
      </c>
      <c r="Q31" s="95">
        <f>'23'!Q108</f>
        <v>17.97</v>
      </c>
      <c r="R31" s="160"/>
      <c r="S31" s="178"/>
      <c r="T31" s="160"/>
      <c r="U31" s="160"/>
    </row>
    <row r="32" spans="1:21">
      <c r="A32" s="157">
        <f>'24'!$B$2</f>
        <v>45436.010416666664</v>
      </c>
      <c r="B32" s="95">
        <f>'24'!B108</f>
        <v>7.1387500000000044</v>
      </c>
      <c r="C32" s="95">
        <f>'24'!C108</f>
        <v>6.0743749999999972</v>
      </c>
      <c r="D32" s="95">
        <f>'24'!D108</f>
        <v>13.907083333333338</v>
      </c>
      <c r="E32" s="95">
        <f>'24'!E108</f>
        <v>12.960312500000002</v>
      </c>
      <c r="F32" s="95">
        <f>'24'!F108</f>
        <v>26.087604166666669</v>
      </c>
      <c r="G32" s="95">
        <f>'24'!G108</f>
        <v>46.643437500000026</v>
      </c>
      <c r="H32" s="95">
        <f>'24'!H108</f>
        <v>18.083958333333339</v>
      </c>
      <c r="I32" s="95">
        <f>'24'!I108</f>
        <v>5.5379166666666686</v>
      </c>
      <c r="J32" s="95">
        <f>'24'!J108</f>
        <v>0.41791666666666655</v>
      </c>
      <c r="K32" s="95">
        <f>'24'!K108</f>
        <v>172.75479166666662</v>
      </c>
      <c r="L32" s="95">
        <f>'24'!L108</f>
        <v>34.061041666666668</v>
      </c>
      <c r="M32" s="95">
        <f>'24'!M108</f>
        <v>49.244999999999997</v>
      </c>
      <c r="N32" s="95">
        <f>'24'!N108</f>
        <v>157.44791666666663</v>
      </c>
      <c r="O32" s="95">
        <f>'24'!O108</f>
        <v>0</v>
      </c>
      <c r="P32" s="95">
        <f>'24'!P108</f>
        <v>0.58020833333333355</v>
      </c>
      <c r="Q32" s="95">
        <f>'24'!Q108</f>
        <v>40.645937500000009</v>
      </c>
      <c r="R32" s="160"/>
      <c r="S32" s="160"/>
      <c r="T32" s="160"/>
      <c r="U32" s="160"/>
    </row>
    <row r="33" spans="1:21">
      <c r="A33" s="157">
        <f>'25'!$B$2</f>
        <v>45437.010416666664</v>
      </c>
      <c r="B33" s="95">
        <f>'25'!B108</f>
        <v>7.2326041666666647</v>
      </c>
      <c r="C33" s="95">
        <f>'25'!C108</f>
        <v>6.0780208333333361</v>
      </c>
      <c r="D33" s="95">
        <f>'25'!D108</f>
        <v>13.984479166666668</v>
      </c>
      <c r="E33" s="95">
        <f>'25'!E108</f>
        <v>12.614062500000001</v>
      </c>
      <c r="F33" s="95">
        <f>'25'!F108</f>
        <v>24.340312500000007</v>
      </c>
      <c r="G33" s="95">
        <f>'25'!G108</f>
        <v>38.463333333333331</v>
      </c>
      <c r="H33" s="95">
        <f>'25'!H108</f>
        <v>14.837604166666674</v>
      </c>
      <c r="I33" s="95">
        <f>'25'!I108</f>
        <v>4.6011458333333346</v>
      </c>
      <c r="J33" s="95">
        <f>'25'!J108</f>
        <v>0.3334375</v>
      </c>
      <c r="K33" s="95">
        <f>'25'!K108</f>
        <v>132.83000000000001</v>
      </c>
      <c r="L33" s="95">
        <f>'25'!L108</f>
        <v>34.717708333333327</v>
      </c>
      <c r="M33" s="95">
        <f>'25'!M108</f>
        <v>49.874999999999993</v>
      </c>
      <c r="N33" s="95">
        <f>'25'!N108</f>
        <v>154.4145833333333</v>
      </c>
      <c r="O33" s="95">
        <f>'25'!O108</f>
        <v>0</v>
      </c>
      <c r="P33" s="95">
        <f>'25'!P108</f>
        <v>0.5071874999999999</v>
      </c>
      <c r="Q33" s="95">
        <f>'25'!Q108</f>
        <v>8.1866666666666639</v>
      </c>
      <c r="R33" s="160"/>
      <c r="S33" s="178"/>
      <c r="T33" s="160"/>
      <c r="U33" s="160"/>
    </row>
    <row r="34" spans="1:21">
      <c r="A34" s="157">
        <f>'26'!$B$2</f>
        <v>45438.010416666664</v>
      </c>
      <c r="B34" s="95">
        <f>'26'!B108</f>
        <v>7.2363541666666711</v>
      </c>
      <c r="C34" s="95">
        <f>'26'!C108</f>
        <v>6.080000000000001</v>
      </c>
      <c r="D34" s="95">
        <f>'26'!D108</f>
        <v>13.988437500000009</v>
      </c>
      <c r="E34" s="95">
        <f>'26'!E108</f>
        <v>16.201875000000005</v>
      </c>
      <c r="F34" s="95">
        <f>'26'!F108</f>
        <v>25.837916666666658</v>
      </c>
      <c r="G34" s="95">
        <f>'26'!G108</f>
        <v>57.463333333333317</v>
      </c>
      <c r="H34" s="95">
        <f>'26'!H108</f>
        <v>22.61239583333332</v>
      </c>
      <c r="I34" s="95">
        <f>'26'!I108</f>
        <v>6.5467708333333334</v>
      </c>
      <c r="J34" s="95">
        <f>'26'!J108</f>
        <v>0.75979166666666664</v>
      </c>
      <c r="K34" s="95">
        <f>'26'!K108</f>
        <v>204.8096875</v>
      </c>
      <c r="L34" s="95">
        <f>'26'!L108</f>
        <v>35.859583333333333</v>
      </c>
      <c r="M34" s="95">
        <f>'26'!M108</f>
        <v>48.018124999999991</v>
      </c>
      <c r="N34" s="95">
        <f>'26'!N108</f>
        <v>125.85520833333332</v>
      </c>
      <c r="O34" s="95">
        <f>'26'!O108</f>
        <v>0</v>
      </c>
      <c r="P34" s="95">
        <f>'26'!P108</f>
        <v>0.69510416666666641</v>
      </c>
      <c r="Q34" s="95">
        <f>'26'!Q108</f>
        <v>6.7440624999999992</v>
      </c>
      <c r="R34" s="160"/>
      <c r="S34" s="160"/>
      <c r="T34" s="160"/>
      <c r="U34" s="160"/>
    </row>
    <row r="35" spans="1:21">
      <c r="A35" s="157">
        <f>'27'!$B$2</f>
        <v>45439.010416666664</v>
      </c>
      <c r="B35" s="95">
        <f>'27'!B108</f>
        <v>7.268020833333332</v>
      </c>
      <c r="C35" s="95">
        <f>'27'!C108</f>
        <v>6.080208333333335</v>
      </c>
      <c r="D35" s="95">
        <f>'27'!D108</f>
        <v>14.013229166666656</v>
      </c>
      <c r="E35" s="95">
        <f>'27'!E108</f>
        <v>15.547187500000001</v>
      </c>
      <c r="F35" s="95">
        <f>'27'!F108</f>
        <v>31.366770833333334</v>
      </c>
      <c r="G35" s="95">
        <f>'27'!G108</f>
        <v>66.559062500000024</v>
      </c>
      <c r="H35" s="95">
        <f>'27'!H108</f>
        <v>27.286875000000013</v>
      </c>
      <c r="I35" s="95">
        <f>'27'!I108</f>
        <v>7.2528124999999983</v>
      </c>
      <c r="J35" s="95">
        <f>'27'!J108</f>
        <v>0.46718749999999992</v>
      </c>
      <c r="K35" s="95">
        <f>'27'!K108</f>
        <v>230.10114583333333</v>
      </c>
      <c r="L35" s="95">
        <f>'27'!L108</f>
        <v>35.636145833333345</v>
      </c>
      <c r="M35" s="95">
        <f>'27'!M108</f>
        <v>43.350833333333334</v>
      </c>
      <c r="N35" s="95">
        <f>'27'!N108</f>
        <v>145.20312500000003</v>
      </c>
      <c r="O35" s="95">
        <f>'27'!O108</f>
        <v>0</v>
      </c>
      <c r="P35" s="95">
        <f>'27'!P108</f>
        <v>0.73770833333333385</v>
      </c>
      <c r="Q35" s="95">
        <f>'27'!Q108</f>
        <v>4.9941666666666702</v>
      </c>
      <c r="R35" s="160"/>
      <c r="S35" s="160"/>
      <c r="T35" s="160"/>
      <c r="U35" s="160"/>
    </row>
    <row r="36" spans="1:21">
      <c r="A36" s="157">
        <f>'28'!$B$2</f>
        <v>45440.010416666664</v>
      </c>
      <c r="B36" s="95">
        <f>'28'!B108</f>
        <v>7.1572916666666622</v>
      </c>
      <c r="C36" s="95">
        <f>'28'!C108</f>
        <v>6.076041666666665</v>
      </c>
      <c r="D36" s="95">
        <f>'28'!D108</f>
        <v>13.923229166666681</v>
      </c>
      <c r="E36" s="95">
        <f>'28'!E108</f>
        <v>13.19385416666667</v>
      </c>
      <c r="F36" s="95">
        <f>'28'!F108</f>
        <v>26.388645833333339</v>
      </c>
      <c r="G36" s="95">
        <f>'28'!G108</f>
        <v>58.604166666666664</v>
      </c>
      <c r="H36" s="95">
        <f>'28'!H108</f>
        <v>19.652604166666659</v>
      </c>
      <c r="I36" s="95">
        <f>'28'!I108</f>
        <v>5.8053124999999994</v>
      </c>
      <c r="J36" s="95">
        <f>'28'!J108</f>
        <v>0.76666666666666694</v>
      </c>
      <c r="K36" s="95">
        <f>'28'!K108</f>
        <v>239.68531250000001</v>
      </c>
      <c r="L36" s="95">
        <f>'28'!L108</f>
        <v>37.753020833333331</v>
      </c>
      <c r="M36" s="95">
        <f>'28'!M108</f>
        <v>36.898124999999993</v>
      </c>
      <c r="N36" s="95">
        <f>'28'!N108</f>
        <v>149.12187500000002</v>
      </c>
      <c r="O36" s="95">
        <f>'28'!O108</f>
        <v>0</v>
      </c>
      <c r="P36" s="95">
        <f>'28'!P108</f>
        <v>0.510625</v>
      </c>
      <c r="Q36" s="95">
        <f>'28'!Q108</f>
        <v>4.9657291666666667</v>
      </c>
      <c r="R36" s="160"/>
      <c r="S36" s="160"/>
      <c r="T36" s="160"/>
      <c r="U36" s="160"/>
    </row>
    <row r="37" spans="1:21" s="2" customFormat="1">
      <c r="A37" s="157">
        <f>'29'!$B$2</f>
        <v>45441.010416666664</v>
      </c>
      <c r="B37" s="95">
        <f>'29'!B108</f>
        <v>7.2580208333333296</v>
      </c>
      <c r="C37" s="95">
        <f>'29'!C108</f>
        <v>6.0826041666666706</v>
      </c>
      <c r="D37" s="95">
        <f>'29'!D108</f>
        <v>14.007083333333322</v>
      </c>
      <c r="E37" s="95">
        <f>'29'!E108</f>
        <v>14.910312500000002</v>
      </c>
      <c r="F37" s="95">
        <f>'29'!F108</f>
        <v>27.79666666666667</v>
      </c>
      <c r="G37" s="95">
        <f>'29'!G108</f>
        <v>58.781354166666638</v>
      </c>
      <c r="H37" s="95">
        <f>'29'!H108</f>
        <v>19.388854166666651</v>
      </c>
      <c r="I37" s="95">
        <f>'29'!I108</f>
        <v>5.1241666666666648</v>
      </c>
      <c r="J37" s="95">
        <f>'29'!J108</f>
        <v>0.67291666666666672</v>
      </c>
      <c r="K37" s="95">
        <f>'29'!K108</f>
        <v>250.3159374999999</v>
      </c>
      <c r="L37" s="95">
        <f>'29'!L108</f>
        <v>37.525729166666686</v>
      </c>
      <c r="M37" s="95">
        <f>'29'!M108</f>
        <v>36.773854166666673</v>
      </c>
      <c r="N37" s="95">
        <f>'29'!N108</f>
        <v>146.80416666666667</v>
      </c>
      <c r="O37" s="95">
        <f>'29'!O108</f>
        <v>0</v>
      </c>
      <c r="P37" s="95">
        <f>'29'!P108</f>
        <v>0.41843750000000002</v>
      </c>
      <c r="Q37" s="95">
        <f>'29'!Q108</f>
        <v>5.0413541666666637</v>
      </c>
      <c r="R37" s="160"/>
      <c r="S37" s="160"/>
      <c r="T37" s="160"/>
      <c r="U37" s="160"/>
    </row>
    <row r="38" spans="1:21" s="2" customFormat="1">
      <c r="A38" s="157">
        <f>'30'!$B$2</f>
        <v>45442.010416666664</v>
      </c>
      <c r="B38" s="95">
        <f>'30'!B108</f>
        <v>7.2513541666666717</v>
      </c>
      <c r="C38" s="95">
        <f>'30'!C108</f>
        <v>6.0883333333333347</v>
      </c>
      <c r="D38" s="95">
        <f>'30'!D108</f>
        <v>14.004687500000005</v>
      </c>
      <c r="E38" s="95">
        <f>'30'!E108</f>
        <v>13.958645833333337</v>
      </c>
      <c r="F38" s="95">
        <f>'30'!F108</f>
        <v>21.476458333333337</v>
      </c>
      <c r="G38" s="95">
        <f>'30'!G108</f>
        <v>69.508750000000006</v>
      </c>
      <c r="H38" s="95">
        <f>'30'!H108</f>
        <v>22.143020833333328</v>
      </c>
      <c r="I38" s="95">
        <f>'30'!I108</f>
        <v>7.2075000000000022</v>
      </c>
      <c r="J38" s="95">
        <f>'30'!J108</f>
        <v>0.56177083333333366</v>
      </c>
      <c r="K38" s="95">
        <f>'30'!K108</f>
        <v>244.3352083333333</v>
      </c>
      <c r="L38" s="95">
        <f>'30'!L108</f>
        <v>38.397187499999987</v>
      </c>
      <c r="M38" s="95">
        <f>'30'!M108</f>
        <v>30.995937499999986</v>
      </c>
      <c r="N38" s="95">
        <f>'30'!N108</f>
        <v>147.33854166666666</v>
      </c>
      <c r="O38" s="95">
        <f>'30'!O108</f>
        <v>0</v>
      </c>
      <c r="P38" s="95">
        <f>'30'!P108</f>
        <v>0.62041666666666651</v>
      </c>
      <c r="Q38" s="95">
        <f>'30'!Q108</f>
        <v>5</v>
      </c>
      <c r="R38" s="160"/>
      <c r="S38" s="160"/>
      <c r="T38" s="160"/>
      <c r="U38" s="160"/>
    </row>
    <row r="39" spans="1:21" s="2" customFormat="1">
      <c r="A39" s="157">
        <f>'31'!$B$2</f>
        <v>45443.010416666664</v>
      </c>
      <c r="B39" s="95">
        <f>'31'!B108</f>
        <v>7.3041666666666663</v>
      </c>
      <c r="C39" s="95">
        <f>'31'!C108</f>
        <v>6.0934375000000029</v>
      </c>
      <c r="D39" s="95">
        <f>'31'!D108</f>
        <v>14.049999999999992</v>
      </c>
      <c r="E39" s="95">
        <f>'31'!E108</f>
        <v>21.796770833333341</v>
      </c>
      <c r="F39" s="95">
        <f>'31'!F108</f>
        <v>20.863958333333333</v>
      </c>
      <c r="G39" s="95">
        <f>'31'!G108</f>
        <v>80.381354166666668</v>
      </c>
      <c r="H39" s="95">
        <f>'31'!H108</f>
        <v>24.753645833333323</v>
      </c>
      <c r="I39" s="95">
        <f>'31'!I108</f>
        <v>7.5873958333333329</v>
      </c>
      <c r="J39" s="95">
        <f>'31'!J108</f>
        <v>0.57854166666666662</v>
      </c>
      <c r="K39" s="95">
        <f>'31'!K108</f>
        <v>215.27916666666661</v>
      </c>
      <c r="L39" s="95">
        <f>'31'!L108</f>
        <v>38.605520833333337</v>
      </c>
      <c r="M39" s="95">
        <f>'31'!M108</f>
        <v>27.492291666666677</v>
      </c>
      <c r="N39" s="95">
        <f>'31'!N108</f>
        <v>133.11562499999994</v>
      </c>
      <c r="O39" s="95">
        <f>'31'!O108</f>
        <v>0</v>
      </c>
      <c r="P39" s="95">
        <f>'31'!P108</f>
        <v>0.63354166666666645</v>
      </c>
      <c r="Q39" s="95">
        <f>'31'!Q108</f>
        <v>4.9791666666666696</v>
      </c>
      <c r="R39" s="160"/>
      <c r="S39" s="160"/>
      <c r="T39" s="160"/>
      <c r="U39" s="160"/>
    </row>
    <row r="40" spans="1:21" s="2" customFormat="1">
      <c r="A40" s="144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1"/>
      <c r="S40" s="161"/>
      <c r="T40" s="161"/>
      <c r="U40" s="161"/>
    </row>
    <row r="41" spans="1:21" s="2" customFormat="1">
      <c r="A41" s="144" t="s">
        <v>48</v>
      </c>
      <c r="B41" s="161">
        <f t="shared" ref="B41:Q41" si="0">MIN(B9:B39)</f>
        <v>3.2880769230769249</v>
      </c>
      <c r="C41" s="161">
        <f t="shared" si="0"/>
        <v>1.0823076923076926</v>
      </c>
      <c r="D41" s="161">
        <f t="shared" si="0"/>
        <v>5.1616666666666662</v>
      </c>
      <c r="E41" s="161">
        <f t="shared" si="0"/>
        <v>10.04447916666666</v>
      </c>
      <c r="F41" s="161">
        <f t="shared" si="0"/>
        <v>6.1457291666666682</v>
      </c>
      <c r="G41" s="161">
        <f t="shared" si="0"/>
        <v>18.986842105263161</v>
      </c>
      <c r="H41" s="161">
        <f t="shared" si="0"/>
        <v>7.1191666666666675</v>
      </c>
      <c r="I41" s="161">
        <f t="shared" si="0"/>
        <v>3.6245744680851066</v>
      </c>
      <c r="J41" s="161">
        <f t="shared" si="0"/>
        <v>0.3334375</v>
      </c>
      <c r="K41" s="161">
        <f t="shared" si="0"/>
        <v>132.83000000000001</v>
      </c>
      <c r="L41" s="161">
        <f t="shared" si="0"/>
        <v>29.114791666666672</v>
      </c>
      <c r="M41" s="161">
        <f t="shared" si="0"/>
        <v>19.401666666666671</v>
      </c>
      <c r="N41" s="161">
        <f t="shared" si="0"/>
        <v>78.970833333333346</v>
      </c>
      <c r="O41" s="161">
        <f t="shared" si="0"/>
        <v>0</v>
      </c>
      <c r="P41" s="161">
        <f t="shared" si="0"/>
        <v>0.35906250000000006</v>
      </c>
      <c r="Q41" s="161">
        <f t="shared" si="0"/>
        <v>4.359264705882353</v>
      </c>
      <c r="R41" s="161"/>
      <c r="S41" s="161"/>
      <c r="T41" s="161"/>
      <c r="U41" s="161"/>
    </row>
    <row r="42" spans="1:21" s="2" customFormat="1">
      <c r="A42" s="144" t="s">
        <v>49</v>
      </c>
      <c r="B42" s="161">
        <f t="shared" ref="B42:Q42" si="1">MAX(B9:B39)</f>
        <v>11.362604166666676</v>
      </c>
      <c r="C42" s="161">
        <f t="shared" si="1"/>
        <v>14.136966292134835</v>
      </c>
      <c r="D42" s="161">
        <f t="shared" si="1"/>
        <v>25.119270833333317</v>
      </c>
      <c r="E42" s="161">
        <f t="shared" si="1"/>
        <v>28.007604166666656</v>
      </c>
      <c r="F42" s="161">
        <f t="shared" si="1"/>
        <v>49.403999999999996</v>
      </c>
      <c r="G42" s="161">
        <f t="shared" si="1"/>
        <v>104.95451219512191</v>
      </c>
      <c r="H42" s="161">
        <f t="shared" si="1"/>
        <v>36.643902439024409</v>
      </c>
      <c r="I42" s="161">
        <f t="shared" si="1"/>
        <v>8.8883333333333336</v>
      </c>
      <c r="J42" s="161">
        <f t="shared" si="1"/>
        <v>0.87937500000000002</v>
      </c>
      <c r="K42" s="161">
        <f t="shared" si="1"/>
        <v>250.3159374999999</v>
      </c>
      <c r="L42" s="161">
        <f t="shared" si="1"/>
        <v>38.605520833333337</v>
      </c>
      <c r="M42" s="161">
        <f t="shared" si="1"/>
        <v>63.068854166666682</v>
      </c>
      <c r="N42" s="161">
        <f t="shared" si="1"/>
        <v>199.15729166666665</v>
      </c>
      <c r="O42" s="161">
        <f t="shared" si="1"/>
        <v>7.0833333333333345E-2</v>
      </c>
      <c r="P42" s="161">
        <f t="shared" si="1"/>
        <v>0.80566666666666609</v>
      </c>
      <c r="Q42" s="161">
        <f t="shared" si="1"/>
        <v>40.645937500000009</v>
      </c>
      <c r="R42" s="161"/>
      <c r="S42" s="161"/>
      <c r="T42" s="161"/>
      <c r="U42" s="161"/>
    </row>
    <row r="43" spans="1:21" s="2" customFormat="1">
      <c r="A43" s="144" t="s">
        <v>50</v>
      </c>
      <c r="B43" s="161">
        <f t="shared" ref="B43:Q43" si="2">AVERAGE(B9:B39)</f>
        <v>9.6971209581364022</v>
      </c>
      <c r="C43" s="161">
        <f t="shared" si="2"/>
        <v>10.554322097914559</v>
      </c>
      <c r="D43" s="161">
        <f t="shared" si="2"/>
        <v>20.897016980691493</v>
      </c>
      <c r="E43" s="161">
        <f t="shared" si="2"/>
        <v>16.514946152861473</v>
      </c>
      <c r="F43" s="161">
        <f t="shared" si="2"/>
        <v>21.391234745760222</v>
      </c>
      <c r="G43" s="161">
        <f t="shared" si="2"/>
        <v>54.82017231683848</v>
      </c>
      <c r="H43" s="161">
        <f t="shared" si="2"/>
        <v>19.205658138119542</v>
      </c>
      <c r="I43" s="161">
        <f t="shared" si="2"/>
        <v>6.3333350808224482</v>
      </c>
      <c r="J43" s="161">
        <f t="shared" si="2"/>
        <v>0.57930197766322988</v>
      </c>
      <c r="K43" s="161">
        <f t="shared" si="2"/>
        <v>205.70514051950428</v>
      </c>
      <c r="L43" s="161">
        <f t="shared" si="2"/>
        <v>33.535788811380961</v>
      </c>
      <c r="M43" s="161">
        <f t="shared" si="2"/>
        <v>43.495546837135237</v>
      </c>
      <c r="N43" s="161">
        <f t="shared" si="2"/>
        <v>163.05531406920448</v>
      </c>
      <c r="O43" s="161">
        <f t="shared" si="2"/>
        <v>4.5957402812241525E-3</v>
      </c>
      <c r="P43" s="161">
        <f t="shared" si="2"/>
        <v>0.58056160413981339</v>
      </c>
      <c r="Q43" s="161">
        <f t="shared" si="2"/>
        <v>6.9070636927160152</v>
      </c>
      <c r="R43" s="161"/>
      <c r="S43" s="161"/>
      <c r="T43" s="161"/>
      <c r="U43" s="161"/>
    </row>
    <row r="44" spans="1:21" s="2" customFormat="1">
      <c r="A44" s="144" t="s">
        <v>51</v>
      </c>
      <c r="B44" s="161">
        <f t="shared" ref="B44:Q44" si="3">STDEV(B9:B39)</f>
        <v>2.2174328235469876</v>
      </c>
      <c r="C44" s="161">
        <f t="shared" si="3"/>
        <v>3.7326537439546073</v>
      </c>
      <c r="D44" s="161">
        <f t="shared" si="3"/>
        <v>5.9020972919550685</v>
      </c>
      <c r="E44" s="161">
        <f t="shared" si="3"/>
        <v>4.3715069247021479</v>
      </c>
      <c r="F44" s="161">
        <f t="shared" si="3"/>
        <v>9.5340088526214828</v>
      </c>
      <c r="G44" s="161">
        <f t="shared" si="3"/>
        <v>20.818001431887978</v>
      </c>
      <c r="H44" s="161">
        <f t="shared" si="3"/>
        <v>7.0052072453298209</v>
      </c>
      <c r="I44" s="161">
        <f t="shared" si="3"/>
        <v>1.4408630573228982</v>
      </c>
      <c r="J44" s="161">
        <f t="shared" si="3"/>
        <v>0.15804650444985938</v>
      </c>
      <c r="K44" s="161">
        <f t="shared" si="3"/>
        <v>32.46025253601622</v>
      </c>
      <c r="L44" s="161">
        <f t="shared" si="3"/>
        <v>2.5463734193604224</v>
      </c>
      <c r="M44" s="161">
        <f t="shared" si="3"/>
        <v>11.123224722511866</v>
      </c>
      <c r="N44" s="161">
        <f t="shared" si="3"/>
        <v>26.762540062929606</v>
      </c>
      <c r="O44" s="161">
        <f t="shared" si="3"/>
        <v>1.6086603444001892E-2</v>
      </c>
      <c r="P44" s="161">
        <f t="shared" si="3"/>
        <v>0.10590472320136676</v>
      </c>
      <c r="Q44" s="161">
        <f t="shared" si="3"/>
        <v>7.537741181864213</v>
      </c>
      <c r="R44" s="147"/>
      <c r="S44" s="147"/>
      <c r="T44" s="147"/>
      <c r="U44" s="147"/>
    </row>
    <row r="45" spans="1:21" s="2" customFormat="1">
      <c r="A45" s="144" t="s">
        <v>52</v>
      </c>
      <c r="B45" s="147">
        <f t="shared" ref="B45:Q45" si="4">COUNT(B9:B39)</f>
        <v>31</v>
      </c>
      <c r="C45" s="147">
        <f t="shared" si="4"/>
        <v>31</v>
      </c>
      <c r="D45" s="147">
        <f t="shared" si="4"/>
        <v>31</v>
      </c>
      <c r="E45" s="147">
        <f t="shared" si="4"/>
        <v>31</v>
      </c>
      <c r="F45" s="147">
        <f t="shared" si="4"/>
        <v>31</v>
      </c>
      <c r="G45" s="147">
        <f t="shared" si="4"/>
        <v>31</v>
      </c>
      <c r="H45" s="147">
        <f t="shared" si="4"/>
        <v>31</v>
      </c>
      <c r="I45" s="147">
        <f t="shared" si="4"/>
        <v>31</v>
      </c>
      <c r="J45" s="147">
        <f t="shared" si="4"/>
        <v>31</v>
      </c>
      <c r="K45" s="147">
        <f t="shared" si="4"/>
        <v>31</v>
      </c>
      <c r="L45" s="147">
        <f t="shared" si="4"/>
        <v>31</v>
      </c>
      <c r="M45" s="147">
        <f t="shared" si="4"/>
        <v>31</v>
      </c>
      <c r="N45" s="147">
        <f t="shared" si="4"/>
        <v>31</v>
      </c>
      <c r="O45" s="147">
        <f t="shared" si="4"/>
        <v>31</v>
      </c>
      <c r="P45" s="147">
        <f t="shared" si="4"/>
        <v>31</v>
      </c>
      <c r="Q45" s="147">
        <f t="shared" si="4"/>
        <v>25</v>
      </c>
      <c r="R45" s="147"/>
      <c r="S45" s="147"/>
      <c r="T45" s="147"/>
      <c r="U45" s="147"/>
    </row>
    <row r="46" spans="1:21">
      <c r="A46" s="144" t="s">
        <v>53</v>
      </c>
      <c r="B46" s="147" t="str">
        <f>IF(B45&gt;=28,"&gt;90%",IF(B45&lt;=28,"&lt;90%"))</f>
        <v>&gt;90%</v>
      </c>
      <c r="C46" s="147" t="str">
        <f t="shared" ref="C46:Q46" si="5">IF(C45&gt;=28,"&gt;90%",IF(C45&lt;=28,"&lt;90%"))</f>
        <v>&gt;90%</v>
      </c>
      <c r="D46" s="147" t="str">
        <f t="shared" si="5"/>
        <v>&gt;90%</v>
      </c>
      <c r="E46" s="147" t="str">
        <f t="shared" si="5"/>
        <v>&gt;90%</v>
      </c>
      <c r="F46" s="147" t="str">
        <f t="shared" si="5"/>
        <v>&gt;90%</v>
      </c>
      <c r="G46" s="147" t="str">
        <f t="shared" si="5"/>
        <v>&gt;90%</v>
      </c>
      <c r="H46" s="147" t="str">
        <f t="shared" si="5"/>
        <v>&gt;90%</v>
      </c>
      <c r="I46" s="147" t="str">
        <f t="shared" si="5"/>
        <v>&gt;90%</v>
      </c>
      <c r="J46" s="147" t="str">
        <f t="shared" si="5"/>
        <v>&gt;90%</v>
      </c>
      <c r="K46" s="147" t="str">
        <f t="shared" si="5"/>
        <v>&gt;90%</v>
      </c>
      <c r="L46" s="147" t="str">
        <f t="shared" si="5"/>
        <v>&gt;90%</v>
      </c>
      <c r="M46" s="147" t="str">
        <f t="shared" si="5"/>
        <v>&gt;90%</v>
      </c>
      <c r="N46" s="147" t="str">
        <f t="shared" si="5"/>
        <v>&gt;90%</v>
      </c>
      <c r="O46" s="147" t="str">
        <f t="shared" si="5"/>
        <v>&gt;90%</v>
      </c>
      <c r="P46" s="147" t="str">
        <f t="shared" si="5"/>
        <v>&gt;90%</v>
      </c>
      <c r="Q46" s="147" t="str">
        <f t="shared" si="5"/>
        <v>&lt;90%</v>
      </c>
      <c r="R46" s="147"/>
      <c r="S46" s="147"/>
      <c r="T46" s="147"/>
      <c r="U46" s="147"/>
    </row>
    <row r="47" spans="1:21">
      <c r="A47" s="144" t="s">
        <v>54</v>
      </c>
      <c r="B47" s="147" t="str">
        <f>IF(B45&gt;=28,"OK",IF(B45&lt;=28,"LESS"))</f>
        <v>OK</v>
      </c>
      <c r="C47" s="147" t="str">
        <f t="shared" ref="C47:Q47" si="6">IF(C45&gt;=28,"OK",IF(C45&lt;=28,"LESS"))</f>
        <v>OK</v>
      </c>
      <c r="D47" s="147" t="str">
        <f t="shared" si="6"/>
        <v>OK</v>
      </c>
      <c r="E47" s="147" t="str">
        <f t="shared" si="6"/>
        <v>OK</v>
      </c>
      <c r="F47" s="147" t="str">
        <f t="shared" si="6"/>
        <v>OK</v>
      </c>
      <c r="G47" s="147" t="str">
        <f t="shared" si="6"/>
        <v>OK</v>
      </c>
      <c r="H47" s="147" t="str">
        <f t="shared" si="6"/>
        <v>OK</v>
      </c>
      <c r="I47" s="147" t="str">
        <f t="shared" si="6"/>
        <v>OK</v>
      </c>
      <c r="J47" s="147" t="str">
        <f t="shared" si="6"/>
        <v>OK</v>
      </c>
      <c r="K47" s="147" t="str">
        <f t="shared" si="6"/>
        <v>OK</v>
      </c>
      <c r="L47" s="147" t="str">
        <f t="shared" si="6"/>
        <v>OK</v>
      </c>
      <c r="M47" s="147" t="str">
        <f t="shared" si="6"/>
        <v>OK</v>
      </c>
      <c r="N47" s="147" t="str">
        <f t="shared" si="6"/>
        <v>OK</v>
      </c>
      <c r="O47" s="147" t="str">
        <f t="shared" si="6"/>
        <v>OK</v>
      </c>
      <c r="P47" s="147" t="str">
        <f t="shared" si="6"/>
        <v>OK</v>
      </c>
      <c r="Q47" s="147" t="str">
        <f t="shared" si="6"/>
        <v>LESS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44" t="s">
        <v>55</v>
      </c>
      <c r="B50" s="190" t="s">
        <v>56</v>
      </c>
      <c r="C50" s="190"/>
      <c r="D50" s="190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62"/>
      <c r="B51" s="2"/>
      <c r="C51" s="2"/>
      <c r="D51" s="163"/>
      <c r="E51" s="163"/>
      <c r="F51" s="163"/>
      <c r="G51" s="163"/>
      <c r="H51" s="163"/>
      <c r="I51" s="163"/>
      <c r="J51" s="2"/>
      <c r="K51" s="2"/>
      <c r="L51" s="2"/>
      <c r="M51" s="2"/>
      <c r="N51" s="2"/>
      <c r="O51" s="2"/>
      <c r="P51" s="2"/>
    </row>
    <row r="52" spans="1:16" ht="15.75">
      <c r="A52" s="164" t="s">
        <v>57</v>
      </c>
      <c r="B52" s="192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</row>
    <row r="53" spans="1:16">
      <c r="A53" s="16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6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6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>
  <dimension ref="B1:X119"/>
  <sheetViews>
    <sheetView tabSelected="1" zoomScale="85" zoomScaleNormal="85" workbookViewId="0">
      <selection activeCell="H8" sqref="H8"/>
    </sheetView>
  </sheetViews>
  <sheetFormatPr defaultColWidth="8.85546875" defaultRowHeight="15"/>
  <cols>
    <col min="1" max="1" width="4.5703125" style="2" customWidth="1"/>
    <col min="2" max="2" width="16.140625" style="86" customWidth="1"/>
    <col min="3" max="3" width="10.28515625" style="2" customWidth="1"/>
    <col min="4" max="7" width="9.140625" style="2" customWidth="1"/>
    <col min="8" max="8" width="9.140625" style="88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89" customWidth="1"/>
    <col min="16" max="16" width="10.85546875" style="89" customWidth="1"/>
    <col min="17" max="17" width="15.42578125" style="89" customWidth="1"/>
    <col min="18" max="18" width="13.42578125" style="89" customWidth="1"/>
    <col min="19" max="19" width="16.85546875" style="90" customWidth="1"/>
    <col min="20" max="20" width="10" style="90" customWidth="1"/>
    <col min="21" max="21" width="12.85546875" style="89" customWidth="1"/>
    <col min="22" max="22" width="10.7109375" style="89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91" t="s">
        <v>60</v>
      </c>
      <c r="D1" s="197" t="s">
        <v>61</v>
      </c>
      <c r="E1" s="197"/>
      <c r="F1" s="197"/>
      <c r="G1" s="197"/>
      <c r="H1" s="197"/>
      <c r="I1" s="197"/>
      <c r="J1" s="198"/>
    </row>
    <row r="2" spans="2:24" ht="22.5" customHeight="1">
      <c r="B2" s="2"/>
      <c r="C2" s="91" t="s">
        <v>2</v>
      </c>
      <c r="D2" s="199" t="s">
        <v>238</v>
      </c>
      <c r="E2" s="200"/>
      <c r="F2" s="200"/>
      <c r="G2" s="200"/>
      <c r="H2" s="200"/>
      <c r="I2" s="200"/>
      <c r="J2" s="201"/>
    </row>
    <row r="4" spans="2:24">
      <c r="S4" s="89"/>
      <c r="T4" s="89"/>
      <c r="U4" s="90"/>
      <c r="V4" s="90"/>
      <c r="W4" s="89"/>
      <c r="X4" s="89"/>
    </row>
    <row r="5" spans="2:24">
      <c r="B5" s="92"/>
      <c r="C5" s="93"/>
      <c r="D5" s="93"/>
      <c r="E5" s="93"/>
      <c r="F5" s="93"/>
      <c r="G5" s="195" t="s">
        <v>62</v>
      </c>
      <c r="H5" s="195"/>
      <c r="I5" s="93"/>
      <c r="J5" s="93"/>
      <c r="K5" s="93"/>
      <c r="L5" s="93"/>
      <c r="M5" s="107"/>
      <c r="O5" s="108"/>
      <c r="P5" s="109"/>
      <c r="Q5" s="109"/>
      <c r="R5" s="109"/>
      <c r="S5" s="127" t="s">
        <v>63</v>
      </c>
      <c r="T5" s="109"/>
      <c r="U5" s="128"/>
      <c r="V5" s="128"/>
      <c r="W5" s="109"/>
      <c r="X5" s="129"/>
    </row>
    <row r="6" spans="2:24">
      <c r="B6" s="94"/>
      <c r="C6" s="6"/>
      <c r="D6" s="6"/>
      <c r="E6" s="6"/>
      <c r="F6" s="6"/>
      <c r="G6" s="6"/>
      <c r="H6" s="95"/>
      <c r="I6" s="6"/>
      <c r="J6" s="6"/>
      <c r="K6" s="6"/>
      <c r="L6" s="6"/>
      <c r="M6" s="110"/>
      <c r="O6" s="111"/>
      <c r="P6" s="112"/>
      <c r="Q6" s="112"/>
      <c r="R6" s="112"/>
      <c r="S6" s="112"/>
      <c r="T6" s="112"/>
      <c r="U6" s="130"/>
      <c r="V6" s="130"/>
      <c r="W6" s="112"/>
      <c r="X6" s="131"/>
    </row>
    <row r="7" spans="2:24" ht="15.75">
      <c r="B7" s="96" t="s">
        <v>64</v>
      </c>
      <c r="C7" s="97" t="s">
        <v>65</v>
      </c>
      <c r="D7" s="97" t="s">
        <v>66</v>
      </c>
      <c r="E7" s="97" t="s">
        <v>67</v>
      </c>
      <c r="F7" s="97" t="s">
        <v>68</v>
      </c>
      <c r="G7" s="97" t="s">
        <v>69</v>
      </c>
      <c r="H7" s="98" t="s">
        <v>70</v>
      </c>
      <c r="I7" s="97" t="s">
        <v>71</v>
      </c>
      <c r="J7" s="97" t="s">
        <v>72</v>
      </c>
      <c r="K7" s="97" t="s">
        <v>73</v>
      </c>
      <c r="L7" s="97" t="s">
        <v>54</v>
      </c>
      <c r="M7" s="39" t="s">
        <v>74</v>
      </c>
      <c r="O7" s="113" t="s">
        <v>64</v>
      </c>
      <c r="P7" s="114" t="s">
        <v>65</v>
      </c>
      <c r="Q7" s="114" t="s">
        <v>75</v>
      </c>
      <c r="R7" s="114" t="s">
        <v>11</v>
      </c>
      <c r="S7" s="114" t="s">
        <v>76</v>
      </c>
      <c r="T7" s="114" t="s">
        <v>77</v>
      </c>
      <c r="U7" s="132" t="s">
        <v>78</v>
      </c>
      <c r="V7" s="132" t="s">
        <v>79</v>
      </c>
      <c r="W7" s="114" t="s">
        <v>54</v>
      </c>
      <c r="X7" s="133" t="s">
        <v>74</v>
      </c>
    </row>
    <row r="8" spans="2:24" ht="15.75">
      <c r="B8" s="82">
        <v>45435.568749999999</v>
      </c>
      <c r="C8" s="6" t="s">
        <v>62</v>
      </c>
      <c r="D8" s="6" t="s">
        <v>39</v>
      </c>
      <c r="E8" s="6">
        <v>0</v>
      </c>
      <c r="F8" s="6">
        <v>200</v>
      </c>
      <c r="G8" s="6">
        <v>0</v>
      </c>
      <c r="H8" s="95">
        <v>201.1</v>
      </c>
      <c r="I8" s="6">
        <v>0</v>
      </c>
      <c r="J8" s="95">
        <f>F8/H8</f>
        <v>0.9945300845350572</v>
      </c>
      <c r="K8" s="95">
        <f>(H8-F8)*100/F8</f>
        <v>0.54999999999999716</v>
      </c>
      <c r="L8" s="6" t="s">
        <v>80</v>
      </c>
      <c r="M8" s="115" t="s">
        <v>56</v>
      </c>
      <c r="O8" s="82">
        <v>45416.525694444441</v>
      </c>
      <c r="P8" s="112" t="s">
        <v>63</v>
      </c>
      <c r="Q8" s="112">
        <v>4702.18</v>
      </c>
      <c r="R8" s="112">
        <v>3611.24</v>
      </c>
      <c r="S8" s="134" t="s">
        <v>81</v>
      </c>
      <c r="T8" s="134">
        <v>866.97</v>
      </c>
      <c r="U8" s="130">
        <v>0.96330000000000005</v>
      </c>
      <c r="V8" s="130">
        <v>0.96</v>
      </c>
      <c r="W8" s="6" t="s">
        <v>80</v>
      </c>
      <c r="X8" s="115" t="s">
        <v>56</v>
      </c>
    </row>
    <row r="9" spans="2:24" ht="15.75">
      <c r="B9" s="82"/>
      <c r="C9" s="6" t="s">
        <v>62</v>
      </c>
      <c r="D9" s="6" t="s">
        <v>39</v>
      </c>
      <c r="E9" s="6">
        <v>0</v>
      </c>
      <c r="F9" s="6">
        <v>200</v>
      </c>
      <c r="G9" s="6">
        <v>0</v>
      </c>
      <c r="H9" s="95"/>
      <c r="I9" s="6">
        <v>0</v>
      </c>
      <c r="J9" s="95" t="e">
        <f t="shared" ref="J9:J14" si="0">F9/H9</f>
        <v>#DIV/0!</v>
      </c>
      <c r="K9" s="95">
        <f t="shared" ref="K9:K14" si="1">(H9-F9)*100/F9</f>
        <v>-100</v>
      </c>
      <c r="L9" s="6" t="s">
        <v>80</v>
      </c>
      <c r="M9" s="115" t="s">
        <v>56</v>
      </c>
      <c r="O9" s="82">
        <v>45426.538888888892</v>
      </c>
      <c r="P9" s="112" t="s">
        <v>63</v>
      </c>
      <c r="Q9" s="112">
        <v>4880.26</v>
      </c>
      <c r="R9" s="112">
        <v>3754.93</v>
      </c>
      <c r="S9" s="134" t="s">
        <v>81</v>
      </c>
      <c r="T9" s="134">
        <v>850.5</v>
      </c>
      <c r="U9" s="130">
        <v>0.96</v>
      </c>
      <c r="V9" s="130">
        <v>0.97519999999999996</v>
      </c>
      <c r="W9" s="6" t="s">
        <v>80</v>
      </c>
      <c r="X9" s="115" t="s">
        <v>56</v>
      </c>
    </row>
    <row r="10" spans="2:24" ht="15.75">
      <c r="B10" s="82"/>
      <c r="C10" s="6" t="s">
        <v>62</v>
      </c>
      <c r="D10" s="6" t="s">
        <v>39</v>
      </c>
      <c r="E10" s="6">
        <v>0</v>
      </c>
      <c r="F10" s="6">
        <v>200</v>
      </c>
      <c r="G10" s="6">
        <v>0</v>
      </c>
      <c r="H10" s="95"/>
      <c r="I10" s="6">
        <v>0</v>
      </c>
      <c r="J10" s="95" t="e">
        <f t="shared" si="0"/>
        <v>#DIV/0!</v>
      </c>
      <c r="K10" s="95">
        <f t="shared" si="1"/>
        <v>-100</v>
      </c>
      <c r="L10" s="6" t="s">
        <v>80</v>
      </c>
      <c r="M10" s="115" t="s">
        <v>56</v>
      </c>
      <c r="O10" s="82">
        <v>45430.708333333336</v>
      </c>
      <c r="P10" s="112" t="s">
        <v>63</v>
      </c>
      <c r="Q10" s="112">
        <v>5023.24</v>
      </c>
      <c r="R10" s="112">
        <v>3862.35</v>
      </c>
      <c r="S10" s="134" t="s">
        <v>81</v>
      </c>
      <c r="T10" s="134">
        <v>858.88</v>
      </c>
      <c r="U10" s="130">
        <v>0.97519999999999996</v>
      </c>
      <c r="V10" s="130">
        <v>0.98099999999999998</v>
      </c>
      <c r="W10" s="6" t="s">
        <v>80</v>
      </c>
      <c r="X10" s="115" t="s">
        <v>56</v>
      </c>
    </row>
    <row r="11" spans="2:24" ht="15.75">
      <c r="B11" s="82"/>
      <c r="C11" s="6" t="s">
        <v>62</v>
      </c>
      <c r="D11" s="6" t="s">
        <v>39</v>
      </c>
      <c r="E11" s="6">
        <v>0</v>
      </c>
      <c r="F11" s="6">
        <v>200</v>
      </c>
      <c r="G11" s="6">
        <v>0</v>
      </c>
      <c r="H11" s="95"/>
      <c r="I11" s="6">
        <v>0</v>
      </c>
      <c r="J11" s="95" t="e">
        <f t="shared" si="0"/>
        <v>#DIV/0!</v>
      </c>
      <c r="K11" s="95">
        <f t="shared" si="1"/>
        <v>-100</v>
      </c>
      <c r="L11" s="6" t="s">
        <v>80</v>
      </c>
      <c r="M11" s="115" t="s">
        <v>56</v>
      </c>
      <c r="O11" s="82">
        <v>45435.552083333336</v>
      </c>
      <c r="P11" s="112" t="s">
        <v>63</v>
      </c>
      <c r="Q11" s="112">
        <v>5321.31</v>
      </c>
      <c r="R11" s="112">
        <v>4021.76</v>
      </c>
      <c r="S11" s="134" t="s">
        <v>81</v>
      </c>
      <c r="T11" s="134">
        <v>868.41</v>
      </c>
      <c r="U11" s="130">
        <v>0.98099999999999998</v>
      </c>
      <c r="V11" s="130">
        <v>0.97609999999999997</v>
      </c>
      <c r="W11" s="6" t="s">
        <v>80</v>
      </c>
      <c r="X11" s="115" t="s">
        <v>56</v>
      </c>
    </row>
    <row r="12" spans="2:24" ht="15.75">
      <c r="B12" s="82"/>
      <c r="C12" s="6" t="s">
        <v>62</v>
      </c>
      <c r="D12" s="6" t="s">
        <v>39</v>
      </c>
      <c r="E12" s="6">
        <v>0</v>
      </c>
      <c r="F12" s="6">
        <v>200</v>
      </c>
      <c r="G12" s="6">
        <v>0</v>
      </c>
      <c r="H12" s="95"/>
      <c r="I12" s="6">
        <v>0</v>
      </c>
      <c r="J12" s="95" t="e">
        <f t="shared" si="0"/>
        <v>#DIV/0!</v>
      </c>
      <c r="K12" s="95">
        <f t="shared" si="1"/>
        <v>-100</v>
      </c>
      <c r="L12" s="6" t="s">
        <v>80</v>
      </c>
      <c r="M12" s="115" t="s">
        <v>56</v>
      </c>
      <c r="O12" s="82"/>
      <c r="P12" s="112" t="s">
        <v>63</v>
      </c>
      <c r="Q12" s="112"/>
      <c r="R12" s="112"/>
      <c r="S12" s="134" t="s">
        <v>81</v>
      </c>
      <c r="T12" s="134"/>
      <c r="U12" s="130"/>
      <c r="V12" s="130"/>
      <c r="W12" s="6" t="s">
        <v>80</v>
      </c>
      <c r="X12" s="115" t="s">
        <v>56</v>
      </c>
    </row>
    <row r="13" spans="2:24" ht="15.75">
      <c r="B13" s="82"/>
      <c r="C13" s="6" t="s">
        <v>62</v>
      </c>
      <c r="D13" s="6" t="s">
        <v>39</v>
      </c>
      <c r="E13" s="6">
        <v>0</v>
      </c>
      <c r="F13" s="6">
        <v>200</v>
      </c>
      <c r="G13" s="6">
        <v>0</v>
      </c>
      <c r="H13" s="95"/>
      <c r="I13" s="6">
        <v>0</v>
      </c>
      <c r="J13" s="95" t="e">
        <f t="shared" si="0"/>
        <v>#DIV/0!</v>
      </c>
      <c r="K13" s="95">
        <f t="shared" si="1"/>
        <v>-100</v>
      </c>
      <c r="L13" s="6" t="s">
        <v>80</v>
      </c>
      <c r="M13" s="115" t="s">
        <v>56</v>
      </c>
      <c r="O13" s="82"/>
      <c r="P13" s="112" t="s">
        <v>63</v>
      </c>
      <c r="Q13" s="112"/>
      <c r="R13" s="112"/>
      <c r="S13" s="134" t="s">
        <v>81</v>
      </c>
      <c r="T13" s="134"/>
      <c r="U13" s="130"/>
      <c r="V13" s="130"/>
      <c r="W13" s="6" t="s">
        <v>80</v>
      </c>
      <c r="X13" s="115" t="s">
        <v>56</v>
      </c>
    </row>
    <row r="14" spans="2:24" ht="15.75">
      <c r="B14" s="82"/>
      <c r="C14" s="6" t="s">
        <v>62</v>
      </c>
      <c r="D14" s="6" t="s">
        <v>39</v>
      </c>
      <c r="E14" s="6">
        <v>0</v>
      </c>
      <c r="F14" s="6">
        <v>200</v>
      </c>
      <c r="G14" s="6">
        <v>0</v>
      </c>
      <c r="H14" s="95"/>
      <c r="I14" s="6">
        <v>0</v>
      </c>
      <c r="J14" s="95" t="e">
        <f t="shared" si="0"/>
        <v>#DIV/0!</v>
      </c>
      <c r="K14" s="95">
        <f t="shared" si="1"/>
        <v>-100</v>
      </c>
      <c r="L14" s="6" t="s">
        <v>80</v>
      </c>
      <c r="M14" s="115" t="s">
        <v>56</v>
      </c>
      <c r="O14" s="82"/>
      <c r="P14" s="112" t="s">
        <v>63</v>
      </c>
      <c r="Q14" s="112"/>
      <c r="R14" s="112"/>
      <c r="S14" s="134" t="s">
        <v>81</v>
      </c>
      <c r="T14" s="134"/>
      <c r="U14" s="130"/>
      <c r="V14" s="130"/>
      <c r="W14" s="6" t="s">
        <v>80</v>
      </c>
      <c r="X14" s="115" t="s">
        <v>56</v>
      </c>
    </row>
    <row r="15" spans="2:24" ht="15.75">
      <c r="B15" s="82"/>
      <c r="C15" s="6"/>
      <c r="D15" s="6"/>
      <c r="E15" s="6"/>
      <c r="F15" s="6"/>
      <c r="G15" s="6"/>
      <c r="H15" s="95"/>
      <c r="I15" s="6"/>
      <c r="J15" s="95"/>
      <c r="K15" s="95"/>
      <c r="L15" s="6"/>
      <c r="M15" s="116"/>
      <c r="O15" s="82"/>
      <c r="P15" s="112" t="s">
        <v>63</v>
      </c>
      <c r="Q15" s="112"/>
      <c r="R15" s="112"/>
      <c r="S15" s="134" t="s">
        <v>81</v>
      </c>
      <c r="T15" s="134"/>
      <c r="U15" s="130"/>
      <c r="V15" s="130"/>
      <c r="W15" s="6" t="s">
        <v>80</v>
      </c>
      <c r="X15" s="115"/>
    </row>
    <row r="16" spans="2:24" ht="15.75">
      <c r="B16" s="82"/>
      <c r="C16" s="6"/>
      <c r="D16" s="6"/>
      <c r="E16" s="6"/>
      <c r="F16" s="6"/>
      <c r="G16" s="6"/>
      <c r="H16" s="95"/>
      <c r="I16" s="6"/>
      <c r="J16" s="95"/>
      <c r="K16" s="95"/>
      <c r="L16" s="6"/>
      <c r="M16" s="116"/>
      <c r="O16" s="82"/>
      <c r="P16" s="112" t="s">
        <v>63</v>
      </c>
      <c r="Q16" s="112"/>
      <c r="R16" s="112"/>
      <c r="S16" s="134" t="s">
        <v>81</v>
      </c>
      <c r="T16" s="134"/>
      <c r="U16" s="130"/>
      <c r="V16" s="130"/>
      <c r="W16" s="6" t="s">
        <v>80</v>
      </c>
      <c r="X16" s="115"/>
    </row>
    <row r="17" spans="2:24" ht="15.75">
      <c r="B17" s="82"/>
      <c r="C17" s="6"/>
      <c r="D17" s="6"/>
      <c r="E17" s="6"/>
      <c r="F17" s="6"/>
      <c r="G17" s="6"/>
      <c r="H17" s="95"/>
      <c r="I17" s="6"/>
      <c r="J17" s="95"/>
      <c r="K17" s="95"/>
      <c r="L17" s="6"/>
      <c r="M17" s="116"/>
      <c r="O17" s="82"/>
      <c r="P17" s="112" t="s">
        <v>63</v>
      </c>
      <c r="Q17" s="112"/>
      <c r="R17" s="112"/>
      <c r="S17" s="134" t="s">
        <v>81</v>
      </c>
      <c r="T17" s="134"/>
      <c r="U17" s="130"/>
      <c r="V17" s="130"/>
      <c r="W17" s="6"/>
      <c r="X17" s="115"/>
    </row>
    <row r="18" spans="2:24" ht="15.75">
      <c r="B18" s="83"/>
      <c r="C18" s="6"/>
      <c r="D18" s="6"/>
      <c r="E18" s="6"/>
      <c r="F18" s="6"/>
      <c r="G18" s="6"/>
      <c r="H18" s="95"/>
      <c r="I18" s="6"/>
      <c r="J18" s="95"/>
      <c r="K18" s="95"/>
      <c r="L18" s="6"/>
      <c r="M18" s="116"/>
      <c r="O18" s="117"/>
      <c r="P18" s="112"/>
      <c r="Q18" s="112"/>
      <c r="R18" s="112"/>
      <c r="S18" s="134"/>
      <c r="T18" s="134"/>
      <c r="U18" s="130"/>
      <c r="V18" s="130"/>
      <c r="W18" s="6"/>
      <c r="X18" s="115"/>
    </row>
    <row r="19" spans="2:24" ht="15.75">
      <c r="B19" s="83"/>
      <c r="C19" s="6"/>
      <c r="D19" s="6"/>
      <c r="E19" s="6"/>
      <c r="F19" s="6"/>
      <c r="G19" s="6"/>
      <c r="H19" s="95"/>
      <c r="I19" s="6"/>
      <c r="J19" s="95"/>
      <c r="K19" s="95"/>
      <c r="L19" s="6"/>
      <c r="M19" s="116"/>
      <c r="O19" s="118"/>
      <c r="P19" s="112"/>
      <c r="Q19" s="112"/>
      <c r="R19" s="112"/>
      <c r="S19" s="134"/>
      <c r="T19" s="134"/>
      <c r="U19" s="130"/>
      <c r="V19" s="130"/>
      <c r="W19" s="6"/>
      <c r="X19" s="115"/>
    </row>
    <row r="20" spans="2:24" ht="15.75">
      <c r="B20" s="83"/>
      <c r="C20" s="6"/>
      <c r="D20" s="6"/>
      <c r="E20" s="6"/>
      <c r="F20" s="6"/>
      <c r="G20" s="6"/>
      <c r="H20" s="95"/>
      <c r="I20" s="6"/>
      <c r="J20" s="95"/>
      <c r="K20" s="95"/>
      <c r="L20" s="6"/>
      <c r="M20" s="116"/>
      <c r="O20" s="118"/>
      <c r="P20" s="112"/>
      <c r="Q20" s="112"/>
      <c r="R20" s="112"/>
      <c r="S20" s="134"/>
      <c r="T20" s="134"/>
      <c r="U20" s="130"/>
      <c r="V20" s="130"/>
      <c r="W20" s="6"/>
      <c r="X20" s="115"/>
    </row>
    <row r="21" spans="2:24">
      <c r="B21" s="99"/>
      <c r="C21" s="193" t="s">
        <v>82</v>
      </c>
      <c r="D21" s="193"/>
      <c r="E21" s="193"/>
      <c r="F21" s="193"/>
      <c r="G21" s="193"/>
      <c r="H21" s="193"/>
      <c r="I21" s="119">
        <f>COUNT(B8:B20)</f>
        <v>1</v>
      </c>
      <c r="J21" s="120"/>
      <c r="K21" s="120"/>
      <c r="L21" s="106"/>
      <c r="M21" s="121"/>
      <c r="O21" s="122"/>
      <c r="P21" s="196" t="s">
        <v>83</v>
      </c>
      <c r="Q21" s="196"/>
      <c r="R21" s="196"/>
      <c r="S21" s="196"/>
      <c r="T21" s="135">
        <f>COUNT(O8:O20)</f>
        <v>4</v>
      </c>
      <c r="U21" s="136"/>
      <c r="V21" s="136"/>
      <c r="W21" s="137"/>
      <c r="X21" s="138"/>
    </row>
    <row r="22" spans="2:24">
      <c r="C22" s="100"/>
      <c r="D22" s="100"/>
      <c r="E22" s="100"/>
      <c r="F22" s="100"/>
      <c r="G22" s="100"/>
      <c r="H22" s="101"/>
      <c r="J22" s="88"/>
      <c r="K22" s="88"/>
      <c r="S22" s="89"/>
      <c r="T22" s="89"/>
      <c r="U22" s="90"/>
      <c r="V22" s="90"/>
      <c r="W22" s="89"/>
      <c r="X22" s="89"/>
    </row>
    <row r="23" spans="2:24">
      <c r="J23" s="88"/>
      <c r="K23" s="88"/>
      <c r="S23" s="89"/>
      <c r="T23" s="89"/>
      <c r="U23" s="90"/>
      <c r="V23" s="90"/>
      <c r="W23" s="89"/>
      <c r="X23" s="89"/>
    </row>
    <row r="24" spans="2:24">
      <c r="B24" s="92"/>
      <c r="C24" s="102"/>
      <c r="D24" s="102"/>
      <c r="E24" s="102"/>
      <c r="F24" s="102"/>
      <c r="G24" s="194" t="s">
        <v>84</v>
      </c>
      <c r="H24" s="194"/>
      <c r="I24" s="93"/>
      <c r="J24" s="123"/>
      <c r="K24" s="123"/>
      <c r="L24" s="93"/>
      <c r="M24" s="107"/>
      <c r="O24" s="108"/>
      <c r="P24" s="109"/>
      <c r="Q24" s="109"/>
      <c r="R24" s="109"/>
      <c r="S24" s="127" t="s">
        <v>29</v>
      </c>
      <c r="T24" s="109"/>
      <c r="U24" s="128"/>
      <c r="V24" s="128"/>
      <c r="W24" s="109"/>
      <c r="X24" s="129"/>
    </row>
    <row r="25" spans="2:24">
      <c r="B25" s="103"/>
      <c r="C25" s="104"/>
      <c r="D25" s="104"/>
      <c r="E25" s="104"/>
      <c r="F25" s="104"/>
      <c r="G25" s="105"/>
      <c r="H25" s="105"/>
      <c r="I25" s="105"/>
      <c r="J25" s="124"/>
      <c r="K25" s="124"/>
      <c r="L25" s="105"/>
      <c r="M25" s="125"/>
      <c r="O25" s="111"/>
      <c r="P25" s="112"/>
      <c r="Q25" s="112"/>
      <c r="R25" s="112"/>
      <c r="S25" s="112"/>
      <c r="T25" s="112"/>
      <c r="U25" s="130"/>
      <c r="V25" s="130"/>
      <c r="W25" s="112"/>
      <c r="X25" s="131"/>
    </row>
    <row r="26" spans="2:24" ht="15.75">
      <c r="B26" s="96" t="s">
        <v>64</v>
      </c>
      <c r="C26" s="97" t="s">
        <v>65</v>
      </c>
      <c r="D26" s="97" t="s">
        <v>66</v>
      </c>
      <c r="E26" s="97" t="s">
        <v>67</v>
      </c>
      <c r="F26" s="97" t="s">
        <v>68</v>
      </c>
      <c r="G26" s="97" t="s">
        <v>69</v>
      </c>
      <c r="H26" s="98" t="s">
        <v>70</v>
      </c>
      <c r="I26" s="97" t="s">
        <v>71</v>
      </c>
      <c r="J26" s="97" t="s">
        <v>72</v>
      </c>
      <c r="K26" s="97" t="s">
        <v>73</v>
      </c>
      <c r="L26" s="97" t="s">
        <v>54</v>
      </c>
      <c r="M26" s="39" t="s">
        <v>74</v>
      </c>
      <c r="O26" s="113" t="s">
        <v>64</v>
      </c>
      <c r="P26" s="114" t="s">
        <v>65</v>
      </c>
      <c r="Q26" s="114" t="s">
        <v>75</v>
      </c>
      <c r="R26" s="114" t="s">
        <v>11</v>
      </c>
      <c r="S26" s="114" t="s">
        <v>76</v>
      </c>
      <c r="T26" s="114" t="s">
        <v>77</v>
      </c>
      <c r="U26" s="132" t="s">
        <v>78</v>
      </c>
      <c r="V26" s="132" t="s">
        <v>79</v>
      </c>
      <c r="W26" s="114" t="s">
        <v>54</v>
      </c>
      <c r="X26" s="133" t="s">
        <v>74</v>
      </c>
    </row>
    <row r="27" spans="2:24" ht="15.75">
      <c r="B27" s="82"/>
      <c r="C27" s="6" t="s">
        <v>85</v>
      </c>
      <c r="D27" s="6" t="s">
        <v>39</v>
      </c>
      <c r="E27" s="6">
        <v>0</v>
      </c>
      <c r="F27" s="6">
        <v>200</v>
      </c>
      <c r="G27" s="6"/>
      <c r="H27" s="95"/>
      <c r="I27" s="6">
        <v>0</v>
      </c>
      <c r="J27" s="95" t="e">
        <f>F27/H27</f>
        <v>#DIV/0!</v>
      </c>
      <c r="K27" s="95">
        <f>(H27-F27)*100/F27</f>
        <v>-100</v>
      </c>
      <c r="L27" s="6" t="s">
        <v>80</v>
      </c>
      <c r="M27" s="115" t="s">
        <v>56</v>
      </c>
      <c r="O27" s="82">
        <v>45416.574305555558</v>
      </c>
      <c r="P27" s="112" t="s">
        <v>29</v>
      </c>
      <c r="Q27" s="112">
        <v>4628.01</v>
      </c>
      <c r="R27" s="112">
        <v>3607.46</v>
      </c>
      <c r="S27" s="134" t="s">
        <v>86</v>
      </c>
      <c r="T27" s="134">
        <v>781.31</v>
      </c>
      <c r="U27" s="130">
        <v>0.91869999999999996</v>
      </c>
      <c r="V27" s="130">
        <v>0.92769999999999997</v>
      </c>
      <c r="W27" s="6" t="s">
        <v>80</v>
      </c>
      <c r="X27" s="115" t="s">
        <v>56</v>
      </c>
    </row>
    <row r="28" spans="2:24" ht="15.75">
      <c r="B28" s="82"/>
      <c r="C28" s="6" t="s">
        <v>85</v>
      </c>
      <c r="D28" s="6" t="s">
        <v>39</v>
      </c>
      <c r="E28" s="6">
        <v>0</v>
      </c>
      <c r="F28" s="6">
        <v>200</v>
      </c>
      <c r="G28" s="6"/>
      <c r="H28" s="95"/>
      <c r="I28" s="6">
        <v>0</v>
      </c>
      <c r="J28" s="95" t="e">
        <f t="shared" ref="J28:J33" si="2">F28/H28</f>
        <v>#DIV/0!</v>
      </c>
      <c r="K28" s="95">
        <f t="shared" ref="K28:K33" si="3">(H28-F28)*100/F28</f>
        <v>-100</v>
      </c>
      <c r="L28" s="6" t="s">
        <v>80</v>
      </c>
      <c r="M28" s="115" t="s">
        <v>56</v>
      </c>
      <c r="O28" s="82">
        <v>45426.538888888892</v>
      </c>
      <c r="P28" s="112" t="s">
        <v>29</v>
      </c>
      <c r="Q28" s="112">
        <v>4497.3500000000004</v>
      </c>
      <c r="R28" s="112">
        <v>3486.18</v>
      </c>
      <c r="S28" s="134" t="s">
        <v>86</v>
      </c>
      <c r="T28" s="134">
        <v>797.69</v>
      </c>
      <c r="U28" s="130">
        <v>0.92769999999999997</v>
      </c>
      <c r="V28" s="130">
        <v>0.91759999999999997</v>
      </c>
      <c r="W28" s="6" t="s">
        <v>80</v>
      </c>
      <c r="X28" s="115" t="s">
        <v>56</v>
      </c>
    </row>
    <row r="29" spans="2:24" ht="15.75">
      <c r="B29" s="82"/>
      <c r="C29" s="6" t="s">
        <v>85</v>
      </c>
      <c r="D29" s="6" t="s">
        <v>39</v>
      </c>
      <c r="E29" s="6">
        <v>0</v>
      </c>
      <c r="F29" s="6">
        <v>200</v>
      </c>
      <c r="G29" s="6"/>
      <c r="H29" s="95"/>
      <c r="I29" s="6">
        <v>0</v>
      </c>
      <c r="J29" s="95" t="e">
        <f t="shared" si="2"/>
        <v>#DIV/0!</v>
      </c>
      <c r="K29" s="95">
        <f t="shared" si="3"/>
        <v>-100</v>
      </c>
      <c r="L29" s="6" t="s">
        <v>80</v>
      </c>
      <c r="M29" s="115" t="s">
        <v>56</v>
      </c>
      <c r="O29" s="82">
        <v>45430.708333333336</v>
      </c>
      <c r="P29" s="112" t="s">
        <v>29</v>
      </c>
      <c r="Q29" s="112">
        <v>4451.7299999999996</v>
      </c>
      <c r="R29" s="112">
        <v>3436.12</v>
      </c>
      <c r="S29" s="134" t="s">
        <v>86</v>
      </c>
      <c r="T29" s="134">
        <v>797.14</v>
      </c>
      <c r="U29" s="130">
        <v>0.91759999999999997</v>
      </c>
      <c r="V29" s="130">
        <v>0.90820000000000001</v>
      </c>
      <c r="W29" s="6" t="s">
        <v>80</v>
      </c>
      <c r="X29" s="115" t="s">
        <v>56</v>
      </c>
    </row>
    <row r="30" spans="2:24" ht="15.75">
      <c r="B30" s="82"/>
      <c r="C30" s="6" t="s">
        <v>85</v>
      </c>
      <c r="D30" s="6" t="s">
        <v>39</v>
      </c>
      <c r="E30" s="6">
        <v>0</v>
      </c>
      <c r="F30" s="6">
        <v>200</v>
      </c>
      <c r="G30" s="6"/>
      <c r="H30" s="95"/>
      <c r="I30" s="6">
        <v>0</v>
      </c>
      <c r="J30" s="95" t="e">
        <f t="shared" si="2"/>
        <v>#DIV/0!</v>
      </c>
      <c r="K30" s="95">
        <f t="shared" si="3"/>
        <v>-100</v>
      </c>
      <c r="L30" s="6" t="s">
        <v>80</v>
      </c>
      <c r="M30" s="115" t="s">
        <v>56</v>
      </c>
      <c r="O30" s="82">
        <v>45435.552083333336</v>
      </c>
      <c r="P30" s="112" t="s">
        <v>29</v>
      </c>
      <c r="Q30" s="112">
        <v>4408.62</v>
      </c>
      <c r="R30" s="112">
        <v>3406.57</v>
      </c>
      <c r="S30" s="134" t="s">
        <v>86</v>
      </c>
      <c r="T30" s="134">
        <v>787.95</v>
      </c>
      <c r="U30" s="130">
        <v>0.90820000000000001</v>
      </c>
      <c r="V30" s="130">
        <v>0.90949999999999998</v>
      </c>
      <c r="W30" s="6" t="s">
        <v>80</v>
      </c>
      <c r="X30" s="115" t="s">
        <v>56</v>
      </c>
    </row>
    <row r="31" spans="2:24" ht="15.75">
      <c r="B31" s="82"/>
      <c r="C31" s="6" t="s">
        <v>85</v>
      </c>
      <c r="D31" s="6" t="s">
        <v>39</v>
      </c>
      <c r="E31" s="6">
        <v>0</v>
      </c>
      <c r="F31" s="6">
        <v>200</v>
      </c>
      <c r="G31" s="6"/>
      <c r="H31" s="95"/>
      <c r="I31" s="6">
        <v>0</v>
      </c>
      <c r="J31" s="95" t="e">
        <f t="shared" si="2"/>
        <v>#DIV/0!</v>
      </c>
      <c r="K31" s="95">
        <f t="shared" si="3"/>
        <v>-100</v>
      </c>
      <c r="L31" s="6" t="s">
        <v>80</v>
      </c>
      <c r="M31" s="115" t="s">
        <v>56</v>
      </c>
      <c r="O31" s="82"/>
      <c r="P31" s="112" t="s">
        <v>29</v>
      </c>
      <c r="Q31" s="112"/>
      <c r="R31" s="112"/>
      <c r="S31" s="134" t="s">
        <v>86</v>
      </c>
      <c r="T31" s="134"/>
      <c r="U31" s="130"/>
      <c r="V31" s="130"/>
      <c r="W31" s="6" t="s">
        <v>80</v>
      </c>
      <c r="X31" s="115" t="s">
        <v>56</v>
      </c>
    </row>
    <row r="32" spans="2:24" ht="15.75">
      <c r="B32" s="82"/>
      <c r="C32" s="6" t="s">
        <v>85</v>
      </c>
      <c r="D32" s="6" t="s">
        <v>39</v>
      </c>
      <c r="E32" s="6">
        <v>0</v>
      </c>
      <c r="F32" s="6">
        <v>200</v>
      </c>
      <c r="G32" s="6"/>
      <c r="H32" s="95"/>
      <c r="I32" s="6">
        <v>0</v>
      </c>
      <c r="J32" s="95" t="e">
        <f t="shared" si="2"/>
        <v>#DIV/0!</v>
      </c>
      <c r="K32" s="95">
        <f t="shared" si="3"/>
        <v>-100</v>
      </c>
      <c r="L32" s="6" t="s">
        <v>80</v>
      </c>
      <c r="M32" s="115" t="s">
        <v>56</v>
      </c>
      <c r="O32" s="82"/>
      <c r="P32" s="112" t="s">
        <v>29</v>
      </c>
      <c r="Q32" s="112"/>
      <c r="R32" s="112"/>
      <c r="S32" s="134" t="s">
        <v>86</v>
      </c>
      <c r="T32" s="134"/>
      <c r="U32" s="130"/>
      <c r="V32" s="130"/>
      <c r="W32" s="6" t="s">
        <v>80</v>
      </c>
      <c r="X32" s="115" t="s">
        <v>56</v>
      </c>
    </row>
    <row r="33" spans="2:24" ht="15.75">
      <c r="B33" s="82"/>
      <c r="C33" s="6" t="s">
        <v>85</v>
      </c>
      <c r="D33" s="6" t="s">
        <v>39</v>
      </c>
      <c r="E33" s="6">
        <v>0</v>
      </c>
      <c r="F33" s="6">
        <v>200</v>
      </c>
      <c r="G33" s="6"/>
      <c r="H33" s="95"/>
      <c r="I33" s="6">
        <v>0</v>
      </c>
      <c r="J33" s="95" t="e">
        <f t="shared" si="2"/>
        <v>#DIV/0!</v>
      </c>
      <c r="K33" s="95">
        <f t="shared" si="3"/>
        <v>-100</v>
      </c>
      <c r="L33" s="6" t="s">
        <v>80</v>
      </c>
      <c r="M33" s="115" t="s">
        <v>56</v>
      </c>
      <c r="O33" s="82"/>
      <c r="P33" s="112" t="s">
        <v>29</v>
      </c>
      <c r="Q33" s="112"/>
      <c r="R33" s="112"/>
      <c r="S33" s="134" t="s">
        <v>86</v>
      </c>
      <c r="T33" s="134"/>
      <c r="U33" s="130"/>
      <c r="V33" s="130"/>
      <c r="W33" s="6" t="s">
        <v>80</v>
      </c>
      <c r="X33" s="115" t="s">
        <v>56</v>
      </c>
    </row>
    <row r="34" spans="2:24" ht="15.75">
      <c r="B34" s="82"/>
      <c r="C34" s="6"/>
      <c r="D34" s="6"/>
      <c r="E34" s="6"/>
      <c r="F34" s="6"/>
      <c r="G34" s="6"/>
      <c r="H34" s="95"/>
      <c r="I34" s="6"/>
      <c r="J34" s="95"/>
      <c r="K34" s="95"/>
      <c r="L34" s="6"/>
      <c r="M34" s="116"/>
      <c r="O34" s="82"/>
      <c r="P34" s="112" t="s">
        <v>29</v>
      </c>
      <c r="Q34" s="112"/>
      <c r="R34" s="112"/>
      <c r="S34" s="134" t="s">
        <v>86</v>
      </c>
      <c r="T34" s="134"/>
      <c r="U34" s="130"/>
      <c r="V34" s="130"/>
      <c r="W34" s="6" t="s">
        <v>80</v>
      </c>
      <c r="X34" s="115"/>
    </row>
    <row r="35" spans="2:24" ht="15.75">
      <c r="B35" s="82"/>
      <c r="C35" s="6"/>
      <c r="D35" s="6"/>
      <c r="E35" s="6"/>
      <c r="F35" s="6"/>
      <c r="G35" s="6"/>
      <c r="H35" s="95"/>
      <c r="I35" s="6"/>
      <c r="J35" s="95"/>
      <c r="K35" s="95"/>
      <c r="L35" s="6"/>
      <c r="M35" s="116"/>
      <c r="O35" s="82"/>
      <c r="P35" s="112" t="s">
        <v>29</v>
      </c>
      <c r="Q35" s="112"/>
      <c r="R35" s="112"/>
      <c r="S35" s="134" t="s">
        <v>86</v>
      </c>
      <c r="T35" s="134"/>
      <c r="U35" s="130"/>
      <c r="V35" s="130"/>
      <c r="W35" s="6" t="s">
        <v>80</v>
      </c>
      <c r="X35" s="115"/>
    </row>
    <row r="36" spans="2:24" ht="15.75">
      <c r="B36" s="82"/>
      <c r="C36" s="6"/>
      <c r="D36" s="6"/>
      <c r="E36" s="6"/>
      <c r="F36" s="6"/>
      <c r="G36" s="6"/>
      <c r="H36" s="95"/>
      <c r="I36" s="6"/>
      <c r="J36" s="95"/>
      <c r="K36" s="95"/>
      <c r="L36" s="6"/>
      <c r="M36" s="116"/>
      <c r="O36" s="82"/>
      <c r="P36" s="112" t="s">
        <v>29</v>
      </c>
      <c r="Q36" s="112"/>
      <c r="R36" s="112"/>
      <c r="S36" s="134" t="s">
        <v>86</v>
      </c>
      <c r="T36" s="134"/>
      <c r="U36" s="130"/>
      <c r="V36" s="130"/>
      <c r="W36" s="6"/>
      <c r="X36" s="115"/>
    </row>
    <row r="37" spans="2:24" ht="15.75">
      <c r="B37" s="83"/>
      <c r="C37" s="6"/>
      <c r="D37" s="6"/>
      <c r="E37" s="6"/>
      <c r="F37" s="6"/>
      <c r="G37" s="6"/>
      <c r="H37" s="95"/>
      <c r="I37" s="6"/>
      <c r="J37" s="95"/>
      <c r="K37" s="95"/>
      <c r="L37" s="6"/>
      <c r="M37" s="116"/>
      <c r="O37" s="117"/>
      <c r="P37" s="112" t="s">
        <v>29</v>
      </c>
      <c r="Q37" s="112"/>
      <c r="R37" s="112"/>
      <c r="S37" s="134" t="s">
        <v>86</v>
      </c>
      <c r="T37" s="134"/>
      <c r="U37" s="130"/>
      <c r="V37" s="130"/>
      <c r="W37" s="6"/>
      <c r="X37" s="115"/>
    </row>
    <row r="38" spans="2:24" ht="15.75">
      <c r="B38" s="83"/>
      <c r="C38" s="6"/>
      <c r="D38" s="6"/>
      <c r="E38" s="6"/>
      <c r="F38" s="6"/>
      <c r="G38" s="6"/>
      <c r="H38" s="95"/>
      <c r="I38" s="6"/>
      <c r="J38" s="95"/>
      <c r="K38" s="95"/>
      <c r="L38" s="6"/>
      <c r="M38" s="116"/>
      <c r="O38" s="118"/>
      <c r="P38" s="112"/>
      <c r="Q38" s="112"/>
      <c r="R38" s="112"/>
      <c r="S38" s="134"/>
      <c r="T38" s="134"/>
      <c r="U38" s="130"/>
      <c r="V38" s="130"/>
      <c r="W38" s="6"/>
      <c r="X38" s="115"/>
    </row>
    <row r="39" spans="2:24" ht="15.75">
      <c r="B39" s="83"/>
      <c r="C39" s="6"/>
      <c r="D39" s="6"/>
      <c r="E39" s="6"/>
      <c r="F39" s="6"/>
      <c r="G39" s="6"/>
      <c r="H39" s="95"/>
      <c r="I39" s="6"/>
      <c r="J39" s="95"/>
      <c r="K39" s="95"/>
      <c r="L39" s="6"/>
      <c r="M39" s="116"/>
      <c r="O39" s="118"/>
      <c r="P39" s="112"/>
      <c r="Q39" s="112"/>
      <c r="R39" s="112"/>
      <c r="S39" s="134"/>
      <c r="T39" s="134"/>
      <c r="U39" s="130"/>
      <c r="V39" s="130"/>
      <c r="W39" s="6"/>
      <c r="X39" s="115"/>
    </row>
    <row r="40" spans="2:24" ht="15.75">
      <c r="B40" s="94"/>
      <c r="C40" s="6"/>
      <c r="D40" s="6"/>
      <c r="E40" s="6"/>
      <c r="F40" s="6"/>
      <c r="G40" s="6"/>
      <c r="H40" s="95"/>
      <c r="I40" s="6"/>
      <c r="J40" s="95"/>
      <c r="K40" s="95"/>
      <c r="L40" s="6"/>
      <c r="M40" s="116"/>
      <c r="O40" s="122"/>
      <c r="P40" s="196" t="s">
        <v>87</v>
      </c>
      <c r="Q40" s="196"/>
      <c r="R40" s="196"/>
      <c r="S40" s="196"/>
      <c r="T40" s="135">
        <f>COUNT(O27:O39)</f>
        <v>4</v>
      </c>
      <c r="U40" s="136"/>
      <c r="V40" s="136"/>
      <c r="W40" s="137"/>
      <c r="X40" s="138"/>
    </row>
    <row r="41" spans="2:24">
      <c r="B41" s="99"/>
      <c r="C41" s="106"/>
      <c r="D41" s="193" t="s">
        <v>88</v>
      </c>
      <c r="E41" s="193"/>
      <c r="F41" s="193"/>
      <c r="G41" s="193"/>
      <c r="H41" s="193"/>
      <c r="I41" s="193"/>
      <c r="J41" s="126">
        <f>COUNT(B27:B39)</f>
        <v>0</v>
      </c>
      <c r="K41" s="120"/>
      <c r="L41" s="106"/>
      <c r="M41" s="121"/>
      <c r="S41" s="89"/>
      <c r="T41" s="89"/>
      <c r="U41" s="90"/>
      <c r="V41" s="90"/>
      <c r="W41" s="89"/>
      <c r="X41" s="89"/>
    </row>
    <row r="44" spans="2:24">
      <c r="B44" s="92"/>
      <c r="C44" s="102"/>
      <c r="D44" s="102"/>
      <c r="E44" s="102"/>
      <c r="F44" s="102"/>
      <c r="G44" s="194" t="s">
        <v>38</v>
      </c>
      <c r="H44" s="194"/>
      <c r="I44" s="93"/>
      <c r="J44" s="123"/>
      <c r="K44" s="123"/>
      <c r="L44" s="93"/>
      <c r="M44" s="107"/>
    </row>
    <row r="45" spans="2:24">
      <c r="B45" s="94"/>
      <c r="C45" s="6"/>
      <c r="D45" s="6"/>
      <c r="E45" s="6"/>
      <c r="F45" s="6"/>
      <c r="G45" s="6"/>
      <c r="H45" s="95"/>
      <c r="I45" s="6"/>
      <c r="J45" s="95"/>
      <c r="K45" s="95"/>
      <c r="L45" s="6"/>
      <c r="M45" s="110"/>
    </row>
    <row r="46" spans="2:24" ht="15.75">
      <c r="B46" s="96" t="s">
        <v>64</v>
      </c>
      <c r="C46" s="97" t="s">
        <v>65</v>
      </c>
      <c r="D46" s="97" t="s">
        <v>66</v>
      </c>
      <c r="E46" s="97" t="s">
        <v>67</v>
      </c>
      <c r="F46" s="97" t="s">
        <v>68</v>
      </c>
      <c r="G46" s="97" t="s">
        <v>69</v>
      </c>
      <c r="H46" s="98" t="s">
        <v>70</v>
      </c>
      <c r="I46" s="97" t="s">
        <v>71</v>
      </c>
      <c r="J46" s="97" t="s">
        <v>72</v>
      </c>
      <c r="K46" s="97" t="s">
        <v>73</v>
      </c>
      <c r="L46" s="97" t="s">
        <v>54</v>
      </c>
      <c r="M46" s="39" t="s">
        <v>74</v>
      </c>
    </row>
    <row r="47" spans="2:24" ht="15.75">
      <c r="B47" s="8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95"/>
      <c r="I47" s="6">
        <v>0</v>
      </c>
      <c r="J47" s="95" t="e">
        <f>F47/H47</f>
        <v>#DIV/0!</v>
      </c>
      <c r="K47" s="95">
        <f>(H47-F47)*100/F47</f>
        <v>-100</v>
      </c>
      <c r="L47" s="6" t="s">
        <v>80</v>
      </c>
      <c r="M47" s="115" t="s">
        <v>56</v>
      </c>
    </row>
    <row r="48" spans="2:24" ht="15.75">
      <c r="B48" s="8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95"/>
      <c r="I48" s="6">
        <v>0</v>
      </c>
      <c r="J48" s="95" t="e">
        <f>F48/H48</f>
        <v>#DIV/0!</v>
      </c>
      <c r="K48" s="95">
        <f>(H48-F48)*100/F48</f>
        <v>-100</v>
      </c>
      <c r="L48" s="6" t="s">
        <v>80</v>
      </c>
      <c r="M48" s="115" t="s">
        <v>56</v>
      </c>
    </row>
    <row r="49" spans="2:13" ht="15.75">
      <c r="B49" s="8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95"/>
      <c r="I49" s="6">
        <v>0</v>
      </c>
      <c r="J49" s="95" t="e">
        <f>F49/H49</f>
        <v>#DIV/0!</v>
      </c>
      <c r="K49" s="95">
        <f>(H49-F49)*100/F49</f>
        <v>-100</v>
      </c>
      <c r="L49" s="6" t="s">
        <v>80</v>
      </c>
      <c r="M49" s="115" t="s">
        <v>56</v>
      </c>
    </row>
    <row r="50" spans="2:13" ht="15.75">
      <c r="B50" s="8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95"/>
      <c r="I50" s="6">
        <v>0</v>
      </c>
      <c r="J50" s="95" t="e">
        <f>F50/H50</f>
        <v>#DIV/0!</v>
      </c>
      <c r="K50" s="95">
        <f>(H50-F50)*100/F50</f>
        <v>-100</v>
      </c>
      <c r="L50" s="6" t="s">
        <v>80</v>
      </c>
      <c r="M50" s="115" t="s">
        <v>56</v>
      </c>
    </row>
    <row r="51" spans="2:13" ht="15.75">
      <c r="B51" s="8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95"/>
      <c r="I51" s="6">
        <v>0</v>
      </c>
      <c r="J51" s="95" t="e">
        <f>F51/H51</f>
        <v>#DIV/0!</v>
      </c>
      <c r="K51" s="95">
        <f>(H51-F51)*100/F51</f>
        <v>-100</v>
      </c>
      <c r="L51" s="6" t="s">
        <v>80</v>
      </c>
      <c r="M51" s="115" t="s">
        <v>56</v>
      </c>
    </row>
    <row r="52" spans="2:13" ht="15.75">
      <c r="B52" s="83"/>
      <c r="C52" s="6"/>
      <c r="D52" s="6"/>
      <c r="E52" s="6"/>
      <c r="F52" s="6"/>
      <c r="G52" s="6"/>
      <c r="H52" s="95"/>
      <c r="I52" s="6"/>
      <c r="J52" s="95"/>
      <c r="K52" s="95"/>
      <c r="L52" s="6"/>
      <c r="M52" s="115" t="s">
        <v>56</v>
      </c>
    </row>
    <row r="53" spans="2:13" ht="15.75">
      <c r="B53" s="83"/>
      <c r="C53" s="6"/>
      <c r="D53" s="6"/>
      <c r="E53" s="6"/>
      <c r="F53" s="6"/>
      <c r="G53" s="6"/>
      <c r="H53" s="95"/>
      <c r="I53" s="6"/>
      <c r="J53" s="95"/>
      <c r="K53" s="95"/>
      <c r="L53" s="6"/>
      <c r="M53" s="115" t="s">
        <v>56</v>
      </c>
    </row>
    <row r="54" spans="2:13" ht="15.75">
      <c r="B54" s="83"/>
      <c r="C54" s="6"/>
      <c r="D54" s="6"/>
      <c r="E54" s="6"/>
      <c r="F54" s="6"/>
      <c r="G54" s="6"/>
      <c r="H54" s="95"/>
      <c r="I54" s="6"/>
      <c r="J54" s="95"/>
      <c r="K54" s="95"/>
      <c r="L54" s="6"/>
      <c r="M54" s="116"/>
    </row>
    <row r="55" spans="2:13" ht="15.75">
      <c r="B55" s="83"/>
      <c r="C55" s="6"/>
      <c r="D55" s="6"/>
      <c r="E55" s="6"/>
      <c r="F55" s="6"/>
      <c r="G55" s="6"/>
      <c r="H55" s="95"/>
      <c r="I55" s="6"/>
      <c r="J55" s="95"/>
      <c r="K55" s="95"/>
      <c r="L55" s="6"/>
      <c r="M55" s="116"/>
    </row>
    <row r="56" spans="2:13" ht="15.75">
      <c r="B56" s="83"/>
      <c r="C56" s="6"/>
      <c r="D56" s="6"/>
      <c r="E56" s="6"/>
      <c r="F56" s="6"/>
      <c r="G56" s="6"/>
      <c r="H56" s="95"/>
      <c r="I56" s="6"/>
      <c r="J56" s="95"/>
      <c r="K56" s="95"/>
      <c r="L56" s="6"/>
      <c r="M56" s="116"/>
    </row>
    <row r="57" spans="2:13" ht="15.75">
      <c r="B57" s="83"/>
      <c r="C57" s="6"/>
      <c r="D57" s="6"/>
      <c r="E57" s="6"/>
      <c r="F57" s="6"/>
      <c r="G57" s="6"/>
      <c r="H57" s="95"/>
      <c r="I57" s="6"/>
      <c r="J57" s="95"/>
      <c r="K57" s="95"/>
      <c r="L57" s="6"/>
      <c r="M57" s="116"/>
    </row>
    <row r="58" spans="2:13" ht="15.75">
      <c r="B58" s="83"/>
      <c r="C58" s="6"/>
      <c r="D58" s="6"/>
      <c r="E58" s="6"/>
      <c r="F58" s="6"/>
      <c r="G58" s="6"/>
      <c r="H58" s="95"/>
      <c r="I58" s="6"/>
      <c r="J58" s="95"/>
      <c r="K58" s="95"/>
      <c r="L58" s="6"/>
      <c r="M58" s="116"/>
    </row>
    <row r="59" spans="2:13" ht="15.75">
      <c r="B59" s="83"/>
      <c r="C59" s="6"/>
      <c r="D59" s="6"/>
      <c r="E59" s="6"/>
      <c r="F59" s="6"/>
      <c r="G59" s="6"/>
      <c r="H59" s="95"/>
      <c r="I59" s="6"/>
      <c r="J59" s="95"/>
      <c r="K59" s="95"/>
      <c r="L59" s="6"/>
      <c r="M59" s="116"/>
    </row>
    <row r="60" spans="2:13" ht="15.75">
      <c r="B60" s="94"/>
      <c r="C60" s="6"/>
      <c r="D60" s="6"/>
      <c r="E60" s="6"/>
      <c r="F60" s="6"/>
      <c r="G60" s="6"/>
      <c r="H60" s="95"/>
      <c r="I60" s="6"/>
      <c r="J60" s="95"/>
      <c r="K60" s="95"/>
      <c r="L60" s="6"/>
      <c r="M60" s="116"/>
    </row>
    <row r="61" spans="2:13">
      <c r="B61" s="99"/>
      <c r="C61" s="106"/>
      <c r="D61" s="193" t="s">
        <v>89</v>
      </c>
      <c r="E61" s="193"/>
      <c r="F61" s="193"/>
      <c r="G61" s="193"/>
      <c r="H61" s="193"/>
      <c r="I61" s="193"/>
      <c r="J61" s="126">
        <f>COUNT(B47:B59)</f>
        <v>0</v>
      </c>
      <c r="K61" s="120"/>
      <c r="L61" s="106"/>
      <c r="M61" s="121"/>
    </row>
    <row r="64" spans="2:13">
      <c r="B64" s="92"/>
      <c r="C64" s="102"/>
      <c r="D64" s="102"/>
      <c r="E64" s="102"/>
      <c r="F64" s="102"/>
      <c r="G64" s="194" t="s">
        <v>37</v>
      </c>
      <c r="H64" s="194"/>
      <c r="I64" s="93"/>
      <c r="J64" s="123"/>
      <c r="K64" s="123"/>
      <c r="L64" s="93"/>
      <c r="M64" s="107"/>
    </row>
    <row r="65" spans="2:13">
      <c r="B65" s="94"/>
      <c r="C65" s="6"/>
      <c r="D65" s="6"/>
      <c r="E65" s="6"/>
      <c r="F65" s="6"/>
      <c r="G65" s="6"/>
      <c r="H65" s="95"/>
      <c r="I65" s="6"/>
      <c r="J65" s="95"/>
      <c r="K65" s="95"/>
      <c r="L65" s="6"/>
      <c r="M65" s="110"/>
    </row>
    <row r="66" spans="2:13" ht="15.75">
      <c r="B66" s="96" t="s">
        <v>64</v>
      </c>
      <c r="C66" s="97" t="s">
        <v>65</v>
      </c>
      <c r="D66" s="97" t="s">
        <v>66</v>
      </c>
      <c r="E66" s="97" t="s">
        <v>67</v>
      </c>
      <c r="F66" s="97" t="s">
        <v>68</v>
      </c>
      <c r="G66" s="97" t="s">
        <v>69</v>
      </c>
      <c r="H66" s="98" t="s">
        <v>70</v>
      </c>
      <c r="I66" s="97" t="s">
        <v>71</v>
      </c>
      <c r="J66" s="97" t="s">
        <v>72</v>
      </c>
      <c r="K66" s="97" t="s">
        <v>73</v>
      </c>
      <c r="L66" s="97" t="s">
        <v>54</v>
      </c>
      <c r="M66" s="39" t="s">
        <v>74</v>
      </c>
    </row>
    <row r="67" spans="2:13" ht="15.75">
      <c r="B67" s="82">
        <v>45426.550694444442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39">
        <v>5.2</v>
      </c>
      <c r="I67" s="6">
        <v>0</v>
      </c>
      <c r="J67" s="95">
        <f>F67/H67</f>
        <v>0.96153846153846145</v>
      </c>
      <c r="K67" s="95">
        <f>(H67-F67)*100/F67</f>
        <v>4.0000000000000036</v>
      </c>
      <c r="L67" s="6" t="s">
        <v>80</v>
      </c>
      <c r="M67" s="115" t="s">
        <v>56</v>
      </c>
    </row>
    <row r="68" spans="2:13" ht="15.75">
      <c r="B68" s="82">
        <v>45435.543749999997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95">
        <v>4.99</v>
      </c>
      <c r="I68" s="6">
        <v>0</v>
      </c>
      <c r="J68" s="95">
        <f t="shared" ref="J68:J73" si="4">F68/H68</f>
        <v>1.002004008016032</v>
      </c>
      <c r="K68" s="95">
        <f t="shared" ref="K68:K73" si="5">(H68-F68)*100/F68</f>
        <v>-0.19999999999999574</v>
      </c>
      <c r="L68" s="6" t="s">
        <v>80</v>
      </c>
      <c r="M68" s="115" t="s">
        <v>56</v>
      </c>
    </row>
    <row r="69" spans="2:13" ht="15.75">
      <c r="B69" s="82"/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95"/>
      <c r="I69" s="6">
        <v>0</v>
      </c>
      <c r="J69" s="95" t="e">
        <f t="shared" si="4"/>
        <v>#DIV/0!</v>
      </c>
      <c r="K69" s="95">
        <f t="shared" si="5"/>
        <v>-100</v>
      </c>
      <c r="L69" s="6" t="s">
        <v>80</v>
      </c>
      <c r="M69" s="115" t="s">
        <v>56</v>
      </c>
    </row>
    <row r="70" spans="2:13" ht="15.75">
      <c r="B70" s="8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95"/>
      <c r="I70" s="6">
        <v>0</v>
      </c>
      <c r="J70" s="95" t="e">
        <f t="shared" si="4"/>
        <v>#DIV/0!</v>
      </c>
      <c r="K70" s="95">
        <f t="shared" si="5"/>
        <v>-100</v>
      </c>
      <c r="L70" s="6" t="s">
        <v>80</v>
      </c>
      <c r="M70" s="115" t="s">
        <v>56</v>
      </c>
    </row>
    <row r="71" spans="2:13" ht="15.75">
      <c r="B71" s="8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39"/>
      <c r="I71" s="6">
        <v>0</v>
      </c>
      <c r="J71" s="95" t="e">
        <f t="shared" si="4"/>
        <v>#DIV/0!</v>
      </c>
      <c r="K71" s="95">
        <f t="shared" si="5"/>
        <v>-100</v>
      </c>
      <c r="L71" s="6" t="s">
        <v>80</v>
      </c>
      <c r="M71" s="115" t="s">
        <v>56</v>
      </c>
    </row>
    <row r="72" spans="2:13" ht="15.75">
      <c r="B72" s="8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39"/>
      <c r="I72" s="6">
        <v>0</v>
      </c>
      <c r="J72" s="95" t="e">
        <f t="shared" si="4"/>
        <v>#DIV/0!</v>
      </c>
      <c r="K72" s="95">
        <f t="shared" si="5"/>
        <v>-100</v>
      </c>
      <c r="L72" s="6" t="s">
        <v>80</v>
      </c>
      <c r="M72" s="115" t="s">
        <v>56</v>
      </c>
    </row>
    <row r="73" spans="2:13" ht="15.75">
      <c r="B73" s="8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39"/>
      <c r="I73" s="6">
        <v>0</v>
      </c>
      <c r="J73" s="95" t="e">
        <f t="shared" si="4"/>
        <v>#DIV/0!</v>
      </c>
      <c r="K73" s="95">
        <f t="shared" si="5"/>
        <v>-100</v>
      </c>
      <c r="L73" s="6" t="s">
        <v>80</v>
      </c>
      <c r="M73" s="115" t="s">
        <v>56</v>
      </c>
    </row>
    <row r="74" spans="2:13" ht="15.75">
      <c r="B74" s="82"/>
      <c r="C74" s="6"/>
      <c r="D74" s="6"/>
      <c r="E74" s="6"/>
      <c r="F74" s="6"/>
      <c r="G74" s="6"/>
      <c r="H74" s="139"/>
      <c r="I74" s="6"/>
      <c r="J74" s="95"/>
      <c r="K74" s="95"/>
      <c r="L74" s="6"/>
      <c r="M74" s="116"/>
    </row>
    <row r="75" spans="2:13" ht="15.75">
      <c r="B75" s="82"/>
      <c r="C75" s="6"/>
      <c r="D75" s="6"/>
      <c r="E75" s="6"/>
      <c r="F75" s="6"/>
      <c r="G75" s="6"/>
      <c r="H75" s="139"/>
      <c r="I75" s="6"/>
      <c r="J75" s="95"/>
      <c r="K75" s="95"/>
      <c r="L75" s="6"/>
      <c r="M75" s="116"/>
    </row>
    <row r="76" spans="2:13" ht="15.75">
      <c r="B76" s="82"/>
      <c r="C76" s="6"/>
      <c r="D76" s="6"/>
      <c r="E76" s="6"/>
      <c r="F76" s="6"/>
      <c r="G76" s="6"/>
      <c r="H76" s="139"/>
      <c r="I76" s="6"/>
      <c r="J76" s="95"/>
      <c r="K76" s="95"/>
      <c r="L76" s="6"/>
      <c r="M76" s="116"/>
    </row>
    <row r="77" spans="2:13" ht="15.75">
      <c r="B77" s="83"/>
      <c r="C77" s="6"/>
      <c r="D77" s="6"/>
      <c r="E77" s="6"/>
      <c r="F77" s="6"/>
      <c r="G77" s="6"/>
      <c r="H77" s="139"/>
      <c r="I77" s="6"/>
      <c r="J77" s="95"/>
      <c r="K77" s="95"/>
      <c r="L77" s="6"/>
      <c r="M77" s="116"/>
    </row>
    <row r="78" spans="2:13" ht="15.75">
      <c r="B78" s="83"/>
      <c r="C78" s="6"/>
      <c r="D78" s="6"/>
      <c r="E78" s="6"/>
      <c r="F78" s="6"/>
      <c r="G78" s="6"/>
      <c r="H78" s="139"/>
      <c r="I78" s="6"/>
      <c r="J78" s="95"/>
      <c r="K78" s="95"/>
      <c r="L78" s="6"/>
      <c r="M78" s="116"/>
    </row>
    <row r="79" spans="2:13" ht="15.75">
      <c r="B79" s="83"/>
      <c r="C79" s="6"/>
      <c r="D79" s="6"/>
      <c r="E79" s="6"/>
      <c r="F79" s="6"/>
      <c r="G79" s="6"/>
      <c r="H79" s="139"/>
      <c r="I79" s="6"/>
      <c r="J79" s="95"/>
      <c r="K79" s="95"/>
      <c r="L79" s="6"/>
      <c r="M79" s="116"/>
    </row>
    <row r="80" spans="2:13" ht="15.75">
      <c r="B80" s="94"/>
      <c r="C80" s="6"/>
      <c r="D80" s="6"/>
      <c r="E80" s="6"/>
      <c r="F80" s="6"/>
      <c r="G80" s="6"/>
      <c r="H80" s="139"/>
      <c r="I80" s="6"/>
      <c r="J80" s="95"/>
      <c r="K80" s="95"/>
      <c r="L80" s="6"/>
      <c r="M80" s="116"/>
    </row>
    <row r="81" spans="2:13">
      <c r="B81" s="99"/>
      <c r="C81" s="106"/>
      <c r="D81" s="193" t="s">
        <v>90</v>
      </c>
      <c r="E81" s="193"/>
      <c r="F81" s="193"/>
      <c r="G81" s="193"/>
      <c r="H81" s="193"/>
      <c r="I81" s="193"/>
      <c r="J81" s="126">
        <f>COUNT(B67:B79)</f>
        <v>2</v>
      </c>
      <c r="K81" s="120"/>
      <c r="L81" s="106"/>
      <c r="M81" s="121"/>
    </row>
    <row r="84" spans="2:13">
      <c r="B84" s="92"/>
      <c r="C84" s="102"/>
      <c r="D84" s="102"/>
      <c r="E84" s="102"/>
      <c r="F84" s="102"/>
      <c r="G84" s="194" t="s">
        <v>91</v>
      </c>
      <c r="H84" s="194"/>
      <c r="I84" s="93"/>
      <c r="J84" s="123"/>
      <c r="K84" s="123"/>
      <c r="L84" s="93"/>
      <c r="M84" s="107"/>
    </row>
    <row r="85" spans="2:13">
      <c r="B85" s="94"/>
      <c r="C85" s="6"/>
      <c r="D85" s="6"/>
      <c r="E85" s="6"/>
      <c r="F85" s="6"/>
      <c r="G85" s="6"/>
      <c r="H85" s="95"/>
      <c r="I85" s="6"/>
      <c r="J85" s="95"/>
      <c r="K85" s="95"/>
      <c r="L85" s="6"/>
      <c r="M85" s="110"/>
    </row>
    <row r="86" spans="2:13" ht="15.75">
      <c r="B86" s="96" t="s">
        <v>64</v>
      </c>
      <c r="C86" s="97" t="s">
        <v>65</v>
      </c>
      <c r="D86" s="97" t="s">
        <v>66</v>
      </c>
      <c r="E86" s="97" t="s">
        <v>67</v>
      </c>
      <c r="F86" s="97" t="s">
        <v>68</v>
      </c>
      <c r="G86" s="97" t="s">
        <v>69</v>
      </c>
      <c r="H86" s="98" t="s">
        <v>70</v>
      </c>
      <c r="I86" s="97" t="s">
        <v>71</v>
      </c>
      <c r="J86" s="97" t="s">
        <v>72</v>
      </c>
      <c r="K86" s="97" t="s">
        <v>73</v>
      </c>
      <c r="L86" s="97" t="s">
        <v>54</v>
      </c>
      <c r="M86" s="39" t="s">
        <v>74</v>
      </c>
    </row>
    <row r="87" spans="2:13" ht="15.75">
      <c r="B87" s="82"/>
      <c r="C87" s="6" t="s">
        <v>91</v>
      </c>
      <c r="D87" s="6" t="s">
        <v>39</v>
      </c>
      <c r="E87" s="6">
        <v>0</v>
      </c>
      <c r="F87" s="6">
        <v>60</v>
      </c>
      <c r="G87" s="6">
        <v>0</v>
      </c>
      <c r="H87" s="95"/>
      <c r="I87" s="6">
        <v>0</v>
      </c>
      <c r="J87" s="95" t="e">
        <f t="shared" ref="J87:J92" si="6">F87/H87</f>
        <v>#DIV/0!</v>
      </c>
      <c r="K87" s="95">
        <f t="shared" ref="K87:K92" si="7">(H87-F87)*100/F87</f>
        <v>-100</v>
      </c>
      <c r="L87" s="6" t="s">
        <v>80</v>
      </c>
      <c r="M87" s="115" t="s">
        <v>56</v>
      </c>
    </row>
    <row r="88" spans="2:13" ht="15.75">
      <c r="B88" s="82"/>
      <c r="C88" s="6" t="s">
        <v>91</v>
      </c>
      <c r="D88" s="6" t="s">
        <v>39</v>
      </c>
      <c r="E88" s="6">
        <v>0</v>
      </c>
      <c r="F88" s="6">
        <v>60</v>
      </c>
      <c r="G88" s="6">
        <v>0</v>
      </c>
      <c r="H88" s="95"/>
      <c r="I88" s="6">
        <v>0</v>
      </c>
      <c r="J88" s="95" t="e">
        <f t="shared" si="6"/>
        <v>#DIV/0!</v>
      </c>
      <c r="K88" s="95">
        <f t="shared" si="7"/>
        <v>-100</v>
      </c>
      <c r="L88" s="6" t="s">
        <v>80</v>
      </c>
      <c r="M88" s="115" t="s">
        <v>56</v>
      </c>
    </row>
    <row r="89" spans="2:13" ht="15.75">
      <c r="B89" s="82"/>
      <c r="C89" s="6" t="s">
        <v>91</v>
      </c>
      <c r="D89" s="6" t="s">
        <v>39</v>
      </c>
      <c r="E89" s="6">
        <v>0</v>
      </c>
      <c r="F89" s="6">
        <v>60</v>
      </c>
      <c r="G89" s="6">
        <v>0</v>
      </c>
      <c r="H89" s="95"/>
      <c r="I89" s="6">
        <v>0</v>
      </c>
      <c r="J89" s="95" t="e">
        <f t="shared" si="6"/>
        <v>#DIV/0!</v>
      </c>
      <c r="K89" s="95">
        <f t="shared" si="7"/>
        <v>-100</v>
      </c>
      <c r="L89" s="6" t="s">
        <v>80</v>
      </c>
      <c r="M89" s="115" t="s">
        <v>56</v>
      </c>
    </row>
    <row r="90" spans="2:13" ht="15.75">
      <c r="B90" s="82"/>
      <c r="C90" s="6" t="s">
        <v>91</v>
      </c>
      <c r="D90" s="6" t="s">
        <v>39</v>
      </c>
      <c r="E90" s="6">
        <v>0</v>
      </c>
      <c r="F90" s="6">
        <v>60</v>
      </c>
      <c r="G90" s="6">
        <v>0</v>
      </c>
      <c r="H90" s="95"/>
      <c r="I90" s="6">
        <v>0</v>
      </c>
      <c r="J90" s="95" t="e">
        <f t="shared" si="6"/>
        <v>#DIV/0!</v>
      </c>
      <c r="K90" s="95">
        <f t="shared" si="7"/>
        <v>-100</v>
      </c>
      <c r="L90" s="6" t="s">
        <v>80</v>
      </c>
      <c r="M90" s="115" t="s">
        <v>56</v>
      </c>
    </row>
    <row r="91" spans="2:13" ht="15.75">
      <c r="B91" s="82"/>
      <c r="C91" s="6" t="s">
        <v>91</v>
      </c>
      <c r="D91" s="6" t="s">
        <v>39</v>
      </c>
      <c r="E91" s="6">
        <v>0</v>
      </c>
      <c r="F91" s="6">
        <v>60</v>
      </c>
      <c r="G91" s="6">
        <v>0</v>
      </c>
      <c r="H91" s="95"/>
      <c r="I91" s="6">
        <v>0</v>
      </c>
      <c r="J91" s="95" t="e">
        <f t="shared" si="6"/>
        <v>#DIV/0!</v>
      </c>
      <c r="K91" s="95">
        <f t="shared" si="7"/>
        <v>-100</v>
      </c>
      <c r="L91" s="6" t="s">
        <v>80</v>
      </c>
      <c r="M91" s="115" t="s">
        <v>56</v>
      </c>
    </row>
    <row r="92" spans="2:13" ht="15.75">
      <c r="B92" s="82"/>
      <c r="C92" s="6" t="s">
        <v>91</v>
      </c>
      <c r="D92" s="6" t="s">
        <v>39</v>
      </c>
      <c r="E92" s="6">
        <v>0</v>
      </c>
      <c r="F92" s="6">
        <v>60</v>
      </c>
      <c r="G92" s="6">
        <v>0</v>
      </c>
      <c r="H92" s="95"/>
      <c r="I92" s="6">
        <v>0</v>
      </c>
      <c r="J92" s="95" t="e">
        <f t="shared" si="6"/>
        <v>#DIV/0!</v>
      </c>
      <c r="K92" s="95">
        <f t="shared" si="7"/>
        <v>-100</v>
      </c>
      <c r="L92" s="6" t="s">
        <v>80</v>
      </c>
      <c r="M92" s="115" t="s">
        <v>56</v>
      </c>
    </row>
    <row r="93" spans="2:13" ht="15.75">
      <c r="B93" s="83"/>
      <c r="C93" s="6"/>
      <c r="D93" s="6"/>
      <c r="E93" s="6"/>
      <c r="F93" s="6"/>
      <c r="G93" s="6"/>
      <c r="H93" s="95"/>
      <c r="I93" s="6"/>
      <c r="J93" s="95"/>
      <c r="K93" s="95"/>
      <c r="L93" s="6"/>
      <c r="M93" s="115" t="s">
        <v>56</v>
      </c>
    </row>
    <row r="94" spans="2:13" ht="15.75">
      <c r="B94" s="83"/>
      <c r="C94" s="6"/>
      <c r="D94" s="6"/>
      <c r="E94" s="6"/>
      <c r="F94" s="6"/>
      <c r="G94" s="6"/>
      <c r="H94" s="95"/>
      <c r="I94" s="6"/>
      <c r="J94" s="95"/>
      <c r="K94" s="95"/>
      <c r="L94" s="6"/>
      <c r="M94" s="116"/>
    </row>
    <row r="95" spans="2:13" ht="15.75">
      <c r="B95" s="83"/>
      <c r="C95" s="6"/>
      <c r="D95" s="6"/>
      <c r="E95" s="6"/>
      <c r="F95" s="6"/>
      <c r="G95" s="6"/>
      <c r="H95" s="95"/>
      <c r="I95" s="6"/>
      <c r="J95" s="95"/>
      <c r="K95" s="95"/>
      <c r="L95" s="6"/>
      <c r="M95" s="116"/>
    </row>
    <row r="96" spans="2:13" ht="15.75">
      <c r="B96" s="83"/>
      <c r="C96" s="6"/>
      <c r="D96" s="6"/>
      <c r="E96" s="6"/>
      <c r="F96" s="6"/>
      <c r="G96" s="6"/>
      <c r="H96" s="95"/>
      <c r="I96" s="6"/>
      <c r="J96" s="95"/>
      <c r="K96" s="95"/>
      <c r="L96" s="6"/>
      <c r="M96" s="116"/>
    </row>
    <row r="97" spans="2:13" ht="15.75">
      <c r="B97" s="83"/>
      <c r="C97" s="6"/>
      <c r="D97" s="6"/>
      <c r="E97" s="6"/>
      <c r="F97" s="6"/>
      <c r="G97" s="6"/>
      <c r="H97" s="95"/>
      <c r="I97" s="6"/>
      <c r="J97" s="95"/>
      <c r="K97" s="95"/>
      <c r="L97" s="6"/>
      <c r="M97" s="116"/>
    </row>
    <row r="98" spans="2:13" ht="15.75">
      <c r="B98" s="83"/>
      <c r="C98" s="6"/>
      <c r="D98" s="6"/>
      <c r="E98" s="6"/>
      <c r="F98" s="6"/>
      <c r="G98" s="6"/>
      <c r="H98" s="95"/>
      <c r="I98" s="6"/>
      <c r="J98" s="95"/>
      <c r="K98" s="95"/>
      <c r="L98" s="6"/>
      <c r="M98" s="116"/>
    </row>
    <row r="99" spans="2:13" ht="15.75">
      <c r="B99" s="83"/>
      <c r="C99" s="6"/>
      <c r="D99" s="6"/>
      <c r="E99" s="6"/>
      <c r="F99" s="6"/>
      <c r="G99" s="6"/>
      <c r="H99" s="95"/>
      <c r="I99" s="6"/>
      <c r="J99" s="95"/>
      <c r="K99" s="95"/>
      <c r="L99" s="6"/>
      <c r="M99" s="116"/>
    </row>
    <row r="100" spans="2:13" ht="15.75">
      <c r="B100" s="94"/>
      <c r="C100" s="6"/>
      <c r="D100" s="6"/>
      <c r="E100" s="6"/>
      <c r="F100" s="6"/>
      <c r="G100" s="6"/>
      <c r="H100" s="95"/>
      <c r="I100" s="6"/>
      <c r="J100" s="95"/>
      <c r="K100" s="95"/>
      <c r="L100" s="6"/>
      <c r="M100" s="116"/>
    </row>
    <row r="101" spans="2:13">
      <c r="B101" s="99"/>
      <c r="C101" s="106"/>
      <c r="D101" s="193" t="s">
        <v>92</v>
      </c>
      <c r="E101" s="193"/>
      <c r="F101" s="193"/>
      <c r="G101" s="193"/>
      <c r="H101" s="193"/>
      <c r="I101" s="193"/>
      <c r="J101" s="126">
        <f>COUNT(B87:B99)</f>
        <v>0</v>
      </c>
      <c r="K101" s="120"/>
      <c r="L101" s="106"/>
      <c r="M101" s="121"/>
    </row>
    <row r="104" spans="2:13">
      <c r="B104" s="92"/>
      <c r="C104" s="93"/>
      <c r="D104" s="93"/>
      <c r="E104" s="93"/>
      <c r="F104" s="93"/>
      <c r="G104" s="195" t="s">
        <v>93</v>
      </c>
      <c r="H104" s="195"/>
      <c r="I104" s="93"/>
      <c r="J104" s="93"/>
      <c r="K104" s="93"/>
      <c r="L104" s="93"/>
      <c r="M104" s="107"/>
    </row>
    <row r="105" spans="2:13">
      <c r="B105" s="94"/>
      <c r="C105" s="6"/>
      <c r="D105" s="6"/>
      <c r="E105" s="6"/>
      <c r="F105" s="6"/>
      <c r="G105" s="6"/>
      <c r="H105" s="95"/>
      <c r="I105" s="6"/>
      <c r="J105" s="6"/>
      <c r="K105" s="6"/>
      <c r="L105" s="6"/>
      <c r="M105" s="110"/>
    </row>
    <row r="106" spans="2:13" ht="15.75">
      <c r="B106" s="140" t="s">
        <v>64</v>
      </c>
      <c r="C106" s="97" t="s">
        <v>65</v>
      </c>
      <c r="D106" s="97" t="s">
        <v>66</v>
      </c>
      <c r="E106" s="97" t="s">
        <v>67</v>
      </c>
      <c r="F106" s="97" t="s">
        <v>68</v>
      </c>
      <c r="G106" s="97" t="s">
        <v>69</v>
      </c>
      <c r="H106" s="98" t="s">
        <v>70</v>
      </c>
      <c r="I106" s="97" t="s">
        <v>71</v>
      </c>
      <c r="J106" s="97" t="s">
        <v>72</v>
      </c>
      <c r="K106" s="97" t="s">
        <v>73</v>
      </c>
      <c r="L106" s="97" t="s">
        <v>54</v>
      </c>
      <c r="M106" s="141" t="s">
        <v>74</v>
      </c>
    </row>
    <row r="107" spans="2:13" ht="15.75">
      <c r="B107" s="82"/>
      <c r="C107" s="6" t="s">
        <v>93</v>
      </c>
      <c r="D107" s="6" t="s">
        <v>39</v>
      </c>
      <c r="E107" s="6">
        <v>0</v>
      </c>
      <c r="F107" s="6">
        <v>320</v>
      </c>
      <c r="G107" s="6">
        <v>0</v>
      </c>
      <c r="H107" s="95"/>
      <c r="I107" s="6">
        <f>G107-E107</f>
        <v>0</v>
      </c>
      <c r="J107" s="95" t="e">
        <f>F107/H107</f>
        <v>#DIV/0!</v>
      </c>
      <c r="K107" s="95">
        <f>(H107-F107)*100/F107</f>
        <v>-100</v>
      </c>
      <c r="L107" s="6" t="s">
        <v>80</v>
      </c>
      <c r="M107" s="115" t="s">
        <v>56</v>
      </c>
    </row>
    <row r="108" spans="2:13" ht="15.75">
      <c r="B108" s="82"/>
      <c r="C108" s="6" t="s">
        <v>93</v>
      </c>
      <c r="D108" s="6" t="s">
        <v>39</v>
      </c>
      <c r="E108" s="6">
        <v>0</v>
      </c>
      <c r="F108" s="6">
        <v>320</v>
      </c>
      <c r="G108" s="6">
        <v>0</v>
      </c>
      <c r="H108" s="95"/>
      <c r="I108" s="6">
        <f>G108-E108</f>
        <v>0</v>
      </c>
      <c r="J108" s="95" t="e">
        <f>F108/H108</f>
        <v>#DIV/0!</v>
      </c>
      <c r="K108" s="95">
        <f>(H108-F108)*100/F108</f>
        <v>-100</v>
      </c>
      <c r="L108" s="6" t="s">
        <v>80</v>
      </c>
      <c r="M108" s="115" t="s">
        <v>56</v>
      </c>
    </row>
    <row r="109" spans="2:13" ht="15.75">
      <c r="B109" s="82"/>
      <c r="C109" s="6" t="s">
        <v>93</v>
      </c>
      <c r="D109" s="6" t="s">
        <v>39</v>
      </c>
      <c r="E109" s="6">
        <v>0</v>
      </c>
      <c r="F109" s="6">
        <v>320</v>
      </c>
      <c r="G109" s="6">
        <v>0</v>
      </c>
      <c r="H109" s="95"/>
      <c r="I109" s="6">
        <f t="shared" ref="I109:I115" si="8">G109-E109</f>
        <v>0</v>
      </c>
      <c r="J109" s="95" t="e">
        <f t="shared" ref="J109:J115" si="9">F109/H109</f>
        <v>#DIV/0!</v>
      </c>
      <c r="K109" s="95">
        <f t="shared" ref="K109:K115" si="10">(H109-F109)*100/F109</f>
        <v>-100</v>
      </c>
      <c r="L109" s="6" t="s">
        <v>80</v>
      </c>
      <c r="M109" s="115" t="s">
        <v>56</v>
      </c>
    </row>
    <row r="110" spans="2:13" ht="15.75">
      <c r="B110" s="82"/>
      <c r="C110" s="6" t="s">
        <v>93</v>
      </c>
      <c r="D110" s="6" t="s">
        <v>39</v>
      </c>
      <c r="E110" s="6">
        <v>0</v>
      </c>
      <c r="F110" s="6">
        <v>320</v>
      </c>
      <c r="G110" s="6">
        <v>0</v>
      </c>
      <c r="H110" s="95"/>
      <c r="I110" s="6">
        <f t="shared" si="8"/>
        <v>0</v>
      </c>
      <c r="J110" s="95" t="e">
        <f t="shared" si="9"/>
        <v>#DIV/0!</v>
      </c>
      <c r="K110" s="95">
        <f t="shared" si="10"/>
        <v>-100</v>
      </c>
      <c r="L110" s="6" t="s">
        <v>80</v>
      </c>
      <c r="M110" s="115" t="s">
        <v>56</v>
      </c>
    </row>
    <row r="111" spans="2:13" ht="15.75">
      <c r="B111" s="82"/>
      <c r="C111" s="6" t="s">
        <v>93</v>
      </c>
      <c r="D111" s="6" t="s">
        <v>39</v>
      </c>
      <c r="E111" s="6">
        <v>0</v>
      </c>
      <c r="F111" s="6">
        <v>320</v>
      </c>
      <c r="G111" s="6">
        <v>0</v>
      </c>
      <c r="H111" s="95"/>
      <c r="I111" s="6">
        <f t="shared" si="8"/>
        <v>0</v>
      </c>
      <c r="J111" s="95" t="e">
        <f t="shared" si="9"/>
        <v>#DIV/0!</v>
      </c>
      <c r="K111" s="95">
        <f t="shared" si="10"/>
        <v>-100</v>
      </c>
      <c r="L111" s="6" t="s">
        <v>80</v>
      </c>
      <c r="M111" s="115" t="s">
        <v>56</v>
      </c>
    </row>
    <row r="112" spans="2:13" ht="15.75">
      <c r="B112" s="82"/>
      <c r="C112" s="6" t="s">
        <v>93</v>
      </c>
      <c r="D112" s="6" t="s">
        <v>39</v>
      </c>
      <c r="E112" s="6">
        <v>0</v>
      </c>
      <c r="F112" s="6">
        <v>320</v>
      </c>
      <c r="G112" s="6">
        <v>0</v>
      </c>
      <c r="H112" s="95"/>
      <c r="I112" s="6">
        <f t="shared" si="8"/>
        <v>0</v>
      </c>
      <c r="J112" s="95" t="e">
        <f t="shared" si="9"/>
        <v>#DIV/0!</v>
      </c>
      <c r="K112" s="95">
        <f t="shared" si="10"/>
        <v>-100</v>
      </c>
      <c r="L112" s="6" t="s">
        <v>80</v>
      </c>
      <c r="M112" s="115" t="s">
        <v>56</v>
      </c>
    </row>
    <row r="113" spans="2:13" ht="15.75">
      <c r="B113" s="82"/>
      <c r="C113" s="6" t="s">
        <v>93</v>
      </c>
      <c r="D113" s="6" t="s">
        <v>39</v>
      </c>
      <c r="E113" s="6">
        <v>0</v>
      </c>
      <c r="F113" s="6">
        <v>320</v>
      </c>
      <c r="G113" s="6">
        <v>0</v>
      </c>
      <c r="H113" s="95"/>
      <c r="I113" s="6">
        <f t="shared" si="8"/>
        <v>0</v>
      </c>
      <c r="J113" s="95" t="e">
        <f t="shared" si="9"/>
        <v>#DIV/0!</v>
      </c>
      <c r="K113" s="95">
        <f t="shared" si="10"/>
        <v>-100</v>
      </c>
      <c r="L113" s="6" t="s">
        <v>80</v>
      </c>
      <c r="M113" s="115" t="s">
        <v>56</v>
      </c>
    </row>
    <row r="114" spans="2:13" ht="15.75">
      <c r="B114" s="82"/>
      <c r="C114" s="6" t="s">
        <v>93</v>
      </c>
      <c r="D114" s="6" t="s">
        <v>39</v>
      </c>
      <c r="E114" s="6">
        <v>0</v>
      </c>
      <c r="F114" s="6">
        <v>320</v>
      </c>
      <c r="G114" s="6">
        <v>0</v>
      </c>
      <c r="H114" s="95"/>
      <c r="I114" s="6">
        <f t="shared" si="8"/>
        <v>0</v>
      </c>
      <c r="J114" s="95" t="e">
        <f t="shared" si="9"/>
        <v>#DIV/0!</v>
      </c>
      <c r="K114" s="95">
        <f t="shared" si="10"/>
        <v>-100</v>
      </c>
      <c r="L114" s="6" t="s">
        <v>80</v>
      </c>
      <c r="M114" s="116"/>
    </row>
    <row r="115" spans="2:13" ht="15.75">
      <c r="B115" s="82"/>
      <c r="C115" s="6" t="s">
        <v>93</v>
      </c>
      <c r="D115" s="6" t="s">
        <v>39</v>
      </c>
      <c r="E115" s="6">
        <v>0</v>
      </c>
      <c r="F115" s="6">
        <v>320</v>
      </c>
      <c r="G115" s="6">
        <v>0</v>
      </c>
      <c r="H115" s="95"/>
      <c r="I115" s="6">
        <f t="shared" si="8"/>
        <v>0</v>
      </c>
      <c r="J115" s="95" t="e">
        <f t="shared" si="9"/>
        <v>#DIV/0!</v>
      </c>
      <c r="K115" s="95">
        <f t="shared" si="10"/>
        <v>-100</v>
      </c>
      <c r="L115" s="6" t="s">
        <v>80</v>
      </c>
      <c r="M115" s="116"/>
    </row>
    <row r="116" spans="2:13" ht="15.75">
      <c r="B116" s="83"/>
      <c r="C116" s="6"/>
      <c r="D116" s="6"/>
      <c r="E116" s="6"/>
      <c r="F116" s="6"/>
      <c r="G116" s="6"/>
      <c r="H116" s="95"/>
      <c r="I116" s="6"/>
      <c r="J116" s="95"/>
      <c r="K116" s="95"/>
      <c r="L116" s="6"/>
      <c r="M116" s="116"/>
    </row>
    <row r="117" spans="2:13" ht="15.75">
      <c r="B117" s="83"/>
      <c r="C117" s="6"/>
      <c r="D117" s="6"/>
      <c r="E117" s="6"/>
      <c r="F117" s="6"/>
      <c r="G117" s="6"/>
      <c r="H117" s="95"/>
      <c r="I117" s="6"/>
      <c r="J117" s="95"/>
      <c r="K117" s="95"/>
      <c r="L117" s="6"/>
      <c r="M117" s="116"/>
    </row>
    <row r="118" spans="2:13" ht="15.75">
      <c r="B118" s="94"/>
      <c r="C118" s="6"/>
      <c r="D118" s="6"/>
      <c r="E118" s="6"/>
      <c r="F118" s="6"/>
      <c r="G118" s="6"/>
      <c r="H118" s="95"/>
      <c r="I118" s="6"/>
      <c r="J118" s="95"/>
      <c r="K118" s="95"/>
      <c r="L118" s="6"/>
      <c r="M118" s="116"/>
    </row>
    <row r="119" spans="2:13">
      <c r="B119" s="99"/>
      <c r="C119" s="193" t="s">
        <v>94</v>
      </c>
      <c r="D119" s="193"/>
      <c r="E119" s="193"/>
      <c r="F119" s="193"/>
      <c r="G119" s="193"/>
      <c r="H119" s="193"/>
      <c r="I119" s="126">
        <f>COUNT(B107:B118)</f>
        <v>0</v>
      </c>
      <c r="J119" s="120"/>
      <c r="K119" s="120"/>
      <c r="L119" s="106"/>
      <c r="M119" s="121"/>
    </row>
  </sheetData>
  <mergeCells count="16">
    <mergeCell ref="D1:J1"/>
    <mergeCell ref="D2:J2"/>
    <mergeCell ref="G5:H5"/>
    <mergeCell ref="C21:H21"/>
    <mergeCell ref="P21:S21"/>
    <mergeCell ref="G24:H24"/>
    <mergeCell ref="P40:S40"/>
    <mergeCell ref="D41:I41"/>
    <mergeCell ref="G44:H44"/>
    <mergeCell ref="D61:I61"/>
    <mergeCell ref="C119:H119"/>
    <mergeCell ref="G64:H64"/>
    <mergeCell ref="D81:I81"/>
    <mergeCell ref="G84:H84"/>
    <mergeCell ref="D101:I101"/>
    <mergeCell ref="G104:H104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>
  <dimension ref="B2:E56"/>
  <sheetViews>
    <sheetView workbookViewId="0">
      <selection activeCell="B9" sqref="B9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202" t="s">
        <v>95</v>
      </c>
      <c r="C2" s="202"/>
      <c r="D2" s="204">
        <f>'MONTHLY 31'!$B$2</f>
        <v>45413.010416666664</v>
      </c>
      <c r="E2" s="204"/>
    </row>
    <row r="3" spans="2:5">
      <c r="B3" s="202" t="s">
        <v>96</v>
      </c>
      <c r="C3" s="202"/>
      <c r="D3" s="204"/>
      <c r="E3" s="204"/>
    </row>
    <row r="7" spans="2:5" s="2" customFormat="1">
      <c r="B7" s="78" t="s">
        <v>97</v>
      </c>
      <c r="C7" s="78" t="s">
        <v>98</v>
      </c>
      <c r="D7" s="79" t="s">
        <v>99</v>
      </c>
    </row>
    <row r="8" spans="2:5" s="2" customFormat="1">
      <c r="B8" s="80">
        <v>45416.427083333336</v>
      </c>
      <c r="C8" s="80">
        <v>45416.479166666664</v>
      </c>
      <c r="D8" s="81">
        <f t="shared" ref="D8:D13" si="0">C8-B8</f>
        <v>5.2083333328482695E-2</v>
      </c>
    </row>
    <row r="9" spans="2:5" s="2" customFormat="1">
      <c r="B9" s="80">
        <v>45434.822916666664</v>
      </c>
      <c r="C9" s="80">
        <v>45435.520833333336</v>
      </c>
      <c r="D9" s="81">
        <f t="shared" si="0"/>
        <v>0.69791666667151731</v>
      </c>
    </row>
    <row r="10" spans="2:5" s="2" customFormat="1">
      <c r="B10" s="82"/>
      <c r="C10" s="82"/>
      <c r="D10" s="81">
        <f t="shared" si="0"/>
        <v>0</v>
      </c>
    </row>
    <row r="11" spans="2:5" s="2" customFormat="1">
      <c r="B11" s="83"/>
      <c r="C11" s="83"/>
      <c r="D11" s="81">
        <f t="shared" si="0"/>
        <v>0</v>
      </c>
    </row>
    <row r="12" spans="2:5">
      <c r="B12" s="83"/>
      <c r="C12" s="83"/>
      <c r="D12" s="81">
        <f t="shared" si="0"/>
        <v>0</v>
      </c>
    </row>
    <row r="13" spans="2:5">
      <c r="B13" s="83"/>
      <c r="C13" s="83"/>
      <c r="D13" s="81">
        <f t="shared" si="0"/>
        <v>0</v>
      </c>
    </row>
    <row r="14" spans="2:5">
      <c r="B14" s="83"/>
      <c r="C14" s="83"/>
      <c r="D14" s="81">
        <f t="shared" ref="D14:D23" si="1">C14-B14</f>
        <v>0</v>
      </c>
    </row>
    <row r="15" spans="2:5">
      <c r="B15" s="82"/>
      <c r="C15" s="82"/>
      <c r="D15" s="81">
        <f t="shared" si="1"/>
        <v>0</v>
      </c>
    </row>
    <row r="16" spans="2:5">
      <c r="B16" s="82"/>
      <c r="C16" s="82"/>
      <c r="D16" s="81">
        <f t="shared" si="1"/>
        <v>0</v>
      </c>
    </row>
    <row r="17" spans="2:4">
      <c r="B17" s="82"/>
      <c r="C17" s="82"/>
      <c r="D17" s="81">
        <f t="shared" si="1"/>
        <v>0</v>
      </c>
    </row>
    <row r="18" spans="2:4">
      <c r="B18" s="82"/>
      <c r="C18" s="82"/>
      <c r="D18" s="81">
        <f t="shared" si="1"/>
        <v>0</v>
      </c>
    </row>
    <row r="19" spans="2:4">
      <c r="B19" s="83"/>
      <c r="C19" s="82"/>
      <c r="D19" s="81">
        <f t="shared" si="1"/>
        <v>0</v>
      </c>
    </row>
    <row r="20" spans="2:4">
      <c r="B20" s="83"/>
      <c r="C20" s="82"/>
      <c r="D20" s="81">
        <f t="shared" si="1"/>
        <v>0</v>
      </c>
    </row>
    <row r="21" spans="2:4">
      <c r="B21" s="83"/>
      <c r="C21" s="82"/>
      <c r="D21" s="81">
        <f t="shared" si="1"/>
        <v>0</v>
      </c>
    </row>
    <row r="22" spans="2:4">
      <c r="B22" s="83"/>
      <c r="C22" s="82"/>
      <c r="D22" s="81">
        <f t="shared" si="1"/>
        <v>0</v>
      </c>
    </row>
    <row r="23" spans="2:4">
      <c r="B23" s="83"/>
      <c r="C23" s="82"/>
      <c r="D23" s="81">
        <f t="shared" si="1"/>
        <v>0</v>
      </c>
    </row>
    <row r="24" spans="2:4">
      <c r="B24" s="84" t="s">
        <v>100</v>
      </c>
      <c r="C24" s="82"/>
      <c r="D24" s="81">
        <f>SUM(D7:D23)</f>
        <v>0.75</v>
      </c>
    </row>
    <row r="25" spans="2:4">
      <c r="B25" s="85"/>
      <c r="C25" s="86"/>
      <c r="D25" s="87"/>
    </row>
    <row r="26" spans="2:4">
      <c r="B26" s="85"/>
      <c r="C26" s="86"/>
      <c r="D26" s="87"/>
    </row>
    <row r="27" spans="2:4">
      <c r="B27" s="85"/>
      <c r="C27" s="86"/>
      <c r="D27" s="87"/>
    </row>
    <row r="28" spans="2:4">
      <c r="B28" s="85"/>
      <c r="C28" s="86"/>
      <c r="D28" s="87"/>
    </row>
    <row r="29" spans="2:4">
      <c r="B29" s="85"/>
      <c r="C29" s="86"/>
      <c r="D29" s="87"/>
    </row>
    <row r="30" spans="2:4">
      <c r="B30" s="85"/>
      <c r="C30" s="86"/>
      <c r="D30" s="87"/>
    </row>
    <row r="31" spans="2:4">
      <c r="B31" s="85"/>
      <c r="C31" s="86"/>
      <c r="D31" s="87"/>
    </row>
    <row r="32" spans="2:4">
      <c r="B32" s="85"/>
      <c r="C32" s="86"/>
      <c r="D32" s="87"/>
    </row>
    <row r="33" spans="2:4">
      <c r="B33" s="85"/>
      <c r="C33" s="86"/>
      <c r="D33" s="87"/>
    </row>
    <row r="34" spans="2:4">
      <c r="B34" s="85"/>
      <c r="C34" s="86"/>
      <c r="D34" s="87"/>
    </row>
    <row r="35" spans="2:4">
      <c r="B35" s="85"/>
      <c r="C35" s="86"/>
      <c r="D35" s="87"/>
    </row>
    <row r="36" spans="2:4">
      <c r="B36" s="85"/>
      <c r="C36" s="86"/>
      <c r="D36" s="87"/>
    </row>
    <row r="37" spans="2:4">
      <c r="B37" s="85"/>
      <c r="C37" s="86"/>
      <c r="D37" s="87"/>
    </row>
    <row r="38" spans="2:4">
      <c r="B38" s="85"/>
      <c r="C38" s="86"/>
      <c r="D38" s="87"/>
    </row>
    <row r="39" spans="2:4">
      <c r="B39" s="85"/>
      <c r="C39" s="86"/>
      <c r="D39" s="87"/>
    </row>
    <row r="40" spans="2:4">
      <c r="B40" s="85"/>
      <c r="C40" s="86"/>
      <c r="D40" s="87"/>
    </row>
    <row r="41" spans="2:4">
      <c r="B41" s="85"/>
      <c r="C41" s="86"/>
      <c r="D41" s="87"/>
    </row>
    <row r="42" spans="2:4">
      <c r="B42" s="85"/>
      <c r="C42" s="86"/>
      <c r="D42" s="87"/>
    </row>
    <row r="43" spans="2:4">
      <c r="B43" s="85"/>
      <c r="C43" s="86"/>
      <c r="D43" s="87"/>
    </row>
    <row r="44" spans="2:4" ht="15.75">
      <c r="B44" s="203" t="s">
        <v>100</v>
      </c>
      <c r="C44" s="203"/>
      <c r="D44" s="87">
        <f>SUM(D11:D42)</f>
        <v>0.75</v>
      </c>
    </row>
    <row r="45" spans="2:4">
      <c r="B45" s="85"/>
      <c r="C45" s="86"/>
      <c r="D45" s="87"/>
    </row>
    <row r="46" spans="2:4">
      <c r="B46" s="86"/>
      <c r="C46" s="86"/>
      <c r="D46" s="87"/>
    </row>
    <row r="47" spans="2:4">
      <c r="B47" s="86"/>
      <c r="C47" s="86"/>
      <c r="D47" s="87"/>
    </row>
    <row r="48" spans="2:4">
      <c r="B48" s="86"/>
      <c r="C48" s="86"/>
      <c r="D48" s="87"/>
    </row>
    <row r="49" spans="2:4">
      <c r="B49" s="86"/>
      <c r="C49" s="86"/>
      <c r="D49" s="87"/>
    </row>
    <row r="50" spans="2:4">
      <c r="B50" s="85"/>
      <c r="C50" s="86"/>
      <c r="D50" s="87"/>
    </row>
    <row r="51" spans="2:4">
      <c r="B51" s="85"/>
      <c r="C51" s="86"/>
      <c r="D51" s="87"/>
    </row>
    <row r="52" spans="2:4">
      <c r="B52" s="85"/>
      <c r="C52" s="86"/>
      <c r="D52" s="87"/>
    </row>
    <row r="53" spans="2:4">
      <c r="B53" s="85"/>
      <c r="C53" s="86"/>
      <c r="D53" s="87"/>
    </row>
    <row r="54" spans="2:4">
      <c r="B54" s="86"/>
      <c r="C54" s="86"/>
      <c r="D54" s="87"/>
    </row>
    <row r="55" spans="2:4">
      <c r="D55" s="87"/>
    </row>
    <row r="56" spans="2:4">
      <c r="D56" s="87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205" t="s">
        <v>101</v>
      </c>
      <c r="C2" s="205"/>
      <c r="D2" s="205"/>
      <c r="E2" s="205"/>
      <c r="F2" s="206">
        <v>1</v>
      </c>
      <c r="G2" s="207"/>
      <c r="H2" s="207"/>
    </row>
    <row r="3" spans="2:24" customFormat="1" ht="15" customHeight="1">
      <c r="B3" s="205"/>
      <c r="C3" s="205"/>
      <c r="D3" s="205"/>
      <c r="E3" s="205"/>
      <c r="F3" s="207"/>
      <c r="G3" s="207"/>
      <c r="H3" s="207"/>
    </row>
    <row r="8" spans="2:24">
      <c r="J8" s="32"/>
      <c r="K8" s="32"/>
      <c r="L8" s="32"/>
      <c r="U8" s="45"/>
    </row>
    <row r="9" spans="2:24" ht="15.75">
      <c r="J9" s="33"/>
      <c r="K9" s="33"/>
      <c r="L9" s="32"/>
      <c r="U9" s="45"/>
    </row>
    <row r="10" spans="2:24">
      <c r="U10" s="45"/>
    </row>
    <row r="11" spans="2:24">
      <c r="U11" s="45"/>
    </row>
    <row r="12" spans="2:24" ht="15.75" customHeight="1">
      <c r="B12" s="210" t="s">
        <v>93</v>
      </c>
      <c r="C12" s="221" t="s">
        <v>102</v>
      </c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46"/>
      <c r="U12" s="45"/>
    </row>
    <row r="13" spans="2:24" ht="15" customHeight="1">
      <c r="B13" s="211"/>
      <c r="C13" s="3" t="s">
        <v>103</v>
      </c>
      <c r="D13" s="4" t="s">
        <v>104</v>
      </c>
      <c r="E13" s="4" t="s">
        <v>105</v>
      </c>
      <c r="F13" s="4" t="s">
        <v>106</v>
      </c>
      <c r="G13" s="4" t="s">
        <v>107</v>
      </c>
      <c r="H13" s="4" t="s">
        <v>108</v>
      </c>
      <c r="I13" s="4" t="s">
        <v>109</v>
      </c>
      <c r="J13" s="4" t="s">
        <v>110</v>
      </c>
      <c r="K13" s="4" t="s">
        <v>111</v>
      </c>
      <c r="L13" s="4" t="s">
        <v>112</v>
      </c>
      <c r="M13" s="4" t="s">
        <v>113</v>
      </c>
      <c r="N13" s="4" t="s">
        <v>114</v>
      </c>
      <c r="O13" s="4" t="s">
        <v>115</v>
      </c>
      <c r="P13" s="34" t="s">
        <v>116</v>
      </c>
      <c r="Q13" s="4" t="s">
        <v>117</v>
      </c>
      <c r="R13" s="47"/>
      <c r="U13" s="45"/>
    </row>
    <row r="14" spans="2:24" ht="15" customHeight="1">
      <c r="B14" s="211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8"/>
    </row>
    <row r="15" spans="2:24" ht="15" customHeight="1">
      <c r="B15" s="211"/>
      <c r="C15" s="7" t="s">
        <v>118</v>
      </c>
      <c r="D15" s="8" t="s">
        <v>119</v>
      </c>
      <c r="E15" s="8" t="s">
        <v>120</v>
      </c>
      <c r="F15" s="8" t="s">
        <v>121</v>
      </c>
      <c r="G15" s="8" t="s">
        <v>122</v>
      </c>
      <c r="H15" s="8" t="s">
        <v>123</v>
      </c>
      <c r="I15" s="8" t="s">
        <v>124</v>
      </c>
      <c r="J15" s="8" t="s">
        <v>125</v>
      </c>
      <c r="K15" s="8" t="s">
        <v>126</v>
      </c>
      <c r="L15" s="8" t="s">
        <v>127</v>
      </c>
      <c r="M15" s="8" t="s">
        <v>128</v>
      </c>
      <c r="N15" s="8" t="s">
        <v>129</v>
      </c>
      <c r="O15" s="8" t="s">
        <v>130</v>
      </c>
      <c r="P15" s="35" t="s">
        <v>131</v>
      </c>
      <c r="Q15" s="8" t="s">
        <v>132</v>
      </c>
      <c r="R15" s="49" t="s">
        <v>74</v>
      </c>
      <c r="X15" s="48"/>
    </row>
    <row r="16" spans="2:24" ht="15.75" customHeight="1">
      <c r="B16" s="211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0"/>
      <c r="X16" s="48"/>
    </row>
    <row r="17" spans="2:28" ht="15.75" customHeight="1">
      <c r="B17" s="211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36"/>
      <c r="Q17" s="36"/>
      <c r="R17" s="51"/>
      <c r="X17" s="48"/>
    </row>
    <row r="18" spans="2:28" ht="15.75" customHeight="1">
      <c r="B18" s="211"/>
      <c r="C18" s="12" t="s">
        <v>103</v>
      </c>
      <c r="D18" s="12" t="s">
        <v>104</v>
      </c>
      <c r="E18" s="12" t="s">
        <v>105</v>
      </c>
      <c r="F18" s="12" t="s">
        <v>133</v>
      </c>
      <c r="G18" s="12" t="s">
        <v>107</v>
      </c>
      <c r="H18" s="12" t="s">
        <v>108</v>
      </c>
      <c r="I18" s="12" t="s">
        <v>109</v>
      </c>
      <c r="J18" s="12" t="s">
        <v>110</v>
      </c>
      <c r="K18" s="12" t="s">
        <v>111</v>
      </c>
      <c r="L18" s="12" t="s">
        <v>112</v>
      </c>
      <c r="M18" s="12" t="s">
        <v>113</v>
      </c>
      <c r="N18" s="12" t="s">
        <v>114</v>
      </c>
      <c r="O18" s="12" t="s">
        <v>115</v>
      </c>
      <c r="P18" s="37" t="s">
        <v>116</v>
      </c>
      <c r="Q18" s="12" t="s">
        <v>117</v>
      </c>
      <c r="R18" s="51"/>
    </row>
    <row r="19" spans="2:28" ht="15.75">
      <c r="B19" s="13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51"/>
    </row>
    <row r="20" spans="2:28" ht="15.75">
      <c r="B20" s="13"/>
      <c r="C20" s="12" t="s">
        <v>118</v>
      </c>
      <c r="D20" s="8" t="s">
        <v>119</v>
      </c>
      <c r="E20" s="8" t="s">
        <v>120</v>
      </c>
      <c r="F20" s="8" t="s">
        <v>121</v>
      </c>
      <c r="G20" s="8" t="s">
        <v>122</v>
      </c>
      <c r="H20" s="8" t="s">
        <v>123</v>
      </c>
      <c r="I20" s="8" t="s">
        <v>124</v>
      </c>
      <c r="J20" s="8" t="s">
        <v>125</v>
      </c>
      <c r="K20" s="8" t="s">
        <v>126</v>
      </c>
      <c r="L20" s="8" t="s">
        <v>127</v>
      </c>
      <c r="M20" s="8" t="s">
        <v>128</v>
      </c>
      <c r="N20" s="8" t="s">
        <v>129</v>
      </c>
      <c r="O20" s="8" t="s">
        <v>130</v>
      </c>
      <c r="P20" s="35" t="s">
        <v>131</v>
      </c>
      <c r="Q20" s="8" t="s">
        <v>132</v>
      </c>
      <c r="R20" s="52" t="s">
        <v>74</v>
      </c>
    </row>
    <row r="21" spans="2:28" ht="15.75">
      <c r="B21" s="1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53"/>
      <c r="R21" s="54"/>
      <c r="S21" s="55"/>
    </row>
    <row r="22" spans="2:28">
      <c r="J22" s="32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3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>
      <c r="J24" s="32"/>
    </row>
    <row r="25" spans="2:28" ht="15" customHeight="1">
      <c r="B25" s="212" t="s">
        <v>84</v>
      </c>
      <c r="C25" s="223" t="s">
        <v>102</v>
      </c>
      <c r="D25" s="224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08"/>
      <c r="S25" s="56"/>
      <c r="T25" s="57"/>
    </row>
    <row r="26" spans="2:28" ht="15" customHeight="1">
      <c r="B26" s="212"/>
      <c r="C26" s="16" t="s">
        <v>103</v>
      </c>
      <c r="D26" s="17" t="s">
        <v>134</v>
      </c>
      <c r="E26" s="17" t="s">
        <v>135</v>
      </c>
      <c r="F26" s="17" t="s">
        <v>136</v>
      </c>
      <c r="G26" s="17" t="s">
        <v>137</v>
      </c>
      <c r="H26" s="17" t="s">
        <v>138</v>
      </c>
      <c r="I26" s="17" t="s">
        <v>139</v>
      </c>
      <c r="J26" s="17" t="s">
        <v>140</v>
      </c>
      <c r="K26" s="17" t="s">
        <v>141</v>
      </c>
      <c r="L26" s="17" t="s">
        <v>142</v>
      </c>
      <c r="M26" s="17" t="s">
        <v>143</v>
      </c>
      <c r="N26" s="17" t="s">
        <v>144</v>
      </c>
      <c r="O26" s="17" t="s">
        <v>145</v>
      </c>
      <c r="P26" s="17" t="s">
        <v>146</v>
      </c>
      <c r="Q26" s="17" t="s">
        <v>147</v>
      </c>
      <c r="R26" s="17" t="s">
        <v>148</v>
      </c>
      <c r="S26" s="17" t="s">
        <v>149</v>
      </c>
      <c r="T26" s="58" t="s">
        <v>74</v>
      </c>
      <c r="Z26" s="1"/>
      <c r="AA26" s="1"/>
      <c r="AB26" s="1"/>
    </row>
    <row r="27" spans="2:28" ht="15.75" customHeight="1">
      <c r="B27" s="212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40"/>
    </row>
    <row r="28" spans="2:28" ht="15" customHeight="1">
      <c r="B28" s="212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59"/>
      <c r="T28" s="59"/>
    </row>
    <row r="29" spans="2:28" ht="15.75" customHeight="1">
      <c r="B29" s="213"/>
      <c r="C29" s="20" t="s">
        <v>103</v>
      </c>
      <c r="D29" s="21" t="s">
        <v>134</v>
      </c>
      <c r="E29" s="21" t="s">
        <v>135</v>
      </c>
      <c r="F29" s="21" t="s">
        <v>136</v>
      </c>
      <c r="G29" s="21" t="s">
        <v>137</v>
      </c>
      <c r="H29" s="21" t="s">
        <v>138</v>
      </c>
      <c r="I29" s="21" t="s">
        <v>139</v>
      </c>
      <c r="J29" s="21" t="s">
        <v>140</v>
      </c>
      <c r="K29" s="21" t="s">
        <v>141</v>
      </c>
      <c r="L29" s="21" t="s">
        <v>142</v>
      </c>
      <c r="M29" s="21" t="s">
        <v>143</v>
      </c>
      <c r="N29" s="21" t="s">
        <v>144</v>
      </c>
      <c r="O29" s="21" t="s">
        <v>145</v>
      </c>
      <c r="P29" s="21" t="s">
        <v>146</v>
      </c>
      <c r="Q29" s="21" t="s">
        <v>147</v>
      </c>
      <c r="R29" s="21" t="s">
        <v>148</v>
      </c>
      <c r="S29" s="21" t="s">
        <v>149</v>
      </c>
      <c r="T29" s="60" t="s">
        <v>74</v>
      </c>
    </row>
    <row r="30" spans="2:28">
      <c r="B30" s="22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40"/>
    </row>
    <row r="31" spans="2:28">
      <c r="C31" s="23"/>
    </row>
    <row r="32" spans="2:28">
      <c r="C32" s="23"/>
    </row>
    <row r="33" spans="2:25" ht="15" customHeight="1">
      <c r="C33" s="23"/>
    </row>
    <row r="34" spans="2:25" ht="15.75" customHeight="1"/>
    <row r="35" spans="2:25" ht="15" customHeight="1"/>
    <row r="36" spans="2:25" ht="15.75" customHeight="1">
      <c r="B36" s="214" t="s">
        <v>37</v>
      </c>
      <c r="C36" s="225" t="s">
        <v>102</v>
      </c>
      <c r="D36" s="225"/>
      <c r="E36" s="225"/>
      <c r="F36" s="225"/>
      <c r="G36" s="225"/>
      <c r="H36" s="225"/>
      <c r="I36" s="225"/>
      <c r="J36" s="225"/>
      <c r="K36" s="225"/>
      <c r="L36" s="225"/>
      <c r="M36" s="225"/>
      <c r="N36" s="225"/>
      <c r="O36" s="226"/>
    </row>
    <row r="37" spans="2:25" ht="15.75" customHeight="1">
      <c r="B37" s="215"/>
      <c r="C37" s="24" t="s">
        <v>103</v>
      </c>
      <c r="D37" s="12" t="s">
        <v>134</v>
      </c>
      <c r="E37" s="12" t="s">
        <v>135</v>
      </c>
      <c r="F37" s="12" t="s">
        <v>150</v>
      </c>
      <c r="G37" s="12" t="s">
        <v>151</v>
      </c>
      <c r="H37" s="12" t="s">
        <v>152</v>
      </c>
      <c r="I37" s="12" t="s">
        <v>153</v>
      </c>
      <c r="J37" s="12" t="s">
        <v>154</v>
      </c>
      <c r="K37" s="12" t="s">
        <v>155</v>
      </c>
      <c r="L37" s="12" t="s">
        <v>156</v>
      </c>
      <c r="M37" s="12" t="s">
        <v>157</v>
      </c>
      <c r="N37" s="12" t="s">
        <v>158</v>
      </c>
      <c r="O37" s="38" t="s">
        <v>159</v>
      </c>
    </row>
    <row r="38" spans="2:25">
      <c r="B38" s="215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215"/>
      <c r="C39" s="24" t="s">
        <v>160</v>
      </c>
      <c r="D39" s="12" t="s">
        <v>161</v>
      </c>
      <c r="E39" s="12" t="s">
        <v>162</v>
      </c>
      <c r="F39" s="12" t="s">
        <v>163</v>
      </c>
      <c r="G39" s="8" t="s">
        <v>164</v>
      </c>
      <c r="H39" s="8" t="s">
        <v>165</v>
      </c>
      <c r="I39" s="8" t="s">
        <v>166</v>
      </c>
      <c r="J39" s="8" t="s">
        <v>167</v>
      </c>
      <c r="K39" s="8" t="s">
        <v>168</v>
      </c>
      <c r="L39" s="8" t="s">
        <v>169</v>
      </c>
      <c r="M39" s="8" t="s">
        <v>170</v>
      </c>
      <c r="N39" s="8" t="s">
        <v>171</v>
      </c>
      <c r="O39" s="39" t="s">
        <v>74</v>
      </c>
      <c r="W39" s="1"/>
      <c r="X39" s="1"/>
      <c r="Y39" s="1"/>
    </row>
    <row r="40" spans="2:25">
      <c r="B40" s="21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40"/>
      <c r="W40" s="1"/>
      <c r="X40" s="1"/>
      <c r="Y40" s="1"/>
    </row>
    <row r="41" spans="2:25">
      <c r="B41" s="25"/>
      <c r="C41" s="26"/>
      <c r="D41" s="11"/>
      <c r="E41" s="11"/>
      <c r="F41" s="11"/>
      <c r="G41" s="11"/>
      <c r="H41" s="11"/>
      <c r="I41" s="11"/>
      <c r="J41" s="41"/>
      <c r="K41" s="11"/>
      <c r="L41" s="11"/>
      <c r="M41" s="11"/>
      <c r="N41" s="11"/>
      <c r="O41" s="42"/>
    </row>
    <row r="42" spans="2:25" ht="15.75" customHeight="1">
      <c r="B42" s="25"/>
      <c r="C42" s="24" t="s">
        <v>103</v>
      </c>
      <c r="D42" s="12" t="s">
        <v>134</v>
      </c>
      <c r="E42" s="12" t="s">
        <v>135</v>
      </c>
      <c r="F42" s="12" t="s">
        <v>150</v>
      </c>
      <c r="G42" s="12" t="s">
        <v>151</v>
      </c>
      <c r="H42" s="12" t="s">
        <v>152</v>
      </c>
      <c r="I42" s="12" t="s">
        <v>153</v>
      </c>
      <c r="J42" s="12" t="s">
        <v>154</v>
      </c>
      <c r="K42" s="12" t="s">
        <v>155</v>
      </c>
      <c r="L42" s="12" t="s">
        <v>156</v>
      </c>
      <c r="M42" s="12" t="s">
        <v>157</v>
      </c>
      <c r="N42" s="12" t="s">
        <v>158</v>
      </c>
      <c r="O42" s="38" t="s">
        <v>159</v>
      </c>
    </row>
    <row r="43" spans="2:25" ht="15" customHeight="1">
      <c r="B43" s="25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5"/>
      <c r="C44" s="24" t="s">
        <v>160</v>
      </c>
      <c r="D44" s="12" t="s">
        <v>161</v>
      </c>
      <c r="E44" s="12" t="s">
        <v>162</v>
      </c>
      <c r="F44" s="12" t="s">
        <v>163</v>
      </c>
      <c r="G44" s="8" t="s">
        <v>164</v>
      </c>
      <c r="H44" s="8" t="s">
        <v>165</v>
      </c>
      <c r="I44" s="8" t="s">
        <v>166</v>
      </c>
      <c r="J44" s="8" t="s">
        <v>167</v>
      </c>
      <c r="K44" s="8" t="s">
        <v>168</v>
      </c>
      <c r="L44" s="8" t="s">
        <v>169</v>
      </c>
      <c r="M44" s="8" t="s">
        <v>170</v>
      </c>
      <c r="N44" s="8" t="s">
        <v>171</v>
      </c>
      <c r="O44" s="39" t="s">
        <v>74</v>
      </c>
      <c r="R44" s="61"/>
    </row>
    <row r="45" spans="2:25" ht="15" customHeight="1">
      <c r="B45" s="2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43"/>
      <c r="R45" s="62"/>
    </row>
    <row r="46" spans="2:25" ht="15.75" customHeight="1">
      <c r="J46" s="44"/>
      <c r="R46" s="63"/>
      <c r="Y46" s="1"/>
    </row>
    <row r="47" spans="2:25" ht="15.75">
      <c r="J47" s="44"/>
      <c r="R47" s="62"/>
    </row>
    <row r="48" spans="2:25">
      <c r="B48" s="216" t="s">
        <v>62</v>
      </c>
      <c r="C48" s="28" t="s">
        <v>102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64"/>
      <c r="R48" s="63"/>
    </row>
    <row r="49" spans="2:20">
      <c r="B49" s="217"/>
      <c r="C49" s="24" t="s">
        <v>103</v>
      </c>
      <c r="D49" s="12" t="s">
        <v>125</v>
      </c>
      <c r="E49" s="12" t="s">
        <v>172</v>
      </c>
      <c r="F49" s="12" t="s">
        <v>173</v>
      </c>
      <c r="G49" s="12" t="s">
        <v>174</v>
      </c>
      <c r="H49" s="12" t="s">
        <v>175</v>
      </c>
      <c r="I49" s="12" t="s">
        <v>176</v>
      </c>
      <c r="J49" s="12" t="s">
        <v>110</v>
      </c>
      <c r="K49" s="12" t="s">
        <v>177</v>
      </c>
      <c r="L49" s="12" t="s">
        <v>178</v>
      </c>
      <c r="M49" s="12" t="s">
        <v>179</v>
      </c>
      <c r="N49" s="12" t="s">
        <v>180</v>
      </c>
      <c r="O49" s="12" t="s">
        <v>181</v>
      </c>
      <c r="P49" s="12" t="s">
        <v>182</v>
      </c>
      <c r="Q49" s="38" t="s">
        <v>183</v>
      </c>
    </row>
    <row r="50" spans="2:20">
      <c r="B50" s="217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217"/>
      <c r="C51" s="24" t="s">
        <v>184</v>
      </c>
      <c r="D51" s="12" t="s">
        <v>185</v>
      </c>
      <c r="E51" s="12" t="s">
        <v>186</v>
      </c>
      <c r="F51" s="12" t="s">
        <v>187</v>
      </c>
      <c r="G51" s="12" t="s">
        <v>188</v>
      </c>
      <c r="H51" s="12" t="s">
        <v>189</v>
      </c>
      <c r="I51" s="8" t="s">
        <v>190</v>
      </c>
      <c r="J51" s="8" t="s">
        <v>191</v>
      </c>
      <c r="K51" s="8" t="s">
        <v>192</v>
      </c>
      <c r="L51" s="8" t="s">
        <v>135</v>
      </c>
      <c r="M51" s="8" t="s">
        <v>193</v>
      </c>
      <c r="N51" s="8" t="s">
        <v>131</v>
      </c>
      <c r="O51" s="8" t="s">
        <v>194</v>
      </c>
      <c r="P51" s="8" t="s">
        <v>195</v>
      </c>
      <c r="Q51" s="39" t="s">
        <v>74</v>
      </c>
    </row>
    <row r="52" spans="2:20" ht="15.75">
      <c r="B52" s="21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43"/>
    </row>
    <row r="53" spans="2:20">
      <c r="B53" s="25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42"/>
    </row>
    <row r="54" spans="2:20">
      <c r="B54" s="25"/>
      <c r="C54" s="24" t="s">
        <v>103</v>
      </c>
      <c r="D54" s="12" t="s">
        <v>125</v>
      </c>
      <c r="E54" s="12" t="s">
        <v>172</v>
      </c>
      <c r="F54" s="12" t="s">
        <v>173</v>
      </c>
      <c r="G54" s="12" t="s">
        <v>174</v>
      </c>
      <c r="H54" s="12" t="s">
        <v>175</v>
      </c>
      <c r="I54" s="12" t="s">
        <v>176</v>
      </c>
      <c r="J54" s="12" t="s">
        <v>110</v>
      </c>
      <c r="K54" s="12" t="s">
        <v>177</v>
      </c>
      <c r="L54" s="12" t="s">
        <v>178</v>
      </c>
      <c r="M54" s="12" t="s">
        <v>179</v>
      </c>
      <c r="N54" s="12" t="s">
        <v>180</v>
      </c>
      <c r="O54" s="12" t="s">
        <v>181</v>
      </c>
      <c r="P54" s="12" t="s">
        <v>182</v>
      </c>
      <c r="Q54" s="38" t="s">
        <v>183</v>
      </c>
    </row>
    <row r="55" spans="2:20">
      <c r="B55" s="25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5"/>
      <c r="C56" s="24" t="s">
        <v>184</v>
      </c>
      <c r="D56" s="12" t="s">
        <v>185</v>
      </c>
      <c r="E56" s="12" t="s">
        <v>186</v>
      </c>
      <c r="F56" s="12" t="s">
        <v>187</v>
      </c>
      <c r="G56" s="12" t="s">
        <v>188</v>
      </c>
      <c r="H56" s="12" t="s">
        <v>189</v>
      </c>
      <c r="I56" s="8" t="s">
        <v>190</v>
      </c>
      <c r="J56" s="8" t="s">
        <v>191</v>
      </c>
      <c r="K56" s="8" t="s">
        <v>192</v>
      </c>
      <c r="L56" s="8" t="s">
        <v>135</v>
      </c>
      <c r="M56" s="8" t="s">
        <v>193</v>
      </c>
      <c r="N56" s="8" t="s">
        <v>131</v>
      </c>
      <c r="O56" s="8" t="s">
        <v>194</v>
      </c>
      <c r="P56" s="8" t="s">
        <v>195</v>
      </c>
      <c r="Q56" s="39" t="s">
        <v>74</v>
      </c>
    </row>
    <row r="57" spans="2:20" ht="15.75">
      <c r="B57" s="1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43"/>
    </row>
    <row r="61" spans="2:20">
      <c r="B61" s="212" t="s">
        <v>196</v>
      </c>
      <c r="C61" s="223" t="s">
        <v>102</v>
      </c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  <c r="R61" s="208"/>
      <c r="S61" s="65"/>
      <c r="T61" s="66"/>
    </row>
    <row r="62" spans="2:20" ht="15.75">
      <c r="B62" s="212"/>
      <c r="C62" s="30" t="s">
        <v>103</v>
      </c>
      <c r="D62" s="30" t="s">
        <v>197</v>
      </c>
      <c r="E62" s="30" t="s">
        <v>198</v>
      </c>
      <c r="F62" s="30" t="s">
        <v>199</v>
      </c>
      <c r="G62" s="30" t="s">
        <v>200</v>
      </c>
      <c r="H62" s="30" t="s">
        <v>201</v>
      </c>
      <c r="I62" s="30" t="s">
        <v>202</v>
      </c>
      <c r="J62" s="30" t="s">
        <v>203</v>
      </c>
      <c r="K62" s="30" t="s">
        <v>204</v>
      </c>
      <c r="L62" s="30" t="s">
        <v>205</v>
      </c>
      <c r="M62" s="30" t="s">
        <v>206</v>
      </c>
      <c r="N62" s="30" t="s">
        <v>207</v>
      </c>
      <c r="O62" s="30" t="s">
        <v>208</v>
      </c>
      <c r="P62" s="30" t="s">
        <v>209</v>
      </c>
      <c r="Q62" s="30" t="s">
        <v>210</v>
      </c>
      <c r="R62" s="30" t="s">
        <v>211</v>
      </c>
      <c r="S62" s="67" t="s">
        <v>212</v>
      </c>
      <c r="T62" s="58" t="s">
        <v>74</v>
      </c>
    </row>
    <row r="63" spans="2:20" ht="15.75">
      <c r="B63" s="218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43"/>
    </row>
    <row r="64" spans="2:20">
      <c r="B64" s="218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68"/>
      <c r="T64" s="68"/>
    </row>
    <row r="65" spans="2:20" ht="15.75">
      <c r="B65" s="213"/>
      <c r="C65" s="69" t="s">
        <v>103</v>
      </c>
      <c r="D65" s="69" t="s">
        <v>197</v>
      </c>
      <c r="E65" s="69" t="s">
        <v>198</v>
      </c>
      <c r="F65" s="69" t="s">
        <v>199</v>
      </c>
      <c r="G65" s="69" t="s">
        <v>200</v>
      </c>
      <c r="H65" s="69" t="s">
        <v>201</v>
      </c>
      <c r="I65" s="69" t="s">
        <v>202</v>
      </c>
      <c r="J65" s="69" t="s">
        <v>203</v>
      </c>
      <c r="K65" s="69" t="s">
        <v>204</v>
      </c>
      <c r="L65" s="69" t="s">
        <v>205</v>
      </c>
      <c r="M65" s="69" t="s">
        <v>206</v>
      </c>
      <c r="N65" s="69" t="s">
        <v>207</v>
      </c>
      <c r="O65" s="69" t="s">
        <v>208</v>
      </c>
      <c r="P65" s="69" t="s">
        <v>209</v>
      </c>
      <c r="Q65" s="69" t="s">
        <v>210</v>
      </c>
      <c r="R65" s="69" t="s">
        <v>211</v>
      </c>
      <c r="S65" s="75" t="s">
        <v>212</v>
      </c>
      <c r="T65" s="60" t="s">
        <v>74</v>
      </c>
    </row>
    <row r="66" spans="2:20" ht="15.75">
      <c r="B66" s="22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43"/>
    </row>
    <row r="69" spans="2:20">
      <c r="B69" s="212" t="s">
        <v>213</v>
      </c>
      <c r="C69" s="223" t="s">
        <v>102</v>
      </c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4"/>
      <c r="Q69" s="224"/>
      <c r="R69" s="208"/>
      <c r="S69" s="65"/>
      <c r="T69" s="66"/>
    </row>
    <row r="70" spans="2:20" ht="15.75">
      <c r="B70" s="212"/>
      <c r="C70" s="69" t="s">
        <v>103</v>
      </c>
      <c r="D70" s="69" t="s">
        <v>197</v>
      </c>
      <c r="E70" s="69" t="s">
        <v>198</v>
      </c>
      <c r="F70" s="69" t="s">
        <v>199</v>
      </c>
      <c r="G70" s="69" t="s">
        <v>200</v>
      </c>
      <c r="H70" s="69" t="s">
        <v>201</v>
      </c>
      <c r="I70" s="69" t="s">
        <v>202</v>
      </c>
      <c r="J70" s="69" t="s">
        <v>203</v>
      </c>
      <c r="K70" s="69" t="s">
        <v>204</v>
      </c>
      <c r="L70" s="69" t="s">
        <v>205</v>
      </c>
      <c r="M70" s="69" t="s">
        <v>206</v>
      </c>
      <c r="N70" s="69" t="s">
        <v>207</v>
      </c>
      <c r="O70" s="69" t="s">
        <v>208</v>
      </c>
      <c r="P70" s="69" t="s">
        <v>209</v>
      </c>
      <c r="Q70" s="69" t="s">
        <v>210</v>
      </c>
      <c r="R70" s="69" t="s">
        <v>211</v>
      </c>
      <c r="S70" s="75" t="s">
        <v>212</v>
      </c>
      <c r="T70" s="60" t="s">
        <v>74</v>
      </c>
    </row>
    <row r="71" spans="2:20" ht="15.75">
      <c r="B71" s="212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43"/>
    </row>
    <row r="72" spans="2:20">
      <c r="B72" s="218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68"/>
      <c r="T72" s="68"/>
    </row>
    <row r="73" spans="2:20" ht="15.75">
      <c r="B73" s="213"/>
      <c r="C73" s="69" t="s">
        <v>103</v>
      </c>
      <c r="D73" s="69" t="s">
        <v>197</v>
      </c>
      <c r="E73" s="69" t="s">
        <v>198</v>
      </c>
      <c r="F73" s="69" t="s">
        <v>199</v>
      </c>
      <c r="G73" s="69" t="s">
        <v>200</v>
      </c>
      <c r="H73" s="69" t="s">
        <v>201</v>
      </c>
      <c r="I73" s="69" t="s">
        <v>202</v>
      </c>
      <c r="J73" s="69" t="s">
        <v>203</v>
      </c>
      <c r="K73" s="69" t="s">
        <v>204</v>
      </c>
      <c r="L73" s="69" t="s">
        <v>205</v>
      </c>
      <c r="M73" s="69" t="s">
        <v>206</v>
      </c>
      <c r="N73" s="69" t="s">
        <v>207</v>
      </c>
      <c r="O73" s="69" t="s">
        <v>208</v>
      </c>
      <c r="P73" s="69" t="s">
        <v>209</v>
      </c>
      <c r="Q73" s="69" t="s">
        <v>210</v>
      </c>
      <c r="R73" s="69" t="s">
        <v>211</v>
      </c>
      <c r="S73" s="75" t="s">
        <v>212</v>
      </c>
      <c r="T73" s="60" t="s">
        <v>74</v>
      </c>
    </row>
    <row r="74" spans="2:20" ht="15.75">
      <c r="B74" s="22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43"/>
    </row>
    <row r="77" spans="2:20">
      <c r="B77" s="219" t="s">
        <v>91</v>
      </c>
      <c r="C77" s="208" t="s">
        <v>102</v>
      </c>
      <c r="D77" s="209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70"/>
      <c r="S77" s="70"/>
      <c r="T77" s="15"/>
    </row>
    <row r="78" spans="2:20">
      <c r="B78" s="220"/>
      <c r="C78" s="17" t="s">
        <v>103</v>
      </c>
      <c r="D78" s="17" t="s">
        <v>214</v>
      </c>
      <c r="E78" s="17" t="s">
        <v>215</v>
      </c>
      <c r="F78" s="17" t="s">
        <v>216</v>
      </c>
      <c r="G78" s="17" t="s">
        <v>217</v>
      </c>
      <c r="H78" s="71" t="s">
        <v>218</v>
      </c>
      <c r="I78" s="71" t="s">
        <v>219</v>
      </c>
      <c r="J78" s="71" t="s">
        <v>220</v>
      </c>
      <c r="K78" s="71" t="s">
        <v>221</v>
      </c>
      <c r="L78" s="71" t="s">
        <v>134</v>
      </c>
      <c r="M78" s="17" t="s">
        <v>222</v>
      </c>
      <c r="N78" s="71" t="s">
        <v>223</v>
      </c>
      <c r="O78" s="71" t="s">
        <v>215</v>
      </c>
      <c r="P78" s="71" t="s">
        <v>224</v>
      </c>
      <c r="Q78" s="71" t="s">
        <v>225</v>
      </c>
      <c r="R78" s="71" t="s">
        <v>215</v>
      </c>
      <c r="S78" s="71" t="s">
        <v>226</v>
      </c>
      <c r="T78" s="69" t="s">
        <v>215</v>
      </c>
    </row>
    <row r="79" spans="2:20">
      <c r="B79" s="220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220"/>
      <c r="C80" s="69" t="s">
        <v>227</v>
      </c>
      <c r="D80" s="69" t="s">
        <v>228</v>
      </c>
      <c r="E80" s="69" t="s">
        <v>229</v>
      </c>
      <c r="F80" s="69" t="s">
        <v>215</v>
      </c>
      <c r="G80" s="69" t="s">
        <v>224</v>
      </c>
      <c r="H80" s="69" t="s">
        <v>230</v>
      </c>
      <c r="I80" s="69" t="s">
        <v>215</v>
      </c>
      <c r="J80" s="69" t="s">
        <v>231</v>
      </c>
      <c r="K80" s="69" t="s">
        <v>232</v>
      </c>
      <c r="L80" s="69" t="s">
        <v>233</v>
      </c>
      <c r="M80" s="69" t="s">
        <v>215</v>
      </c>
      <c r="N80" s="69" t="s">
        <v>234</v>
      </c>
      <c r="O80" s="75" t="s">
        <v>215</v>
      </c>
      <c r="P80" s="75" t="s">
        <v>235</v>
      </c>
      <c r="Q80" s="75" t="s">
        <v>215</v>
      </c>
      <c r="R80" s="75" t="s">
        <v>236</v>
      </c>
      <c r="S80" s="75" t="s">
        <v>215</v>
      </c>
      <c r="T80" s="60" t="s">
        <v>74</v>
      </c>
    </row>
    <row r="81" spans="2:20" ht="15.75">
      <c r="B81" s="220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43" t="s">
        <v>237</v>
      </c>
    </row>
    <row r="82" spans="2:20">
      <c r="B82" s="220"/>
      <c r="C82" s="72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31"/>
      <c r="Q82" s="31"/>
      <c r="R82" s="76"/>
      <c r="S82" s="68"/>
      <c r="T82" s="77"/>
    </row>
    <row r="83" spans="2:20">
      <c r="B83" s="220"/>
      <c r="C83" s="21" t="s">
        <v>103</v>
      </c>
      <c r="D83" s="21" t="s">
        <v>214</v>
      </c>
      <c r="E83" s="21" t="s">
        <v>215</v>
      </c>
      <c r="F83" s="21" t="s">
        <v>216</v>
      </c>
      <c r="G83" s="21" t="s">
        <v>217</v>
      </c>
      <c r="H83" s="69" t="s">
        <v>218</v>
      </c>
      <c r="I83" s="69" t="s">
        <v>219</v>
      </c>
      <c r="J83" s="69" t="s">
        <v>220</v>
      </c>
      <c r="K83" s="69" t="s">
        <v>221</v>
      </c>
      <c r="L83" s="69" t="s">
        <v>134</v>
      </c>
      <c r="M83" s="21" t="s">
        <v>222</v>
      </c>
      <c r="N83" s="69" t="s">
        <v>223</v>
      </c>
      <c r="O83" s="69" t="s">
        <v>215</v>
      </c>
      <c r="P83" s="69" t="s">
        <v>224</v>
      </c>
      <c r="Q83" s="69" t="s">
        <v>225</v>
      </c>
      <c r="R83" s="69" t="s">
        <v>215</v>
      </c>
      <c r="S83" s="69" t="s">
        <v>226</v>
      </c>
      <c r="T83" s="69" t="s">
        <v>215</v>
      </c>
    </row>
    <row r="84" spans="2:20">
      <c r="B84" s="73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73"/>
      <c r="C85" s="69" t="s">
        <v>227</v>
      </c>
      <c r="D85" s="69" t="s">
        <v>228</v>
      </c>
      <c r="E85" s="69" t="s">
        <v>229</v>
      </c>
      <c r="F85" s="69" t="s">
        <v>215</v>
      </c>
      <c r="G85" s="69" t="s">
        <v>224</v>
      </c>
      <c r="H85" s="69" t="s">
        <v>230</v>
      </c>
      <c r="I85" s="69" t="s">
        <v>215</v>
      </c>
      <c r="J85" s="69" t="s">
        <v>231</v>
      </c>
      <c r="K85" s="69" t="s">
        <v>232</v>
      </c>
      <c r="L85" s="69" t="s">
        <v>233</v>
      </c>
      <c r="M85" s="69" t="s">
        <v>215</v>
      </c>
      <c r="N85" s="69" t="s">
        <v>234</v>
      </c>
      <c r="O85" s="75" t="s">
        <v>215</v>
      </c>
      <c r="P85" s="75" t="s">
        <v>235</v>
      </c>
      <c r="Q85" s="75" t="s">
        <v>215</v>
      </c>
      <c r="R85" s="75" t="s">
        <v>236</v>
      </c>
      <c r="S85" s="75" t="s">
        <v>215</v>
      </c>
      <c r="T85" s="58" t="s">
        <v>74</v>
      </c>
    </row>
    <row r="86" spans="2:20" ht="15.75">
      <c r="B86" s="7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43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2018-05-18T12:00:00Z</cp:lastPrinted>
  <dcterms:created xsi:type="dcterms:W3CDTF">2013-08-23T16:44:00Z</dcterms:created>
  <dcterms:modified xsi:type="dcterms:W3CDTF">2024-06-08T13:41:22Z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