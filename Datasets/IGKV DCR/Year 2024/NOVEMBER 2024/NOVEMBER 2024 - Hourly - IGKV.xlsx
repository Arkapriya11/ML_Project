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913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MONTHLY 30" sheetId="39" r:id="rId31"/>
  </sheets>
  <calcPr calcId="124519"/>
</workbook>
</file>

<file path=xl/calcChain.xml><?xml version="1.0" encoding="utf-8"?>
<calcChain xmlns="http://schemas.openxmlformats.org/spreadsheetml/2006/main">
  <c r="Q38" i="39"/>
  <c r="I38"/>
  <c r="H38"/>
  <c r="C38"/>
  <c r="B38"/>
  <c r="P37"/>
  <c r="O37"/>
  <c r="N37"/>
  <c r="G37"/>
  <c r="F37"/>
  <c r="C37"/>
  <c r="Q36"/>
  <c r="I36"/>
  <c r="H36"/>
  <c r="G36"/>
  <c r="C36"/>
  <c r="B36"/>
  <c r="Q35"/>
  <c r="P35"/>
  <c r="M35"/>
  <c r="L35"/>
  <c r="K35"/>
  <c r="Q34"/>
  <c r="P34"/>
  <c r="O34"/>
  <c r="H34"/>
  <c r="G34"/>
  <c r="Q33"/>
  <c r="N33"/>
  <c r="I33"/>
  <c r="E33"/>
  <c r="C33"/>
  <c r="Q32"/>
  <c r="N32"/>
  <c r="F32"/>
  <c r="P29"/>
  <c r="I29"/>
  <c r="C29"/>
  <c r="Q27"/>
  <c r="O27"/>
  <c r="N27"/>
  <c r="G27"/>
  <c r="F27"/>
  <c r="P26"/>
  <c r="O26"/>
  <c r="G26"/>
  <c r="Q25"/>
  <c r="P25"/>
  <c r="O25"/>
  <c r="I25"/>
  <c r="A25"/>
  <c r="P24"/>
  <c r="I24"/>
  <c r="B23"/>
  <c r="J22"/>
  <c r="D22"/>
  <c r="L21"/>
  <c r="I21"/>
  <c r="F21"/>
  <c r="B20"/>
  <c r="Q19"/>
  <c r="L19"/>
  <c r="I19"/>
  <c r="F19"/>
  <c r="Q18"/>
  <c r="I18"/>
  <c r="H18"/>
  <c r="B17"/>
  <c r="I16"/>
  <c r="P15"/>
  <c r="I15"/>
  <c r="B13"/>
  <c r="N9"/>
  <c r="M9"/>
  <c r="J9"/>
  <c r="Q38" i="4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8" i="39" s="1"/>
  <c r="O36" i="40"/>
  <c r="O38" i="39" s="1"/>
  <c r="N36" i="40"/>
  <c r="N38" i="39" s="1"/>
  <c r="M36" i="40"/>
  <c r="M38" i="39" s="1"/>
  <c r="L36" i="40"/>
  <c r="L38" i="39" s="1"/>
  <c r="K36" i="40"/>
  <c r="K38" i="39" s="1"/>
  <c r="J36" i="40"/>
  <c r="J38" i="39" s="1"/>
  <c r="I36" i="40"/>
  <c r="H36"/>
  <c r="G36"/>
  <c r="G38" i="39" s="1"/>
  <c r="F36" i="40"/>
  <c r="F38" i="39" s="1"/>
  <c r="E36" i="40"/>
  <c r="E38" i="39" s="1"/>
  <c r="D36" i="40"/>
  <c r="D38" i="39" s="1"/>
  <c r="C36" i="40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8" i="39" s="1"/>
  <c r="Q38" i="4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7" i="39" s="1"/>
  <c r="P36" i="43"/>
  <c r="O36"/>
  <c r="N36"/>
  <c r="M36"/>
  <c r="M37" i="39" s="1"/>
  <c r="L36" i="43"/>
  <c r="L37" i="39" s="1"/>
  <c r="K36" i="43"/>
  <c r="K37" i="39" s="1"/>
  <c r="J36" i="43"/>
  <c r="J37" i="39" s="1"/>
  <c r="I36" i="43"/>
  <c r="I37" i="39" s="1"/>
  <c r="H36" i="43"/>
  <c r="H37" i="39" s="1"/>
  <c r="G36" i="43"/>
  <c r="F36"/>
  <c r="E36"/>
  <c r="E37" i="39" s="1"/>
  <c r="D36" i="43"/>
  <c r="D37" i="39" s="1"/>
  <c r="C36" i="43"/>
  <c r="B36"/>
  <c r="B37" i="39" s="1"/>
  <c r="Q35" i="4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7" i="39" s="1"/>
  <c r="Q38" i="3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H36"/>
  <c r="G36"/>
  <c r="F36"/>
  <c r="F36" i="39" s="1"/>
  <c r="E36" i="33"/>
  <c r="E36" i="39" s="1"/>
  <c r="D36" i="33"/>
  <c r="D36" i="39" s="1"/>
  <c r="C36" i="33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6" i="39" s="1"/>
  <c r="F39" i="32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O35" i="39" s="1"/>
  <c r="N36" i="32"/>
  <c r="N35" i="39" s="1"/>
  <c r="M36" i="32"/>
  <c r="L36"/>
  <c r="K36"/>
  <c r="J36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5" i="39" s="1"/>
  <c r="Q38" i="3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G36"/>
  <c r="F36"/>
  <c r="F34" i="39" s="1"/>
  <c r="E36" i="31"/>
  <c r="E34" i="39" s="1"/>
  <c r="D36" i="31"/>
  <c r="D34" i="39" s="1"/>
  <c r="C36" i="31"/>
  <c r="C34" i="39" s="1"/>
  <c r="B36" i="31"/>
  <c r="B34" i="39" s="1"/>
  <c r="Q35" i="3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4" i="39" s="1"/>
  <c r="Q38" i="3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3" i="39" s="1"/>
  <c r="O36" i="30"/>
  <c r="O33" i="39" s="1"/>
  <c r="N36" i="30"/>
  <c r="M36"/>
  <c r="M33" i="39" s="1"/>
  <c r="L36" i="30"/>
  <c r="L33" i="39" s="1"/>
  <c r="K36" i="30"/>
  <c r="K33" i="39" s="1"/>
  <c r="J36" i="30"/>
  <c r="J33" i="39" s="1"/>
  <c r="I36" i="30"/>
  <c r="H36"/>
  <c r="H33" i="39" s="1"/>
  <c r="G36" i="30"/>
  <c r="G33" i="39" s="1"/>
  <c r="F36" i="30"/>
  <c r="F33" i="39" s="1"/>
  <c r="E36" i="30"/>
  <c r="D36"/>
  <c r="D33" i="39" s="1"/>
  <c r="C36" i="30"/>
  <c r="B36"/>
  <c r="B33" i="39" s="1"/>
  <c r="Q35" i="3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3" i="39" s="1"/>
  <c r="Q38" i="29"/>
  <c r="Q40" s="1"/>
  <c r="P38"/>
  <c r="P40" s="1"/>
  <c r="O38"/>
  <c r="O40" s="1"/>
  <c r="N38"/>
  <c r="N40" s="1"/>
  <c r="M38"/>
  <c r="M39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39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2" i="39" s="1"/>
  <c r="O36" i="29"/>
  <c r="O32" i="39" s="1"/>
  <c r="N36" i="29"/>
  <c r="M36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E36"/>
  <c r="E32" i="39" s="1"/>
  <c r="D36" i="29"/>
  <c r="D32" i="39" s="1"/>
  <c r="C36" i="29"/>
  <c r="C32" i="39" s="1"/>
  <c r="B36" i="29"/>
  <c r="B32" i="39" s="1"/>
  <c r="Q35" i="2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2" i="39" s="1"/>
  <c r="Q38" i="2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1" i="39" s="1"/>
  <c r="Q38" i="27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0" i="39" s="1"/>
  <c r="Q38" i="2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9" i="39" s="1"/>
  <c r="P36" i="26"/>
  <c r="O3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H36"/>
  <c r="H29" i="39" s="1"/>
  <c r="G36" i="26"/>
  <c r="G29" i="39" s="1"/>
  <c r="F36" i="26"/>
  <c r="F29" i="39" s="1"/>
  <c r="E36" i="26"/>
  <c r="E29" i="39" s="1"/>
  <c r="D36" i="26"/>
  <c r="D29" i="39" s="1"/>
  <c r="C36" i="26"/>
  <c r="B36"/>
  <c r="B29" i="39" s="1"/>
  <c r="Q35" i="2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9" i="39" s="1"/>
  <c r="Q38" i="25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8" i="39" s="1"/>
  <c r="Q38" i="2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7" i="39" s="1"/>
  <c r="O36" i="24"/>
  <c r="N36"/>
  <c r="M36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F36"/>
  <c r="E36"/>
  <c r="E27" i="39" s="1"/>
  <c r="D36" i="24"/>
  <c r="D27" i="39" s="1"/>
  <c r="C36" i="24"/>
  <c r="C27" i="39" s="1"/>
  <c r="B36" i="24"/>
  <c r="B27" i="39" s="1"/>
  <c r="Q35" i="2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7" i="39" s="1"/>
  <c r="Q38" i="2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6" i="39" s="1"/>
  <c r="P36" i="23"/>
  <c r="O36"/>
  <c r="N36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F36"/>
  <c r="F26" i="39" s="1"/>
  <c r="E36" i="23"/>
  <c r="E26" i="39" s="1"/>
  <c r="D36" i="23"/>
  <c r="D26" i="39" s="1"/>
  <c r="C36" i="23"/>
  <c r="C26" i="39" s="1"/>
  <c r="B36" i="23"/>
  <c r="B26" i="39" s="1"/>
  <c r="Q35" i="2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6" i="39" s="1"/>
  <c r="Q38" i="2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39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N25" i="39" s="1"/>
  <c r="M36" i="22"/>
  <c r="M25" i="39" s="1"/>
  <c r="L36" i="22"/>
  <c r="L25" i="39" s="1"/>
  <c r="K36" i="22"/>
  <c r="K25" i="39" s="1"/>
  <c r="J36" i="22"/>
  <c r="J25" i="39" s="1"/>
  <c r="I36" i="22"/>
  <c r="H36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2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4" i="39" s="1"/>
  <c r="P36" i="21"/>
  <c r="O36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H36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4" i="39" s="1"/>
  <c r="Q38" i="2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3" i="39" s="1"/>
  <c r="Q38" i="19"/>
  <c r="Q40" s="1"/>
  <c r="P38"/>
  <c r="P40" s="1"/>
  <c r="O38"/>
  <c r="O40" s="1"/>
  <c r="N38"/>
  <c r="N39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I36"/>
  <c r="I22" i="39" s="1"/>
  <c r="H36" i="19"/>
  <c r="H22" i="39" s="1"/>
  <c r="G36" i="19"/>
  <c r="G22" i="39" s="1"/>
  <c r="F36" i="19"/>
  <c r="F22" i="39" s="1"/>
  <c r="E36" i="19"/>
  <c r="E22" i="39" s="1"/>
  <c r="D36" i="19"/>
  <c r="C36"/>
  <c r="C22" i="39" s="1"/>
  <c r="B36" i="19"/>
  <c r="B22" i="39" s="1"/>
  <c r="Q35" i="1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2" i="39" s="1"/>
  <c r="Q38" i="1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1" i="39" s="1"/>
  <c r="P36" i="18"/>
  <c r="P21" i="39" s="1"/>
  <c r="O36" i="18"/>
  <c r="O21" i="39" s="1"/>
  <c r="N36" i="18"/>
  <c r="N21" i="39" s="1"/>
  <c r="M36" i="18"/>
  <c r="M21" i="39" s="1"/>
  <c r="L36" i="18"/>
  <c r="K36"/>
  <c r="K21" i="39" s="1"/>
  <c r="J36" i="18"/>
  <c r="J21" i="39" s="1"/>
  <c r="I36" i="18"/>
  <c r="H36"/>
  <c r="H21" i="39" s="1"/>
  <c r="G36" i="18"/>
  <c r="G21" i="39" s="1"/>
  <c r="F36" i="18"/>
  <c r="E36"/>
  <c r="E21" i="39" s="1"/>
  <c r="D36" i="18"/>
  <c r="D21" i="39" s="1"/>
  <c r="C36" i="18"/>
  <c r="C21" i="39" s="1"/>
  <c r="B36" i="18"/>
  <c r="B21" i="39" s="1"/>
  <c r="Q35" i="1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1" i="39" s="1"/>
  <c r="D39" i="17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0" i="39" s="1"/>
  <c r="M39" i="16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19" i="39" s="1"/>
  <c r="O36" i="16"/>
  <c r="O19" i="39" s="1"/>
  <c r="N36" i="16"/>
  <c r="N19" i="39" s="1"/>
  <c r="M36" i="16"/>
  <c r="M19" i="39" s="1"/>
  <c r="L36" i="16"/>
  <c r="K36"/>
  <c r="K19" i="39" s="1"/>
  <c r="J36" i="16"/>
  <c r="J19" i="39" s="1"/>
  <c r="I36" i="16"/>
  <c r="H36"/>
  <c r="H19" i="39" s="1"/>
  <c r="G36" i="16"/>
  <c r="G19" i="39" s="1"/>
  <c r="F36" i="16"/>
  <c r="E36"/>
  <c r="E19" i="39" s="1"/>
  <c r="D36" i="16"/>
  <c r="D19" i="39" s="1"/>
  <c r="C36" i="16"/>
  <c r="C19" i="39" s="1"/>
  <c r="B36" i="16"/>
  <c r="B19" i="39" s="1"/>
  <c r="Q35" i="1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9" i="39" s="1"/>
  <c r="C39" i="15"/>
  <c r="Q38"/>
  <c r="Q40" s="1"/>
  <c r="P38"/>
  <c r="P40" s="1"/>
  <c r="O38"/>
  <c r="O40" s="1"/>
  <c r="N38"/>
  <c r="N40" s="1"/>
  <c r="M38"/>
  <c r="M40" s="1"/>
  <c r="L38"/>
  <c r="L40" s="1"/>
  <c r="K38"/>
  <c r="K39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H36"/>
  <c r="G36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8" i="39" s="1"/>
  <c r="Q38" i="1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7" i="39" s="1"/>
  <c r="Q38" i="1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H36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6" i="39" s="1"/>
  <c r="Q38" i="1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5" i="39" s="1"/>
  <c r="P36" i="12"/>
  <c r="O36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H36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5" i="39" s="1"/>
  <c r="Q38" i="1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4" i="39" s="1"/>
  <c r="Q38" i="10"/>
  <c r="Q40" s="1"/>
  <c r="P38"/>
  <c r="P40" s="1"/>
  <c r="O38"/>
  <c r="O39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3" i="39" s="1"/>
  <c r="Q38" i="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39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2" i="39" s="1"/>
  <c r="Q38" i="8"/>
  <c r="Q40" s="1"/>
  <c r="P38"/>
  <c r="P40" s="1"/>
  <c r="O38"/>
  <c r="O39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1" i="39" s="1"/>
  <c r="Q38" i="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0" i="39" s="1"/>
  <c r="Q38" i="2"/>
  <c r="Q40" s="1"/>
  <c r="P38"/>
  <c r="P40" s="1"/>
  <c r="O38"/>
  <c r="O40" s="1"/>
  <c r="N38"/>
  <c r="N40" s="1"/>
  <c r="M38"/>
  <c r="M40" s="1"/>
  <c r="L38"/>
  <c r="L40" s="1"/>
  <c r="K38"/>
  <c r="K39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9" i="39" s="1"/>
  <c r="P36" i="2"/>
  <c r="P9" i="39" s="1"/>
  <c r="O36" i="2"/>
  <c r="O9" i="39" s="1"/>
  <c r="N36" i="2"/>
  <c r="M36"/>
  <c r="L36"/>
  <c r="L9" i="39" s="1"/>
  <c r="K36" i="2"/>
  <c r="K9" i="39" s="1"/>
  <c r="J36" i="2"/>
  <c r="I36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9" i="39" s="1"/>
  <c r="B2" s="1"/>
  <c r="H39" i="40" l="1"/>
  <c r="G39"/>
  <c r="F39"/>
  <c r="E39"/>
  <c r="D39"/>
  <c r="C39"/>
  <c r="B39"/>
  <c r="Q39"/>
  <c r="P39"/>
  <c r="O39"/>
  <c r="N39"/>
  <c r="M39"/>
  <c r="L39"/>
  <c r="K39"/>
  <c r="J39"/>
  <c r="I39"/>
  <c r="C39" i="43"/>
  <c r="B39"/>
  <c r="Q39"/>
  <c r="P39"/>
  <c r="O39"/>
  <c r="N39"/>
  <c r="M39"/>
  <c r="L39"/>
  <c r="K39"/>
  <c r="J39"/>
  <c r="I39"/>
  <c r="H39"/>
  <c r="G39"/>
  <c r="F39"/>
  <c r="E39"/>
  <c r="D39"/>
  <c r="N39" i="33"/>
  <c r="M39"/>
  <c r="L39"/>
  <c r="K39"/>
  <c r="J39"/>
  <c r="I39"/>
  <c r="H39"/>
  <c r="G39"/>
  <c r="F39"/>
  <c r="E39"/>
  <c r="D39"/>
  <c r="C39"/>
  <c r="B39"/>
  <c r="Q39"/>
  <c r="P39"/>
  <c r="O39"/>
  <c r="J39" i="32"/>
  <c r="I39"/>
  <c r="H39"/>
  <c r="G39"/>
  <c r="D39"/>
  <c r="E39"/>
  <c r="C39"/>
  <c r="B39"/>
  <c r="Q39"/>
  <c r="P39"/>
  <c r="O39"/>
  <c r="N39"/>
  <c r="M39"/>
  <c r="L39"/>
  <c r="K39"/>
  <c r="F39" i="31"/>
  <c r="E39"/>
  <c r="D39"/>
  <c r="C39"/>
  <c r="B39"/>
  <c r="Q39"/>
  <c r="P39"/>
  <c r="O39"/>
  <c r="N39"/>
  <c r="M39"/>
  <c r="L39"/>
  <c r="K39"/>
  <c r="J39"/>
  <c r="I39"/>
  <c r="H39"/>
  <c r="G39"/>
  <c r="B39" i="30"/>
  <c r="Q39"/>
  <c r="P39"/>
  <c r="O39"/>
  <c r="N39"/>
  <c r="M39"/>
  <c r="L39"/>
  <c r="K39"/>
  <c r="J39"/>
  <c r="I39"/>
  <c r="H39"/>
  <c r="G39"/>
  <c r="F39"/>
  <c r="E39"/>
  <c r="D39"/>
  <c r="C39"/>
  <c r="P39" i="29"/>
  <c r="O39"/>
  <c r="N39"/>
  <c r="L39"/>
  <c r="K39"/>
  <c r="J39"/>
  <c r="I39"/>
  <c r="M40"/>
  <c r="H39"/>
  <c r="G39"/>
  <c r="F39"/>
  <c r="D39"/>
  <c r="C39"/>
  <c r="E40"/>
  <c r="B39"/>
  <c r="Q39"/>
  <c r="Q39" i="28"/>
  <c r="P39"/>
  <c r="O39"/>
  <c r="N39"/>
  <c r="M39"/>
  <c r="L39"/>
  <c r="K39"/>
  <c r="J39"/>
  <c r="I39"/>
  <c r="H39"/>
  <c r="G39"/>
  <c r="F39"/>
  <c r="E39"/>
  <c r="D39"/>
  <c r="C39"/>
  <c r="B39"/>
  <c r="B39" i="27"/>
  <c r="Q39"/>
  <c r="P39"/>
  <c r="O39"/>
  <c r="N39"/>
  <c r="M39"/>
  <c r="L39"/>
  <c r="K39"/>
  <c r="J39"/>
  <c r="I39"/>
  <c r="H39"/>
  <c r="G39"/>
  <c r="F39"/>
  <c r="E39"/>
  <c r="D39"/>
  <c r="C39"/>
  <c r="P39" i="26"/>
  <c r="O39"/>
  <c r="N39"/>
  <c r="M39"/>
  <c r="L39"/>
  <c r="K39"/>
  <c r="J39"/>
  <c r="I39"/>
  <c r="H39"/>
  <c r="G39"/>
  <c r="F39"/>
  <c r="E39"/>
  <c r="D39"/>
  <c r="C39"/>
  <c r="B39"/>
  <c r="Q39"/>
  <c r="P39" i="25"/>
  <c r="O39"/>
  <c r="N39"/>
  <c r="M39"/>
  <c r="L39"/>
  <c r="K39"/>
  <c r="J39"/>
  <c r="I39"/>
  <c r="H39"/>
  <c r="G39"/>
  <c r="F39"/>
  <c r="E39"/>
  <c r="D39"/>
  <c r="Q40"/>
  <c r="C39"/>
  <c r="B39"/>
  <c r="M39" i="24"/>
  <c r="L39"/>
  <c r="K39"/>
  <c r="J39"/>
  <c r="I39"/>
  <c r="H39"/>
  <c r="G39"/>
  <c r="F39"/>
  <c r="E39"/>
  <c r="D39"/>
  <c r="C39"/>
  <c r="B39"/>
  <c r="Q39"/>
  <c r="P39"/>
  <c r="O39"/>
  <c r="N39"/>
  <c r="K39" i="23"/>
  <c r="J39"/>
  <c r="I39"/>
  <c r="H39"/>
  <c r="G39"/>
  <c r="F39"/>
  <c r="E39"/>
  <c r="D39"/>
  <c r="C39"/>
  <c r="B39"/>
  <c r="Q39"/>
  <c r="P39"/>
  <c r="O39"/>
  <c r="N39"/>
  <c r="M39"/>
  <c r="L39"/>
  <c r="F39" i="22"/>
  <c r="E39"/>
  <c r="D39"/>
  <c r="H39"/>
  <c r="C39"/>
  <c r="G40"/>
  <c r="B39"/>
  <c r="Q39"/>
  <c r="P39"/>
  <c r="O39"/>
  <c r="N39"/>
  <c r="M39"/>
  <c r="L39"/>
  <c r="K39"/>
  <c r="J39"/>
  <c r="I39"/>
  <c r="G39" i="21"/>
  <c r="F39"/>
  <c r="E39"/>
  <c r="D39"/>
  <c r="C39"/>
  <c r="B39"/>
  <c r="Q39"/>
  <c r="P39"/>
  <c r="O39"/>
  <c r="N39"/>
  <c r="M39"/>
  <c r="L39"/>
  <c r="K39"/>
  <c r="J39"/>
  <c r="I39"/>
  <c r="H39"/>
  <c r="G39" i="20"/>
  <c r="F39"/>
  <c r="E39"/>
  <c r="D39"/>
  <c r="C39"/>
  <c r="B39"/>
  <c r="Q39"/>
  <c r="P39"/>
  <c r="O39"/>
  <c r="N39"/>
  <c r="M39"/>
  <c r="L39"/>
  <c r="K39"/>
  <c r="J39"/>
  <c r="I39"/>
  <c r="H39"/>
  <c r="F39" i="19"/>
  <c r="E39"/>
  <c r="D39"/>
  <c r="C39"/>
  <c r="B39"/>
  <c r="Q39"/>
  <c r="P39"/>
  <c r="O39"/>
  <c r="N40"/>
  <c r="M39"/>
  <c r="L39"/>
  <c r="K39"/>
  <c r="J39"/>
  <c r="I39"/>
  <c r="H39"/>
  <c r="G39"/>
  <c r="D39" i="18"/>
  <c r="C39"/>
  <c r="B39"/>
  <c r="Q39"/>
  <c r="P39"/>
  <c r="O39"/>
  <c r="N39"/>
  <c r="M39"/>
  <c r="L39"/>
  <c r="K39"/>
  <c r="J39"/>
  <c r="I39"/>
  <c r="H39"/>
  <c r="G39"/>
  <c r="F39"/>
  <c r="E39"/>
  <c r="C39" i="17"/>
  <c r="B39"/>
  <c r="Q39"/>
  <c r="P39"/>
  <c r="O39"/>
  <c r="N39"/>
  <c r="M39"/>
  <c r="L39"/>
  <c r="K39"/>
  <c r="J39"/>
  <c r="I39"/>
  <c r="H39"/>
  <c r="G39"/>
  <c r="F39"/>
  <c r="E39"/>
  <c r="Q39" i="16"/>
  <c r="P39"/>
  <c r="O39"/>
  <c r="N39"/>
  <c r="L39"/>
  <c r="K39"/>
  <c r="J39"/>
  <c r="I39"/>
  <c r="H39"/>
  <c r="G39"/>
  <c r="F39"/>
  <c r="E39"/>
  <c r="D39"/>
  <c r="C39"/>
  <c r="B39"/>
  <c r="O39" i="15"/>
  <c r="N39"/>
  <c r="M39"/>
  <c r="L39"/>
  <c r="K40"/>
  <c r="J39"/>
  <c r="I39"/>
  <c r="H39"/>
  <c r="G39"/>
  <c r="F39"/>
  <c r="E39"/>
  <c r="D39"/>
  <c r="B39"/>
  <c r="Q39"/>
  <c r="P39"/>
  <c r="O39" i="14"/>
  <c r="N39"/>
  <c r="M39"/>
  <c r="L39"/>
  <c r="K39"/>
  <c r="J39"/>
  <c r="I39"/>
  <c r="H39"/>
  <c r="G39"/>
  <c r="F39"/>
  <c r="E39"/>
  <c r="D39"/>
  <c r="C39"/>
  <c r="B39"/>
  <c r="Q39"/>
  <c r="P39"/>
  <c r="O39" i="13"/>
  <c r="N39"/>
  <c r="M39"/>
  <c r="L39"/>
  <c r="K39"/>
  <c r="J39"/>
  <c r="I39"/>
  <c r="H39"/>
  <c r="G39"/>
  <c r="F39"/>
  <c r="E39"/>
  <c r="D39"/>
  <c r="C39"/>
  <c r="B39"/>
  <c r="Q39"/>
  <c r="P39"/>
  <c r="N39" i="12"/>
  <c r="M39"/>
  <c r="L39"/>
  <c r="K39"/>
  <c r="J39"/>
  <c r="I39"/>
  <c r="H39"/>
  <c r="G39"/>
  <c r="F39"/>
  <c r="E39"/>
  <c r="D39"/>
  <c r="C39"/>
  <c r="B39"/>
  <c r="Q39"/>
  <c r="P39"/>
  <c r="O39"/>
  <c r="O39" i="11"/>
  <c r="N39"/>
  <c r="M39"/>
  <c r="L39"/>
  <c r="K39"/>
  <c r="J39"/>
  <c r="I39"/>
  <c r="H39"/>
  <c r="G39"/>
  <c r="F39"/>
  <c r="E39"/>
  <c r="D39"/>
  <c r="C39"/>
  <c r="B39"/>
  <c r="Q39"/>
  <c r="P39"/>
  <c r="N39" i="10"/>
  <c r="M39"/>
  <c r="L39"/>
  <c r="K39"/>
  <c r="J39"/>
  <c r="I39"/>
  <c r="O40"/>
  <c r="H39"/>
  <c r="G39"/>
  <c r="F39"/>
  <c r="E39"/>
  <c r="D39"/>
  <c r="C39"/>
  <c r="B39"/>
  <c r="Q39"/>
  <c r="P39"/>
  <c r="P39" i="9"/>
  <c r="O39"/>
  <c r="N39"/>
  <c r="M39"/>
  <c r="L39"/>
  <c r="K39"/>
  <c r="J39"/>
  <c r="I39"/>
  <c r="H39"/>
  <c r="G39"/>
  <c r="F39"/>
  <c r="E39"/>
  <c r="D39"/>
  <c r="C40"/>
  <c r="B39"/>
  <c r="Q39"/>
  <c r="Q39" i="8"/>
  <c r="P39"/>
  <c r="O40"/>
  <c r="N39"/>
  <c r="M39"/>
  <c r="L39"/>
  <c r="K39"/>
  <c r="J39"/>
  <c r="I39"/>
  <c r="H39"/>
  <c r="G39"/>
  <c r="F39"/>
  <c r="E39"/>
  <c r="D39"/>
  <c r="C39"/>
  <c r="B39"/>
  <c r="D44" i="39"/>
  <c r="D45" s="1"/>
  <c r="C39" i="3"/>
  <c r="C44" i="39"/>
  <c r="C46" s="1"/>
  <c r="B39" i="3"/>
  <c r="Q39"/>
  <c r="N44" i="39"/>
  <c r="N45" s="1"/>
  <c r="Q44"/>
  <c r="Q45" s="1"/>
  <c r="P39" i="3"/>
  <c r="M44" i="39"/>
  <c r="M45" s="1"/>
  <c r="P44"/>
  <c r="P45" s="1"/>
  <c r="O39" i="3"/>
  <c r="J44" i="39"/>
  <c r="J46" s="1"/>
  <c r="O44"/>
  <c r="O46" s="1"/>
  <c r="N39" i="3"/>
  <c r="M39"/>
  <c r="L39"/>
  <c r="B44" i="39"/>
  <c r="B46" s="1"/>
  <c r="L44"/>
  <c r="L46" s="1"/>
  <c r="K39" i="3"/>
  <c r="K44" i="39"/>
  <c r="K45" s="1"/>
  <c r="J39" i="3"/>
  <c r="I39"/>
  <c r="H39"/>
  <c r="H44" i="39"/>
  <c r="H45" s="1"/>
  <c r="G39" i="3"/>
  <c r="G44" i="39"/>
  <c r="G46" s="1"/>
  <c r="F39" i="3"/>
  <c r="F44" i="39"/>
  <c r="F45" s="1"/>
  <c r="E39" i="3"/>
  <c r="E44" i="39"/>
  <c r="E45" s="1"/>
  <c r="D39" i="3"/>
  <c r="I44" i="39"/>
  <c r="I45" s="1"/>
  <c r="H39" i="2"/>
  <c r="P39"/>
  <c r="O39"/>
  <c r="N39"/>
  <c r="M39"/>
  <c r="L39"/>
  <c r="K40"/>
  <c r="J39"/>
  <c r="I39"/>
  <c r="G39"/>
  <c r="F39"/>
  <c r="E39"/>
  <c r="D39"/>
  <c r="C39"/>
  <c r="B39"/>
  <c r="Q39"/>
  <c r="Q40" i="39"/>
  <c r="Q41"/>
  <c r="Q42"/>
  <c r="Q43"/>
  <c r="P40"/>
  <c r="P41"/>
  <c r="P42"/>
  <c r="P43"/>
  <c r="O40"/>
  <c r="O41"/>
  <c r="O42"/>
  <c r="O43"/>
  <c r="N40"/>
  <c r="N41"/>
  <c r="N42"/>
  <c r="N43"/>
  <c r="M40"/>
  <c r="M41"/>
  <c r="M42"/>
  <c r="M43"/>
  <c r="L40"/>
  <c r="L41"/>
  <c r="L42"/>
  <c r="L43"/>
  <c r="K40"/>
  <c r="K41"/>
  <c r="K42"/>
  <c r="K43"/>
  <c r="J40"/>
  <c r="J41"/>
  <c r="J42"/>
  <c r="J43"/>
  <c r="I40"/>
  <c r="I41"/>
  <c r="I42"/>
  <c r="I43"/>
  <c r="H40"/>
  <c r="H41"/>
  <c r="H42"/>
  <c r="H43"/>
  <c r="G40"/>
  <c r="G41"/>
  <c r="G42"/>
  <c r="G43"/>
  <c r="F40"/>
  <c r="F41"/>
  <c r="F42"/>
  <c r="F43"/>
  <c r="E40"/>
  <c r="E41"/>
  <c r="E42"/>
  <c r="E43"/>
  <c r="D40"/>
  <c r="D41"/>
  <c r="D42"/>
  <c r="D43"/>
  <c r="C40"/>
  <c r="C41"/>
  <c r="C42"/>
  <c r="C43"/>
  <c r="B40"/>
  <c r="B41"/>
  <c r="B42"/>
  <c r="B43"/>
  <c r="J45" l="1"/>
  <c r="E46"/>
  <c r="M46"/>
  <c r="N46"/>
  <c r="O45"/>
  <c r="H46"/>
  <c r="Q46"/>
  <c r="F46"/>
  <c r="G45"/>
  <c r="D46"/>
  <c r="B45"/>
  <c r="L45"/>
  <c r="K46"/>
  <c r="C45"/>
  <c r="I46"/>
  <c r="P46"/>
</calcChain>
</file>

<file path=xl/sharedStrings.xml><?xml version="1.0" encoding="utf-8"?>
<sst xmlns="http://schemas.openxmlformats.org/spreadsheetml/2006/main" count="2055" uniqueCount="60">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</sst>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sz val="10"/>
      <color indexed="12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/>
    <xf numFmtId="2" fontId="7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8" fillId="0" borderId="0" xfId="0" applyFont="1" applyFill="1" applyAlignment="1">
      <alignment vertical="center"/>
    </xf>
    <xf numFmtId="0" fontId="11" fillId="3" borderId="0" xfId="0" applyFont="1" applyFill="1" applyAlignment="1"/>
    <xf numFmtId="0" fontId="14" fillId="0" borderId="0" xfId="0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3" borderId="0" xfId="0" applyFont="1" applyFill="1" applyAlignment="1">
      <alignment horizontal="left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6" activePane="bottomRight" state="frozen"/>
      <selection pane="topRight"/>
      <selection pane="bottomLeft"/>
      <selection pane="bottomRight" activeCell="Q57" sqref="Q57"/>
    </sheetView>
  </sheetViews>
  <sheetFormatPr defaultColWidth="8.85546875" defaultRowHeight="15"/>
  <cols>
    <col min="1" max="1" width="19.5703125" style="41" customWidth="1"/>
    <col min="2" max="2" width="14.42578125" style="39" customWidth="1"/>
    <col min="3" max="3" width="10.42578125" style="39" customWidth="1"/>
    <col min="4" max="4" width="10.140625" style="39" customWidth="1"/>
    <col min="5" max="5" width="10.28515625" style="39" customWidth="1"/>
    <col min="6" max="6" width="9.85546875" style="39" customWidth="1"/>
    <col min="7" max="7" width="11.28515625" style="39" customWidth="1"/>
    <col min="8" max="8" width="12" style="39" customWidth="1"/>
    <col min="9" max="9" width="11.5703125" style="39" customWidth="1"/>
    <col min="10" max="10" width="10.5703125" style="39" customWidth="1"/>
    <col min="11" max="11" width="10" style="39" customWidth="1"/>
    <col min="12" max="12" width="11.140625" style="39" customWidth="1"/>
    <col min="13" max="13" width="11.28515625" style="39" customWidth="1"/>
    <col min="14" max="14" width="9.7109375" style="39" customWidth="1"/>
    <col min="15" max="15" width="10" style="39" customWidth="1"/>
    <col min="16" max="16" width="9.7109375" style="39" customWidth="1"/>
    <col min="17" max="17" width="10.1406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45597.041666666664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45597.041666666664</v>
      </c>
      <c r="B9" s="50">
        <v>5.29</v>
      </c>
      <c r="C9" s="50">
        <v>8.1</v>
      </c>
      <c r="D9" s="50">
        <v>14</v>
      </c>
      <c r="E9" s="50">
        <v>9.6199999999999992</v>
      </c>
      <c r="F9" s="50">
        <v>5.8</v>
      </c>
      <c r="G9" s="50">
        <v>101.08</v>
      </c>
      <c r="H9" s="50">
        <v>59.76</v>
      </c>
      <c r="I9" s="50">
        <v>8.32</v>
      </c>
      <c r="J9" s="50">
        <v>0.1</v>
      </c>
      <c r="K9" s="50">
        <v>224.28</v>
      </c>
      <c r="L9" s="50">
        <v>24.16</v>
      </c>
      <c r="M9" s="50">
        <v>98.36</v>
      </c>
      <c r="N9" s="50">
        <v>1.7</v>
      </c>
      <c r="O9" s="50">
        <v>0</v>
      </c>
      <c r="P9" s="50">
        <v>0.74</v>
      </c>
      <c r="Q9" s="50">
        <v>4.29</v>
      </c>
    </row>
    <row r="10" spans="1:21" customFormat="1">
      <c r="A10" s="49">
        <v>45597.083333333336</v>
      </c>
      <c r="B10" s="50">
        <v>5.26</v>
      </c>
      <c r="C10" s="50">
        <v>8.1</v>
      </c>
      <c r="D10" s="50">
        <v>14</v>
      </c>
      <c r="E10" s="50">
        <v>9.4600000000000009</v>
      </c>
      <c r="F10" s="50">
        <v>6.01</v>
      </c>
      <c r="G10" s="50">
        <v>100.96</v>
      </c>
      <c r="H10" s="50">
        <v>60.91</v>
      </c>
      <c r="I10" s="50">
        <v>8.3699999999999992</v>
      </c>
      <c r="J10" s="50">
        <v>0.17</v>
      </c>
      <c r="K10" s="50">
        <v>331.3</v>
      </c>
      <c r="L10" s="50">
        <v>24.09</v>
      </c>
      <c r="M10" s="50">
        <v>98.09</v>
      </c>
      <c r="N10" s="50">
        <v>1.6</v>
      </c>
      <c r="O10" s="50">
        <v>0</v>
      </c>
      <c r="P10" s="50">
        <v>0.77</v>
      </c>
      <c r="Q10" s="50">
        <v>4.28</v>
      </c>
    </row>
    <row r="11" spans="1:21" customFormat="1">
      <c r="A11" s="49">
        <v>45597.125</v>
      </c>
      <c r="B11" s="50">
        <v>5.25</v>
      </c>
      <c r="C11" s="50">
        <v>8.06</v>
      </c>
      <c r="D11" s="50">
        <v>13.99</v>
      </c>
      <c r="E11" s="50">
        <v>8.84</v>
      </c>
      <c r="F11" s="50">
        <v>6.21</v>
      </c>
      <c r="G11" s="50">
        <v>247.03</v>
      </c>
      <c r="H11" s="50">
        <v>142.63</v>
      </c>
      <c r="I11" s="50">
        <v>9.67</v>
      </c>
      <c r="J11" s="50">
        <v>0.28000000000000003</v>
      </c>
      <c r="K11" s="50">
        <v>90.89</v>
      </c>
      <c r="L11" s="50">
        <v>23.9</v>
      </c>
      <c r="M11" s="50">
        <v>95.17</v>
      </c>
      <c r="N11" s="50">
        <v>1.5</v>
      </c>
      <c r="O11" s="50">
        <v>0</v>
      </c>
      <c r="P11" s="50">
        <v>0.82</v>
      </c>
      <c r="Q11" s="50">
        <v>4.28</v>
      </c>
    </row>
    <row r="12" spans="1:21" customFormat="1">
      <c r="A12" s="49">
        <v>45597.166666666664</v>
      </c>
      <c r="B12" s="50">
        <v>5.29</v>
      </c>
      <c r="C12" s="50">
        <v>8.07</v>
      </c>
      <c r="D12" s="50">
        <v>14.01</v>
      </c>
      <c r="E12" s="50">
        <v>8.65</v>
      </c>
      <c r="F12" s="50">
        <v>6.14</v>
      </c>
      <c r="G12" s="50">
        <v>247.03</v>
      </c>
      <c r="H12" s="30" t="s">
        <v>8</v>
      </c>
      <c r="I12" s="50">
        <v>10.58</v>
      </c>
      <c r="J12" s="50">
        <v>0.34</v>
      </c>
      <c r="K12" s="50">
        <v>65.58</v>
      </c>
      <c r="L12" s="50">
        <v>23.33</v>
      </c>
      <c r="M12" s="50">
        <v>94.99</v>
      </c>
      <c r="N12" s="50">
        <v>1.8</v>
      </c>
      <c r="O12" s="50">
        <v>0</v>
      </c>
      <c r="P12" s="50">
        <v>0.85</v>
      </c>
      <c r="Q12" s="50">
        <v>4.2699999999999996</v>
      </c>
    </row>
    <row r="13" spans="1:21" customFormat="1">
      <c r="A13" s="49">
        <v>45597.208333333336</v>
      </c>
      <c r="B13" s="50">
        <v>5.29</v>
      </c>
      <c r="C13" s="50">
        <v>8.09</v>
      </c>
      <c r="D13" s="50">
        <v>14.03</v>
      </c>
      <c r="E13" s="50">
        <v>8.7100000000000009</v>
      </c>
      <c r="F13" s="50">
        <v>6.01</v>
      </c>
      <c r="G13" s="50">
        <v>156.85</v>
      </c>
      <c r="H13" s="50">
        <v>86.1</v>
      </c>
      <c r="I13" s="50">
        <v>10.72</v>
      </c>
      <c r="J13" s="50">
        <v>0.1</v>
      </c>
      <c r="K13" s="50">
        <v>215.51</v>
      </c>
      <c r="L13" s="50">
        <v>22.37</v>
      </c>
      <c r="M13" s="50">
        <v>88.65</v>
      </c>
      <c r="N13" s="50">
        <v>1.7</v>
      </c>
      <c r="O13" s="50">
        <v>0</v>
      </c>
      <c r="P13" s="50">
        <v>0.86</v>
      </c>
      <c r="Q13" s="50">
        <v>4.28</v>
      </c>
    </row>
    <row r="14" spans="1:21" customFormat="1">
      <c r="A14" s="49">
        <v>45597.25</v>
      </c>
      <c r="B14" s="50">
        <v>5.29</v>
      </c>
      <c r="C14" s="50">
        <v>8.0500000000000007</v>
      </c>
      <c r="D14" s="50">
        <v>14.02</v>
      </c>
      <c r="E14" s="50">
        <v>8.1199999999999992</v>
      </c>
      <c r="F14" s="50">
        <v>5.99</v>
      </c>
      <c r="G14" s="50">
        <v>121.84</v>
      </c>
      <c r="H14" s="50">
        <v>36.49</v>
      </c>
      <c r="I14" s="50">
        <v>10.73</v>
      </c>
      <c r="J14" s="50">
        <v>0.17</v>
      </c>
      <c r="K14" s="50">
        <v>174.26</v>
      </c>
      <c r="L14" s="50">
        <v>22</v>
      </c>
      <c r="M14" s="50">
        <v>88.21</v>
      </c>
      <c r="N14" s="50">
        <v>4.0999999999999996</v>
      </c>
      <c r="O14" s="50">
        <v>0</v>
      </c>
      <c r="P14" s="50">
        <v>0.86</v>
      </c>
      <c r="Q14" s="50">
        <v>4.3</v>
      </c>
    </row>
    <row r="15" spans="1:21" customFormat="1">
      <c r="A15" s="49">
        <v>45597.291666666664</v>
      </c>
      <c r="B15" s="50">
        <v>5.28</v>
      </c>
      <c r="C15" s="50">
        <v>8.11</v>
      </c>
      <c r="D15" s="50">
        <v>14.03</v>
      </c>
      <c r="E15" s="50">
        <v>8.34</v>
      </c>
      <c r="F15" s="50">
        <v>5.84</v>
      </c>
      <c r="G15" s="50">
        <v>92.3</v>
      </c>
      <c r="H15" s="50">
        <v>25.41</v>
      </c>
      <c r="I15" s="50">
        <v>10.56</v>
      </c>
      <c r="J15" s="50">
        <v>0.09</v>
      </c>
      <c r="K15" s="50">
        <v>170.19</v>
      </c>
      <c r="L15" s="50">
        <v>22.42</v>
      </c>
      <c r="M15" s="50">
        <v>90.14</v>
      </c>
      <c r="N15" s="50">
        <v>45.7</v>
      </c>
      <c r="O15" s="50">
        <v>0</v>
      </c>
      <c r="P15" s="50">
        <v>0.88</v>
      </c>
      <c r="Q15" s="50">
        <v>4.29</v>
      </c>
    </row>
    <row r="16" spans="1:21" customFormat="1">
      <c r="A16" s="49">
        <v>45597.333333333336</v>
      </c>
      <c r="B16" s="50">
        <v>5.28</v>
      </c>
      <c r="C16" s="50">
        <v>8.1</v>
      </c>
      <c r="D16" s="50">
        <v>14.02</v>
      </c>
      <c r="E16" s="50">
        <v>7.94</v>
      </c>
      <c r="F16" s="50">
        <v>5.92</v>
      </c>
      <c r="G16" s="50">
        <v>55.36</v>
      </c>
      <c r="H16" s="50">
        <v>36.99</v>
      </c>
      <c r="I16" s="50">
        <v>11.16</v>
      </c>
      <c r="J16" s="50">
        <v>0.2</v>
      </c>
      <c r="K16" s="50">
        <v>152.71</v>
      </c>
      <c r="L16" s="50">
        <v>25.75</v>
      </c>
      <c r="M16" s="50">
        <v>80.430000000000007</v>
      </c>
      <c r="N16" s="50">
        <v>235</v>
      </c>
      <c r="O16" s="50">
        <v>0</v>
      </c>
      <c r="P16" s="50">
        <v>0.91</v>
      </c>
      <c r="Q16" s="50">
        <v>4.28</v>
      </c>
    </row>
    <row r="17" spans="1:17" customFormat="1">
      <c r="A17" s="49">
        <v>45597.375</v>
      </c>
      <c r="B17" s="50">
        <v>5.29</v>
      </c>
      <c r="C17" s="50">
        <v>8.07</v>
      </c>
      <c r="D17" s="50">
        <v>14.02</v>
      </c>
      <c r="E17" s="50">
        <v>8.4600000000000009</v>
      </c>
      <c r="F17" s="50">
        <v>5.87</v>
      </c>
      <c r="G17" s="30" t="s">
        <v>8</v>
      </c>
      <c r="H17" s="50">
        <v>17.57</v>
      </c>
      <c r="I17" s="50">
        <v>11.38</v>
      </c>
      <c r="J17" s="50">
        <v>0.28999999999999998</v>
      </c>
      <c r="K17" s="50">
        <v>248.01</v>
      </c>
      <c r="L17" s="50">
        <v>29.05</v>
      </c>
      <c r="M17" s="50">
        <v>61.82</v>
      </c>
      <c r="N17" s="50">
        <v>362.6</v>
      </c>
      <c r="O17" s="50">
        <v>0</v>
      </c>
      <c r="P17" s="50">
        <v>0.88</v>
      </c>
      <c r="Q17" s="50">
        <v>4.28</v>
      </c>
    </row>
    <row r="18" spans="1:17" customFormat="1">
      <c r="A18" s="49">
        <v>45597.416666666664</v>
      </c>
      <c r="B18" s="50">
        <v>5.29</v>
      </c>
      <c r="C18" s="50">
        <v>8.08</v>
      </c>
      <c r="D18" s="50">
        <v>14.01</v>
      </c>
      <c r="E18" s="50">
        <v>9.26</v>
      </c>
      <c r="F18" s="50">
        <v>10.32</v>
      </c>
      <c r="G18" s="30" t="s">
        <v>8</v>
      </c>
      <c r="H18" s="50">
        <v>24.76</v>
      </c>
      <c r="I18" s="50">
        <v>12.49</v>
      </c>
      <c r="J18" s="50">
        <v>0.42</v>
      </c>
      <c r="K18" s="50">
        <v>264.01</v>
      </c>
      <c r="L18" s="50">
        <v>31.47</v>
      </c>
      <c r="M18" s="50">
        <v>60.77</v>
      </c>
      <c r="N18" s="50">
        <v>546.29999999999995</v>
      </c>
      <c r="O18" s="50">
        <v>0</v>
      </c>
      <c r="P18" s="50">
        <v>0.9</v>
      </c>
      <c r="Q18" s="50">
        <v>4.28</v>
      </c>
    </row>
    <row r="19" spans="1:17" customFormat="1">
      <c r="A19" s="49">
        <v>45597.458333333336</v>
      </c>
      <c r="B19" s="50">
        <v>5.32</v>
      </c>
      <c r="C19" s="50">
        <v>8.08</v>
      </c>
      <c r="D19" s="50">
        <v>14.06</v>
      </c>
      <c r="E19" s="50">
        <v>14.41</v>
      </c>
      <c r="F19" s="50">
        <v>32.71</v>
      </c>
      <c r="G19" s="30" t="s">
        <v>8</v>
      </c>
      <c r="H19" s="50">
        <v>36.6</v>
      </c>
      <c r="I19" s="50">
        <v>12.93</v>
      </c>
      <c r="J19" s="50">
        <v>0.3</v>
      </c>
      <c r="K19" s="50">
        <v>281.98</v>
      </c>
      <c r="L19" s="50">
        <v>32.99</v>
      </c>
      <c r="M19" s="50">
        <v>55.06</v>
      </c>
      <c r="N19" s="50">
        <v>622</v>
      </c>
      <c r="O19" s="50">
        <v>0</v>
      </c>
      <c r="P19" s="50">
        <v>0.89</v>
      </c>
      <c r="Q19" s="50">
        <v>4.2699999999999996</v>
      </c>
    </row>
    <row r="20" spans="1:17" customFormat="1">
      <c r="A20" s="49">
        <v>45597.5</v>
      </c>
      <c r="B20" s="50">
        <v>5.38</v>
      </c>
      <c r="C20" s="50">
        <v>8.07</v>
      </c>
      <c r="D20" s="50">
        <v>14.09</v>
      </c>
      <c r="E20" s="50">
        <v>23.41</v>
      </c>
      <c r="F20" s="50">
        <v>61.18</v>
      </c>
      <c r="G20" s="30" t="s">
        <v>8</v>
      </c>
      <c r="H20" s="50">
        <v>28.51</v>
      </c>
      <c r="I20" s="50">
        <v>11.54</v>
      </c>
      <c r="J20" s="50">
        <v>0.23</v>
      </c>
      <c r="K20" s="50">
        <v>201.44</v>
      </c>
      <c r="L20" s="50">
        <v>34.33</v>
      </c>
      <c r="M20" s="50">
        <v>46.11</v>
      </c>
      <c r="N20" s="50">
        <v>639.4</v>
      </c>
      <c r="O20" s="50">
        <v>0</v>
      </c>
      <c r="P20" s="50">
        <v>0.67</v>
      </c>
      <c r="Q20" s="50">
        <v>4.3</v>
      </c>
    </row>
    <row r="21" spans="1:17" customFormat="1">
      <c r="A21" s="49">
        <v>45597.541666666664</v>
      </c>
      <c r="B21" s="50">
        <v>5.36</v>
      </c>
      <c r="C21" s="50">
        <v>8.1</v>
      </c>
      <c r="D21" s="50">
        <v>14.08</v>
      </c>
      <c r="E21" s="50">
        <v>23.47</v>
      </c>
      <c r="F21" s="50">
        <v>42.93</v>
      </c>
      <c r="G21" s="50">
        <v>108</v>
      </c>
      <c r="H21" s="50">
        <v>18.96</v>
      </c>
      <c r="I21" s="50">
        <v>7.69</v>
      </c>
      <c r="J21" s="50">
        <v>0.43</v>
      </c>
      <c r="K21" s="50">
        <v>167.68</v>
      </c>
      <c r="L21" s="50">
        <v>34.4</v>
      </c>
      <c r="M21" s="50">
        <v>35.869999999999997</v>
      </c>
      <c r="N21" s="50">
        <v>596.29999999999995</v>
      </c>
      <c r="O21" s="50">
        <v>0</v>
      </c>
      <c r="P21" s="50">
        <v>0.46</v>
      </c>
      <c r="Q21" s="50">
        <v>4.29</v>
      </c>
    </row>
    <row r="22" spans="1:17" customFormat="1">
      <c r="A22" s="49">
        <v>45597.583333333336</v>
      </c>
      <c r="B22" s="50">
        <v>5.36</v>
      </c>
      <c r="C22" s="50">
        <v>8.09</v>
      </c>
      <c r="D22" s="50">
        <v>14.09</v>
      </c>
      <c r="E22" s="50">
        <v>12.31</v>
      </c>
      <c r="F22" s="50">
        <v>52.4</v>
      </c>
      <c r="G22" s="50">
        <v>108</v>
      </c>
      <c r="H22" s="50">
        <v>18.96</v>
      </c>
      <c r="I22" s="50">
        <v>4.5999999999999996</v>
      </c>
      <c r="J22" s="50">
        <v>0.31</v>
      </c>
      <c r="K22" s="50">
        <v>172.92</v>
      </c>
      <c r="L22" s="50">
        <v>34.22</v>
      </c>
      <c r="M22" s="50">
        <v>31.88</v>
      </c>
      <c r="N22" s="50">
        <v>548.20000000000005</v>
      </c>
      <c r="O22" s="50">
        <v>0</v>
      </c>
      <c r="P22" s="50">
        <v>0.38</v>
      </c>
      <c r="Q22" s="50">
        <v>4.3</v>
      </c>
    </row>
    <row r="23" spans="1:17" customFormat="1">
      <c r="A23" s="49">
        <v>45597.625</v>
      </c>
      <c r="B23" s="50">
        <v>5.38</v>
      </c>
      <c r="C23" s="50">
        <v>8.11</v>
      </c>
      <c r="D23" s="50">
        <v>14.1</v>
      </c>
      <c r="E23" s="50">
        <v>20.62</v>
      </c>
      <c r="F23" s="50">
        <v>68.28</v>
      </c>
      <c r="G23" s="50">
        <v>80.650000000000006</v>
      </c>
      <c r="H23" s="50">
        <v>18.47</v>
      </c>
      <c r="I23" s="50">
        <v>3.6</v>
      </c>
      <c r="J23" s="50">
        <v>0.67</v>
      </c>
      <c r="K23" s="50">
        <v>58.67</v>
      </c>
      <c r="L23" s="50">
        <v>33.21</v>
      </c>
      <c r="M23" s="50">
        <v>34.57</v>
      </c>
      <c r="N23" s="50">
        <v>167.7</v>
      </c>
      <c r="O23" s="50">
        <v>0</v>
      </c>
      <c r="P23" s="50">
        <v>0.38</v>
      </c>
      <c r="Q23" s="50">
        <v>4.3099999999999996</v>
      </c>
    </row>
    <row r="24" spans="1:17" customFormat="1">
      <c r="A24" s="49">
        <v>45597.666666666664</v>
      </c>
      <c r="B24" s="50">
        <v>5.37</v>
      </c>
      <c r="C24" s="50">
        <v>8.09</v>
      </c>
      <c r="D24" s="50">
        <v>14.09</v>
      </c>
      <c r="E24" s="50">
        <v>11.16</v>
      </c>
      <c r="F24" s="50">
        <v>39.6</v>
      </c>
      <c r="G24" s="50">
        <v>65.77</v>
      </c>
      <c r="H24" s="50">
        <v>18.47</v>
      </c>
      <c r="I24" s="50">
        <v>3.61</v>
      </c>
      <c r="J24" s="50">
        <v>0.56000000000000005</v>
      </c>
      <c r="K24" s="50">
        <v>169.77</v>
      </c>
      <c r="L24" s="50">
        <v>32.450000000000003</v>
      </c>
      <c r="M24" s="50">
        <v>44.14</v>
      </c>
      <c r="N24" s="50">
        <v>74.900000000000006</v>
      </c>
      <c r="O24" s="50">
        <v>0</v>
      </c>
      <c r="P24" s="50">
        <v>0.38</v>
      </c>
      <c r="Q24" s="50">
        <v>4.3</v>
      </c>
    </row>
    <row r="25" spans="1:17" customFormat="1">
      <c r="A25" s="49">
        <v>45597.708333333336</v>
      </c>
      <c r="B25" s="50">
        <v>5.43</v>
      </c>
      <c r="C25" s="50">
        <v>8.09</v>
      </c>
      <c r="D25" s="50">
        <v>14.15</v>
      </c>
      <c r="E25" s="50">
        <v>10.62</v>
      </c>
      <c r="F25" s="50">
        <v>36.72</v>
      </c>
      <c r="G25" s="50">
        <v>59.66</v>
      </c>
      <c r="H25" s="50">
        <v>17.97</v>
      </c>
      <c r="I25" s="50">
        <v>3.8</v>
      </c>
      <c r="J25" s="50">
        <v>0.34</v>
      </c>
      <c r="K25" s="50">
        <v>171.07</v>
      </c>
      <c r="L25" s="50">
        <v>30.75</v>
      </c>
      <c r="M25" s="50">
        <v>50.21</v>
      </c>
      <c r="N25" s="50">
        <v>33.1</v>
      </c>
      <c r="O25" s="50">
        <v>0</v>
      </c>
      <c r="P25" s="50">
        <v>0.39</v>
      </c>
      <c r="Q25" s="50">
        <v>4.3099999999999996</v>
      </c>
    </row>
    <row r="26" spans="1:17" customFormat="1">
      <c r="A26" s="49">
        <v>45597.75</v>
      </c>
      <c r="B26" s="50">
        <v>5.36</v>
      </c>
      <c r="C26" s="50">
        <v>8.1</v>
      </c>
      <c r="D26" s="50">
        <v>14.09</v>
      </c>
      <c r="E26" s="50">
        <v>8.08</v>
      </c>
      <c r="F26" s="50">
        <v>12.57</v>
      </c>
      <c r="G26" s="50">
        <v>63.61</v>
      </c>
      <c r="H26" s="50">
        <v>19.920000000000002</v>
      </c>
      <c r="I26" s="50">
        <v>4.2699999999999996</v>
      </c>
      <c r="J26" s="50">
        <v>0.26</v>
      </c>
      <c r="K26" s="50">
        <v>169.73</v>
      </c>
      <c r="L26" s="50">
        <v>28.43</v>
      </c>
      <c r="M26" s="50">
        <v>60.46</v>
      </c>
      <c r="N26" s="50">
        <v>4.9000000000000004</v>
      </c>
      <c r="O26" s="50">
        <v>0</v>
      </c>
      <c r="P26" s="50">
        <v>0.43</v>
      </c>
      <c r="Q26" s="50">
        <v>4.29</v>
      </c>
    </row>
    <row r="27" spans="1:17" customFormat="1">
      <c r="A27" s="49">
        <v>45597.791666666664</v>
      </c>
      <c r="B27" s="50">
        <v>5.32</v>
      </c>
      <c r="C27" s="50">
        <v>8.09</v>
      </c>
      <c r="D27" s="50">
        <v>14.05</v>
      </c>
      <c r="E27" s="50">
        <v>9.5500000000000007</v>
      </c>
      <c r="F27" s="50">
        <v>7.62</v>
      </c>
      <c r="G27" s="50">
        <v>69.209999999999994</v>
      </c>
      <c r="H27" s="50">
        <v>23.2</v>
      </c>
      <c r="I27" s="50">
        <v>4.68</v>
      </c>
      <c r="J27" s="50">
        <v>0.27</v>
      </c>
      <c r="K27" s="50">
        <v>223.27</v>
      </c>
      <c r="L27" s="50">
        <v>26.87</v>
      </c>
      <c r="M27" s="50">
        <v>75.849999999999994</v>
      </c>
      <c r="N27" s="50">
        <v>1.9</v>
      </c>
      <c r="O27" s="50">
        <v>0</v>
      </c>
      <c r="P27" s="50">
        <v>0.47</v>
      </c>
      <c r="Q27" s="50">
        <v>4.29</v>
      </c>
    </row>
    <row r="28" spans="1:17" customFormat="1">
      <c r="A28" s="49">
        <v>45597.833333333336</v>
      </c>
      <c r="B28" s="50">
        <v>5.3</v>
      </c>
      <c r="C28" s="50">
        <v>8.09</v>
      </c>
      <c r="D28" s="50">
        <v>14.04</v>
      </c>
      <c r="E28" s="50">
        <v>9.84</v>
      </c>
      <c r="F28" s="50">
        <v>5.57</v>
      </c>
      <c r="G28" s="50">
        <v>69.209999999999994</v>
      </c>
      <c r="H28" s="50">
        <v>23.2</v>
      </c>
      <c r="I28" s="50">
        <v>5.04</v>
      </c>
      <c r="J28" s="50">
        <v>0.21</v>
      </c>
      <c r="K28" s="50">
        <v>177.05</v>
      </c>
      <c r="L28" s="50">
        <v>25.53</v>
      </c>
      <c r="M28" s="50">
        <v>77.27</v>
      </c>
      <c r="N28" s="50">
        <v>1.7</v>
      </c>
      <c r="O28" s="50">
        <v>0</v>
      </c>
      <c r="P28" s="50">
        <v>0.5</v>
      </c>
      <c r="Q28" s="50">
        <v>4.3</v>
      </c>
    </row>
    <row r="29" spans="1:17" customFormat="1">
      <c r="A29" s="49">
        <v>45597.875</v>
      </c>
      <c r="B29" s="50">
        <v>5.29</v>
      </c>
      <c r="C29" s="50">
        <v>8.1199999999999992</v>
      </c>
      <c r="D29" s="50">
        <v>14.05</v>
      </c>
      <c r="E29" s="50">
        <v>10.26</v>
      </c>
      <c r="F29" s="50">
        <v>5.5</v>
      </c>
      <c r="G29" s="50">
        <v>78.650000000000006</v>
      </c>
      <c r="H29" s="50">
        <v>31.92</v>
      </c>
      <c r="I29" s="50">
        <v>5.79</v>
      </c>
      <c r="J29" s="50">
        <v>0.18</v>
      </c>
      <c r="K29" s="50">
        <v>228.59</v>
      </c>
      <c r="L29" s="50">
        <v>24.85</v>
      </c>
      <c r="M29" s="50">
        <v>84.7</v>
      </c>
      <c r="N29" s="50">
        <v>1.7</v>
      </c>
      <c r="O29" s="50">
        <v>0</v>
      </c>
      <c r="P29" s="50">
        <v>0.53</v>
      </c>
      <c r="Q29" s="50">
        <v>4.29</v>
      </c>
    </row>
    <row r="30" spans="1:17" customFormat="1">
      <c r="A30" s="49">
        <v>45597.916666666664</v>
      </c>
      <c r="B30" s="50">
        <v>5.3</v>
      </c>
      <c r="C30" s="50">
        <v>8.07</v>
      </c>
      <c r="D30" s="50">
        <v>14.04</v>
      </c>
      <c r="E30" s="50">
        <v>10.67</v>
      </c>
      <c r="F30" s="50">
        <v>5.71</v>
      </c>
      <c r="G30" s="50">
        <v>78.650000000000006</v>
      </c>
      <c r="H30" s="50">
        <v>32.57</v>
      </c>
      <c r="I30" s="50">
        <v>6.05</v>
      </c>
      <c r="J30" s="50">
        <v>0.19</v>
      </c>
      <c r="K30" s="50">
        <v>221.98</v>
      </c>
      <c r="L30" s="50">
        <v>24.31</v>
      </c>
      <c r="M30" s="50">
        <v>79.66</v>
      </c>
      <c r="N30" s="50">
        <v>1.7</v>
      </c>
      <c r="O30" s="50">
        <v>0</v>
      </c>
      <c r="P30" s="50">
        <v>0.56000000000000005</v>
      </c>
      <c r="Q30" s="50">
        <v>4.29</v>
      </c>
    </row>
    <row r="31" spans="1:17" customFormat="1">
      <c r="A31" s="49">
        <v>45597.958333333336</v>
      </c>
      <c r="B31" s="50">
        <v>5.32</v>
      </c>
      <c r="C31" s="50">
        <v>8.09</v>
      </c>
      <c r="D31" s="50">
        <v>14.05</v>
      </c>
      <c r="E31" s="50">
        <v>10.36</v>
      </c>
      <c r="F31" s="50">
        <v>6.16</v>
      </c>
      <c r="G31" s="50">
        <v>75.709999999999994</v>
      </c>
      <c r="H31" s="50">
        <v>32.57</v>
      </c>
      <c r="I31" s="50">
        <v>6.49</v>
      </c>
      <c r="J31" s="50">
        <v>0.16</v>
      </c>
      <c r="K31" s="50">
        <v>226.51</v>
      </c>
      <c r="L31" s="50">
        <v>23.5</v>
      </c>
      <c r="M31" s="50">
        <v>85.51</v>
      </c>
      <c r="N31" s="50">
        <v>1.7</v>
      </c>
      <c r="O31" s="50">
        <v>0</v>
      </c>
      <c r="P31" s="50">
        <v>0.56000000000000005</v>
      </c>
      <c r="Q31" s="50">
        <v>4.3099999999999996</v>
      </c>
    </row>
    <row r="32" spans="1:17" customFormat="1">
      <c r="A32" s="49">
        <v>45598</v>
      </c>
      <c r="B32" s="50">
        <v>5.31</v>
      </c>
      <c r="C32" s="50">
        <v>8.07</v>
      </c>
      <c r="D32" s="50">
        <v>14.03</v>
      </c>
      <c r="E32" s="50">
        <v>10.47</v>
      </c>
      <c r="F32" s="50">
        <v>6.17</v>
      </c>
      <c r="G32" s="50">
        <v>75.709999999999994</v>
      </c>
      <c r="H32" s="50">
        <v>33.65</v>
      </c>
      <c r="I32" s="50">
        <v>6.74</v>
      </c>
      <c r="J32" s="50">
        <v>0.15</v>
      </c>
      <c r="K32" s="50">
        <v>230.42</v>
      </c>
      <c r="L32" s="50">
        <v>23.23</v>
      </c>
      <c r="M32" s="50">
        <v>87.13</v>
      </c>
      <c r="N32" s="50">
        <v>1.7</v>
      </c>
      <c r="O32" s="50">
        <v>0</v>
      </c>
      <c r="P32" s="50">
        <v>0.57999999999999996</v>
      </c>
      <c r="Q32" s="50">
        <v>4.29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5.25</v>
      </c>
      <c r="C34" s="40">
        <f t="shared" si="0"/>
        <v>8.0500000000000007</v>
      </c>
      <c r="D34" s="40">
        <f t="shared" si="0"/>
        <v>13.99</v>
      </c>
      <c r="E34" s="40">
        <f t="shared" si="0"/>
        <v>7.94</v>
      </c>
      <c r="F34" s="40">
        <f t="shared" si="0"/>
        <v>5.5</v>
      </c>
      <c r="G34" s="40">
        <f t="shared" si="0"/>
        <v>55.36</v>
      </c>
      <c r="H34" s="40">
        <f t="shared" si="0"/>
        <v>17.57</v>
      </c>
      <c r="I34" s="40">
        <f t="shared" si="0"/>
        <v>3.6</v>
      </c>
      <c r="J34" s="40">
        <f t="shared" si="0"/>
        <v>0.09</v>
      </c>
      <c r="K34" s="40">
        <f t="shared" si="0"/>
        <v>58.67</v>
      </c>
      <c r="L34" s="40">
        <f t="shared" si="0"/>
        <v>22</v>
      </c>
      <c r="M34" s="40">
        <f t="shared" si="0"/>
        <v>31.88</v>
      </c>
      <c r="N34" s="40">
        <f t="shared" si="0"/>
        <v>1.5</v>
      </c>
      <c r="O34" s="40">
        <f t="shared" si="0"/>
        <v>0</v>
      </c>
      <c r="P34" s="40">
        <f t="shared" si="0"/>
        <v>0.38</v>
      </c>
      <c r="Q34" s="40">
        <f t="shared" si="0"/>
        <v>4.2699999999999996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5.43</v>
      </c>
      <c r="C35" s="33">
        <f t="shared" si="1"/>
        <v>8.1199999999999992</v>
      </c>
      <c r="D35" s="33">
        <f t="shared" si="1"/>
        <v>14.15</v>
      </c>
      <c r="E35" s="33">
        <f t="shared" si="1"/>
        <v>23.47</v>
      </c>
      <c r="F35" s="33">
        <f t="shared" si="1"/>
        <v>68.28</v>
      </c>
      <c r="G35" s="33">
        <f t="shared" si="1"/>
        <v>247.03</v>
      </c>
      <c r="H35" s="33">
        <f t="shared" si="1"/>
        <v>142.63</v>
      </c>
      <c r="I35" s="33">
        <f t="shared" si="1"/>
        <v>12.93</v>
      </c>
      <c r="J35" s="33">
        <f t="shared" si="1"/>
        <v>0.67</v>
      </c>
      <c r="K35" s="33">
        <f t="shared" si="1"/>
        <v>331.3</v>
      </c>
      <c r="L35" s="33">
        <f t="shared" si="1"/>
        <v>34.4</v>
      </c>
      <c r="M35" s="33">
        <f t="shared" si="1"/>
        <v>98.36</v>
      </c>
      <c r="N35" s="33">
        <f t="shared" si="1"/>
        <v>639.4</v>
      </c>
      <c r="O35" s="33">
        <f t="shared" si="1"/>
        <v>0</v>
      </c>
      <c r="P35" s="33">
        <f t="shared" si="1"/>
        <v>0.91</v>
      </c>
      <c r="Q35" s="33">
        <f t="shared" si="1"/>
        <v>4.3099999999999996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5.3170833333333336</v>
      </c>
      <c r="C36" s="40">
        <f t="shared" si="2"/>
        <v>8.0870833333333323</v>
      </c>
      <c r="D36" s="40">
        <f t="shared" si="2"/>
        <v>14.047500000000001</v>
      </c>
      <c r="E36" s="40">
        <f t="shared" si="2"/>
        <v>11.359583333333335</v>
      </c>
      <c r="F36" s="40">
        <f t="shared" si="2"/>
        <v>18.634583333333335</v>
      </c>
      <c r="G36" s="40">
        <f t="shared" si="2"/>
        <v>102.76400000000001</v>
      </c>
      <c r="H36" s="40">
        <f t="shared" si="2"/>
        <v>36.764782608695661</v>
      </c>
      <c r="I36" s="40">
        <f t="shared" si="2"/>
        <v>7.9504166666666682</v>
      </c>
      <c r="J36" s="40">
        <f t="shared" si="2"/>
        <v>0.26750000000000002</v>
      </c>
      <c r="K36" s="40">
        <f t="shared" si="2"/>
        <v>193.24250000000004</v>
      </c>
      <c r="L36" s="40">
        <f t="shared" si="2"/>
        <v>27.400416666666661</v>
      </c>
      <c r="M36" s="40">
        <f t="shared" si="2"/>
        <v>71.043750000000003</v>
      </c>
      <c r="N36" s="40">
        <f t="shared" si="2"/>
        <v>162.45416666666662</v>
      </c>
      <c r="O36" s="40">
        <f t="shared" si="2"/>
        <v>0</v>
      </c>
      <c r="P36" s="40">
        <f t="shared" si="2"/>
        <v>0.65208333333333357</v>
      </c>
      <c r="Q36" s="40">
        <f t="shared" si="2"/>
        <v>4.2904166666666681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4.4377742821948646E-2</v>
      </c>
      <c r="C37" s="40">
        <f t="shared" ref="C37:Q37" si="3">STDEV(C9:C32)</f>
        <v>1.7062332443302842E-2</v>
      </c>
      <c r="D37" s="40">
        <f t="shared" si="3"/>
        <v>3.9370039370059159E-2</v>
      </c>
      <c r="E37" s="40">
        <f t="shared" si="3"/>
        <v>4.5669269271547295</v>
      </c>
      <c r="F37" s="40">
        <f t="shared" si="3"/>
        <v>20.281188109259976</v>
      </c>
      <c r="G37" s="40">
        <f t="shared" si="3"/>
        <v>54.992453109016395</v>
      </c>
      <c r="H37" s="40">
        <f t="shared" si="3"/>
        <v>28.476259628866146</v>
      </c>
      <c r="I37" s="40">
        <f t="shared" si="3"/>
        <v>3.1180853645433895</v>
      </c>
      <c r="J37" s="40">
        <f t="shared" si="3"/>
        <v>0.14237885773679593</v>
      </c>
      <c r="K37" s="40">
        <f t="shared" si="3"/>
        <v>63.340397319630704</v>
      </c>
      <c r="L37" s="40">
        <f t="shared" si="3"/>
        <v>4.4247058159804729</v>
      </c>
      <c r="M37" s="40">
        <f t="shared" si="3"/>
        <v>21.789748649207787</v>
      </c>
      <c r="N37" s="40">
        <f t="shared" si="3"/>
        <v>241.42316264216433</v>
      </c>
      <c r="O37" s="40">
        <f t="shared" si="3"/>
        <v>0</v>
      </c>
      <c r="P37" s="40">
        <f t="shared" si="3"/>
        <v>0.20158026056455766</v>
      </c>
      <c r="Q37" s="40">
        <f t="shared" si="3"/>
        <v>1.1601786469133093E-2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v>24</v>
      </c>
      <c r="H38" s="45"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3" width="11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45598.041666666664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45598.041666666664</v>
      </c>
      <c r="B9" s="50">
        <v>5.26</v>
      </c>
      <c r="C9" s="50">
        <v>8.1</v>
      </c>
      <c r="D9" s="50">
        <v>14</v>
      </c>
      <c r="E9" s="50">
        <v>10.74</v>
      </c>
      <c r="F9" s="50">
        <v>6</v>
      </c>
      <c r="G9" s="50">
        <v>75.62</v>
      </c>
      <c r="H9" s="50">
        <v>33.65</v>
      </c>
      <c r="I9" s="50">
        <v>7.05</v>
      </c>
      <c r="J9" s="50">
        <v>0.22</v>
      </c>
      <c r="K9" s="50">
        <v>259.35000000000002</v>
      </c>
      <c r="L9" s="50">
        <v>23.13</v>
      </c>
      <c r="M9" s="50">
        <v>83.93</v>
      </c>
      <c r="N9" s="50">
        <v>1.7</v>
      </c>
      <c r="O9" s="50">
        <v>0</v>
      </c>
      <c r="P9" s="50">
        <v>0.61</v>
      </c>
      <c r="Q9" s="50">
        <v>4.29</v>
      </c>
    </row>
    <row r="10" spans="1:21" customFormat="1">
      <c r="A10" s="49">
        <v>45598.083333333336</v>
      </c>
      <c r="B10" s="50">
        <v>5.26</v>
      </c>
      <c r="C10" s="50">
        <v>8.07</v>
      </c>
      <c r="D10" s="50">
        <v>13.99</v>
      </c>
      <c r="E10" s="50">
        <v>10.84</v>
      </c>
      <c r="F10" s="50">
        <v>5.92</v>
      </c>
      <c r="G10" s="50">
        <v>95.42</v>
      </c>
      <c r="H10" s="50">
        <v>45.08</v>
      </c>
      <c r="I10" s="50">
        <v>7.69</v>
      </c>
      <c r="J10" s="50">
        <v>0.23</v>
      </c>
      <c r="K10" s="50">
        <v>188.86</v>
      </c>
      <c r="L10" s="50">
        <v>22.76</v>
      </c>
      <c r="M10" s="50">
        <v>86.56</v>
      </c>
      <c r="N10" s="50">
        <v>1.7</v>
      </c>
      <c r="O10" s="50">
        <v>0</v>
      </c>
      <c r="P10" s="50">
        <v>0.66</v>
      </c>
      <c r="Q10" s="50">
        <v>4.3099999999999996</v>
      </c>
    </row>
    <row r="11" spans="1:21" customFormat="1">
      <c r="A11" s="49">
        <v>45598.125</v>
      </c>
      <c r="B11" s="50">
        <v>5.28</v>
      </c>
      <c r="C11" s="50">
        <v>8.11</v>
      </c>
      <c r="D11" s="50">
        <v>14.03</v>
      </c>
      <c r="E11" s="50">
        <v>10.85</v>
      </c>
      <c r="F11" s="50">
        <v>5.85</v>
      </c>
      <c r="G11" s="50">
        <v>99.91</v>
      </c>
      <c r="H11" s="50">
        <v>50.17</v>
      </c>
      <c r="I11" s="50">
        <v>8.15</v>
      </c>
      <c r="J11" s="50">
        <v>0.19</v>
      </c>
      <c r="K11" s="50">
        <v>183.93</v>
      </c>
      <c r="L11" s="50">
        <v>22.35</v>
      </c>
      <c r="M11" s="50">
        <v>90.55</v>
      </c>
      <c r="N11" s="50">
        <v>1.7</v>
      </c>
      <c r="O11" s="50">
        <v>0</v>
      </c>
      <c r="P11" s="50">
        <v>0.69</v>
      </c>
      <c r="Q11" s="50">
        <v>4.3</v>
      </c>
    </row>
    <row r="12" spans="1:21" customFormat="1">
      <c r="A12" s="49">
        <v>45598.166666666664</v>
      </c>
      <c r="B12" s="50">
        <v>5.29</v>
      </c>
      <c r="C12" s="50">
        <v>8.08</v>
      </c>
      <c r="D12" s="50">
        <v>14.03</v>
      </c>
      <c r="E12" s="50">
        <v>10.88</v>
      </c>
      <c r="F12" s="50">
        <v>5.62</v>
      </c>
      <c r="G12" s="50">
        <v>99.91</v>
      </c>
      <c r="H12" s="50">
        <v>50.17</v>
      </c>
      <c r="I12" s="50">
        <v>8.5299999999999994</v>
      </c>
      <c r="J12" s="50">
        <v>0.14000000000000001</v>
      </c>
      <c r="K12" s="50">
        <v>196.73</v>
      </c>
      <c r="L12" s="50">
        <v>22.33</v>
      </c>
      <c r="M12" s="50">
        <v>87.31</v>
      </c>
      <c r="N12" s="50">
        <v>1.7</v>
      </c>
      <c r="O12" s="50">
        <v>0</v>
      </c>
      <c r="P12" s="50">
        <v>0.72</v>
      </c>
      <c r="Q12" s="50">
        <v>4.29</v>
      </c>
    </row>
    <row r="13" spans="1:21" customFormat="1">
      <c r="A13" s="49">
        <v>45598.208333333336</v>
      </c>
      <c r="B13" s="50">
        <v>5.29</v>
      </c>
      <c r="C13" s="50">
        <v>8.1</v>
      </c>
      <c r="D13" s="50">
        <v>14.04</v>
      </c>
      <c r="E13" s="50">
        <v>11.28</v>
      </c>
      <c r="F13" s="50">
        <v>5.36</v>
      </c>
      <c r="G13" s="50">
        <v>92.14</v>
      </c>
      <c r="H13" s="50">
        <v>48.38</v>
      </c>
      <c r="I13" s="50">
        <v>9.08</v>
      </c>
      <c r="J13" s="50">
        <v>0.21</v>
      </c>
      <c r="K13" s="50">
        <v>253.07</v>
      </c>
      <c r="L13" s="50">
        <v>21.9</v>
      </c>
      <c r="M13" s="50">
        <v>91.68</v>
      </c>
      <c r="N13" s="50">
        <v>1.8</v>
      </c>
      <c r="O13" s="50">
        <v>0</v>
      </c>
      <c r="P13" s="50">
        <v>0.74</v>
      </c>
      <c r="Q13" s="50">
        <v>4.3</v>
      </c>
    </row>
    <row r="14" spans="1:21" customFormat="1">
      <c r="A14" s="49">
        <v>45598.25</v>
      </c>
      <c r="B14" s="50">
        <v>5.31</v>
      </c>
      <c r="C14" s="50">
        <v>8.07</v>
      </c>
      <c r="D14" s="50">
        <v>14.03</v>
      </c>
      <c r="E14" s="50">
        <v>11.14</v>
      </c>
      <c r="F14" s="50">
        <v>5.38</v>
      </c>
      <c r="G14" s="50">
        <v>92.14</v>
      </c>
      <c r="H14" s="50">
        <v>47.66</v>
      </c>
      <c r="I14" s="50">
        <v>9.26</v>
      </c>
      <c r="J14" s="50">
        <v>0.19</v>
      </c>
      <c r="K14" s="50">
        <v>248.03</v>
      </c>
      <c r="L14" s="50">
        <v>21.41</v>
      </c>
      <c r="M14" s="50">
        <v>91.29</v>
      </c>
      <c r="N14" s="50">
        <v>3.8</v>
      </c>
      <c r="O14" s="50">
        <v>0</v>
      </c>
      <c r="P14" s="50">
        <v>0.74</v>
      </c>
      <c r="Q14" s="50">
        <v>4.3</v>
      </c>
    </row>
    <row r="15" spans="1:21" customFormat="1">
      <c r="A15" s="49">
        <v>45598.291666666664</v>
      </c>
      <c r="B15" s="50">
        <v>5.27</v>
      </c>
      <c r="C15" s="50">
        <v>8.09</v>
      </c>
      <c r="D15" s="50">
        <v>14.01</v>
      </c>
      <c r="E15" s="50">
        <v>11.4</v>
      </c>
      <c r="F15" s="50">
        <v>5.59</v>
      </c>
      <c r="G15" s="50">
        <v>91.89</v>
      </c>
      <c r="H15" s="50">
        <v>45.38</v>
      </c>
      <c r="I15" s="50">
        <v>9.35</v>
      </c>
      <c r="J15" s="50">
        <v>0.24</v>
      </c>
      <c r="K15" s="50">
        <v>210.56</v>
      </c>
      <c r="L15" s="50">
        <v>22.8</v>
      </c>
      <c r="M15" s="50">
        <v>90.35</v>
      </c>
      <c r="N15" s="50">
        <v>50.9</v>
      </c>
      <c r="O15" s="50">
        <v>0</v>
      </c>
      <c r="P15" s="50">
        <v>0.74</v>
      </c>
      <c r="Q15" s="50">
        <v>4.29</v>
      </c>
    </row>
    <row r="16" spans="1:21" customFormat="1">
      <c r="A16" s="49">
        <v>45598.333333333336</v>
      </c>
      <c r="B16" s="50">
        <v>5.26</v>
      </c>
      <c r="C16" s="50">
        <v>8.09</v>
      </c>
      <c r="D16" s="50">
        <v>14.01</v>
      </c>
      <c r="E16" s="50">
        <v>11.62</v>
      </c>
      <c r="F16" s="50">
        <v>5.49</v>
      </c>
      <c r="G16" s="50">
        <v>95.67</v>
      </c>
      <c r="H16" s="50">
        <v>44.91</v>
      </c>
      <c r="I16" s="50">
        <v>9.64</v>
      </c>
      <c r="J16" s="50">
        <v>0.26</v>
      </c>
      <c r="K16" s="50">
        <v>91.18</v>
      </c>
      <c r="L16" s="50">
        <v>25.18</v>
      </c>
      <c r="M16" s="50">
        <v>80.7</v>
      </c>
      <c r="N16" s="50">
        <v>194.6</v>
      </c>
      <c r="O16" s="50">
        <v>0</v>
      </c>
      <c r="P16" s="50">
        <v>0.75</v>
      </c>
      <c r="Q16" s="50">
        <v>4.3</v>
      </c>
    </row>
    <row r="17" spans="1:17" customFormat="1">
      <c r="A17" s="49">
        <v>45598.375</v>
      </c>
      <c r="B17" s="50">
        <v>5.27</v>
      </c>
      <c r="C17" s="50">
        <v>8.09</v>
      </c>
      <c r="D17" s="50">
        <v>14.02</v>
      </c>
      <c r="E17" s="50">
        <v>11.7</v>
      </c>
      <c r="F17" s="50">
        <v>6.4</v>
      </c>
      <c r="G17" s="50">
        <v>105.02</v>
      </c>
      <c r="H17" s="50">
        <v>49.06</v>
      </c>
      <c r="I17" s="50">
        <v>10.07</v>
      </c>
      <c r="J17" s="50">
        <v>0.38</v>
      </c>
      <c r="K17" s="50">
        <v>285.82</v>
      </c>
      <c r="L17" s="50">
        <v>28.64</v>
      </c>
      <c r="M17" s="50">
        <v>71.19</v>
      </c>
      <c r="N17" s="50">
        <v>313.89999999999998</v>
      </c>
      <c r="O17" s="50">
        <v>0</v>
      </c>
      <c r="P17" s="50">
        <v>0.76</v>
      </c>
      <c r="Q17" s="50">
        <v>4.29</v>
      </c>
    </row>
    <row r="18" spans="1:17" customFormat="1">
      <c r="A18" s="49">
        <v>45598.416666666664</v>
      </c>
      <c r="B18" s="50">
        <v>5.31</v>
      </c>
      <c r="C18" s="50">
        <v>8.09</v>
      </c>
      <c r="D18" s="50">
        <v>14.05</v>
      </c>
      <c r="E18" s="50">
        <v>12.73</v>
      </c>
      <c r="F18" s="50">
        <v>12.17</v>
      </c>
      <c r="G18" s="50">
        <v>107.11</v>
      </c>
      <c r="H18" s="50">
        <v>49.06</v>
      </c>
      <c r="I18" s="50">
        <v>10.18</v>
      </c>
      <c r="J18" s="50">
        <v>0.36</v>
      </c>
      <c r="K18" s="50">
        <v>286</v>
      </c>
      <c r="L18" s="50">
        <v>30.36</v>
      </c>
      <c r="M18" s="50">
        <v>52.41</v>
      </c>
      <c r="N18" s="50">
        <v>501</v>
      </c>
      <c r="O18" s="50">
        <v>0</v>
      </c>
      <c r="P18" s="50">
        <v>0.77</v>
      </c>
      <c r="Q18" s="50">
        <v>4.3099999999999996</v>
      </c>
    </row>
    <row r="19" spans="1:17" customFormat="1">
      <c r="A19" s="49">
        <v>45598.458333333336</v>
      </c>
      <c r="B19" s="50">
        <v>5.28</v>
      </c>
      <c r="C19" s="50">
        <v>8.1</v>
      </c>
      <c r="D19" s="50">
        <v>14.01</v>
      </c>
      <c r="E19" s="50">
        <v>11.93</v>
      </c>
      <c r="F19" s="50">
        <v>12</v>
      </c>
      <c r="G19" s="50">
        <v>107.11</v>
      </c>
      <c r="H19" s="50">
        <v>44.2</v>
      </c>
      <c r="I19" s="50">
        <v>9.89</v>
      </c>
      <c r="J19" s="50">
        <v>0.44</v>
      </c>
      <c r="K19" s="50">
        <v>329.4</v>
      </c>
      <c r="L19" s="50">
        <v>32.07</v>
      </c>
      <c r="M19" s="50">
        <v>43.58</v>
      </c>
      <c r="N19" s="50">
        <v>582.79999999999995</v>
      </c>
      <c r="O19" s="50">
        <v>0</v>
      </c>
      <c r="P19" s="50">
        <v>0.75</v>
      </c>
      <c r="Q19" s="50">
        <v>4.3</v>
      </c>
    </row>
    <row r="20" spans="1:17" customFormat="1">
      <c r="A20" s="49">
        <v>45598.5</v>
      </c>
      <c r="B20" s="50">
        <v>5.22</v>
      </c>
      <c r="C20" s="50">
        <v>8.1</v>
      </c>
      <c r="D20" s="50">
        <v>13.98</v>
      </c>
      <c r="E20" s="50">
        <v>13.24</v>
      </c>
      <c r="F20" s="50">
        <v>16.39</v>
      </c>
      <c r="G20" s="50">
        <v>90.96</v>
      </c>
      <c r="H20" s="50">
        <v>39.97</v>
      </c>
      <c r="I20" s="50">
        <v>9.58</v>
      </c>
      <c r="J20" s="50">
        <v>0.37</v>
      </c>
      <c r="K20" s="50">
        <v>192.81</v>
      </c>
      <c r="L20" s="50">
        <v>32.74</v>
      </c>
      <c r="M20" s="50">
        <v>41.27</v>
      </c>
      <c r="N20" s="50">
        <v>587.4</v>
      </c>
      <c r="O20" s="50">
        <v>0</v>
      </c>
      <c r="P20" s="50">
        <v>0.72</v>
      </c>
      <c r="Q20" s="50">
        <v>4.3</v>
      </c>
    </row>
    <row r="21" spans="1:17" customFormat="1">
      <c r="A21" s="49">
        <v>45598.541666666664</v>
      </c>
      <c r="B21" s="50">
        <v>5.25</v>
      </c>
      <c r="C21" s="50">
        <v>8.09</v>
      </c>
      <c r="D21" s="50">
        <v>14</v>
      </c>
      <c r="E21" s="50">
        <v>14.05</v>
      </c>
      <c r="F21" s="50">
        <v>15.12</v>
      </c>
      <c r="G21" s="50">
        <v>80.180000000000007</v>
      </c>
      <c r="H21" s="50">
        <v>35.35</v>
      </c>
      <c r="I21" s="50">
        <v>9.07</v>
      </c>
      <c r="J21" s="50">
        <v>0.6</v>
      </c>
      <c r="K21" s="50">
        <v>234.18</v>
      </c>
      <c r="L21" s="50">
        <v>33.549999999999997</v>
      </c>
      <c r="M21" s="50">
        <v>38.159999999999997</v>
      </c>
      <c r="N21" s="50">
        <v>560.6</v>
      </c>
      <c r="O21" s="50">
        <v>0</v>
      </c>
      <c r="P21" s="50">
        <v>0.7</v>
      </c>
      <c r="Q21" s="50">
        <v>4.3</v>
      </c>
    </row>
    <row r="22" spans="1:17" customFormat="1">
      <c r="A22" s="49">
        <v>45598.583333333336</v>
      </c>
      <c r="B22" s="50">
        <v>5.23</v>
      </c>
      <c r="C22" s="50">
        <v>8.1</v>
      </c>
      <c r="D22" s="50">
        <v>13.98</v>
      </c>
      <c r="E22" s="50">
        <v>12.51</v>
      </c>
      <c r="F22" s="50">
        <v>17.11</v>
      </c>
      <c r="G22" s="50">
        <v>66.930000000000007</v>
      </c>
      <c r="H22" s="50">
        <v>28.47</v>
      </c>
      <c r="I22" s="50">
        <v>8.6300000000000008</v>
      </c>
      <c r="J22" s="50">
        <v>0.4</v>
      </c>
      <c r="K22" s="50">
        <v>204.15</v>
      </c>
      <c r="L22" s="50">
        <v>33.72</v>
      </c>
      <c r="M22" s="50">
        <v>33.229999999999997</v>
      </c>
      <c r="N22" s="50">
        <v>494.8</v>
      </c>
      <c r="O22" s="50">
        <v>0</v>
      </c>
      <c r="P22" s="50">
        <v>0.65</v>
      </c>
      <c r="Q22" s="50">
        <v>4.3</v>
      </c>
    </row>
    <row r="23" spans="1:17" customFormat="1">
      <c r="A23" s="49">
        <v>45598.625</v>
      </c>
      <c r="B23" s="50">
        <v>5.23</v>
      </c>
      <c r="C23" s="50">
        <v>8.11</v>
      </c>
      <c r="D23" s="50">
        <v>13.99</v>
      </c>
      <c r="E23" s="50">
        <v>11.77</v>
      </c>
      <c r="F23" s="50">
        <v>19.47</v>
      </c>
      <c r="G23" s="50">
        <v>62.8</v>
      </c>
      <c r="H23" s="50">
        <v>23.88</v>
      </c>
      <c r="I23" s="50">
        <v>7.62</v>
      </c>
      <c r="J23" s="50">
        <v>0.36</v>
      </c>
      <c r="K23" s="50">
        <v>163.06</v>
      </c>
      <c r="L23" s="50">
        <v>32.96</v>
      </c>
      <c r="M23" s="50">
        <v>36.17</v>
      </c>
      <c r="N23" s="50">
        <v>153.80000000000001</v>
      </c>
      <c r="O23" s="50">
        <v>0</v>
      </c>
      <c r="P23" s="50">
        <v>0.59</v>
      </c>
      <c r="Q23" s="50">
        <v>4.3</v>
      </c>
    </row>
    <row r="24" spans="1:17" customFormat="1">
      <c r="A24" s="49">
        <v>45598.666666666664</v>
      </c>
      <c r="B24" s="50">
        <v>5.27</v>
      </c>
      <c r="C24" s="50">
        <v>8.08</v>
      </c>
      <c r="D24" s="50">
        <v>14.01</v>
      </c>
      <c r="E24" s="50">
        <v>11.73</v>
      </c>
      <c r="F24" s="50">
        <v>17.2</v>
      </c>
      <c r="G24" s="50">
        <v>57.03</v>
      </c>
      <c r="H24" s="50">
        <v>22.44</v>
      </c>
      <c r="I24" s="50">
        <v>6.83</v>
      </c>
      <c r="J24" s="50">
        <v>0.3</v>
      </c>
      <c r="K24" s="50">
        <v>182.37</v>
      </c>
      <c r="L24" s="50">
        <v>31.53</v>
      </c>
      <c r="M24" s="50">
        <v>45.31</v>
      </c>
      <c r="N24" s="50">
        <v>83</v>
      </c>
      <c r="O24" s="50">
        <v>0</v>
      </c>
      <c r="P24" s="50">
        <v>0.55000000000000004</v>
      </c>
      <c r="Q24" s="50">
        <v>4.3</v>
      </c>
    </row>
    <row r="25" spans="1:17" customFormat="1">
      <c r="A25" s="49">
        <v>45598.708333333336</v>
      </c>
      <c r="B25" s="50">
        <v>5.26</v>
      </c>
      <c r="C25" s="50">
        <v>8.08</v>
      </c>
      <c r="D25" s="50">
        <v>14</v>
      </c>
      <c r="E25" s="50">
        <v>12.14</v>
      </c>
      <c r="F25" s="50">
        <v>15.11</v>
      </c>
      <c r="G25" s="50">
        <v>53.37</v>
      </c>
      <c r="H25" s="50">
        <v>22.44</v>
      </c>
      <c r="I25" s="50">
        <v>6.31</v>
      </c>
      <c r="J25" s="50">
        <v>0.3</v>
      </c>
      <c r="K25" s="50">
        <v>177.36</v>
      </c>
      <c r="L25" s="50">
        <v>30.04</v>
      </c>
      <c r="M25" s="50">
        <v>53.19</v>
      </c>
      <c r="N25" s="50">
        <v>34.700000000000003</v>
      </c>
      <c r="O25" s="50">
        <v>0</v>
      </c>
      <c r="P25" s="50">
        <v>0.53</v>
      </c>
      <c r="Q25" s="50">
        <v>4.29</v>
      </c>
    </row>
    <row r="26" spans="1:17" customFormat="1">
      <c r="A26" s="49">
        <v>45598.75</v>
      </c>
      <c r="B26" s="50">
        <v>5.28</v>
      </c>
      <c r="C26" s="50">
        <v>8.07</v>
      </c>
      <c r="D26" s="50">
        <v>14.02</v>
      </c>
      <c r="E26" s="50">
        <v>12.23</v>
      </c>
      <c r="F26" s="50">
        <v>13.2</v>
      </c>
      <c r="G26" s="50">
        <v>53.38</v>
      </c>
      <c r="H26" s="50">
        <v>20.11</v>
      </c>
      <c r="I26" s="50">
        <v>5.92</v>
      </c>
      <c r="J26" s="50">
        <v>0.25</v>
      </c>
      <c r="K26" s="50">
        <v>172.09</v>
      </c>
      <c r="L26" s="50">
        <v>27.75</v>
      </c>
      <c r="M26" s="50">
        <v>55.79</v>
      </c>
      <c r="N26" s="50">
        <v>4.2</v>
      </c>
      <c r="O26" s="50">
        <v>0</v>
      </c>
      <c r="P26" s="50">
        <v>0.52</v>
      </c>
      <c r="Q26" s="50">
        <v>4.29</v>
      </c>
    </row>
    <row r="27" spans="1:17" customFormat="1">
      <c r="A27" s="49">
        <v>45598.791666666664</v>
      </c>
      <c r="B27" s="50">
        <v>5.25</v>
      </c>
      <c r="C27" s="50">
        <v>8.09</v>
      </c>
      <c r="D27" s="50">
        <v>13.99</v>
      </c>
      <c r="E27" s="50">
        <v>9.98</v>
      </c>
      <c r="F27" s="50">
        <v>10.59</v>
      </c>
      <c r="G27" s="50">
        <v>57.54</v>
      </c>
      <c r="H27" s="50">
        <v>18.41</v>
      </c>
      <c r="I27" s="50">
        <v>6</v>
      </c>
      <c r="J27" s="50">
        <v>0.19</v>
      </c>
      <c r="K27" s="50">
        <v>209.05</v>
      </c>
      <c r="L27" s="50">
        <v>26.51</v>
      </c>
      <c r="M27" s="50">
        <v>70.319999999999993</v>
      </c>
      <c r="N27" s="50">
        <v>2.1</v>
      </c>
      <c r="O27" s="50">
        <v>0</v>
      </c>
      <c r="P27" s="50">
        <v>0.51</v>
      </c>
      <c r="Q27" s="50">
        <v>4.3</v>
      </c>
    </row>
    <row r="28" spans="1:17" customFormat="1">
      <c r="A28" s="49">
        <v>45598.833333333336</v>
      </c>
      <c r="B28" s="50">
        <v>5.21</v>
      </c>
      <c r="C28" s="50">
        <v>8.08</v>
      </c>
      <c r="D28" s="50">
        <v>13.96</v>
      </c>
      <c r="E28" s="50">
        <v>10.24</v>
      </c>
      <c r="F28" s="50">
        <v>6.66</v>
      </c>
      <c r="G28" s="50">
        <v>57.54</v>
      </c>
      <c r="H28" s="50">
        <v>18.41</v>
      </c>
      <c r="I28" s="50">
        <v>6.24</v>
      </c>
      <c r="J28" s="50">
        <v>0.17</v>
      </c>
      <c r="K28" s="50">
        <v>204.98</v>
      </c>
      <c r="L28" s="50">
        <v>25.13</v>
      </c>
      <c r="M28" s="50">
        <v>77.14</v>
      </c>
      <c r="N28" s="50">
        <v>1.7</v>
      </c>
      <c r="O28" s="50">
        <v>0</v>
      </c>
      <c r="P28" s="50">
        <v>0.51</v>
      </c>
      <c r="Q28" s="50">
        <v>4.3</v>
      </c>
    </row>
    <row r="29" spans="1:17" customFormat="1">
      <c r="A29" s="49">
        <v>45598.875</v>
      </c>
      <c r="B29" s="50">
        <v>5.22</v>
      </c>
      <c r="C29" s="50">
        <v>8.07</v>
      </c>
      <c r="D29" s="50">
        <v>13.96</v>
      </c>
      <c r="E29" s="50">
        <v>10.26</v>
      </c>
      <c r="F29" s="50">
        <v>6.12</v>
      </c>
      <c r="G29" s="50">
        <v>64.900000000000006</v>
      </c>
      <c r="H29" s="50">
        <v>24.97</v>
      </c>
      <c r="I29" s="50">
        <v>6.47</v>
      </c>
      <c r="J29" s="50">
        <v>0.2</v>
      </c>
      <c r="K29" s="50">
        <v>231.8</v>
      </c>
      <c r="L29" s="50">
        <v>24.47</v>
      </c>
      <c r="M29" s="50">
        <v>79.78</v>
      </c>
      <c r="N29" s="50">
        <v>1.7</v>
      </c>
      <c r="O29" s="50">
        <v>0</v>
      </c>
      <c r="P29" s="50">
        <v>0.54</v>
      </c>
      <c r="Q29" s="50">
        <v>4.3099999999999996</v>
      </c>
    </row>
    <row r="30" spans="1:17" customFormat="1">
      <c r="A30" s="49">
        <v>45598.916666666664</v>
      </c>
      <c r="B30" s="50">
        <v>5.22</v>
      </c>
      <c r="C30" s="50">
        <v>8.08</v>
      </c>
      <c r="D30" s="50">
        <v>13.97</v>
      </c>
      <c r="E30" s="50">
        <v>10.3</v>
      </c>
      <c r="F30" s="50">
        <v>6.03</v>
      </c>
      <c r="G30" s="50">
        <v>71.5</v>
      </c>
      <c r="H30" s="50">
        <v>30.2</v>
      </c>
      <c r="I30" s="50">
        <v>6.79</v>
      </c>
      <c r="J30" s="50">
        <v>0.17</v>
      </c>
      <c r="K30" s="50">
        <v>202.02</v>
      </c>
      <c r="L30" s="50">
        <v>24.34</v>
      </c>
      <c r="M30" s="50">
        <v>82.68</v>
      </c>
      <c r="N30" s="50">
        <v>1.7</v>
      </c>
      <c r="O30" s="50">
        <v>0</v>
      </c>
      <c r="P30" s="50">
        <v>0.56999999999999995</v>
      </c>
      <c r="Q30" s="50">
        <v>4.3</v>
      </c>
    </row>
    <row r="31" spans="1:17" customFormat="1">
      <c r="A31" s="49">
        <v>45598.958333333336</v>
      </c>
      <c r="B31" s="50">
        <v>5.22</v>
      </c>
      <c r="C31" s="50">
        <v>8.09</v>
      </c>
      <c r="D31" s="50">
        <v>13.97</v>
      </c>
      <c r="E31" s="50">
        <v>10.54</v>
      </c>
      <c r="F31" s="50">
        <v>6.02</v>
      </c>
      <c r="G31" s="50">
        <v>71.5</v>
      </c>
      <c r="H31" s="50">
        <v>31.69</v>
      </c>
      <c r="I31" s="50">
        <v>7.15</v>
      </c>
      <c r="J31" s="50">
        <v>0.23</v>
      </c>
      <c r="K31" s="50">
        <v>241.83</v>
      </c>
      <c r="L31" s="50">
        <v>23.68</v>
      </c>
      <c r="M31" s="50">
        <v>82.38</v>
      </c>
      <c r="N31" s="50">
        <v>1.7</v>
      </c>
      <c r="O31" s="50">
        <v>0</v>
      </c>
      <c r="P31" s="50">
        <v>0.59</v>
      </c>
      <c r="Q31" s="50">
        <v>4.29</v>
      </c>
    </row>
    <row r="32" spans="1:17" customFormat="1">
      <c r="A32" s="49">
        <v>45599</v>
      </c>
      <c r="B32" s="50">
        <v>5.2</v>
      </c>
      <c r="C32" s="50">
        <v>8.08</v>
      </c>
      <c r="D32" s="50">
        <v>13.96</v>
      </c>
      <c r="E32" s="50">
        <v>10.32</v>
      </c>
      <c r="F32" s="50">
        <v>6.05</v>
      </c>
      <c r="G32" s="50">
        <v>70.19</v>
      </c>
      <c r="H32" s="50">
        <v>31.69</v>
      </c>
      <c r="I32" s="50">
        <v>7.15</v>
      </c>
      <c r="J32" s="50">
        <v>0.14000000000000001</v>
      </c>
      <c r="K32" s="50">
        <v>262.81</v>
      </c>
      <c r="L32" s="50">
        <v>23.1</v>
      </c>
      <c r="M32" s="50">
        <v>82.74</v>
      </c>
      <c r="N32" s="50">
        <v>1.6</v>
      </c>
      <c r="O32" s="50">
        <v>0</v>
      </c>
      <c r="P32" s="50">
        <v>0.59</v>
      </c>
      <c r="Q32" s="50">
        <v>4.3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5.2</v>
      </c>
      <c r="C34" s="40">
        <f t="shared" si="0"/>
        <v>8.07</v>
      </c>
      <c r="D34" s="40">
        <f t="shared" si="0"/>
        <v>13.96</v>
      </c>
      <c r="E34" s="40">
        <f t="shared" si="0"/>
        <v>9.98</v>
      </c>
      <c r="F34" s="40">
        <f t="shared" si="0"/>
        <v>5.36</v>
      </c>
      <c r="G34" s="40">
        <f t="shared" si="0"/>
        <v>53.37</v>
      </c>
      <c r="H34" s="40">
        <f t="shared" si="0"/>
        <v>18.41</v>
      </c>
      <c r="I34" s="40">
        <f t="shared" si="0"/>
        <v>5.92</v>
      </c>
      <c r="J34" s="40">
        <f t="shared" si="0"/>
        <v>0.14000000000000001</v>
      </c>
      <c r="K34" s="40">
        <f t="shared" si="0"/>
        <v>91.18</v>
      </c>
      <c r="L34" s="40">
        <f t="shared" si="0"/>
        <v>21.41</v>
      </c>
      <c r="M34" s="40">
        <f t="shared" si="0"/>
        <v>33.229999999999997</v>
      </c>
      <c r="N34" s="40">
        <f t="shared" si="0"/>
        <v>1.6</v>
      </c>
      <c r="O34" s="40">
        <f t="shared" si="0"/>
        <v>0</v>
      </c>
      <c r="P34" s="40">
        <f t="shared" si="0"/>
        <v>0.51</v>
      </c>
      <c r="Q34" s="40">
        <f t="shared" si="0"/>
        <v>4.29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5.31</v>
      </c>
      <c r="C35" s="33">
        <f t="shared" si="1"/>
        <v>8.11</v>
      </c>
      <c r="D35" s="33">
        <f t="shared" si="1"/>
        <v>14.05</v>
      </c>
      <c r="E35" s="33">
        <f t="shared" si="1"/>
        <v>14.05</v>
      </c>
      <c r="F35" s="33">
        <f t="shared" si="1"/>
        <v>19.47</v>
      </c>
      <c r="G35" s="33">
        <f t="shared" si="1"/>
        <v>107.11</v>
      </c>
      <c r="H35" s="33">
        <f t="shared" si="1"/>
        <v>50.17</v>
      </c>
      <c r="I35" s="33">
        <f t="shared" si="1"/>
        <v>10.18</v>
      </c>
      <c r="J35" s="33">
        <f t="shared" si="1"/>
        <v>0.6</v>
      </c>
      <c r="K35" s="33">
        <f t="shared" si="1"/>
        <v>329.4</v>
      </c>
      <c r="L35" s="33">
        <f t="shared" si="1"/>
        <v>33.72</v>
      </c>
      <c r="M35" s="33">
        <f t="shared" si="1"/>
        <v>91.68</v>
      </c>
      <c r="N35" s="33">
        <f t="shared" si="1"/>
        <v>587.4</v>
      </c>
      <c r="O35" s="33">
        <f t="shared" si="1"/>
        <v>0</v>
      </c>
      <c r="P35" s="33">
        <f t="shared" si="1"/>
        <v>0.77</v>
      </c>
      <c r="Q35" s="33">
        <f t="shared" si="1"/>
        <v>4.3099999999999996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5.2558333333333334</v>
      </c>
      <c r="C36" s="40">
        <f t="shared" si="2"/>
        <v>8.0879166666666684</v>
      </c>
      <c r="D36" s="40">
        <f t="shared" si="2"/>
        <v>14.000416666666666</v>
      </c>
      <c r="E36" s="40">
        <f t="shared" si="2"/>
        <v>11.434166666666668</v>
      </c>
      <c r="F36" s="40">
        <f t="shared" si="2"/>
        <v>9.6187500000000004</v>
      </c>
      <c r="G36" s="40">
        <f t="shared" si="2"/>
        <v>79.989999999999995</v>
      </c>
      <c r="H36" s="40">
        <f t="shared" si="2"/>
        <v>35.656250000000007</v>
      </c>
      <c r="I36" s="40">
        <f t="shared" si="2"/>
        <v>8.0270833333333336</v>
      </c>
      <c r="J36" s="40">
        <f t="shared" si="2"/>
        <v>0.27250000000000002</v>
      </c>
      <c r="K36" s="40">
        <f t="shared" si="2"/>
        <v>217.14333333333335</v>
      </c>
      <c r="L36" s="40">
        <f t="shared" si="2"/>
        <v>26.768750000000008</v>
      </c>
      <c r="M36" s="40">
        <f t="shared" si="2"/>
        <v>68.654583333333349</v>
      </c>
      <c r="N36" s="40">
        <f t="shared" si="2"/>
        <v>149.35833333333329</v>
      </c>
      <c r="O36" s="40">
        <f t="shared" si="2"/>
        <v>0</v>
      </c>
      <c r="P36" s="40">
        <f t="shared" si="2"/>
        <v>0.64583333333333337</v>
      </c>
      <c r="Q36" s="40">
        <f t="shared" si="2"/>
        <v>4.2983333333333329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3.119596778106264E-2</v>
      </c>
      <c r="C37" s="40">
        <f t="shared" ref="C37:Q37" si="3">STDEV(C9:C32)</f>
        <v>1.2150922908825716E-2</v>
      </c>
      <c r="D37" s="40">
        <f t="shared" si="3"/>
        <v>2.6123314036160545E-2</v>
      </c>
      <c r="E37" s="40">
        <f t="shared" si="3"/>
        <v>1.0313432215221543</v>
      </c>
      <c r="F37" s="40">
        <f t="shared" si="3"/>
        <v>4.8415298628680832</v>
      </c>
      <c r="G37" s="40">
        <f t="shared" si="3"/>
        <v>18.45939115299122</v>
      </c>
      <c r="H37" s="40">
        <f t="shared" si="3"/>
        <v>11.426433432102103</v>
      </c>
      <c r="I37" s="40">
        <f t="shared" si="3"/>
        <v>1.4179209494328524</v>
      </c>
      <c r="J37" s="40">
        <f t="shared" si="3"/>
        <v>0.11097394915611654</v>
      </c>
      <c r="K37" s="40">
        <f t="shared" si="3"/>
        <v>49.547969086327896</v>
      </c>
      <c r="L37" s="40">
        <f t="shared" si="3"/>
        <v>4.290019066036435</v>
      </c>
      <c r="M37" s="40">
        <f t="shared" si="3"/>
        <v>20.494320099495322</v>
      </c>
      <c r="N37" s="40">
        <f t="shared" si="3"/>
        <v>221.67457918753564</v>
      </c>
      <c r="O37" s="40">
        <f t="shared" si="3"/>
        <v>0</v>
      </c>
      <c r="P37" s="40">
        <f t="shared" si="3"/>
        <v>9.2262228677719729E-2</v>
      </c>
      <c r="Q37" s="40">
        <f t="shared" si="3"/>
        <v>6.3702205727059246E-3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45599.041666666664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45599.041666666664</v>
      </c>
      <c r="B9" s="50">
        <v>5.22</v>
      </c>
      <c r="C9" s="50">
        <v>8.16</v>
      </c>
      <c r="D9" s="50">
        <v>13.99</v>
      </c>
      <c r="E9" s="50">
        <v>10.53</v>
      </c>
      <c r="F9" s="50">
        <v>6.15</v>
      </c>
      <c r="G9" s="50">
        <v>70.19</v>
      </c>
      <c r="H9" s="50">
        <v>30.4</v>
      </c>
      <c r="I9" s="50">
        <v>7.02</v>
      </c>
      <c r="J9" s="50">
        <v>0.17</v>
      </c>
      <c r="K9" s="50">
        <v>249.83</v>
      </c>
      <c r="L9" s="50">
        <v>23.78</v>
      </c>
      <c r="M9" s="50">
        <v>75.72</v>
      </c>
      <c r="N9" s="50">
        <v>1.6</v>
      </c>
      <c r="O9" s="50">
        <v>0</v>
      </c>
      <c r="P9" s="50">
        <v>0.56999999999999995</v>
      </c>
      <c r="Q9" s="50">
        <v>4.3</v>
      </c>
    </row>
    <row r="10" spans="1:21" customFormat="1">
      <c r="A10" s="49">
        <v>45599.083333333336</v>
      </c>
      <c r="B10" s="50">
        <v>5.22</v>
      </c>
      <c r="C10" s="50">
        <v>8.09</v>
      </c>
      <c r="D10" s="50">
        <v>13.98</v>
      </c>
      <c r="E10" s="50">
        <v>10.45</v>
      </c>
      <c r="F10" s="50">
        <v>6.34</v>
      </c>
      <c r="G10" s="50">
        <v>58.86</v>
      </c>
      <c r="H10" s="50">
        <v>24.66</v>
      </c>
      <c r="I10" s="50">
        <v>6.81</v>
      </c>
      <c r="J10" s="50">
        <v>0.42</v>
      </c>
      <c r="K10" s="50">
        <v>234.61</v>
      </c>
      <c r="L10" s="50">
        <v>24.04</v>
      </c>
      <c r="M10" s="50">
        <v>68.459999999999994</v>
      </c>
      <c r="N10" s="50">
        <v>1.9</v>
      </c>
      <c r="O10" s="50">
        <v>0</v>
      </c>
      <c r="P10" s="50">
        <v>0.56000000000000005</v>
      </c>
      <c r="Q10" s="50">
        <v>4.29</v>
      </c>
    </row>
    <row r="11" spans="1:21" customFormat="1">
      <c r="A11" s="49">
        <v>45599.125</v>
      </c>
      <c r="B11" s="50">
        <v>5.23</v>
      </c>
      <c r="C11" s="50">
        <v>8.1</v>
      </c>
      <c r="D11" s="50">
        <v>13.98</v>
      </c>
      <c r="E11" s="50">
        <v>9.91</v>
      </c>
      <c r="F11" s="50">
        <v>6.14</v>
      </c>
      <c r="G11" s="50">
        <v>67.989999999999995</v>
      </c>
      <c r="H11" s="50">
        <v>27.84</v>
      </c>
      <c r="I11" s="50">
        <v>6.68</v>
      </c>
      <c r="J11" s="50">
        <v>0.25</v>
      </c>
      <c r="K11" s="50">
        <v>347.98</v>
      </c>
      <c r="L11" s="50">
        <v>24.25</v>
      </c>
      <c r="M11" s="50">
        <v>71.47</v>
      </c>
      <c r="N11" s="50">
        <v>1.9</v>
      </c>
      <c r="O11" s="50">
        <v>0</v>
      </c>
      <c r="P11" s="50">
        <v>0.59</v>
      </c>
      <c r="Q11" s="50">
        <v>4.29</v>
      </c>
    </row>
    <row r="12" spans="1:21" customFormat="1">
      <c r="A12" s="49">
        <v>45599.166666666664</v>
      </c>
      <c r="B12" s="50">
        <v>5.24</v>
      </c>
      <c r="C12" s="50">
        <v>8.08</v>
      </c>
      <c r="D12" s="50">
        <v>13.97</v>
      </c>
      <c r="E12" s="50">
        <v>10.58</v>
      </c>
      <c r="F12" s="50">
        <v>6.12</v>
      </c>
      <c r="G12" s="50">
        <v>89.47</v>
      </c>
      <c r="H12" s="50">
        <v>29.24</v>
      </c>
      <c r="I12" s="50">
        <v>7.32</v>
      </c>
      <c r="J12" s="50">
        <v>0.2</v>
      </c>
      <c r="K12" s="50">
        <v>192.24</v>
      </c>
      <c r="L12" s="50">
        <v>24.22</v>
      </c>
      <c r="M12" s="50">
        <v>77.14</v>
      </c>
      <c r="N12" s="50">
        <v>2.1</v>
      </c>
      <c r="O12" s="50">
        <v>0</v>
      </c>
      <c r="P12" s="50">
        <v>0.62</v>
      </c>
      <c r="Q12" s="50">
        <v>4.3</v>
      </c>
    </row>
    <row r="13" spans="1:21" customFormat="1">
      <c r="A13" s="49">
        <v>45599.208333333336</v>
      </c>
      <c r="B13" s="50">
        <v>5.24</v>
      </c>
      <c r="C13" s="50">
        <v>8.11</v>
      </c>
      <c r="D13" s="50">
        <v>13.98</v>
      </c>
      <c r="E13" s="50">
        <v>10.58</v>
      </c>
      <c r="F13" s="50">
        <v>5.8</v>
      </c>
      <c r="G13" s="50">
        <v>104.39</v>
      </c>
      <c r="H13" s="50">
        <v>36.15</v>
      </c>
      <c r="I13" s="50">
        <v>7.8</v>
      </c>
      <c r="J13" s="50">
        <v>0.14000000000000001</v>
      </c>
      <c r="K13" s="50">
        <v>230.49</v>
      </c>
      <c r="L13" s="50">
        <v>23.66</v>
      </c>
      <c r="M13" s="50">
        <v>83.92</v>
      </c>
      <c r="N13" s="50">
        <v>2.1</v>
      </c>
      <c r="O13" s="50">
        <v>0</v>
      </c>
      <c r="P13" s="50">
        <v>0.64</v>
      </c>
      <c r="Q13" s="50">
        <v>4.29</v>
      </c>
    </row>
    <row r="14" spans="1:21" customFormat="1">
      <c r="A14" s="49">
        <v>45599.25</v>
      </c>
      <c r="B14" s="50">
        <v>5.24</v>
      </c>
      <c r="C14" s="50">
        <v>8.08</v>
      </c>
      <c r="D14" s="50">
        <v>13.99</v>
      </c>
      <c r="E14" s="50">
        <v>10.210000000000001</v>
      </c>
      <c r="F14" s="50">
        <v>5.88</v>
      </c>
      <c r="G14" s="50">
        <v>104.39</v>
      </c>
      <c r="H14" s="50">
        <v>36.15</v>
      </c>
      <c r="I14" s="50">
        <v>8.06</v>
      </c>
      <c r="J14" s="50">
        <v>0.13</v>
      </c>
      <c r="K14" s="50">
        <v>191.3</v>
      </c>
      <c r="L14" s="50">
        <v>23.42</v>
      </c>
      <c r="M14" s="50">
        <v>86.09</v>
      </c>
      <c r="N14" s="50">
        <v>3.4</v>
      </c>
      <c r="O14" s="50">
        <v>0</v>
      </c>
      <c r="P14" s="50">
        <v>0.65</v>
      </c>
      <c r="Q14" s="50">
        <v>4.3099999999999996</v>
      </c>
    </row>
    <row r="15" spans="1:21" customFormat="1">
      <c r="A15" s="49">
        <v>45599.291666666664</v>
      </c>
      <c r="B15" s="50">
        <v>5.23</v>
      </c>
      <c r="C15" s="50">
        <v>8.06</v>
      </c>
      <c r="D15" s="50">
        <v>13.97</v>
      </c>
      <c r="E15" s="50">
        <v>10.49</v>
      </c>
      <c r="F15" s="50">
        <v>5.89</v>
      </c>
      <c r="G15" s="50">
        <v>91.76</v>
      </c>
      <c r="H15" s="50">
        <v>31.88</v>
      </c>
      <c r="I15" s="50">
        <v>8.18</v>
      </c>
      <c r="J15" s="50">
        <v>0.24</v>
      </c>
      <c r="K15" s="50">
        <v>196.51</v>
      </c>
      <c r="L15" s="50">
        <v>23.67</v>
      </c>
      <c r="M15" s="50">
        <v>84.51</v>
      </c>
      <c r="N15" s="50">
        <v>44.2</v>
      </c>
      <c r="O15" s="50">
        <v>0</v>
      </c>
      <c r="P15" s="50">
        <v>0.65</v>
      </c>
      <c r="Q15" s="50">
        <v>4.3</v>
      </c>
    </row>
    <row r="16" spans="1:21" customFormat="1">
      <c r="A16" s="49">
        <v>45599.333333333336</v>
      </c>
      <c r="B16" s="50">
        <v>5.22</v>
      </c>
      <c r="C16" s="50">
        <v>8.09</v>
      </c>
      <c r="D16" s="50">
        <v>13.98</v>
      </c>
      <c r="E16" s="50">
        <v>10.1</v>
      </c>
      <c r="F16" s="50">
        <v>5.97</v>
      </c>
      <c r="G16" s="50">
        <v>85.89</v>
      </c>
      <c r="H16" s="50">
        <v>30.45</v>
      </c>
      <c r="I16" s="50">
        <v>8.19</v>
      </c>
      <c r="J16" s="50">
        <v>0.3</v>
      </c>
      <c r="K16" s="50">
        <v>155.52000000000001</v>
      </c>
      <c r="L16" s="50">
        <v>25.66</v>
      </c>
      <c r="M16" s="50">
        <v>79.05</v>
      </c>
      <c r="N16" s="50">
        <v>177</v>
      </c>
      <c r="O16" s="50">
        <v>0</v>
      </c>
      <c r="P16" s="50">
        <v>0.64</v>
      </c>
      <c r="Q16" s="50">
        <v>4.3</v>
      </c>
    </row>
    <row r="17" spans="1:17" customFormat="1">
      <c r="A17" s="49">
        <v>45599.375</v>
      </c>
      <c r="B17" s="50">
        <v>5.22</v>
      </c>
      <c r="C17" s="50">
        <v>8.07</v>
      </c>
      <c r="D17" s="50">
        <v>13.96</v>
      </c>
      <c r="E17" s="50">
        <v>10.44</v>
      </c>
      <c r="F17" s="50">
        <v>6.72</v>
      </c>
      <c r="G17" s="50">
        <v>68.349999999999994</v>
      </c>
      <c r="H17" s="50">
        <v>26.51</v>
      </c>
      <c r="I17" s="50">
        <v>8</v>
      </c>
      <c r="J17" s="50">
        <v>0.34</v>
      </c>
      <c r="K17" s="50">
        <v>161.58000000000001</v>
      </c>
      <c r="L17" s="50">
        <v>28.94</v>
      </c>
      <c r="M17" s="50">
        <v>65.849999999999994</v>
      </c>
      <c r="N17" s="50">
        <v>266.8</v>
      </c>
      <c r="O17" s="50">
        <v>0</v>
      </c>
      <c r="P17" s="50">
        <v>0.63</v>
      </c>
      <c r="Q17" s="50">
        <v>4.29</v>
      </c>
    </row>
    <row r="18" spans="1:17" customFormat="1">
      <c r="A18" s="49">
        <v>45599.416666666664</v>
      </c>
      <c r="B18" s="50">
        <v>5.21</v>
      </c>
      <c r="C18" s="50">
        <v>8.08</v>
      </c>
      <c r="D18" s="50">
        <v>13.97</v>
      </c>
      <c r="E18" s="50">
        <v>9.81</v>
      </c>
      <c r="F18" s="50">
        <v>7.8</v>
      </c>
      <c r="G18" s="50">
        <v>67.48</v>
      </c>
      <c r="H18" s="50">
        <v>26.29</v>
      </c>
      <c r="I18" s="50">
        <v>7.55</v>
      </c>
      <c r="J18" s="50">
        <v>0.27</v>
      </c>
      <c r="K18" s="50">
        <v>337.38</v>
      </c>
      <c r="L18" s="50">
        <v>30.49</v>
      </c>
      <c r="M18" s="50">
        <v>50.9</v>
      </c>
      <c r="N18" s="50">
        <v>466.8</v>
      </c>
      <c r="O18" s="50">
        <v>0</v>
      </c>
      <c r="P18" s="50">
        <v>0.61</v>
      </c>
      <c r="Q18" s="50">
        <v>4.29</v>
      </c>
    </row>
    <row r="19" spans="1:17" customFormat="1">
      <c r="A19" s="49">
        <v>45599.458333333336</v>
      </c>
      <c r="B19" s="50">
        <v>5.24</v>
      </c>
      <c r="C19" s="50">
        <v>8.1</v>
      </c>
      <c r="D19" s="50">
        <v>13.99</v>
      </c>
      <c r="E19" s="50">
        <v>11.58</v>
      </c>
      <c r="F19" s="50">
        <v>9.92</v>
      </c>
      <c r="G19" s="50">
        <v>71</v>
      </c>
      <c r="H19" s="50">
        <v>25.48</v>
      </c>
      <c r="I19" s="50">
        <v>7.18</v>
      </c>
      <c r="J19" s="50">
        <v>0.68</v>
      </c>
      <c r="K19" s="50">
        <v>134.43</v>
      </c>
      <c r="L19" s="50">
        <v>31.95</v>
      </c>
      <c r="M19" s="50">
        <v>46.32</v>
      </c>
      <c r="N19" s="50">
        <v>534.29999999999995</v>
      </c>
      <c r="O19" s="50">
        <v>0</v>
      </c>
      <c r="P19" s="50">
        <v>0.6</v>
      </c>
      <c r="Q19" s="50">
        <v>4.3</v>
      </c>
    </row>
    <row r="20" spans="1:17" customFormat="1">
      <c r="A20" s="49">
        <v>45599.5</v>
      </c>
      <c r="B20" s="50">
        <v>5.28</v>
      </c>
      <c r="C20" s="50">
        <v>8.11</v>
      </c>
      <c r="D20" s="50">
        <v>14.04</v>
      </c>
      <c r="E20" s="50">
        <v>13.7</v>
      </c>
      <c r="F20" s="50">
        <v>21.42</v>
      </c>
      <c r="G20" s="50">
        <v>71.86</v>
      </c>
      <c r="H20" s="50">
        <v>27.63</v>
      </c>
      <c r="I20" s="50">
        <v>6.9</v>
      </c>
      <c r="J20" s="50">
        <v>0.66</v>
      </c>
      <c r="K20" s="50">
        <v>87.53</v>
      </c>
      <c r="L20" s="50">
        <v>32.61</v>
      </c>
      <c r="M20" s="50">
        <v>41.74</v>
      </c>
      <c r="N20" s="50">
        <v>547.1</v>
      </c>
      <c r="O20" s="50">
        <v>0</v>
      </c>
      <c r="P20" s="50">
        <v>0.59</v>
      </c>
      <c r="Q20" s="50">
        <v>4.3099999999999996</v>
      </c>
    </row>
    <row r="21" spans="1:17" customFormat="1">
      <c r="A21" s="49">
        <v>45599.541666666664</v>
      </c>
      <c r="B21" s="50">
        <v>5.3</v>
      </c>
      <c r="C21" s="50">
        <v>8.09</v>
      </c>
      <c r="D21" s="50">
        <v>14.04</v>
      </c>
      <c r="E21" s="50">
        <v>12.64</v>
      </c>
      <c r="F21" s="50">
        <v>13.31</v>
      </c>
      <c r="G21" s="50">
        <v>74.09</v>
      </c>
      <c r="H21" s="50">
        <v>27.84</v>
      </c>
      <c r="I21" s="50">
        <v>6.68</v>
      </c>
      <c r="J21" s="50">
        <v>0.26</v>
      </c>
      <c r="K21" s="50">
        <v>182.95</v>
      </c>
      <c r="L21" s="50">
        <v>33.11</v>
      </c>
      <c r="M21" s="50">
        <v>38.19</v>
      </c>
      <c r="N21" s="50">
        <v>551.6</v>
      </c>
      <c r="O21" s="50">
        <v>0</v>
      </c>
      <c r="P21" s="50">
        <v>0.57999999999999996</v>
      </c>
      <c r="Q21" s="50">
        <v>4.29</v>
      </c>
    </row>
    <row r="22" spans="1:17" customFormat="1">
      <c r="A22" s="49">
        <v>45599.583333333336</v>
      </c>
      <c r="B22" s="50">
        <v>5.29</v>
      </c>
      <c r="C22" s="50">
        <v>8.07</v>
      </c>
      <c r="D22" s="50">
        <v>14.02</v>
      </c>
      <c r="E22" s="50">
        <v>15.14</v>
      </c>
      <c r="F22" s="50">
        <v>18.309999999999999</v>
      </c>
      <c r="G22" s="50">
        <v>74.760000000000005</v>
      </c>
      <c r="H22" s="50">
        <v>27.84</v>
      </c>
      <c r="I22" s="50">
        <v>6.38</v>
      </c>
      <c r="J22" s="50">
        <v>0.43</v>
      </c>
      <c r="K22" s="50">
        <v>165.94</v>
      </c>
      <c r="L22" s="50">
        <v>32.51</v>
      </c>
      <c r="M22" s="50">
        <v>40.93</v>
      </c>
      <c r="N22" s="50">
        <v>386.4</v>
      </c>
      <c r="O22" s="50">
        <v>0</v>
      </c>
      <c r="P22" s="50">
        <v>0.56000000000000005</v>
      </c>
      <c r="Q22" s="50">
        <v>4.29</v>
      </c>
    </row>
    <row r="23" spans="1:17" customFormat="1">
      <c r="A23" s="49">
        <v>45599.625</v>
      </c>
      <c r="B23" s="50">
        <v>5.26</v>
      </c>
      <c r="C23" s="50">
        <v>8.08</v>
      </c>
      <c r="D23" s="50">
        <v>14.01</v>
      </c>
      <c r="E23" s="50">
        <v>15.87</v>
      </c>
      <c r="F23" s="50">
        <v>22.6</v>
      </c>
      <c r="G23" s="50">
        <v>74.760000000000005</v>
      </c>
      <c r="H23" s="50">
        <v>26.77</v>
      </c>
      <c r="I23" s="50">
        <v>6.17</v>
      </c>
      <c r="J23" s="50">
        <v>0.25</v>
      </c>
      <c r="K23" s="50">
        <v>285.75</v>
      </c>
      <c r="L23" s="50">
        <v>31.64</v>
      </c>
      <c r="M23" s="50">
        <v>45.39</v>
      </c>
      <c r="N23" s="50">
        <v>173.9</v>
      </c>
      <c r="O23" s="50">
        <v>0</v>
      </c>
      <c r="P23" s="50">
        <v>0.54</v>
      </c>
      <c r="Q23" s="50">
        <v>4.3</v>
      </c>
    </row>
    <row r="24" spans="1:17" customFormat="1">
      <c r="A24" s="49">
        <v>45599.666666666664</v>
      </c>
      <c r="B24" s="50">
        <v>5.26</v>
      </c>
      <c r="C24" s="50">
        <v>8.07</v>
      </c>
      <c r="D24" s="50">
        <v>14</v>
      </c>
      <c r="E24" s="50">
        <v>19.47</v>
      </c>
      <c r="F24" s="50">
        <v>31.77</v>
      </c>
      <c r="G24" s="50">
        <v>71.099999999999994</v>
      </c>
      <c r="H24" s="50">
        <v>28.06</v>
      </c>
      <c r="I24" s="50">
        <v>6.12</v>
      </c>
      <c r="J24" s="50">
        <v>0.28999999999999998</v>
      </c>
      <c r="K24" s="50">
        <v>332.53</v>
      </c>
      <c r="L24" s="50">
        <v>30.84</v>
      </c>
      <c r="M24" s="50">
        <v>47.44</v>
      </c>
      <c r="N24" s="50">
        <v>86.3</v>
      </c>
      <c r="O24" s="50">
        <v>0</v>
      </c>
      <c r="P24" s="50">
        <v>0.59</v>
      </c>
      <c r="Q24" s="50">
        <v>4.3</v>
      </c>
    </row>
    <row r="25" spans="1:17" customFormat="1">
      <c r="A25" s="49">
        <v>45599.708333333336</v>
      </c>
      <c r="B25" s="50">
        <v>5.26</v>
      </c>
      <c r="C25" s="50">
        <v>8.07</v>
      </c>
      <c r="D25" s="50">
        <v>14</v>
      </c>
      <c r="E25" s="50">
        <v>24.16</v>
      </c>
      <c r="F25" s="50">
        <v>29.28</v>
      </c>
      <c r="G25" s="50">
        <v>76.78</v>
      </c>
      <c r="H25" s="50">
        <v>28.06</v>
      </c>
      <c r="I25" s="50">
        <v>6.19</v>
      </c>
      <c r="J25" s="50">
        <v>0.28999999999999998</v>
      </c>
      <c r="K25" s="50">
        <v>182.17</v>
      </c>
      <c r="L25" s="50">
        <v>29.83</v>
      </c>
      <c r="M25" s="50">
        <v>56.07</v>
      </c>
      <c r="N25" s="50">
        <v>37.299999999999997</v>
      </c>
      <c r="O25" s="50">
        <v>0</v>
      </c>
      <c r="P25" s="50">
        <v>0.6</v>
      </c>
      <c r="Q25" s="50">
        <v>4.3099999999999996</v>
      </c>
    </row>
    <row r="26" spans="1:17" customFormat="1">
      <c r="A26" s="49">
        <v>45599.75</v>
      </c>
      <c r="B26" s="50">
        <v>5.25</v>
      </c>
      <c r="C26" s="50">
        <v>8.1</v>
      </c>
      <c r="D26" s="50">
        <v>14</v>
      </c>
      <c r="E26" s="50">
        <v>15.25</v>
      </c>
      <c r="F26" s="50">
        <v>16.95</v>
      </c>
      <c r="G26" s="50">
        <v>76.78</v>
      </c>
      <c r="H26" s="50">
        <v>26.89</v>
      </c>
      <c r="I26" s="50">
        <v>6.26</v>
      </c>
      <c r="J26" s="50">
        <v>0.24</v>
      </c>
      <c r="K26" s="50">
        <v>211.19</v>
      </c>
      <c r="L26" s="50">
        <v>27.79</v>
      </c>
      <c r="M26" s="50">
        <v>64.72</v>
      </c>
      <c r="N26" s="50">
        <v>4.3</v>
      </c>
      <c r="O26" s="50">
        <v>0</v>
      </c>
      <c r="P26" s="50">
        <v>0.59</v>
      </c>
      <c r="Q26" s="50">
        <v>4.29</v>
      </c>
    </row>
    <row r="27" spans="1:17" customFormat="1">
      <c r="A27" s="49">
        <v>45599.791666666664</v>
      </c>
      <c r="B27" s="50">
        <v>5.28</v>
      </c>
      <c r="C27" s="50">
        <v>8.1</v>
      </c>
      <c r="D27" s="50">
        <v>14.02</v>
      </c>
      <c r="E27" s="50">
        <v>12.61</v>
      </c>
      <c r="F27" s="50">
        <v>8.44</v>
      </c>
      <c r="G27" s="50">
        <v>72.930000000000007</v>
      </c>
      <c r="H27" s="50">
        <v>26.89</v>
      </c>
      <c r="I27" s="50">
        <v>6.68</v>
      </c>
      <c r="J27" s="50">
        <v>0.28000000000000003</v>
      </c>
      <c r="K27" s="50">
        <v>201.34</v>
      </c>
      <c r="L27" s="50">
        <v>26.63</v>
      </c>
      <c r="M27" s="50">
        <v>69.930000000000007</v>
      </c>
      <c r="N27" s="50">
        <v>2.1</v>
      </c>
      <c r="O27" s="50">
        <v>0</v>
      </c>
      <c r="P27" s="50">
        <v>0.67</v>
      </c>
      <c r="Q27" s="50">
        <v>4.32</v>
      </c>
    </row>
    <row r="28" spans="1:17" customFormat="1">
      <c r="A28" s="49">
        <v>45599.833333333336</v>
      </c>
      <c r="B28" s="50">
        <v>5.28</v>
      </c>
      <c r="C28" s="50">
        <v>8.09</v>
      </c>
      <c r="D28" s="50">
        <v>14.01</v>
      </c>
      <c r="E28" s="50">
        <v>12.11</v>
      </c>
      <c r="F28" s="50">
        <v>6.57</v>
      </c>
      <c r="G28" s="50">
        <v>82.02</v>
      </c>
      <c r="H28" s="50">
        <v>29.51</v>
      </c>
      <c r="I28" s="50">
        <v>7</v>
      </c>
      <c r="J28" s="50">
        <v>0.2</v>
      </c>
      <c r="K28" s="50">
        <v>204.86</v>
      </c>
      <c r="L28" s="50">
        <v>25.35</v>
      </c>
      <c r="M28" s="50">
        <v>74.959999999999994</v>
      </c>
      <c r="N28" s="50">
        <v>2</v>
      </c>
      <c r="O28" s="50">
        <v>0</v>
      </c>
      <c r="P28" s="50">
        <v>0.69</v>
      </c>
      <c r="Q28" s="50">
        <v>4.29</v>
      </c>
    </row>
    <row r="29" spans="1:17" customFormat="1">
      <c r="A29" s="49">
        <v>45599.875</v>
      </c>
      <c r="B29" s="50">
        <v>5.27</v>
      </c>
      <c r="C29" s="50">
        <v>8.09</v>
      </c>
      <c r="D29" s="50">
        <v>14.02</v>
      </c>
      <c r="E29" s="50">
        <v>11.71</v>
      </c>
      <c r="F29" s="50">
        <v>6.44</v>
      </c>
      <c r="G29" s="50">
        <v>83.83</v>
      </c>
      <c r="H29" s="50">
        <v>30.29</v>
      </c>
      <c r="I29" s="50">
        <v>7.22</v>
      </c>
      <c r="J29" s="50">
        <v>0.17</v>
      </c>
      <c r="K29" s="50">
        <v>141.51</v>
      </c>
      <c r="L29" s="50">
        <v>25.35</v>
      </c>
      <c r="M29" s="50">
        <v>71.319999999999993</v>
      </c>
      <c r="N29" s="50">
        <v>1.6</v>
      </c>
      <c r="O29" s="50">
        <v>0</v>
      </c>
      <c r="P29" s="50">
        <v>0.75</v>
      </c>
      <c r="Q29" s="50">
        <v>4.3</v>
      </c>
    </row>
    <row r="30" spans="1:17" customFormat="1">
      <c r="A30" s="49">
        <v>45599.916666666664</v>
      </c>
      <c r="B30" s="50">
        <v>5.28</v>
      </c>
      <c r="C30" s="50">
        <v>8.08</v>
      </c>
      <c r="D30" s="50">
        <v>14.02</v>
      </c>
      <c r="E30" s="50">
        <v>11.92</v>
      </c>
      <c r="F30" s="50">
        <v>6.15</v>
      </c>
      <c r="G30" s="50">
        <v>85.52</v>
      </c>
      <c r="H30" s="50">
        <v>32.53</v>
      </c>
      <c r="I30" s="50">
        <v>7.84</v>
      </c>
      <c r="J30" s="50">
        <v>0.32</v>
      </c>
      <c r="K30" s="50">
        <v>253.37</v>
      </c>
      <c r="L30" s="50">
        <v>24.92</v>
      </c>
      <c r="M30" s="50">
        <v>80.16</v>
      </c>
      <c r="N30" s="50">
        <v>2</v>
      </c>
      <c r="O30" s="50">
        <v>0</v>
      </c>
      <c r="P30" s="50">
        <v>0.78</v>
      </c>
      <c r="Q30" s="50">
        <v>4.29</v>
      </c>
    </row>
    <row r="31" spans="1:17" customFormat="1">
      <c r="A31" s="49">
        <v>45599.958333333336</v>
      </c>
      <c r="B31" s="50">
        <v>5.3</v>
      </c>
      <c r="C31" s="50">
        <v>8.08</v>
      </c>
      <c r="D31" s="50">
        <v>14.03</v>
      </c>
      <c r="E31" s="50">
        <v>11.92</v>
      </c>
      <c r="F31" s="50">
        <v>5.94</v>
      </c>
      <c r="G31" s="50">
        <v>90.66</v>
      </c>
      <c r="H31" s="50">
        <v>34</v>
      </c>
      <c r="I31" s="50">
        <v>8.0399999999999991</v>
      </c>
      <c r="J31" s="50">
        <v>0.24</v>
      </c>
      <c r="K31" s="50">
        <v>228.45</v>
      </c>
      <c r="L31" s="50">
        <v>23.78</v>
      </c>
      <c r="M31" s="50">
        <v>83.66</v>
      </c>
      <c r="N31" s="50">
        <v>1.7</v>
      </c>
      <c r="O31" s="50">
        <v>0</v>
      </c>
      <c r="P31" s="50">
        <v>0.78</v>
      </c>
      <c r="Q31" s="50">
        <v>4.29</v>
      </c>
    </row>
    <row r="32" spans="1:17" customFormat="1">
      <c r="A32" s="49">
        <v>45600</v>
      </c>
      <c r="B32" s="50">
        <v>5.29</v>
      </c>
      <c r="C32" s="50">
        <v>8.09</v>
      </c>
      <c r="D32" s="50">
        <v>14.03</v>
      </c>
      <c r="E32" s="50">
        <v>12.15</v>
      </c>
      <c r="F32" s="50">
        <v>5.97</v>
      </c>
      <c r="G32" s="50">
        <v>90.66</v>
      </c>
      <c r="H32" s="50">
        <v>34.71</v>
      </c>
      <c r="I32" s="50">
        <v>8.26</v>
      </c>
      <c r="J32" s="50">
        <v>0.21</v>
      </c>
      <c r="K32" s="50">
        <v>252.52</v>
      </c>
      <c r="L32" s="50">
        <v>23.63</v>
      </c>
      <c r="M32" s="50">
        <v>82.38</v>
      </c>
      <c r="N32" s="50">
        <v>1.6</v>
      </c>
      <c r="O32" s="50">
        <v>0</v>
      </c>
      <c r="P32" s="50">
        <v>0.78</v>
      </c>
      <c r="Q32" s="50">
        <v>4.3099999999999996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5.21</v>
      </c>
      <c r="C34" s="40">
        <f t="shared" si="0"/>
        <v>8.06</v>
      </c>
      <c r="D34" s="40">
        <f t="shared" si="0"/>
        <v>13.96</v>
      </c>
      <c r="E34" s="40">
        <f t="shared" si="0"/>
        <v>9.81</v>
      </c>
      <c r="F34" s="40">
        <f t="shared" si="0"/>
        <v>5.8</v>
      </c>
      <c r="G34" s="40">
        <f t="shared" si="0"/>
        <v>58.86</v>
      </c>
      <c r="H34" s="40">
        <f t="shared" si="0"/>
        <v>24.66</v>
      </c>
      <c r="I34" s="40">
        <f t="shared" si="0"/>
        <v>6.12</v>
      </c>
      <c r="J34" s="40">
        <f t="shared" si="0"/>
        <v>0.13</v>
      </c>
      <c r="K34" s="40">
        <f t="shared" si="0"/>
        <v>87.53</v>
      </c>
      <c r="L34" s="40">
        <f t="shared" si="0"/>
        <v>23.42</v>
      </c>
      <c r="M34" s="40">
        <f t="shared" si="0"/>
        <v>38.19</v>
      </c>
      <c r="N34" s="40">
        <f t="shared" si="0"/>
        <v>1.6</v>
      </c>
      <c r="O34" s="40">
        <f t="shared" si="0"/>
        <v>0</v>
      </c>
      <c r="P34" s="40">
        <f t="shared" si="0"/>
        <v>0.54</v>
      </c>
      <c r="Q34" s="40">
        <f t="shared" si="0"/>
        <v>4.29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5.3</v>
      </c>
      <c r="C35" s="33">
        <f t="shared" si="1"/>
        <v>8.16</v>
      </c>
      <c r="D35" s="33">
        <f t="shared" si="1"/>
        <v>14.04</v>
      </c>
      <c r="E35" s="33">
        <f t="shared" si="1"/>
        <v>24.16</v>
      </c>
      <c r="F35" s="33">
        <f t="shared" si="1"/>
        <v>31.77</v>
      </c>
      <c r="G35" s="33">
        <f t="shared" si="1"/>
        <v>104.39</v>
      </c>
      <c r="H35" s="33">
        <f t="shared" si="1"/>
        <v>36.15</v>
      </c>
      <c r="I35" s="33">
        <f t="shared" si="1"/>
        <v>8.26</v>
      </c>
      <c r="J35" s="33">
        <f t="shared" si="1"/>
        <v>0.68</v>
      </c>
      <c r="K35" s="33">
        <f t="shared" si="1"/>
        <v>347.98</v>
      </c>
      <c r="L35" s="33">
        <f t="shared" si="1"/>
        <v>33.11</v>
      </c>
      <c r="M35" s="33">
        <f t="shared" si="1"/>
        <v>86.09</v>
      </c>
      <c r="N35" s="33">
        <f t="shared" si="1"/>
        <v>551.6</v>
      </c>
      <c r="O35" s="33">
        <f t="shared" si="1"/>
        <v>0</v>
      </c>
      <c r="P35" s="33">
        <f t="shared" si="1"/>
        <v>0.78</v>
      </c>
      <c r="Q35" s="33">
        <f t="shared" si="1"/>
        <v>4.32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5.2545833333333345</v>
      </c>
      <c r="C36" s="40">
        <f t="shared" si="2"/>
        <v>8.0891666666666673</v>
      </c>
      <c r="D36" s="40">
        <f t="shared" si="2"/>
        <v>13.999999999999995</v>
      </c>
      <c r="E36" s="40">
        <f t="shared" si="2"/>
        <v>12.63875</v>
      </c>
      <c r="F36" s="40">
        <f t="shared" si="2"/>
        <v>11.078333333333335</v>
      </c>
      <c r="G36" s="40">
        <f t="shared" si="2"/>
        <v>79.396666666666661</v>
      </c>
      <c r="H36" s="40">
        <f t="shared" si="2"/>
        <v>29.419583333333332</v>
      </c>
      <c r="I36" s="40">
        <f t="shared" si="2"/>
        <v>7.1887499999999998</v>
      </c>
      <c r="J36" s="40">
        <f t="shared" si="2"/>
        <v>0.29083333333333339</v>
      </c>
      <c r="K36" s="40">
        <f t="shared" si="2"/>
        <v>215.08250000000001</v>
      </c>
      <c r="L36" s="40">
        <f t="shared" si="2"/>
        <v>27.169583333333335</v>
      </c>
      <c r="M36" s="40">
        <f t="shared" si="2"/>
        <v>66.096666666666678</v>
      </c>
      <c r="N36" s="40">
        <f t="shared" si="2"/>
        <v>137.5</v>
      </c>
      <c r="O36" s="40">
        <f t="shared" si="2"/>
        <v>0</v>
      </c>
      <c r="P36" s="40">
        <f t="shared" si="2"/>
        <v>0.63583333333333325</v>
      </c>
      <c r="Q36" s="40">
        <f t="shared" si="2"/>
        <v>4.2979166666666666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2.8281068589777698E-2</v>
      </c>
      <c r="C37" s="40">
        <f t="shared" ref="C37:Q37" si="3">STDEV(C9:C32)</f>
        <v>1.9981875845846767E-2</v>
      </c>
      <c r="D37" s="40">
        <f t="shared" si="3"/>
        <v>2.3774301068681777E-2</v>
      </c>
      <c r="E37" s="40">
        <f t="shared" si="3"/>
        <v>3.3785851328625767</v>
      </c>
      <c r="F37" s="40">
        <f t="shared" si="3"/>
        <v>7.9432184182848493</v>
      </c>
      <c r="G37" s="40">
        <f t="shared" si="3"/>
        <v>11.585321922932117</v>
      </c>
      <c r="H37" s="40">
        <f t="shared" si="3"/>
        <v>3.288660992438821</v>
      </c>
      <c r="I37" s="40">
        <f t="shared" si="3"/>
        <v>0.72179313247421484</v>
      </c>
      <c r="J37" s="40">
        <f t="shared" si="3"/>
        <v>0.13840446922498287</v>
      </c>
      <c r="K37" s="40">
        <f t="shared" si="3"/>
        <v>64.9908563635652</v>
      </c>
      <c r="L37" s="40">
        <f t="shared" si="3"/>
        <v>3.530854655950721</v>
      </c>
      <c r="M37" s="40">
        <f t="shared" si="3"/>
        <v>15.978205718134095</v>
      </c>
      <c r="N37" s="40">
        <f t="shared" si="3"/>
        <v>202.82020309280998</v>
      </c>
      <c r="O37" s="40">
        <f t="shared" si="3"/>
        <v>0</v>
      </c>
      <c r="P37" s="40">
        <f t="shared" si="3"/>
        <v>7.2226495600068302E-2</v>
      </c>
      <c r="Q37" s="40">
        <f t="shared" si="3"/>
        <v>8.8362724123312274E-3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6.85546875" style="41" customWidth="1"/>
    <col min="2" max="2" width="14.42578125" style="39" customWidth="1"/>
    <col min="3" max="3" width="10.140625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45600.041666666664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45600.041666666664</v>
      </c>
      <c r="B9" s="50">
        <v>5.28</v>
      </c>
      <c r="C9" s="50">
        <v>8.1</v>
      </c>
      <c r="D9" s="50">
        <v>14.02</v>
      </c>
      <c r="E9" s="50">
        <v>11.67</v>
      </c>
      <c r="F9" s="50">
        <v>5.95</v>
      </c>
      <c r="G9" s="50">
        <v>89.15</v>
      </c>
      <c r="H9" s="50">
        <v>37.369999999999997</v>
      </c>
      <c r="I9" s="50">
        <v>8.73</v>
      </c>
      <c r="J9" s="50">
        <v>0.18</v>
      </c>
      <c r="K9" s="50">
        <v>211.23</v>
      </c>
      <c r="L9" s="50">
        <v>23.36</v>
      </c>
      <c r="M9" s="50">
        <v>86.3</v>
      </c>
      <c r="N9" s="50">
        <v>1.8</v>
      </c>
      <c r="O9" s="50">
        <v>0</v>
      </c>
      <c r="P9" s="50">
        <v>0.82</v>
      </c>
      <c r="Q9" s="50">
        <v>4.29</v>
      </c>
    </row>
    <row r="10" spans="1:21" customFormat="1">
      <c r="A10" s="49">
        <v>45600.083333333336</v>
      </c>
      <c r="B10" s="50">
        <v>5.32</v>
      </c>
      <c r="C10" s="50">
        <v>8.08</v>
      </c>
      <c r="D10" s="50">
        <v>14.02</v>
      </c>
      <c r="E10" s="50">
        <v>12.26</v>
      </c>
      <c r="F10" s="50">
        <v>5.76</v>
      </c>
      <c r="G10" s="50">
        <v>101.33</v>
      </c>
      <c r="H10" s="50">
        <v>39.92</v>
      </c>
      <c r="I10" s="50">
        <v>9.4499999999999993</v>
      </c>
      <c r="J10" s="50">
        <v>0.18</v>
      </c>
      <c r="K10" s="50">
        <v>201.36</v>
      </c>
      <c r="L10" s="50">
        <v>22.52</v>
      </c>
      <c r="M10" s="50">
        <v>88.31</v>
      </c>
      <c r="N10" s="50">
        <v>1.7</v>
      </c>
      <c r="O10" s="50">
        <v>0</v>
      </c>
      <c r="P10" s="50">
        <v>0.88</v>
      </c>
      <c r="Q10" s="50">
        <v>4.3</v>
      </c>
    </row>
    <row r="11" spans="1:21" customFormat="1">
      <c r="A11" s="49">
        <v>45600.125</v>
      </c>
      <c r="B11" s="50">
        <v>5.27</v>
      </c>
      <c r="C11" s="50">
        <v>8.08</v>
      </c>
      <c r="D11" s="50">
        <v>14.02</v>
      </c>
      <c r="E11" s="50">
        <v>11.32</v>
      </c>
      <c r="F11" s="50">
        <v>5.85</v>
      </c>
      <c r="G11" s="50">
        <v>111.49</v>
      </c>
      <c r="H11" s="50">
        <v>42.78</v>
      </c>
      <c r="I11" s="50">
        <v>9.9700000000000006</v>
      </c>
      <c r="J11" s="50">
        <v>0.13</v>
      </c>
      <c r="K11" s="50">
        <v>227.78</v>
      </c>
      <c r="L11" s="50">
        <v>22.12</v>
      </c>
      <c r="M11" s="50">
        <v>90.95</v>
      </c>
      <c r="N11" s="50">
        <v>1.6</v>
      </c>
      <c r="O11" s="50">
        <v>0</v>
      </c>
      <c r="P11" s="50">
        <v>0.91</v>
      </c>
      <c r="Q11" s="50">
        <v>4.29</v>
      </c>
    </row>
    <row r="12" spans="1:21" customFormat="1">
      <c r="A12" s="49">
        <v>45600.166666666664</v>
      </c>
      <c r="B12" s="50">
        <v>5.28</v>
      </c>
      <c r="C12" s="50">
        <v>8.11</v>
      </c>
      <c r="D12" s="50">
        <v>14.03</v>
      </c>
      <c r="E12" s="50">
        <v>11.24</v>
      </c>
      <c r="F12" s="50">
        <v>5.77</v>
      </c>
      <c r="G12" s="50">
        <v>111.49</v>
      </c>
      <c r="H12" s="50">
        <v>43.74</v>
      </c>
      <c r="I12" s="50">
        <v>10.199999999999999</v>
      </c>
      <c r="J12" s="50">
        <v>0.19</v>
      </c>
      <c r="K12" s="50">
        <v>219.88</v>
      </c>
      <c r="L12" s="50">
        <v>21.37</v>
      </c>
      <c r="M12" s="50">
        <v>93.12</v>
      </c>
      <c r="N12" s="50">
        <v>1.7</v>
      </c>
      <c r="O12" s="50">
        <v>0</v>
      </c>
      <c r="P12" s="50">
        <v>0.94</v>
      </c>
      <c r="Q12" s="50">
        <v>4.29</v>
      </c>
    </row>
    <row r="13" spans="1:21" customFormat="1">
      <c r="A13" s="49">
        <v>45600.208333333336</v>
      </c>
      <c r="B13" s="50">
        <v>5.26</v>
      </c>
      <c r="C13" s="50">
        <v>8.08</v>
      </c>
      <c r="D13" s="50">
        <v>14</v>
      </c>
      <c r="E13" s="50">
        <v>11.07</v>
      </c>
      <c r="F13" s="50">
        <v>5.7</v>
      </c>
      <c r="G13" s="50">
        <v>109.53</v>
      </c>
      <c r="H13" s="50">
        <v>43.74</v>
      </c>
      <c r="I13" s="50">
        <v>10.3</v>
      </c>
      <c r="J13" s="50">
        <v>0.2</v>
      </c>
      <c r="K13" s="50">
        <v>259.49</v>
      </c>
      <c r="L13" s="50">
        <v>21.17</v>
      </c>
      <c r="M13" s="50">
        <v>90.85</v>
      </c>
      <c r="N13" s="50">
        <v>1.4</v>
      </c>
      <c r="O13" s="50">
        <v>0</v>
      </c>
      <c r="P13" s="50">
        <v>0.95</v>
      </c>
      <c r="Q13" s="50">
        <v>4.29</v>
      </c>
    </row>
    <row r="14" spans="1:21" customFormat="1">
      <c r="A14" s="49">
        <v>45600.25</v>
      </c>
      <c r="B14" s="50">
        <v>5.26</v>
      </c>
      <c r="C14" s="50">
        <v>8.1</v>
      </c>
      <c r="D14" s="50">
        <v>14</v>
      </c>
      <c r="E14" s="50">
        <v>10.82</v>
      </c>
      <c r="F14" s="50">
        <v>5.63</v>
      </c>
      <c r="G14" s="50">
        <v>104.61</v>
      </c>
      <c r="H14" s="50">
        <v>39.56</v>
      </c>
      <c r="I14" s="50">
        <v>10.78</v>
      </c>
      <c r="J14" s="50">
        <v>0.21</v>
      </c>
      <c r="K14" s="50">
        <v>220.38</v>
      </c>
      <c r="L14" s="50">
        <v>20.76</v>
      </c>
      <c r="M14" s="50">
        <v>92.4</v>
      </c>
      <c r="N14" s="50">
        <v>3.3</v>
      </c>
      <c r="O14" s="50">
        <v>0</v>
      </c>
      <c r="P14" s="50">
        <v>0.95</v>
      </c>
      <c r="Q14" s="50">
        <v>4.29</v>
      </c>
    </row>
    <row r="15" spans="1:21" customFormat="1">
      <c r="A15" s="49">
        <v>45600.291666666664</v>
      </c>
      <c r="B15" s="50">
        <v>5.25</v>
      </c>
      <c r="C15" s="50">
        <v>8.07</v>
      </c>
      <c r="D15" s="50">
        <v>14</v>
      </c>
      <c r="E15" s="50">
        <v>10.7</v>
      </c>
      <c r="F15" s="50">
        <v>5.8</v>
      </c>
      <c r="G15" s="50">
        <v>104.61</v>
      </c>
      <c r="H15" s="50">
        <v>38.369999999999997</v>
      </c>
      <c r="I15" s="50">
        <v>11.5</v>
      </c>
      <c r="J15" s="50">
        <v>0.25</v>
      </c>
      <c r="K15" s="50">
        <v>210.04</v>
      </c>
      <c r="L15" s="50">
        <v>21.28</v>
      </c>
      <c r="M15" s="50">
        <v>94.45</v>
      </c>
      <c r="N15" s="50">
        <v>43.7</v>
      </c>
      <c r="O15" s="50">
        <v>0</v>
      </c>
      <c r="P15" s="50">
        <v>0.96</v>
      </c>
      <c r="Q15" s="50">
        <v>4.29</v>
      </c>
    </row>
    <row r="16" spans="1:21" customFormat="1">
      <c r="A16" s="49">
        <v>45600.333333333336</v>
      </c>
      <c r="B16" s="50">
        <v>5.26</v>
      </c>
      <c r="C16" s="50">
        <v>8.08</v>
      </c>
      <c r="D16" s="50">
        <v>14</v>
      </c>
      <c r="E16" s="50">
        <v>10.91</v>
      </c>
      <c r="F16" s="50">
        <v>5.94</v>
      </c>
      <c r="G16" s="50">
        <v>104.54</v>
      </c>
      <c r="H16" s="50">
        <v>37.049999999999997</v>
      </c>
      <c r="I16" s="50">
        <v>11.75</v>
      </c>
      <c r="J16" s="50">
        <v>0.28000000000000003</v>
      </c>
      <c r="K16" s="50">
        <v>258.64</v>
      </c>
      <c r="L16" s="50">
        <v>23.84</v>
      </c>
      <c r="M16" s="50">
        <v>86.76</v>
      </c>
      <c r="N16" s="50">
        <v>196.6</v>
      </c>
      <c r="O16" s="50">
        <v>0</v>
      </c>
      <c r="P16" s="50">
        <v>0.96</v>
      </c>
      <c r="Q16" s="50">
        <v>4.3</v>
      </c>
    </row>
    <row r="17" spans="1:17" customFormat="1">
      <c r="A17" s="49">
        <v>45600.375</v>
      </c>
      <c r="B17" s="50">
        <v>5.27</v>
      </c>
      <c r="C17" s="50">
        <v>8.08</v>
      </c>
      <c r="D17" s="50">
        <v>14.01</v>
      </c>
      <c r="E17" s="50">
        <v>10.62</v>
      </c>
      <c r="F17" s="50">
        <v>6.17</v>
      </c>
      <c r="G17" s="50">
        <v>96.05</v>
      </c>
      <c r="H17" s="50">
        <v>36.81</v>
      </c>
      <c r="I17" s="50">
        <v>11.5</v>
      </c>
      <c r="J17" s="50">
        <v>0.44</v>
      </c>
      <c r="K17" s="50">
        <v>268.72000000000003</v>
      </c>
      <c r="L17" s="50">
        <v>27.14</v>
      </c>
      <c r="M17" s="50">
        <v>76.67</v>
      </c>
      <c r="N17" s="50">
        <v>312.39999999999998</v>
      </c>
      <c r="O17" s="50">
        <v>0</v>
      </c>
      <c r="P17" s="50">
        <v>0.9</v>
      </c>
      <c r="Q17" s="50">
        <v>4.29</v>
      </c>
    </row>
    <row r="18" spans="1:17" customFormat="1">
      <c r="A18" s="49">
        <v>45600.416666666664</v>
      </c>
      <c r="B18" s="50">
        <v>5.27</v>
      </c>
      <c r="C18" s="50">
        <v>8.07</v>
      </c>
      <c r="D18" s="50">
        <v>14</v>
      </c>
      <c r="E18" s="50">
        <v>10.26</v>
      </c>
      <c r="F18" s="50">
        <v>8.19</v>
      </c>
      <c r="G18" s="50">
        <v>92.17</v>
      </c>
      <c r="H18" s="50">
        <v>34.9</v>
      </c>
      <c r="I18" s="50">
        <v>11.37</v>
      </c>
      <c r="J18" s="50">
        <v>0.53</v>
      </c>
      <c r="K18" s="50">
        <v>272.98</v>
      </c>
      <c r="L18" s="50">
        <v>30.02</v>
      </c>
      <c r="M18" s="50">
        <v>60.55</v>
      </c>
      <c r="N18" s="50">
        <v>505.9</v>
      </c>
      <c r="O18" s="50">
        <v>0</v>
      </c>
      <c r="P18" s="50">
        <v>0.85</v>
      </c>
      <c r="Q18" s="50">
        <v>4.32</v>
      </c>
    </row>
    <row r="19" spans="1:17" customFormat="1">
      <c r="A19" s="49">
        <v>45600.458333333336</v>
      </c>
      <c r="B19" s="50">
        <v>5.27</v>
      </c>
      <c r="C19" s="50">
        <v>8.08</v>
      </c>
      <c r="D19" s="50">
        <v>13.99</v>
      </c>
      <c r="E19" s="50">
        <v>11.09</v>
      </c>
      <c r="F19" s="50">
        <v>8.85</v>
      </c>
      <c r="G19" s="50">
        <v>83.31</v>
      </c>
      <c r="H19" s="50">
        <v>34.29</v>
      </c>
      <c r="I19" s="50">
        <v>11.29</v>
      </c>
      <c r="J19" s="50">
        <v>0.37</v>
      </c>
      <c r="K19" s="50">
        <v>271.44</v>
      </c>
      <c r="L19" s="50">
        <v>31.8</v>
      </c>
      <c r="M19" s="50">
        <v>48.2</v>
      </c>
      <c r="N19" s="50">
        <v>576.29999999999995</v>
      </c>
      <c r="O19" s="50">
        <v>0</v>
      </c>
      <c r="P19" s="50">
        <v>0.82</v>
      </c>
      <c r="Q19" s="50">
        <v>4.32</v>
      </c>
    </row>
    <row r="20" spans="1:17" customFormat="1">
      <c r="A20" s="49">
        <v>45600.5</v>
      </c>
      <c r="B20" s="50">
        <v>5.22</v>
      </c>
      <c r="C20" s="50">
        <v>8.0500000000000007</v>
      </c>
      <c r="D20" s="50">
        <v>13.95</v>
      </c>
      <c r="E20" s="50">
        <v>10.77</v>
      </c>
      <c r="F20" s="50">
        <v>9.44</v>
      </c>
      <c r="G20" s="50">
        <v>76.349999999999994</v>
      </c>
      <c r="H20" s="50">
        <v>27.41</v>
      </c>
      <c r="I20" s="50">
        <v>10.9</v>
      </c>
      <c r="J20" s="50">
        <v>0.34</v>
      </c>
      <c r="K20" s="50">
        <v>287.12</v>
      </c>
      <c r="L20" s="50">
        <v>32.31</v>
      </c>
      <c r="M20" s="50">
        <v>35.5</v>
      </c>
      <c r="N20" s="50">
        <v>603.70000000000005</v>
      </c>
      <c r="O20" s="50">
        <v>0</v>
      </c>
      <c r="P20" s="50">
        <v>0.76</v>
      </c>
      <c r="Q20" s="50">
        <v>4.32</v>
      </c>
    </row>
    <row r="21" spans="1:17" customFormat="1">
      <c r="A21" s="49">
        <v>45600.541666666664</v>
      </c>
      <c r="B21" s="50">
        <v>5.26</v>
      </c>
      <c r="C21" s="50">
        <v>8.07</v>
      </c>
      <c r="D21" s="50">
        <v>14</v>
      </c>
      <c r="E21" s="50">
        <v>10.87</v>
      </c>
      <c r="F21" s="50">
        <v>12.28</v>
      </c>
      <c r="G21" s="50">
        <v>65.989999999999995</v>
      </c>
      <c r="H21" s="50">
        <v>24.42</v>
      </c>
      <c r="I21" s="50">
        <v>10.25</v>
      </c>
      <c r="J21" s="50">
        <v>0.34</v>
      </c>
      <c r="K21" s="50">
        <v>359.3</v>
      </c>
      <c r="L21" s="50">
        <v>32.69</v>
      </c>
      <c r="M21" s="50">
        <v>33.590000000000003</v>
      </c>
      <c r="N21" s="50">
        <v>530</v>
      </c>
      <c r="O21" s="50">
        <v>0</v>
      </c>
      <c r="P21" s="50">
        <v>0.73</v>
      </c>
      <c r="Q21" s="50">
        <v>4.29</v>
      </c>
    </row>
    <row r="22" spans="1:17" customFormat="1">
      <c r="A22" s="49">
        <v>45600.583333333336</v>
      </c>
      <c r="B22" s="50">
        <v>5.26</v>
      </c>
      <c r="C22" s="50">
        <v>8.09</v>
      </c>
      <c r="D22" s="50">
        <v>14.01</v>
      </c>
      <c r="E22" s="50">
        <v>13.4</v>
      </c>
      <c r="F22" s="50">
        <v>20.2</v>
      </c>
      <c r="G22" s="50">
        <v>63.12</v>
      </c>
      <c r="H22" s="50">
        <v>22.07</v>
      </c>
      <c r="I22" s="50">
        <v>9.6300000000000008</v>
      </c>
      <c r="J22" s="50">
        <v>0.59</v>
      </c>
      <c r="K22" s="50">
        <v>356.43</v>
      </c>
      <c r="L22" s="50">
        <v>32.549999999999997</v>
      </c>
      <c r="M22" s="50">
        <v>32.15</v>
      </c>
      <c r="N22" s="50">
        <v>418</v>
      </c>
      <c r="O22" s="50">
        <v>0</v>
      </c>
      <c r="P22" s="50">
        <v>0.7</v>
      </c>
      <c r="Q22" s="50">
        <v>4.3</v>
      </c>
    </row>
    <row r="23" spans="1:17" customFormat="1">
      <c r="A23" s="49">
        <v>45600.625</v>
      </c>
      <c r="B23" s="50">
        <v>5.24</v>
      </c>
      <c r="C23" s="50">
        <v>8.09</v>
      </c>
      <c r="D23" s="50">
        <v>14</v>
      </c>
      <c r="E23" s="50">
        <v>14.37</v>
      </c>
      <c r="F23" s="50">
        <v>22.78</v>
      </c>
      <c r="G23" s="50">
        <v>63.23</v>
      </c>
      <c r="H23" s="50">
        <v>22.07</v>
      </c>
      <c r="I23" s="50">
        <v>8.9600000000000009</v>
      </c>
      <c r="J23" s="50">
        <v>0.67</v>
      </c>
      <c r="K23" s="50">
        <v>352.45</v>
      </c>
      <c r="L23" s="50">
        <v>31.86</v>
      </c>
      <c r="M23" s="50">
        <v>30.22</v>
      </c>
      <c r="N23" s="50">
        <v>113.8</v>
      </c>
      <c r="O23" s="50">
        <v>0</v>
      </c>
      <c r="P23" s="50">
        <v>0.7</v>
      </c>
      <c r="Q23" s="50">
        <v>4.29</v>
      </c>
    </row>
    <row r="24" spans="1:17" customFormat="1">
      <c r="A24" s="49">
        <v>45600.666666666664</v>
      </c>
      <c r="B24" s="50">
        <v>5.23</v>
      </c>
      <c r="C24" s="50">
        <v>8.1</v>
      </c>
      <c r="D24" s="50">
        <v>13.98</v>
      </c>
      <c r="E24" s="50">
        <v>12.97</v>
      </c>
      <c r="F24" s="50">
        <v>18.52</v>
      </c>
      <c r="G24" s="50">
        <v>66.98</v>
      </c>
      <c r="H24" s="50">
        <v>20.21</v>
      </c>
      <c r="I24" s="50">
        <v>8.2899999999999991</v>
      </c>
      <c r="J24" s="50">
        <v>0.55000000000000004</v>
      </c>
      <c r="K24" s="50">
        <v>35.31</v>
      </c>
      <c r="L24" s="50">
        <v>31.33</v>
      </c>
      <c r="M24" s="50">
        <v>31.55</v>
      </c>
      <c r="N24" s="50">
        <v>67.099999999999994</v>
      </c>
      <c r="O24" s="50">
        <v>0</v>
      </c>
      <c r="P24" s="50">
        <v>0.7</v>
      </c>
      <c r="Q24" s="50">
        <v>4.29</v>
      </c>
    </row>
    <row r="25" spans="1:17" customFormat="1">
      <c r="A25" s="49">
        <v>45600.708333333336</v>
      </c>
      <c r="B25" s="50">
        <v>5.24</v>
      </c>
      <c r="C25" s="50">
        <v>8.09</v>
      </c>
      <c r="D25" s="50">
        <v>13.98</v>
      </c>
      <c r="E25" s="50">
        <v>10.74</v>
      </c>
      <c r="F25" s="50">
        <v>15.91</v>
      </c>
      <c r="G25" s="50">
        <v>66.98</v>
      </c>
      <c r="H25" s="50">
        <v>20.21</v>
      </c>
      <c r="I25" s="50">
        <v>7.61</v>
      </c>
      <c r="J25" s="50">
        <v>0.48</v>
      </c>
      <c r="K25" s="50">
        <v>165.56</v>
      </c>
      <c r="L25" s="50">
        <v>30.52</v>
      </c>
      <c r="M25" s="50">
        <v>48.68</v>
      </c>
      <c r="N25" s="50">
        <v>34.700000000000003</v>
      </c>
      <c r="O25" s="50">
        <v>0</v>
      </c>
      <c r="P25" s="50">
        <v>0.68</v>
      </c>
      <c r="Q25" s="50">
        <v>4.3</v>
      </c>
    </row>
    <row r="26" spans="1:17" customFormat="1">
      <c r="A26" s="49">
        <v>45600.75</v>
      </c>
      <c r="B26" s="50">
        <v>5.24</v>
      </c>
      <c r="C26" s="50">
        <v>8.1</v>
      </c>
      <c r="D26" s="50">
        <v>13.99</v>
      </c>
      <c r="E26" s="50">
        <v>10.29</v>
      </c>
      <c r="F26" s="50">
        <v>9.4700000000000006</v>
      </c>
      <c r="G26" s="50">
        <v>74.94</v>
      </c>
      <c r="H26" s="50">
        <v>21.88</v>
      </c>
      <c r="I26" s="50">
        <v>7.41</v>
      </c>
      <c r="J26" s="50">
        <v>0.37</v>
      </c>
      <c r="K26" s="50">
        <v>187.46</v>
      </c>
      <c r="L26" s="50">
        <v>27.54</v>
      </c>
      <c r="M26" s="50">
        <v>68.98</v>
      </c>
      <c r="N26" s="50">
        <v>4.5</v>
      </c>
      <c r="O26" s="50">
        <v>0</v>
      </c>
      <c r="P26" s="50">
        <v>0.7</v>
      </c>
      <c r="Q26" s="50">
        <v>4.3</v>
      </c>
    </row>
    <row r="27" spans="1:17" customFormat="1">
      <c r="A27" s="49">
        <v>45600.791666666664</v>
      </c>
      <c r="B27" s="50">
        <v>5.26</v>
      </c>
      <c r="C27" s="50">
        <v>8.07</v>
      </c>
      <c r="D27" s="50">
        <v>14</v>
      </c>
      <c r="E27" s="50">
        <v>9.36</v>
      </c>
      <c r="F27" s="50">
        <v>6.38</v>
      </c>
      <c r="G27" s="50">
        <v>76.489999999999995</v>
      </c>
      <c r="H27" s="50">
        <v>23.91</v>
      </c>
      <c r="I27" s="50">
        <v>7.7</v>
      </c>
      <c r="J27" s="50">
        <v>0.18</v>
      </c>
      <c r="K27" s="50">
        <v>217.98</v>
      </c>
      <c r="L27" s="50">
        <v>25.17</v>
      </c>
      <c r="M27" s="50">
        <v>70.42</v>
      </c>
      <c r="N27" s="50">
        <v>1.8</v>
      </c>
      <c r="O27" s="50">
        <v>0</v>
      </c>
      <c r="P27" s="50">
        <v>0.72</v>
      </c>
      <c r="Q27" s="50">
        <v>4.3</v>
      </c>
    </row>
    <row r="28" spans="1:17" customFormat="1">
      <c r="A28" s="49">
        <v>45600.833333333336</v>
      </c>
      <c r="B28" s="50">
        <v>5.25</v>
      </c>
      <c r="C28" s="50">
        <v>8.08</v>
      </c>
      <c r="D28" s="50">
        <v>13.99</v>
      </c>
      <c r="E28" s="50">
        <v>9.8699999999999992</v>
      </c>
      <c r="F28" s="50">
        <v>6.19</v>
      </c>
      <c r="G28" s="50">
        <v>78.099999999999994</v>
      </c>
      <c r="H28" s="50">
        <v>23.91</v>
      </c>
      <c r="I28" s="50">
        <v>7.73</v>
      </c>
      <c r="J28" s="50">
        <v>0.16</v>
      </c>
      <c r="K28" s="50">
        <v>213.9</v>
      </c>
      <c r="L28" s="50">
        <v>24.32</v>
      </c>
      <c r="M28" s="50">
        <v>76.87</v>
      </c>
      <c r="N28" s="50">
        <v>1.6</v>
      </c>
      <c r="O28" s="50">
        <v>0</v>
      </c>
      <c r="P28" s="50">
        <v>0.71</v>
      </c>
      <c r="Q28" s="50">
        <v>4.3</v>
      </c>
    </row>
    <row r="29" spans="1:17" customFormat="1">
      <c r="A29" s="49">
        <v>45600.875</v>
      </c>
      <c r="B29" s="50">
        <v>5.26</v>
      </c>
      <c r="C29" s="50">
        <v>8.08</v>
      </c>
      <c r="D29" s="50">
        <v>13.99</v>
      </c>
      <c r="E29" s="50">
        <v>10.07</v>
      </c>
      <c r="F29" s="50">
        <v>5.89</v>
      </c>
      <c r="G29" s="50">
        <v>78.099999999999994</v>
      </c>
      <c r="H29" s="50">
        <v>20.49</v>
      </c>
      <c r="I29" s="50">
        <v>7.94</v>
      </c>
      <c r="J29" s="50">
        <v>0.3</v>
      </c>
      <c r="K29" s="50">
        <v>255.66</v>
      </c>
      <c r="L29" s="50">
        <v>23.75</v>
      </c>
      <c r="M29" s="50">
        <v>75</v>
      </c>
      <c r="N29" s="50">
        <v>1.7</v>
      </c>
      <c r="O29" s="50">
        <v>0</v>
      </c>
      <c r="P29" s="50">
        <v>0.73</v>
      </c>
      <c r="Q29" s="50">
        <v>4.29</v>
      </c>
    </row>
    <row r="30" spans="1:17" customFormat="1">
      <c r="A30" s="49">
        <v>45600.916666666664</v>
      </c>
      <c r="B30" s="50">
        <v>5.27</v>
      </c>
      <c r="C30" s="50">
        <v>8.08</v>
      </c>
      <c r="D30" s="50">
        <v>14.02</v>
      </c>
      <c r="E30" s="50">
        <v>10.31</v>
      </c>
      <c r="F30" s="50">
        <v>5.83</v>
      </c>
      <c r="G30" s="50">
        <v>82.61</v>
      </c>
      <c r="H30" s="50">
        <v>22.83</v>
      </c>
      <c r="I30" s="50">
        <v>8.41</v>
      </c>
      <c r="J30" s="50">
        <v>0.2</v>
      </c>
      <c r="K30" s="50">
        <v>184.95</v>
      </c>
      <c r="L30" s="50">
        <v>23.56</v>
      </c>
      <c r="M30" s="50">
        <v>71.97</v>
      </c>
      <c r="N30" s="50">
        <v>1.6</v>
      </c>
      <c r="O30" s="50">
        <v>0</v>
      </c>
      <c r="P30" s="50">
        <v>0.77</v>
      </c>
      <c r="Q30" s="50">
        <v>4.3</v>
      </c>
    </row>
    <row r="31" spans="1:17" customFormat="1">
      <c r="A31" s="49">
        <v>45600.958333333336</v>
      </c>
      <c r="B31" s="50">
        <v>5.28</v>
      </c>
      <c r="C31" s="50">
        <v>8.07</v>
      </c>
      <c r="D31" s="50">
        <v>14</v>
      </c>
      <c r="E31" s="50">
        <v>10.33</v>
      </c>
      <c r="F31" s="50">
        <v>5.98</v>
      </c>
      <c r="G31" s="50">
        <v>87.04</v>
      </c>
      <c r="H31" s="50">
        <v>24.18</v>
      </c>
      <c r="I31" s="50">
        <v>8.9600000000000009</v>
      </c>
      <c r="J31" s="50">
        <v>0.23</v>
      </c>
      <c r="K31" s="50">
        <v>176.46</v>
      </c>
      <c r="L31" s="50">
        <v>23.24</v>
      </c>
      <c r="M31" s="50">
        <v>81.180000000000007</v>
      </c>
      <c r="N31" s="50">
        <v>1.7</v>
      </c>
      <c r="O31" s="50">
        <v>0</v>
      </c>
      <c r="P31" s="50">
        <v>0.83</v>
      </c>
      <c r="Q31" s="50">
        <v>4.3099999999999996</v>
      </c>
    </row>
    <row r="32" spans="1:17" customFormat="1">
      <c r="A32" s="49">
        <v>45601</v>
      </c>
      <c r="B32" s="50">
        <v>5.27</v>
      </c>
      <c r="C32" s="50">
        <v>8.1</v>
      </c>
      <c r="D32" s="50">
        <v>14.02</v>
      </c>
      <c r="E32" s="50">
        <v>10.59</v>
      </c>
      <c r="F32" s="50">
        <v>5.78</v>
      </c>
      <c r="G32" s="50">
        <v>87.04</v>
      </c>
      <c r="H32" s="50">
        <v>24.48</v>
      </c>
      <c r="I32" s="50">
        <v>9.4600000000000009</v>
      </c>
      <c r="J32" s="50">
        <v>0.46</v>
      </c>
      <c r="K32" s="50">
        <v>192.61</v>
      </c>
      <c r="L32" s="50">
        <v>23.28</v>
      </c>
      <c r="M32" s="50">
        <v>81.89</v>
      </c>
      <c r="N32" s="50">
        <v>1.6</v>
      </c>
      <c r="O32" s="50">
        <v>0</v>
      </c>
      <c r="P32" s="50">
        <v>0.85</v>
      </c>
      <c r="Q32" s="50">
        <v>4.3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5.22</v>
      </c>
      <c r="C34" s="40">
        <f t="shared" si="0"/>
        <v>8.0500000000000007</v>
      </c>
      <c r="D34" s="40">
        <f t="shared" si="0"/>
        <v>13.95</v>
      </c>
      <c r="E34" s="40">
        <f t="shared" si="0"/>
        <v>9.36</v>
      </c>
      <c r="F34" s="40">
        <f t="shared" si="0"/>
        <v>5.63</v>
      </c>
      <c r="G34" s="40">
        <f t="shared" si="0"/>
        <v>63.12</v>
      </c>
      <c r="H34" s="40">
        <f t="shared" si="0"/>
        <v>20.21</v>
      </c>
      <c r="I34" s="40">
        <f t="shared" si="0"/>
        <v>7.41</v>
      </c>
      <c r="J34" s="40">
        <f t="shared" si="0"/>
        <v>0.13</v>
      </c>
      <c r="K34" s="40">
        <f t="shared" si="0"/>
        <v>35.31</v>
      </c>
      <c r="L34" s="40">
        <f t="shared" si="0"/>
        <v>20.76</v>
      </c>
      <c r="M34" s="40">
        <f t="shared" si="0"/>
        <v>30.22</v>
      </c>
      <c r="N34" s="40">
        <f t="shared" si="0"/>
        <v>1.4</v>
      </c>
      <c r="O34" s="40">
        <f t="shared" si="0"/>
        <v>0</v>
      </c>
      <c r="P34" s="40">
        <f t="shared" si="0"/>
        <v>0.68</v>
      </c>
      <c r="Q34" s="40">
        <f t="shared" si="0"/>
        <v>4.29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5.32</v>
      </c>
      <c r="C35" s="33">
        <f t="shared" si="1"/>
        <v>8.11</v>
      </c>
      <c r="D35" s="33">
        <f t="shared" si="1"/>
        <v>14.03</v>
      </c>
      <c r="E35" s="33">
        <f t="shared" si="1"/>
        <v>14.37</v>
      </c>
      <c r="F35" s="33">
        <f t="shared" si="1"/>
        <v>22.78</v>
      </c>
      <c r="G35" s="33">
        <f t="shared" si="1"/>
        <v>111.49</v>
      </c>
      <c r="H35" s="33">
        <f t="shared" si="1"/>
        <v>43.74</v>
      </c>
      <c r="I35" s="33">
        <f t="shared" si="1"/>
        <v>11.75</v>
      </c>
      <c r="J35" s="33">
        <f t="shared" si="1"/>
        <v>0.67</v>
      </c>
      <c r="K35" s="33">
        <f t="shared" si="1"/>
        <v>359.3</v>
      </c>
      <c r="L35" s="33">
        <f t="shared" si="1"/>
        <v>32.69</v>
      </c>
      <c r="M35" s="33">
        <f t="shared" si="1"/>
        <v>94.45</v>
      </c>
      <c r="N35" s="33">
        <f t="shared" si="1"/>
        <v>603.70000000000005</v>
      </c>
      <c r="O35" s="33">
        <f t="shared" si="1"/>
        <v>0</v>
      </c>
      <c r="P35" s="33">
        <f t="shared" si="1"/>
        <v>0.96</v>
      </c>
      <c r="Q35" s="33">
        <f t="shared" si="1"/>
        <v>4.32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5.2612499999999995</v>
      </c>
      <c r="C36" s="40">
        <f t="shared" si="2"/>
        <v>8.0833333333333339</v>
      </c>
      <c r="D36" s="40">
        <f t="shared" si="2"/>
        <v>14.000833333333333</v>
      </c>
      <c r="E36" s="40">
        <f t="shared" si="2"/>
        <v>11.079166666666667</v>
      </c>
      <c r="F36" s="40">
        <f t="shared" si="2"/>
        <v>8.9275000000000002</v>
      </c>
      <c r="G36" s="40">
        <f t="shared" si="2"/>
        <v>86.468749999999986</v>
      </c>
      <c r="H36" s="40">
        <f t="shared" si="2"/>
        <v>30.275000000000006</v>
      </c>
      <c r="I36" s="40">
        <f t="shared" si="2"/>
        <v>9.5870833333333341</v>
      </c>
      <c r="J36" s="40">
        <f t="shared" si="2"/>
        <v>0.32624999999999998</v>
      </c>
      <c r="K36" s="40">
        <f t="shared" si="2"/>
        <v>233.6304166666666</v>
      </c>
      <c r="L36" s="40">
        <f t="shared" si="2"/>
        <v>26.145833333333332</v>
      </c>
      <c r="M36" s="40">
        <f t="shared" si="2"/>
        <v>68.606666666666669</v>
      </c>
      <c r="N36" s="40">
        <f t="shared" si="2"/>
        <v>142.84166666666664</v>
      </c>
      <c r="O36" s="40">
        <f t="shared" si="2"/>
        <v>0</v>
      </c>
      <c r="P36" s="40">
        <f t="shared" si="2"/>
        <v>0.81333333333333313</v>
      </c>
      <c r="Q36" s="40">
        <f t="shared" si="2"/>
        <v>4.2983333333333329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2.0067819794495543E-2</v>
      </c>
      <c r="C37" s="40">
        <f t="shared" ref="C37:Q37" si="3">STDEV(C9:C32)</f>
        <v>1.3726099121798632E-2</v>
      </c>
      <c r="D37" s="40">
        <f t="shared" si="3"/>
        <v>1.7173454405910282E-2</v>
      </c>
      <c r="E37" s="40">
        <f t="shared" si="3"/>
        <v>1.1505269744080642</v>
      </c>
      <c r="F37" s="40">
        <f t="shared" si="3"/>
        <v>5.1474664515240143</v>
      </c>
      <c r="G37" s="40">
        <f t="shared" si="3"/>
        <v>15.996945445520524</v>
      </c>
      <c r="H37" s="40">
        <f t="shared" si="3"/>
        <v>8.5804631475280502</v>
      </c>
      <c r="I37" s="40">
        <f t="shared" si="3"/>
        <v>1.4094293608366417</v>
      </c>
      <c r="J37" s="40">
        <f t="shared" si="3"/>
        <v>0.1546612708329147</v>
      </c>
      <c r="K37" s="40">
        <f t="shared" si="3"/>
        <v>69.279051509671675</v>
      </c>
      <c r="L37" s="40">
        <f t="shared" si="3"/>
        <v>4.3060118910422363</v>
      </c>
      <c r="M37" s="40">
        <f t="shared" si="3"/>
        <v>22.611671604585588</v>
      </c>
      <c r="N37" s="40">
        <f t="shared" si="3"/>
        <v>216.22429159408134</v>
      </c>
      <c r="O37" s="40">
        <f t="shared" si="3"/>
        <v>0</v>
      </c>
      <c r="P37" s="40">
        <f t="shared" si="3"/>
        <v>9.9549710836026206E-2</v>
      </c>
      <c r="Q37" s="40">
        <f t="shared" si="3"/>
        <v>1.0072203103706732E-2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45601.041666666664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45601.041666666664</v>
      </c>
      <c r="B9" s="50">
        <v>5.27</v>
      </c>
      <c r="C9" s="50">
        <v>8.07</v>
      </c>
      <c r="D9" s="50">
        <v>13.98</v>
      </c>
      <c r="E9" s="50">
        <v>10.25</v>
      </c>
      <c r="F9" s="50">
        <v>5.82</v>
      </c>
      <c r="G9" s="50">
        <v>82.3</v>
      </c>
      <c r="H9" s="50">
        <v>24.48</v>
      </c>
      <c r="I9" s="50">
        <v>9.5399999999999991</v>
      </c>
      <c r="J9" s="50">
        <v>0.42</v>
      </c>
      <c r="K9" s="50">
        <v>249.24</v>
      </c>
      <c r="L9" s="50">
        <v>23.54</v>
      </c>
      <c r="M9" s="50">
        <v>72.38</v>
      </c>
      <c r="N9" s="50">
        <v>2</v>
      </c>
      <c r="O9" s="50">
        <v>0</v>
      </c>
      <c r="P9" s="50">
        <v>0.86</v>
      </c>
      <c r="Q9" s="50">
        <v>4.3</v>
      </c>
    </row>
    <row r="10" spans="1:21" customFormat="1">
      <c r="A10" s="49">
        <v>45601.083333333336</v>
      </c>
      <c r="B10" s="50">
        <v>5.23</v>
      </c>
      <c r="C10" s="50">
        <v>8.07</v>
      </c>
      <c r="D10" s="50">
        <v>13.97</v>
      </c>
      <c r="E10" s="50">
        <v>10.01</v>
      </c>
      <c r="F10" s="50">
        <v>5.75</v>
      </c>
      <c r="G10" s="50">
        <v>78.23</v>
      </c>
      <c r="H10" s="50">
        <v>22.06</v>
      </c>
      <c r="I10" s="50">
        <v>9.49</v>
      </c>
      <c r="J10" s="50">
        <v>0.22</v>
      </c>
      <c r="K10" s="50">
        <v>325.5</v>
      </c>
      <c r="L10" s="50">
        <v>22.45</v>
      </c>
      <c r="M10" s="50">
        <v>77.94</v>
      </c>
      <c r="N10" s="50">
        <v>2.1</v>
      </c>
      <c r="O10" s="50">
        <v>0</v>
      </c>
      <c r="P10" s="50">
        <v>0.82</v>
      </c>
      <c r="Q10" s="50">
        <v>4.3</v>
      </c>
    </row>
    <row r="11" spans="1:21" customFormat="1">
      <c r="A11" s="49">
        <v>45601.125</v>
      </c>
      <c r="B11" s="50">
        <v>5.23</v>
      </c>
      <c r="C11" s="50">
        <v>8.1</v>
      </c>
      <c r="D11" s="50">
        <v>13.98</v>
      </c>
      <c r="E11" s="50">
        <v>9.4499999999999993</v>
      </c>
      <c r="F11" s="50">
        <v>5.9</v>
      </c>
      <c r="G11" s="50">
        <v>77.819999999999993</v>
      </c>
      <c r="H11" s="50">
        <v>24.62</v>
      </c>
      <c r="I11" s="50">
        <v>9.8800000000000008</v>
      </c>
      <c r="J11" s="50">
        <v>0.26</v>
      </c>
      <c r="K11" s="50">
        <v>238.13</v>
      </c>
      <c r="L11" s="50">
        <v>22.6</v>
      </c>
      <c r="M11" s="50">
        <v>82.99</v>
      </c>
      <c r="N11" s="50">
        <v>2</v>
      </c>
      <c r="O11" s="50">
        <v>0</v>
      </c>
      <c r="P11" s="50">
        <v>0.8</v>
      </c>
      <c r="Q11" s="50">
        <v>4.3</v>
      </c>
    </row>
    <row r="12" spans="1:21" customFormat="1">
      <c r="A12" s="49">
        <v>45601.166666666664</v>
      </c>
      <c r="B12" s="50">
        <v>5.25</v>
      </c>
      <c r="C12" s="50">
        <v>8.07</v>
      </c>
      <c r="D12" s="50">
        <v>13.99</v>
      </c>
      <c r="E12" s="50">
        <v>9.43</v>
      </c>
      <c r="F12" s="50">
        <v>5.72</v>
      </c>
      <c r="G12" s="50">
        <v>75.72</v>
      </c>
      <c r="H12" s="50">
        <v>24.62</v>
      </c>
      <c r="I12" s="50">
        <v>10.199999999999999</v>
      </c>
      <c r="J12" s="50">
        <v>0.22</v>
      </c>
      <c r="K12" s="50">
        <v>317.63</v>
      </c>
      <c r="L12" s="50">
        <v>21.28</v>
      </c>
      <c r="M12" s="50">
        <v>84.05</v>
      </c>
      <c r="N12" s="50">
        <v>1.6</v>
      </c>
      <c r="O12" s="50">
        <v>0</v>
      </c>
      <c r="P12" s="50">
        <v>0.78</v>
      </c>
      <c r="Q12" s="50">
        <v>4.3</v>
      </c>
    </row>
    <row r="13" spans="1:21" customFormat="1">
      <c r="A13" s="49">
        <v>45601.208333333336</v>
      </c>
      <c r="B13" s="50">
        <v>5.23</v>
      </c>
      <c r="C13" s="50">
        <v>8.09</v>
      </c>
      <c r="D13" s="50">
        <v>13.98</v>
      </c>
      <c r="E13" s="50">
        <v>9.6</v>
      </c>
      <c r="F13" s="50">
        <v>5.88</v>
      </c>
      <c r="G13" s="50">
        <v>75.06</v>
      </c>
      <c r="H13" s="50">
        <v>23.91</v>
      </c>
      <c r="I13" s="50">
        <v>10.27</v>
      </c>
      <c r="J13" s="50">
        <v>0.16</v>
      </c>
      <c r="K13" s="50">
        <v>99.05</v>
      </c>
      <c r="L13" s="50">
        <v>21.08</v>
      </c>
      <c r="M13" s="50">
        <v>84.41</v>
      </c>
      <c r="N13" s="50">
        <v>1.6</v>
      </c>
      <c r="O13" s="50">
        <v>0</v>
      </c>
      <c r="P13" s="50">
        <v>0.77</v>
      </c>
      <c r="Q13" s="50">
        <v>4.3</v>
      </c>
    </row>
    <row r="14" spans="1:21" customFormat="1">
      <c r="A14" s="49">
        <v>45601.25</v>
      </c>
      <c r="B14" s="50">
        <v>5.24</v>
      </c>
      <c r="C14" s="50">
        <v>8.09</v>
      </c>
      <c r="D14" s="50">
        <v>13.99</v>
      </c>
      <c r="E14" s="50">
        <v>9.84</v>
      </c>
      <c r="F14" s="50">
        <v>5.78</v>
      </c>
      <c r="G14" s="50">
        <v>72.72</v>
      </c>
      <c r="H14" s="50">
        <v>23.91</v>
      </c>
      <c r="I14" s="50">
        <v>10.119999999999999</v>
      </c>
      <c r="J14" s="50">
        <v>0.16</v>
      </c>
      <c r="K14" s="50">
        <v>255.4</v>
      </c>
      <c r="L14" s="50">
        <v>20.66</v>
      </c>
      <c r="M14" s="50">
        <v>90.3</v>
      </c>
      <c r="N14" s="50">
        <v>3.4</v>
      </c>
      <c r="O14" s="50">
        <v>0</v>
      </c>
      <c r="P14" s="50">
        <v>0.74</v>
      </c>
      <c r="Q14" s="50">
        <v>4.3099999999999996</v>
      </c>
    </row>
    <row r="15" spans="1:21" customFormat="1">
      <c r="A15" s="49">
        <v>45601.291666666664</v>
      </c>
      <c r="B15" s="50">
        <v>5.23</v>
      </c>
      <c r="C15" s="50">
        <v>8.07</v>
      </c>
      <c r="D15" s="50">
        <v>13.97</v>
      </c>
      <c r="E15" s="50">
        <v>9.9499999999999993</v>
      </c>
      <c r="F15" s="50">
        <v>5.87</v>
      </c>
      <c r="G15" s="50">
        <v>68.459999999999994</v>
      </c>
      <c r="H15" s="50">
        <v>21.31</v>
      </c>
      <c r="I15" s="50">
        <v>9.82</v>
      </c>
      <c r="J15" s="50">
        <v>0.62</v>
      </c>
      <c r="K15" s="50">
        <v>60.98</v>
      </c>
      <c r="L15" s="50">
        <v>21.04</v>
      </c>
      <c r="M15" s="50">
        <v>89.29</v>
      </c>
      <c r="N15" s="50">
        <v>42.6</v>
      </c>
      <c r="O15" s="50">
        <v>0</v>
      </c>
      <c r="P15" s="50">
        <v>0.73</v>
      </c>
      <c r="Q15" s="50">
        <v>4.3</v>
      </c>
    </row>
    <row r="16" spans="1:21" customFormat="1">
      <c r="A16" s="49">
        <v>45601.333333333336</v>
      </c>
      <c r="B16" s="50">
        <v>5.23</v>
      </c>
      <c r="C16" s="50">
        <v>8.09</v>
      </c>
      <c r="D16" s="50">
        <v>13.98</v>
      </c>
      <c r="E16" s="50">
        <v>9.98</v>
      </c>
      <c r="F16" s="50">
        <v>5.97</v>
      </c>
      <c r="G16" s="50">
        <v>71.41</v>
      </c>
      <c r="H16" s="50">
        <v>21.19</v>
      </c>
      <c r="I16" s="50">
        <v>9.65</v>
      </c>
      <c r="J16" s="50">
        <v>0.79</v>
      </c>
      <c r="K16" s="50">
        <v>52.69</v>
      </c>
      <c r="L16" s="50">
        <v>22.82</v>
      </c>
      <c r="M16" s="50">
        <v>85.05</v>
      </c>
      <c r="N16" s="50">
        <v>199.9</v>
      </c>
      <c r="O16" s="50">
        <v>0</v>
      </c>
      <c r="P16" s="50">
        <v>0.75</v>
      </c>
      <c r="Q16" s="50">
        <v>4.3</v>
      </c>
    </row>
    <row r="17" spans="1:17" customFormat="1">
      <c r="A17" s="49">
        <v>45601.375</v>
      </c>
      <c r="B17" s="50">
        <v>5.22</v>
      </c>
      <c r="C17" s="50">
        <v>8.08</v>
      </c>
      <c r="D17" s="50">
        <v>13.97</v>
      </c>
      <c r="E17" s="50">
        <v>10.24</v>
      </c>
      <c r="F17" s="50">
        <v>6.08</v>
      </c>
      <c r="G17" s="50">
        <v>73.58</v>
      </c>
      <c r="H17" s="50">
        <v>23.52</v>
      </c>
      <c r="I17" s="50">
        <v>9.68</v>
      </c>
      <c r="J17" s="50">
        <v>0.69</v>
      </c>
      <c r="K17" s="50">
        <v>55.74</v>
      </c>
      <c r="L17" s="50">
        <v>25.86</v>
      </c>
      <c r="M17" s="50">
        <v>77.34</v>
      </c>
      <c r="N17" s="50">
        <v>317.3</v>
      </c>
      <c r="O17" s="50">
        <v>0</v>
      </c>
      <c r="P17" s="50">
        <v>0.75</v>
      </c>
      <c r="Q17" s="50">
        <v>4.3</v>
      </c>
    </row>
    <row r="18" spans="1:17" customFormat="1">
      <c r="A18" s="49">
        <v>45601.416666666664</v>
      </c>
      <c r="B18" s="50">
        <v>5.23</v>
      </c>
      <c r="C18" s="50">
        <v>8.08</v>
      </c>
      <c r="D18" s="50">
        <v>13.99</v>
      </c>
      <c r="E18" s="50">
        <v>9.3800000000000008</v>
      </c>
      <c r="F18" s="50">
        <v>6.64</v>
      </c>
      <c r="G18" s="50">
        <v>73.58</v>
      </c>
      <c r="H18" s="50">
        <v>23.88</v>
      </c>
      <c r="I18" s="50">
        <v>9.58</v>
      </c>
      <c r="J18" s="50">
        <v>0.5</v>
      </c>
      <c r="K18" s="50">
        <v>122.89</v>
      </c>
      <c r="L18" s="50">
        <v>28.87</v>
      </c>
      <c r="M18" s="50">
        <v>62.38</v>
      </c>
      <c r="N18" s="50">
        <v>507.9</v>
      </c>
      <c r="O18" s="50">
        <v>0</v>
      </c>
      <c r="P18" s="50">
        <v>0.75</v>
      </c>
      <c r="Q18" s="50">
        <v>4.3</v>
      </c>
    </row>
    <row r="19" spans="1:17" customFormat="1">
      <c r="A19" s="49">
        <v>45601.458333333336</v>
      </c>
      <c r="B19" s="50">
        <v>5.23</v>
      </c>
      <c r="C19" s="50">
        <v>8.09</v>
      </c>
      <c r="D19" s="50">
        <v>13.98</v>
      </c>
      <c r="E19" s="50">
        <v>8.75</v>
      </c>
      <c r="F19" s="50">
        <v>7.59</v>
      </c>
      <c r="G19" s="50">
        <v>68.47</v>
      </c>
      <c r="H19" s="50">
        <v>23.88</v>
      </c>
      <c r="I19" s="50">
        <v>9.1199999999999992</v>
      </c>
      <c r="J19" s="50">
        <v>0.54</v>
      </c>
      <c r="K19" s="50">
        <v>158.28</v>
      </c>
      <c r="L19" s="50">
        <v>30.72</v>
      </c>
      <c r="M19" s="50">
        <v>53.56</v>
      </c>
      <c r="N19" s="50">
        <v>585.79999999999995</v>
      </c>
      <c r="O19" s="50">
        <v>0</v>
      </c>
      <c r="P19" s="50">
        <v>0.73</v>
      </c>
      <c r="Q19" s="50">
        <v>4.3</v>
      </c>
    </row>
    <row r="20" spans="1:17" customFormat="1">
      <c r="A20" s="49">
        <v>45601.5</v>
      </c>
      <c r="B20" s="50">
        <v>5.24</v>
      </c>
      <c r="C20" s="50">
        <v>8.06</v>
      </c>
      <c r="D20" s="50">
        <v>13.98</v>
      </c>
      <c r="E20" s="50">
        <v>9.2200000000000006</v>
      </c>
      <c r="F20" s="50">
        <v>11.56</v>
      </c>
      <c r="G20" s="50">
        <v>68.03</v>
      </c>
      <c r="H20" s="50">
        <v>23.46</v>
      </c>
      <c r="I20" s="50">
        <v>8.5299999999999994</v>
      </c>
      <c r="J20" s="50">
        <v>0.67</v>
      </c>
      <c r="K20" s="50">
        <v>46.56</v>
      </c>
      <c r="L20" s="50">
        <v>30.9</v>
      </c>
      <c r="M20" s="50">
        <v>47.21</v>
      </c>
      <c r="N20" s="50">
        <v>594.79999999999995</v>
      </c>
      <c r="O20" s="50">
        <v>0</v>
      </c>
      <c r="P20" s="50">
        <v>0.69</v>
      </c>
      <c r="Q20" s="50">
        <v>4.3099999999999996</v>
      </c>
    </row>
    <row r="21" spans="1:17" customFormat="1">
      <c r="A21" s="49">
        <v>45601.541666666664</v>
      </c>
      <c r="B21" s="50">
        <v>5.26</v>
      </c>
      <c r="C21" s="50">
        <v>8.1</v>
      </c>
      <c r="D21" s="50">
        <v>14.01</v>
      </c>
      <c r="E21" s="50">
        <v>9.58</v>
      </c>
      <c r="F21" s="50">
        <v>13.68</v>
      </c>
      <c r="G21" s="50">
        <v>63.85</v>
      </c>
      <c r="H21" s="50">
        <v>21.11</v>
      </c>
      <c r="I21" s="50">
        <v>7.69</v>
      </c>
      <c r="J21" s="50">
        <v>0.75</v>
      </c>
      <c r="K21" s="50">
        <v>46.53</v>
      </c>
      <c r="L21" s="50">
        <v>31.38</v>
      </c>
      <c r="M21" s="50">
        <v>41.6</v>
      </c>
      <c r="N21" s="50">
        <v>548.79999999999995</v>
      </c>
      <c r="O21" s="50">
        <v>0</v>
      </c>
      <c r="P21" s="50">
        <v>0.66</v>
      </c>
      <c r="Q21" s="50">
        <v>4.3099999999999996</v>
      </c>
    </row>
    <row r="22" spans="1:17" customFormat="1">
      <c r="A22" s="49">
        <v>45601.583333333336</v>
      </c>
      <c r="B22" s="50">
        <v>5.24</v>
      </c>
      <c r="C22" s="50">
        <v>8.0500000000000007</v>
      </c>
      <c r="D22" s="50">
        <v>13.96</v>
      </c>
      <c r="E22" s="50">
        <v>9.1999999999999993</v>
      </c>
      <c r="F22" s="50">
        <v>12.9</v>
      </c>
      <c r="G22" s="50">
        <v>59.58</v>
      </c>
      <c r="H22" s="50">
        <v>18.309999999999999</v>
      </c>
      <c r="I22" s="50">
        <v>7.23</v>
      </c>
      <c r="J22" s="50">
        <v>0.63</v>
      </c>
      <c r="K22" s="50">
        <v>308.45999999999998</v>
      </c>
      <c r="L22" s="50">
        <v>31.8</v>
      </c>
      <c r="M22" s="50">
        <v>39.01</v>
      </c>
      <c r="N22" s="50">
        <v>510.4</v>
      </c>
      <c r="O22" s="50">
        <v>0</v>
      </c>
      <c r="P22" s="50">
        <v>0.62</v>
      </c>
      <c r="Q22" s="50">
        <v>4.3099999999999996</v>
      </c>
    </row>
    <row r="23" spans="1:17" customFormat="1">
      <c r="A23" s="49">
        <v>45601.625</v>
      </c>
      <c r="B23" s="50">
        <v>5.23</v>
      </c>
      <c r="C23" s="50">
        <v>8.06</v>
      </c>
      <c r="D23" s="50">
        <v>13.97</v>
      </c>
      <c r="E23" s="50">
        <v>11.07</v>
      </c>
      <c r="F23" s="50">
        <v>20.39</v>
      </c>
      <c r="G23" s="50">
        <v>59.58</v>
      </c>
      <c r="H23" s="50">
        <v>19.100000000000001</v>
      </c>
      <c r="I23" s="50">
        <v>6.83</v>
      </c>
      <c r="J23" s="50">
        <v>0.47</v>
      </c>
      <c r="K23" s="50">
        <v>345.56</v>
      </c>
      <c r="L23" s="50">
        <v>31.29</v>
      </c>
      <c r="M23" s="50">
        <v>39.96</v>
      </c>
      <c r="N23" s="50">
        <v>135</v>
      </c>
      <c r="O23" s="50">
        <v>0</v>
      </c>
      <c r="P23" s="50">
        <v>0.52</v>
      </c>
      <c r="Q23" s="50">
        <v>4.3</v>
      </c>
    </row>
    <row r="24" spans="1:17" customFormat="1">
      <c r="A24" s="49">
        <v>45601.666666666664</v>
      </c>
      <c r="B24" s="50">
        <v>5.23</v>
      </c>
      <c r="C24" s="50">
        <v>8.06</v>
      </c>
      <c r="D24" s="50">
        <v>13.97</v>
      </c>
      <c r="E24" s="50">
        <v>10.43</v>
      </c>
      <c r="F24" s="50">
        <v>15.86</v>
      </c>
      <c r="G24" s="50">
        <v>59.4</v>
      </c>
      <c r="H24" s="50">
        <v>19.100000000000001</v>
      </c>
      <c r="I24" s="50">
        <v>6.29</v>
      </c>
      <c r="J24" s="50">
        <v>0.34</v>
      </c>
      <c r="K24" s="50">
        <v>130.51</v>
      </c>
      <c r="L24" s="50">
        <v>30.1</v>
      </c>
      <c r="M24" s="50">
        <v>43.75</v>
      </c>
      <c r="N24" s="50">
        <v>76.3</v>
      </c>
      <c r="O24" s="50">
        <v>0</v>
      </c>
      <c r="P24" s="50">
        <v>0.5</v>
      </c>
      <c r="Q24" s="50">
        <v>4.3099999999999996</v>
      </c>
    </row>
    <row r="25" spans="1:17" customFormat="1">
      <c r="A25" s="49">
        <v>45601.708333333336</v>
      </c>
      <c r="B25" s="50">
        <v>5.23</v>
      </c>
      <c r="C25" s="50">
        <v>8.1</v>
      </c>
      <c r="D25" s="50">
        <v>13.98</v>
      </c>
      <c r="E25" s="50">
        <v>9.85</v>
      </c>
      <c r="F25" s="50">
        <v>18.25</v>
      </c>
      <c r="G25" s="50">
        <v>59.4</v>
      </c>
      <c r="H25" s="50">
        <v>19.079999999999998</v>
      </c>
      <c r="I25" s="50">
        <v>6.26</v>
      </c>
      <c r="J25" s="50">
        <v>0.41</v>
      </c>
      <c r="K25" s="50">
        <v>130.08000000000001</v>
      </c>
      <c r="L25" s="50">
        <v>29.58</v>
      </c>
      <c r="M25" s="50">
        <v>50.41</v>
      </c>
      <c r="N25" s="50">
        <v>36.299999999999997</v>
      </c>
      <c r="O25" s="50">
        <v>0</v>
      </c>
      <c r="P25" s="50">
        <v>0.5</v>
      </c>
      <c r="Q25" s="50">
        <v>4.3</v>
      </c>
    </row>
    <row r="26" spans="1:17" customFormat="1">
      <c r="A26" s="49">
        <v>45601.75</v>
      </c>
      <c r="B26" s="50">
        <v>5.21</v>
      </c>
      <c r="C26" s="50">
        <v>8.1</v>
      </c>
      <c r="D26" s="50">
        <v>13.97</v>
      </c>
      <c r="E26" s="50">
        <v>9.36</v>
      </c>
      <c r="F26" s="50">
        <v>10.77</v>
      </c>
      <c r="G26" s="50">
        <v>56.33</v>
      </c>
      <c r="H26" s="50">
        <v>22.05</v>
      </c>
      <c r="I26" s="50">
        <v>6.36</v>
      </c>
      <c r="J26" s="50">
        <v>0.21</v>
      </c>
      <c r="K26" s="50">
        <v>158.84</v>
      </c>
      <c r="L26" s="50">
        <v>27.9</v>
      </c>
      <c r="M26" s="50">
        <v>57.86</v>
      </c>
      <c r="N26" s="50">
        <v>4.0999999999999996</v>
      </c>
      <c r="O26" s="50">
        <v>0</v>
      </c>
      <c r="P26" s="50">
        <v>0.52</v>
      </c>
      <c r="Q26" s="50">
        <v>4.29</v>
      </c>
    </row>
    <row r="27" spans="1:17" customFormat="1">
      <c r="A27" s="49">
        <v>45601.791666666664</v>
      </c>
      <c r="B27" s="50">
        <v>5.23</v>
      </c>
      <c r="C27" s="50">
        <v>8.1</v>
      </c>
      <c r="D27" s="50">
        <v>13.97</v>
      </c>
      <c r="E27" s="50">
        <v>11.03</v>
      </c>
      <c r="F27" s="50">
        <v>7.11</v>
      </c>
      <c r="G27" s="50">
        <v>59.05</v>
      </c>
      <c r="H27" s="50">
        <v>25.51</v>
      </c>
      <c r="I27" s="50">
        <v>6.73</v>
      </c>
      <c r="J27" s="50">
        <v>0.13</v>
      </c>
      <c r="K27" s="50">
        <v>153.37</v>
      </c>
      <c r="L27" s="50">
        <v>26.16</v>
      </c>
      <c r="M27" s="50">
        <v>64.87</v>
      </c>
      <c r="N27" s="50">
        <v>1.9</v>
      </c>
      <c r="O27" s="50">
        <v>0</v>
      </c>
      <c r="P27" s="50">
        <v>0.57999999999999996</v>
      </c>
      <c r="Q27" s="50">
        <v>4.3</v>
      </c>
    </row>
    <row r="28" spans="1:17" customFormat="1">
      <c r="A28" s="49">
        <v>45601.833333333336</v>
      </c>
      <c r="B28" s="50">
        <v>5.24</v>
      </c>
      <c r="C28" s="50">
        <v>8.08</v>
      </c>
      <c r="D28" s="50">
        <v>13.98</v>
      </c>
      <c r="E28" s="50">
        <v>10.6</v>
      </c>
      <c r="F28" s="50">
        <v>7.36</v>
      </c>
      <c r="G28" s="50">
        <v>75.17</v>
      </c>
      <c r="H28" s="50">
        <v>25.51</v>
      </c>
      <c r="I28" s="50">
        <v>7.43</v>
      </c>
      <c r="J28" s="50">
        <v>0.35</v>
      </c>
      <c r="K28" s="50">
        <v>57.43</v>
      </c>
      <c r="L28" s="50">
        <v>25.87</v>
      </c>
      <c r="M28" s="50">
        <v>61.66</v>
      </c>
      <c r="N28" s="50">
        <v>1.6</v>
      </c>
      <c r="O28" s="50">
        <v>0</v>
      </c>
      <c r="P28" s="50">
        <v>0.65</v>
      </c>
      <c r="Q28" s="50">
        <v>4.3</v>
      </c>
    </row>
    <row r="29" spans="1:17" customFormat="1">
      <c r="A29" s="49">
        <v>45601.875</v>
      </c>
      <c r="B29" s="50">
        <v>5.23</v>
      </c>
      <c r="C29" s="50">
        <v>8.07</v>
      </c>
      <c r="D29" s="50">
        <v>13.98</v>
      </c>
      <c r="E29" s="50">
        <v>9.94</v>
      </c>
      <c r="F29" s="50">
        <v>6.34</v>
      </c>
      <c r="G29" s="50">
        <v>81.92</v>
      </c>
      <c r="H29" s="50">
        <v>25.96</v>
      </c>
      <c r="I29" s="50">
        <v>7.82</v>
      </c>
      <c r="J29" s="50">
        <v>0.38</v>
      </c>
      <c r="K29" s="50">
        <v>74.94</v>
      </c>
      <c r="L29" s="50">
        <v>25.47</v>
      </c>
      <c r="M29" s="50">
        <v>66.11</v>
      </c>
      <c r="N29" s="50">
        <v>1.7</v>
      </c>
      <c r="O29" s="50">
        <v>0</v>
      </c>
      <c r="P29" s="50">
        <v>0.68</v>
      </c>
      <c r="Q29" s="50">
        <v>4.3099999999999996</v>
      </c>
    </row>
    <row r="30" spans="1:17" customFormat="1">
      <c r="A30" s="49">
        <v>45601.916666666664</v>
      </c>
      <c r="B30" s="50">
        <v>5.24</v>
      </c>
      <c r="C30" s="50">
        <v>8.1</v>
      </c>
      <c r="D30" s="50">
        <v>13.98</v>
      </c>
      <c r="E30" s="50">
        <v>9.8000000000000007</v>
      </c>
      <c r="F30" s="50">
        <v>6.55</v>
      </c>
      <c r="G30" s="50">
        <v>81.92</v>
      </c>
      <c r="H30" s="50">
        <v>27.26</v>
      </c>
      <c r="I30" s="50">
        <v>7.84</v>
      </c>
      <c r="J30" s="50">
        <v>0.56000000000000005</v>
      </c>
      <c r="K30" s="50">
        <v>69.650000000000006</v>
      </c>
      <c r="L30" s="50">
        <v>24.76</v>
      </c>
      <c r="M30" s="50">
        <v>70.959999999999994</v>
      </c>
      <c r="N30" s="50">
        <v>1.7</v>
      </c>
      <c r="O30" s="50">
        <v>0</v>
      </c>
      <c r="P30" s="50">
        <v>0.67</v>
      </c>
      <c r="Q30" s="50">
        <v>4.3099999999999996</v>
      </c>
    </row>
    <row r="31" spans="1:17" customFormat="1">
      <c r="A31" s="49">
        <v>45601.958333333336</v>
      </c>
      <c r="B31" s="50">
        <v>5.24</v>
      </c>
      <c r="C31" s="50">
        <v>8.1</v>
      </c>
      <c r="D31" s="50">
        <v>13.99</v>
      </c>
      <c r="E31" s="50">
        <v>9.7899999999999991</v>
      </c>
      <c r="F31" s="50">
        <v>6.48</v>
      </c>
      <c r="G31" s="50">
        <v>81.42</v>
      </c>
      <c r="H31" s="50">
        <v>27.26</v>
      </c>
      <c r="I31" s="50">
        <v>7.69</v>
      </c>
      <c r="J31" s="50">
        <v>0.21</v>
      </c>
      <c r="K31" s="50">
        <v>209.38</v>
      </c>
      <c r="L31" s="50">
        <v>24.2</v>
      </c>
      <c r="M31" s="50">
        <v>78.27</v>
      </c>
      <c r="N31" s="50">
        <v>1.9</v>
      </c>
      <c r="O31" s="50">
        <v>0</v>
      </c>
      <c r="P31" s="50">
        <v>0.67</v>
      </c>
      <c r="Q31" s="50">
        <v>4.3</v>
      </c>
    </row>
    <row r="32" spans="1:17" customFormat="1">
      <c r="A32" s="49">
        <v>45602</v>
      </c>
      <c r="B32" s="50">
        <v>5.25</v>
      </c>
      <c r="C32" s="50">
        <v>8.07</v>
      </c>
      <c r="D32" s="50">
        <v>13.98</v>
      </c>
      <c r="E32" s="50">
        <v>10.02</v>
      </c>
      <c r="F32" s="50">
        <v>6.4</v>
      </c>
      <c r="G32" s="50">
        <v>75.930000000000007</v>
      </c>
      <c r="H32" s="50">
        <v>26.96</v>
      </c>
      <c r="I32" s="50">
        <v>7.47</v>
      </c>
      <c r="J32" s="50">
        <v>0.22</v>
      </c>
      <c r="K32" s="50">
        <v>225.09</v>
      </c>
      <c r="L32" s="50">
        <v>22.86</v>
      </c>
      <c r="M32" s="50">
        <v>85.97</v>
      </c>
      <c r="N32" s="50">
        <v>1.8</v>
      </c>
      <c r="O32" s="50">
        <v>0</v>
      </c>
      <c r="P32" s="50">
        <v>0.64</v>
      </c>
      <c r="Q32" s="50">
        <v>4.3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5.21</v>
      </c>
      <c r="C34" s="40">
        <f t="shared" si="0"/>
        <v>8.0500000000000007</v>
      </c>
      <c r="D34" s="40">
        <f t="shared" si="0"/>
        <v>13.96</v>
      </c>
      <c r="E34" s="40">
        <f t="shared" si="0"/>
        <v>8.75</v>
      </c>
      <c r="F34" s="40">
        <f t="shared" si="0"/>
        <v>5.72</v>
      </c>
      <c r="G34" s="40">
        <f t="shared" si="0"/>
        <v>56.33</v>
      </c>
      <c r="H34" s="40">
        <f t="shared" si="0"/>
        <v>18.309999999999999</v>
      </c>
      <c r="I34" s="40">
        <f t="shared" si="0"/>
        <v>6.26</v>
      </c>
      <c r="J34" s="40">
        <f t="shared" si="0"/>
        <v>0.13</v>
      </c>
      <c r="K34" s="40">
        <f t="shared" si="0"/>
        <v>46.53</v>
      </c>
      <c r="L34" s="40">
        <f t="shared" si="0"/>
        <v>20.66</v>
      </c>
      <c r="M34" s="40">
        <f t="shared" si="0"/>
        <v>39.01</v>
      </c>
      <c r="N34" s="40">
        <f t="shared" si="0"/>
        <v>1.6</v>
      </c>
      <c r="O34" s="40">
        <f t="shared" si="0"/>
        <v>0</v>
      </c>
      <c r="P34" s="40">
        <f t="shared" si="0"/>
        <v>0.5</v>
      </c>
      <c r="Q34" s="40">
        <f t="shared" si="0"/>
        <v>4.29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5.27</v>
      </c>
      <c r="C35" s="33">
        <f t="shared" si="1"/>
        <v>8.1</v>
      </c>
      <c r="D35" s="33">
        <f t="shared" si="1"/>
        <v>14.01</v>
      </c>
      <c r="E35" s="33">
        <f t="shared" si="1"/>
        <v>11.07</v>
      </c>
      <c r="F35" s="33">
        <f t="shared" si="1"/>
        <v>20.39</v>
      </c>
      <c r="G35" s="33">
        <f t="shared" si="1"/>
        <v>82.3</v>
      </c>
      <c r="H35" s="33">
        <f t="shared" si="1"/>
        <v>27.26</v>
      </c>
      <c r="I35" s="33">
        <f t="shared" si="1"/>
        <v>10.27</v>
      </c>
      <c r="J35" s="33">
        <f t="shared" si="1"/>
        <v>0.79</v>
      </c>
      <c r="K35" s="33">
        <f t="shared" si="1"/>
        <v>345.56</v>
      </c>
      <c r="L35" s="33">
        <f t="shared" si="1"/>
        <v>31.8</v>
      </c>
      <c r="M35" s="33">
        <f t="shared" si="1"/>
        <v>90.3</v>
      </c>
      <c r="N35" s="33">
        <f t="shared" si="1"/>
        <v>594.79999999999995</v>
      </c>
      <c r="O35" s="33">
        <f t="shared" si="1"/>
        <v>0</v>
      </c>
      <c r="P35" s="33">
        <f t="shared" si="1"/>
        <v>0.86</v>
      </c>
      <c r="Q35" s="33">
        <f t="shared" si="1"/>
        <v>4.3099999999999996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5.2358333333333338</v>
      </c>
      <c r="C36" s="40">
        <f t="shared" si="2"/>
        <v>8.0812499999999989</v>
      </c>
      <c r="D36" s="40">
        <f t="shared" si="2"/>
        <v>13.97916666666667</v>
      </c>
      <c r="E36" s="40">
        <f t="shared" si="2"/>
        <v>9.8654166666666665</v>
      </c>
      <c r="F36" s="40">
        <f t="shared" si="2"/>
        <v>8.7770833333333353</v>
      </c>
      <c r="G36" s="40">
        <f t="shared" si="2"/>
        <v>70.788750000000022</v>
      </c>
      <c r="H36" s="40">
        <f t="shared" si="2"/>
        <v>23.252083333333335</v>
      </c>
      <c r="I36" s="40">
        <f t="shared" si="2"/>
        <v>8.3966666666666665</v>
      </c>
      <c r="J36" s="40">
        <f t="shared" si="2"/>
        <v>0.41291666666666682</v>
      </c>
      <c r="K36" s="40">
        <f t="shared" si="2"/>
        <v>162.16374999999999</v>
      </c>
      <c r="L36" s="40">
        <f t="shared" si="2"/>
        <v>25.966250000000002</v>
      </c>
      <c r="M36" s="40">
        <f t="shared" si="2"/>
        <v>66.972083333333345</v>
      </c>
      <c r="N36" s="40">
        <f t="shared" si="2"/>
        <v>149.27083333333334</v>
      </c>
      <c r="O36" s="40">
        <f t="shared" si="2"/>
        <v>0</v>
      </c>
      <c r="P36" s="40">
        <f t="shared" si="2"/>
        <v>0.6825</v>
      </c>
      <c r="Q36" s="40">
        <f t="shared" si="2"/>
        <v>4.3024999999999993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1.2481870911416764E-2</v>
      </c>
      <c r="C37" s="40">
        <f t="shared" ref="C37:Q37" si="3">STDEV(C9:C32)</f>
        <v>1.5965315667026917E-2</v>
      </c>
      <c r="D37" s="40">
        <f t="shared" si="3"/>
        <v>1.0179547554080817E-2</v>
      </c>
      <c r="E37" s="40">
        <f t="shared" si="3"/>
        <v>0.55732263052271769</v>
      </c>
      <c r="F37" s="40">
        <f t="shared" si="3"/>
        <v>4.3569968508103161</v>
      </c>
      <c r="G37" s="40">
        <f t="shared" si="3"/>
        <v>8.4187385776687584</v>
      </c>
      <c r="H37" s="40">
        <f t="shared" si="3"/>
        <v>2.6556960590343821</v>
      </c>
      <c r="I37" s="40">
        <f t="shared" si="3"/>
        <v>1.3956163253330793</v>
      </c>
      <c r="J37" s="40">
        <f t="shared" si="3"/>
        <v>0.20569033641071582</v>
      </c>
      <c r="K37" s="40">
        <f t="shared" si="3"/>
        <v>99.826163504908422</v>
      </c>
      <c r="L37" s="40">
        <f t="shared" si="3"/>
        <v>3.806239514157014</v>
      </c>
      <c r="M37" s="40">
        <f t="shared" si="3"/>
        <v>17.016189472577732</v>
      </c>
      <c r="N37" s="40">
        <f t="shared" si="3"/>
        <v>223.57967839358676</v>
      </c>
      <c r="O37" s="40">
        <f t="shared" si="3"/>
        <v>0</v>
      </c>
      <c r="P37" s="40">
        <f t="shared" si="3"/>
        <v>0.10224650520231447</v>
      </c>
      <c r="Q37" s="40">
        <f t="shared" si="3"/>
        <v>5.3160953307118345E-3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45602.041666666664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45602.041666666664</v>
      </c>
      <c r="B9" s="50">
        <v>5.22</v>
      </c>
      <c r="C9" s="50">
        <v>8.17</v>
      </c>
      <c r="D9" s="50">
        <v>13.98</v>
      </c>
      <c r="E9" s="50">
        <v>10.220000000000001</v>
      </c>
      <c r="F9" s="50">
        <v>6</v>
      </c>
      <c r="G9" s="50">
        <v>70.41</v>
      </c>
      <c r="H9" s="50">
        <v>26.69</v>
      </c>
      <c r="I9" s="50">
        <v>7.18</v>
      </c>
      <c r="J9" s="50">
        <v>0.15</v>
      </c>
      <c r="K9" s="50">
        <v>213.7</v>
      </c>
      <c r="L9" s="50">
        <v>22.31</v>
      </c>
      <c r="M9" s="50">
        <v>87.15</v>
      </c>
      <c r="N9" s="50">
        <v>1.7</v>
      </c>
      <c r="O9" s="50">
        <v>0</v>
      </c>
      <c r="P9" s="50">
        <v>0.61</v>
      </c>
      <c r="Q9" s="50">
        <v>4.3099999999999996</v>
      </c>
    </row>
    <row r="10" spans="1:21" customFormat="1">
      <c r="A10" s="49">
        <v>45602.083333333336</v>
      </c>
      <c r="B10" s="50">
        <v>5.23</v>
      </c>
      <c r="C10" s="50">
        <v>8.08</v>
      </c>
      <c r="D10" s="50">
        <v>13.98</v>
      </c>
      <c r="E10" s="50">
        <v>10.55</v>
      </c>
      <c r="F10" s="50">
        <v>5.95</v>
      </c>
      <c r="G10" s="50">
        <v>62.26</v>
      </c>
      <c r="H10" s="50">
        <v>25.12</v>
      </c>
      <c r="I10" s="50">
        <v>7.11</v>
      </c>
      <c r="J10" s="50">
        <v>0.17</v>
      </c>
      <c r="K10" s="50">
        <v>251.84</v>
      </c>
      <c r="L10" s="50">
        <v>21.59</v>
      </c>
      <c r="M10" s="50">
        <v>90.03</v>
      </c>
      <c r="N10" s="50">
        <v>1.7</v>
      </c>
      <c r="O10" s="50">
        <v>0</v>
      </c>
      <c r="P10" s="50">
        <v>0.59</v>
      </c>
      <c r="Q10" s="50">
        <v>4.3099999999999996</v>
      </c>
    </row>
    <row r="11" spans="1:21" customFormat="1">
      <c r="A11" s="49">
        <v>45602.125</v>
      </c>
      <c r="B11" s="50">
        <v>5.21</v>
      </c>
      <c r="C11" s="50">
        <v>8.09</v>
      </c>
      <c r="D11" s="50">
        <v>13.97</v>
      </c>
      <c r="E11" s="50">
        <v>9.58</v>
      </c>
      <c r="F11" s="50">
        <v>6.08</v>
      </c>
      <c r="G11" s="50">
        <v>57.91</v>
      </c>
      <c r="H11" s="50">
        <v>24.09</v>
      </c>
      <c r="I11" s="50">
        <v>7.02</v>
      </c>
      <c r="J11" s="50">
        <v>0.12</v>
      </c>
      <c r="K11" s="50">
        <v>227.11</v>
      </c>
      <c r="L11" s="50">
        <v>21.05</v>
      </c>
      <c r="M11" s="50">
        <v>91.85</v>
      </c>
      <c r="N11" s="50">
        <v>1.5</v>
      </c>
      <c r="O11" s="50">
        <v>0</v>
      </c>
      <c r="P11" s="50">
        <v>0.56000000000000005</v>
      </c>
      <c r="Q11" s="50">
        <v>4.3099999999999996</v>
      </c>
    </row>
    <row r="12" spans="1:21" customFormat="1">
      <c r="A12" s="49">
        <v>45602.166666666664</v>
      </c>
      <c r="B12" s="50">
        <v>5.21</v>
      </c>
      <c r="C12" s="50">
        <v>8.1</v>
      </c>
      <c r="D12" s="50">
        <v>13.96</v>
      </c>
      <c r="E12" s="50">
        <v>9.9</v>
      </c>
      <c r="F12" s="50">
        <v>5.77</v>
      </c>
      <c r="G12" s="50">
        <v>55.26</v>
      </c>
      <c r="H12" s="50">
        <v>24.09</v>
      </c>
      <c r="I12" s="50">
        <v>6.97</v>
      </c>
      <c r="J12" s="50">
        <v>0.15</v>
      </c>
      <c r="K12" s="50">
        <v>246.67</v>
      </c>
      <c r="L12" s="50">
        <v>20.83</v>
      </c>
      <c r="M12" s="50">
        <v>91.39</v>
      </c>
      <c r="N12" s="50">
        <v>1.7</v>
      </c>
      <c r="O12" s="50">
        <v>0</v>
      </c>
      <c r="P12" s="50">
        <v>0.55000000000000004</v>
      </c>
      <c r="Q12" s="50">
        <v>4.3099999999999996</v>
      </c>
    </row>
    <row r="13" spans="1:21" customFormat="1">
      <c r="A13" s="49">
        <v>45602.208333333336</v>
      </c>
      <c r="B13" s="50">
        <v>5.21</v>
      </c>
      <c r="C13" s="50">
        <v>8.1</v>
      </c>
      <c r="D13" s="50">
        <v>13.96</v>
      </c>
      <c r="E13" s="50">
        <v>9.68</v>
      </c>
      <c r="F13" s="50">
        <v>5.72</v>
      </c>
      <c r="G13" s="50">
        <v>53.62</v>
      </c>
      <c r="H13" s="50">
        <v>22.31</v>
      </c>
      <c r="I13" s="50">
        <v>6.93</v>
      </c>
      <c r="J13" s="50">
        <v>0.25</v>
      </c>
      <c r="K13" s="50">
        <v>71.239999999999995</v>
      </c>
      <c r="L13" s="50">
        <v>20.95</v>
      </c>
      <c r="M13" s="50">
        <v>88.08</v>
      </c>
      <c r="N13" s="50">
        <v>1.4</v>
      </c>
      <c r="O13" s="50">
        <v>0</v>
      </c>
      <c r="P13" s="50">
        <v>0.54</v>
      </c>
      <c r="Q13" s="50">
        <v>4.3</v>
      </c>
    </row>
    <row r="14" spans="1:21" customFormat="1">
      <c r="A14" s="49">
        <v>45602.25</v>
      </c>
      <c r="B14" s="50">
        <v>5.2</v>
      </c>
      <c r="C14" s="50">
        <v>8.08</v>
      </c>
      <c r="D14" s="50">
        <v>13.95</v>
      </c>
      <c r="E14" s="50">
        <v>9.0299999999999994</v>
      </c>
      <c r="F14" s="50">
        <v>5.66</v>
      </c>
      <c r="G14" s="50">
        <v>66.52</v>
      </c>
      <c r="H14" s="50">
        <v>27.21</v>
      </c>
      <c r="I14" s="50">
        <v>7.26</v>
      </c>
      <c r="J14" s="50">
        <v>0.39</v>
      </c>
      <c r="K14" s="50">
        <v>50.59</v>
      </c>
      <c r="L14" s="50">
        <v>20.89</v>
      </c>
      <c r="M14" s="50">
        <v>89.93</v>
      </c>
      <c r="N14" s="50">
        <v>3.4</v>
      </c>
      <c r="O14" s="50">
        <v>0</v>
      </c>
      <c r="P14" s="50">
        <v>0.61</v>
      </c>
      <c r="Q14" s="50">
        <v>4.3</v>
      </c>
    </row>
    <row r="15" spans="1:21" customFormat="1">
      <c r="A15" s="49">
        <v>45602.291666666664</v>
      </c>
      <c r="B15" s="50">
        <v>5.22</v>
      </c>
      <c r="C15" s="50">
        <v>8.1</v>
      </c>
      <c r="D15" s="50">
        <v>13.98</v>
      </c>
      <c r="E15" s="50">
        <v>8.8699999999999992</v>
      </c>
      <c r="F15" s="50">
        <v>5.68</v>
      </c>
      <c r="G15" s="50">
        <v>86.95</v>
      </c>
      <c r="H15" s="50">
        <v>28.41</v>
      </c>
      <c r="I15" s="50">
        <v>8.48</v>
      </c>
      <c r="J15" s="50">
        <v>0.33</v>
      </c>
      <c r="K15" s="50">
        <v>43.68</v>
      </c>
      <c r="L15" s="50">
        <v>20.9</v>
      </c>
      <c r="M15" s="50">
        <v>89.28</v>
      </c>
      <c r="N15" s="50">
        <v>43.1</v>
      </c>
      <c r="O15" s="50">
        <v>0</v>
      </c>
      <c r="P15" s="50">
        <v>0.68</v>
      </c>
      <c r="Q15" s="50">
        <v>4.3099999999999996</v>
      </c>
    </row>
    <row r="16" spans="1:21" customFormat="1">
      <c r="A16" s="49">
        <v>45602.333333333336</v>
      </c>
      <c r="B16" s="50">
        <v>5.23</v>
      </c>
      <c r="C16" s="50">
        <v>8.1</v>
      </c>
      <c r="D16" s="50">
        <v>13.98</v>
      </c>
      <c r="E16" s="50">
        <v>8.5500000000000007</v>
      </c>
      <c r="F16" s="50">
        <v>5.85</v>
      </c>
      <c r="G16" s="50">
        <v>101.46</v>
      </c>
      <c r="H16" s="50">
        <v>33.08</v>
      </c>
      <c r="I16" s="50">
        <v>9.3800000000000008</v>
      </c>
      <c r="J16" s="50">
        <v>0.64</v>
      </c>
      <c r="K16" s="50">
        <v>56.96</v>
      </c>
      <c r="L16" s="50">
        <v>22.82</v>
      </c>
      <c r="M16" s="50">
        <v>85.76</v>
      </c>
      <c r="N16" s="50">
        <v>172.9</v>
      </c>
      <c r="O16" s="50">
        <v>0</v>
      </c>
      <c r="P16" s="50">
        <v>0.74</v>
      </c>
      <c r="Q16" s="50">
        <v>4.3</v>
      </c>
    </row>
    <row r="17" spans="1:17" customFormat="1">
      <c r="A17" s="49">
        <v>45602.375</v>
      </c>
      <c r="B17" s="50">
        <v>5.21</v>
      </c>
      <c r="C17" s="50">
        <v>8.1</v>
      </c>
      <c r="D17" s="50">
        <v>13.97</v>
      </c>
      <c r="E17" s="50">
        <v>8.8000000000000007</v>
      </c>
      <c r="F17" s="50">
        <v>6.23</v>
      </c>
      <c r="G17" s="50">
        <v>106.15</v>
      </c>
      <c r="H17" s="50">
        <v>36.94</v>
      </c>
      <c r="I17" s="50">
        <v>9.92</v>
      </c>
      <c r="J17" s="50">
        <v>0.55000000000000004</v>
      </c>
      <c r="K17" s="50">
        <v>45.22</v>
      </c>
      <c r="L17" s="50">
        <v>25.79</v>
      </c>
      <c r="M17" s="50">
        <v>76.92</v>
      </c>
      <c r="N17" s="50">
        <v>277</v>
      </c>
      <c r="O17" s="50">
        <v>0</v>
      </c>
      <c r="P17" s="50">
        <v>0.76</v>
      </c>
      <c r="Q17" s="50">
        <v>4.3099999999999996</v>
      </c>
    </row>
    <row r="18" spans="1:17" customFormat="1">
      <c r="A18" s="49">
        <v>45602.416666666664</v>
      </c>
      <c r="B18" s="50">
        <v>5.21</v>
      </c>
      <c r="C18" s="50">
        <v>8.08</v>
      </c>
      <c r="D18" s="50">
        <v>13.96</v>
      </c>
      <c r="E18" s="50">
        <v>9.92</v>
      </c>
      <c r="F18" s="50">
        <v>9.07</v>
      </c>
      <c r="G18" s="50">
        <v>106.15</v>
      </c>
      <c r="H18" s="50">
        <v>38.46</v>
      </c>
      <c r="I18" s="50">
        <v>9.9700000000000006</v>
      </c>
      <c r="J18" s="50">
        <v>0.55000000000000004</v>
      </c>
      <c r="K18" s="50">
        <v>57.62</v>
      </c>
      <c r="L18" s="50">
        <v>27.94</v>
      </c>
      <c r="M18" s="50">
        <v>63.55</v>
      </c>
      <c r="N18" s="50">
        <v>451.3</v>
      </c>
      <c r="O18" s="50">
        <v>0</v>
      </c>
      <c r="P18" s="50">
        <v>0.78</v>
      </c>
      <c r="Q18" s="50">
        <v>4.3099999999999996</v>
      </c>
    </row>
    <row r="19" spans="1:17" customFormat="1">
      <c r="A19" s="49">
        <v>45602.458333333336</v>
      </c>
      <c r="B19" s="50">
        <v>5.23</v>
      </c>
      <c r="C19" s="50">
        <v>8.07</v>
      </c>
      <c r="D19" s="50">
        <v>13.96</v>
      </c>
      <c r="E19" s="50">
        <v>11.24</v>
      </c>
      <c r="F19" s="50">
        <v>8.11</v>
      </c>
      <c r="G19" s="50">
        <v>98.79</v>
      </c>
      <c r="H19" s="50">
        <v>38.46</v>
      </c>
      <c r="I19" s="50">
        <v>9.75</v>
      </c>
      <c r="J19" s="50">
        <v>0.43</v>
      </c>
      <c r="K19" s="50">
        <v>356.64</v>
      </c>
      <c r="L19" s="50">
        <v>29.68</v>
      </c>
      <c r="M19" s="50">
        <v>51.96</v>
      </c>
      <c r="N19" s="50">
        <v>536.4</v>
      </c>
      <c r="O19" s="50">
        <v>0</v>
      </c>
      <c r="P19" s="50">
        <v>0.76</v>
      </c>
      <c r="Q19" s="50">
        <v>4.3099999999999996</v>
      </c>
    </row>
    <row r="20" spans="1:17" customFormat="1">
      <c r="A20" s="49">
        <v>45602.5</v>
      </c>
      <c r="B20" s="50">
        <v>5.26</v>
      </c>
      <c r="C20" s="50">
        <v>8.09</v>
      </c>
      <c r="D20" s="50">
        <v>14</v>
      </c>
      <c r="E20" s="50">
        <v>12.08</v>
      </c>
      <c r="F20" s="50">
        <v>9.84</v>
      </c>
      <c r="G20" s="50">
        <v>94.01</v>
      </c>
      <c r="H20" s="50">
        <v>36.68</v>
      </c>
      <c r="I20" s="50">
        <v>9.51</v>
      </c>
      <c r="J20" s="50">
        <v>0.54</v>
      </c>
      <c r="K20" s="50">
        <v>81.150000000000006</v>
      </c>
      <c r="L20" s="50">
        <v>31.24</v>
      </c>
      <c r="M20" s="50">
        <v>45.42</v>
      </c>
      <c r="N20" s="50">
        <v>543.9</v>
      </c>
      <c r="O20" s="50">
        <v>0</v>
      </c>
      <c r="P20" s="50">
        <v>0.71</v>
      </c>
      <c r="Q20" s="50">
        <v>4.3</v>
      </c>
    </row>
    <row r="21" spans="1:17" customFormat="1">
      <c r="A21" s="49">
        <v>45602.541666666664</v>
      </c>
      <c r="B21" s="50">
        <v>5.25</v>
      </c>
      <c r="C21" s="50">
        <v>8.09</v>
      </c>
      <c r="D21" s="50">
        <v>14</v>
      </c>
      <c r="E21" s="50">
        <v>13.04</v>
      </c>
      <c r="F21" s="50">
        <v>11.64</v>
      </c>
      <c r="G21" s="50">
        <v>86.11</v>
      </c>
      <c r="H21" s="50">
        <v>33.270000000000003</v>
      </c>
      <c r="I21" s="50">
        <v>9.26</v>
      </c>
      <c r="J21" s="50">
        <v>0.75</v>
      </c>
      <c r="K21" s="50">
        <v>67.709999999999994</v>
      </c>
      <c r="L21" s="50">
        <v>30.76</v>
      </c>
      <c r="M21" s="50">
        <v>44.43</v>
      </c>
      <c r="N21" s="50">
        <v>513.4</v>
      </c>
      <c r="O21" s="50">
        <v>0</v>
      </c>
      <c r="P21" s="50">
        <v>0.68</v>
      </c>
      <c r="Q21" s="50">
        <v>4.3</v>
      </c>
    </row>
    <row r="22" spans="1:17" customFormat="1">
      <c r="A22" s="49">
        <v>45602.583333333336</v>
      </c>
      <c r="B22" s="50">
        <v>5.24</v>
      </c>
      <c r="C22" s="50">
        <v>8.06</v>
      </c>
      <c r="D22" s="50">
        <v>13.98</v>
      </c>
      <c r="E22" s="50">
        <v>18.670000000000002</v>
      </c>
      <c r="F22" s="50">
        <v>20.04</v>
      </c>
      <c r="G22" s="50">
        <v>79.16</v>
      </c>
      <c r="H22" s="50">
        <v>34.369999999999997</v>
      </c>
      <c r="I22" s="50">
        <v>8.74</v>
      </c>
      <c r="J22" s="50">
        <v>0.9</v>
      </c>
      <c r="K22" s="50">
        <v>48.88</v>
      </c>
      <c r="L22" s="50">
        <v>30.62</v>
      </c>
      <c r="M22" s="50">
        <v>42.31</v>
      </c>
      <c r="N22" s="50">
        <v>355.3</v>
      </c>
      <c r="O22" s="50">
        <v>0</v>
      </c>
      <c r="P22" s="50">
        <v>0.66</v>
      </c>
      <c r="Q22" s="50">
        <v>4.3099999999999996</v>
      </c>
    </row>
    <row r="23" spans="1:17" customFormat="1">
      <c r="A23" s="49">
        <v>45602.625</v>
      </c>
      <c r="B23" s="50">
        <v>5.25</v>
      </c>
      <c r="C23" s="50">
        <v>8.08</v>
      </c>
      <c r="D23" s="50">
        <v>13.98</v>
      </c>
      <c r="E23" s="50">
        <v>15.92</v>
      </c>
      <c r="F23" s="50">
        <v>15.16</v>
      </c>
      <c r="G23" s="50">
        <v>75.319999999999993</v>
      </c>
      <c r="H23" s="50">
        <v>34.369999999999997</v>
      </c>
      <c r="I23" s="50">
        <v>8.2899999999999991</v>
      </c>
      <c r="J23" s="50">
        <v>0.75</v>
      </c>
      <c r="K23" s="50">
        <v>86.17</v>
      </c>
      <c r="L23" s="50">
        <v>30.68</v>
      </c>
      <c r="M23" s="50">
        <v>43.1</v>
      </c>
      <c r="N23" s="50">
        <v>170.3</v>
      </c>
      <c r="O23" s="50">
        <v>0</v>
      </c>
      <c r="P23" s="50">
        <v>0.64</v>
      </c>
      <c r="Q23" s="50">
        <v>4.32</v>
      </c>
    </row>
    <row r="24" spans="1:17" customFormat="1">
      <c r="A24" s="49">
        <v>45602.666666666664</v>
      </c>
      <c r="B24" s="50">
        <v>5.24</v>
      </c>
      <c r="C24" s="50">
        <v>8.09</v>
      </c>
      <c r="D24" s="50">
        <v>13.98</v>
      </c>
      <c r="E24" s="50">
        <v>14.34</v>
      </c>
      <c r="F24" s="50">
        <v>15.61</v>
      </c>
      <c r="G24" s="50">
        <v>77.099999999999994</v>
      </c>
      <c r="H24" s="50">
        <v>32.619999999999997</v>
      </c>
      <c r="I24" s="50">
        <v>8.0299999999999994</v>
      </c>
      <c r="J24" s="50">
        <v>0.73</v>
      </c>
      <c r="K24" s="50">
        <v>78.62</v>
      </c>
      <c r="L24" s="50">
        <v>29.75</v>
      </c>
      <c r="M24" s="50">
        <v>45.26</v>
      </c>
      <c r="N24" s="50">
        <v>76.8</v>
      </c>
      <c r="O24" s="50">
        <v>0</v>
      </c>
      <c r="P24" s="50">
        <v>0.64</v>
      </c>
      <c r="Q24" s="50">
        <v>4.3099999999999996</v>
      </c>
    </row>
    <row r="25" spans="1:17" customFormat="1">
      <c r="A25" s="49">
        <v>45602.708333333336</v>
      </c>
      <c r="B25" s="50">
        <v>5.26</v>
      </c>
      <c r="C25" s="50">
        <v>8.09</v>
      </c>
      <c r="D25" s="50">
        <v>14</v>
      </c>
      <c r="E25" s="50">
        <v>12.5</v>
      </c>
      <c r="F25" s="50">
        <v>14.34</v>
      </c>
      <c r="G25" s="50">
        <v>77.37</v>
      </c>
      <c r="H25" s="50">
        <v>36.03</v>
      </c>
      <c r="I25" s="50">
        <v>7.62</v>
      </c>
      <c r="J25" s="50">
        <v>0.25</v>
      </c>
      <c r="K25" s="50">
        <v>150.02000000000001</v>
      </c>
      <c r="L25" s="50">
        <v>29.1</v>
      </c>
      <c r="M25" s="50">
        <v>52.72</v>
      </c>
      <c r="N25" s="50">
        <v>36.799999999999997</v>
      </c>
      <c r="O25" s="50">
        <v>0</v>
      </c>
      <c r="P25" s="50">
        <v>0.63</v>
      </c>
      <c r="Q25" s="50">
        <v>4.3</v>
      </c>
    </row>
    <row r="26" spans="1:17" customFormat="1">
      <c r="A26" s="49">
        <v>45602.75</v>
      </c>
      <c r="B26" s="50">
        <v>5.25</v>
      </c>
      <c r="C26" s="50">
        <v>8.07</v>
      </c>
      <c r="D26" s="50">
        <v>13.98</v>
      </c>
      <c r="E26" s="50">
        <v>11.62</v>
      </c>
      <c r="F26" s="50">
        <v>11.51</v>
      </c>
      <c r="G26" s="50">
        <v>86.39</v>
      </c>
      <c r="H26" s="50">
        <v>36.03</v>
      </c>
      <c r="I26" s="50">
        <v>8.02</v>
      </c>
      <c r="J26" s="50">
        <v>0.23</v>
      </c>
      <c r="K26" s="50">
        <v>170.79</v>
      </c>
      <c r="L26" s="50">
        <v>27.15</v>
      </c>
      <c r="M26" s="50">
        <v>60.14</v>
      </c>
      <c r="N26" s="50">
        <v>4.2</v>
      </c>
      <c r="O26" s="50">
        <v>0</v>
      </c>
      <c r="P26" s="50">
        <v>0.62</v>
      </c>
      <c r="Q26" s="50">
        <v>4.3</v>
      </c>
    </row>
    <row r="27" spans="1:17" customFormat="1">
      <c r="A27" s="49">
        <v>45602.791666666664</v>
      </c>
      <c r="B27" s="50">
        <v>5.24</v>
      </c>
      <c r="C27" s="50">
        <v>8.11</v>
      </c>
      <c r="D27" s="50">
        <v>13.99</v>
      </c>
      <c r="E27" s="50">
        <v>9.74</v>
      </c>
      <c r="F27" s="50">
        <v>10.15</v>
      </c>
      <c r="G27" s="50">
        <v>89.07</v>
      </c>
      <c r="H27" s="50">
        <v>36.5</v>
      </c>
      <c r="I27" s="50">
        <v>8.93</v>
      </c>
      <c r="J27" s="50">
        <v>0.24</v>
      </c>
      <c r="K27" s="50">
        <v>171.62</v>
      </c>
      <c r="L27" s="50">
        <v>26.24</v>
      </c>
      <c r="M27" s="50">
        <v>66.41</v>
      </c>
      <c r="N27" s="50">
        <v>1.8</v>
      </c>
      <c r="O27" s="50">
        <v>0</v>
      </c>
      <c r="P27" s="50">
        <v>0.62</v>
      </c>
      <c r="Q27" s="50">
        <v>4.3</v>
      </c>
    </row>
    <row r="28" spans="1:17" customFormat="1">
      <c r="A28" s="49">
        <v>45602.833333333336</v>
      </c>
      <c r="B28" s="50">
        <v>5.24</v>
      </c>
      <c r="C28" s="50">
        <v>8.07</v>
      </c>
      <c r="D28" s="50">
        <v>13.98</v>
      </c>
      <c r="E28" s="50">
        <v>9.75</v>
      </c>
      <c r="F28" s="50">
        <v>7.54</v>
      </c>
      <c r="G28" s="50">
        <v>93.07</v>
      </c>
      <c r="H28" s="50">
        <v>39.01</v>
      </c>
      <c r="I28" s="50">
        <v>8.75</v>
      </c>
      <c r="J28" s="50">
        <v>0.25</v>
      </c>
      <c r="K28" s="50">
        <v>176.92</v>
      </c>
      <c r="L28" s="50">
        <v>24.91</v>
      </c>
      <c r="M28" s="50">
        <v>73.72</v>
      </c>
      <c r="N28" s="50">
        <v>1.8</v>
      </c>
      <c r="O28" s="50">
        <v>0</v>
      </c>
      <c r="P28" s="50">
        <v>0.64</v>
      </c>
      <c r="Q28" s="50">
        <v>4.29</v>
      </c>
    </row>
    <row r="29" spans="1:17" customFormat="1">
      <c r="A29" s="49">
        <v>45602.875</v>
      </c>
      <c r="B29" s="50">
        <v>5.25</v>
      </c>
      <c r="C29" s="50">
        <v>8.06</v>
      </c>
      <c r="D29" s="50">
        <v>13.99</v>
      </c>
      <c r="E29" s="50">
        <v>10.119999999999999</v>
      </c>
      <c r="F29" s="50">
        <v>6.5</v>
      </c>
      <c r="G29" s="50">
        <v>97.63</v>
      </c>
      <c r="H29" s="50">
        <v>39.01</v>
      </c>
      <c r="I29" s="50">
        <v>8.6</v>
      </c>
      <c r="J29" s="50">
        <v>0.16</v>
      </c>
      <c r="K29" s="50">
        <v>188.4</v>
      </c>
      <c r="L29" s="50">
        <v>23.71</v>
      </c>
      <c r="M29" s="50">
        <v>79.099999999999994</v>
      </c>
      <c r="N29" s="50">
        <v>1.8</v>
      </c>
      <c r="O29" s="50">
        <v>0</v>
      </c>
      <c r="P29" s="50">
        <v>0.64</v>
      </c>
      <c r="Q29" s="50">
        <v>4.29</v>
      </c>
    </row>
    <row r="30" spans="1:17" customFormat="1">
      <c r="A30" s="49">
        <v>45602.916666666664</v>
      </c>
      <c r="B30" s="50">
        <v>5.25</v>
      </c>
      <c r="C30" s="50">
        <v>8.1</v>
      </c>
      <c r="D30" s="50">
        <v>14</v>
      </c>
      <c r="E30" s="50">
        <v>10.25</v>
      </c>
      <c r="F30" s="50">
        <v>6.07</v>
      </c>
      <c r="G30" s="50">
        <v>97.63</v>
      </c>
      <c r="H30" s="50">
        <v>40.119999999999997</v>
      </c>
      <c r="I30" s="50">
        <v>8.6199999999999992</v>
      </c>
      <c r="J30" s="50">
        <v>0.21</v>
      </c>
      <c r="K30" s="50">
        <v>217.24</v>
      </c>
      <c r="L30" s="50">
        <v>23.08</v>
      </c>
      <c r="M30" s="50">
        <v>84.9</v>
      </c>
      <c r="N30" s="50">
        <v>1.7</v>
      </c>
      <c r="O30" s="50">
        <v>0</v>
      </c>
      <c r="P30" s="50">
        <v>0.65</v>
      </c>
      <c r="Q30" s="50">
        <v>4.3</v>
      </c>
    </row>
    <row r="31" spans="1:17" customFormat="1">
      <c r="A31" s="49">
        <v>45602.958333333336</v>
      </c>
      <c r="B31" s="50">
        <v>5.24</v>
      </c>
      <c r="C31" s="50">
        <v>8.08</v>
      </c>
      <c r="D31" s="50">
        <v>13.99</v>
      </c>
      <c r="E31" s="50">
        <v>10.17</v>
      </c>
      <c r="F31" s="50">
        <v>6.09</v>
      </c>
      <c r="G31" s="50">
        <v>96.81</v>
      </c>
      <c r="H31" s="50">
        <v>40.119999999999997</v>
      </c>
      <c r="I31" s="50">
        <v>8.65</v>
      </c>
      <c r="J31" s="50">
        <v>0.19</v>
      </c>
      <c r="K31" s="50">
        <v>221.53</v>
      </c>
      <c r="L31" s="50">
        <v>22.25</v>
      </c>
      <c r="M31" s="50">
        <v>87.06</v>
      </c>
      <c r="N31" s="50">
        <v>1.7</v>
      </c>
      <c r="O31" s="50">
        <v>0</v>
      </c>
      <c r="P31" s="50">
        <v>0.66</v>
      </c>
      <c r="Q31" s="50">
        <v>4.3099999999999996</v>
      </c>
    </row>
    <row r="32" spans="1:17" customFormat="1">
      <c r="A32" s="49">
        <v>45603</v>
      </c>
      <c r="B32" s="50">
        <v>5.24</v>
      </c>
      <c r="C32" s="50">
        <v>8.07</v>
      </c>
      <c r="D32" s="50">
        <v>13.98</v>
      </c>
      <c r="E32" s="50">
        <v>10.46</v>
      </c>
      <c r="F32" s="50">
        <v>6.11</v>
      </c>
      <c r="G32" s="50">
        <v>96.22</v>
      </c>
      <c r="H32" s="50">
        <v>42.38</v>
      </c>
      <c r="I32" s="50">
        <v>8.64</v>
      </c>
      <c r="J32" s="50">
        <v>0.17</v>
      </c>
      <c r="K32" s="50">
        <v>241.95</v>
      </c>
      <c r="L32" s="50">
        <v>21.58</v>
      </c>
      <c r="M32" s="50">
        <v>88.99</v>
      </c>
      <c r="N32" s="50">
        <v>1.6</v>
      </c>
      <c r="O32" s="50">
        <v>0</v>
      </c>
      <c r="P32" s="50">
        <v>0.67</v>
      </c>
      <c r="Q32" s="50">
        <v>4.32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5.2</v>
      </c>
      <c r="C34" s="40">
        <f t="shared" si="0"/>
        <v>8.06</v>
      </c>
      <c r="D34" s="40">
        <f t="shared" si="0"/>
        <v>13.95</v>
      </c>
      <c r="E34" s="40">
        <f t="shared" si="0"/>
        <v>8.5500000000000007</v>
      </c>
      <c r="F34" s="40">
        <f t="shared" si="0"/>
        <v>5.66</v>
      </c>
      <c r="G34" s="40">
        <f t="shared" si="0"/>
        <v>53.62</v>
      </c>
      <c r="H34" s="40">
        <f t="shared" si="0"/>
        <v>22.31</v>
      </c>
      <c r="I34" s="40">
        <f t="shared" si="0"/>
        <v>6.93</v>
      </c>
      <c r="J34" s="40">
        <f t="shared" si="0"/>
        <v>0.12</v>
      </c>
      <c r="K34" s="40">
        <f t="shared" si="0"/>
        <v>43.68</v>
      </c>
      <c r="L34" s="40">
        <f t="shared" si="0"/>
        <v>20.83</v>
      </c>
      <c r="M34" s="40">
        <f t="shared" si="0"/>
        <v>42.31</v>
      </c>
      <c r="N34" s="40">
        <f t="shared" si="0"/>
        <v>1.4</v>
      </c>
      <c r="O34" s="40">
        <f t="shared" si="0"/>
        <v>0</v>
      </c>
      <c r="P34" s="40">
        <f t="shared" si="0"/>
        <v>0.54</v>
      </c>
      <c r="Q34" s="40">
        <f t="shared" si="0"/>
        <v>4.29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5.26</v>
      </c>
      <c r="C35" s="33">
        <f t="shared" si="1"/>
        <v>8.17</v>
      </c>
      <c r="D35" s="33">
        <f t="shared" si="1"/>
        <v>14</v>
      </c>
      <c r="E35" s="33">
        <f t="shared" si="1"/>
        <v>18.670000000000002</v>
      </c>
      <c r="F35" s="33">
        <f t="shared" si="1"/>
        <v>20.04</v>
      </c>
      <c r="G35" s="33">
        <f t="shared" si="1"/>
        <v>106.15</v>
      </c>
      <c r="H35" s="33">
        <f t="shared" si="1"/>
        <v>42.38</v>
      </c>
      <c r="I35" s="33">
        <f t="shared" si="1"/>
        <v>9.9700000000000006</v>
      </c>
      <c r="J35" s="33">
        <f t="shared" si="1"/>
        <v>0.9</v>
      </c>
      <c r="K35" s="33">
        <f t="shared" si="1"/>
        <v>356.64</v>
      </c>
      <c r="L35" s="33">
        <f t="shared" si="1"/>
        <v>31.24</v>
      </c>
      <c r="M35" s="33">
        <f t="shared" si="1"/>
        <v>91.85</v>
      </c>
      <c r="N35" s="33">
        <f t="shared" si="1"/>
        <v>543.9</v>
      </c>
      <c r="O35" s="33">
        <f t="shared" si="1"/>
        <v>0</v>
      </c>
      <c r="P35" s="33">
        <f t="shared" si="1"/>
        <v>0.78</v>
      </c>
      <c r="Q35" s="33">
        <f t="shared" si="1"/>
        <v>4.32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5.2329166666666662</v>
      </c>
      <c r="C36" s="40">
        <f t="shared" si="2"/>
        <v>8.0887499999999992</v>
      </c>
      <c r="D36" s="40">
        <f t="shared" si="2"/>
        <v>13.979166666666666</v>
      </c>
      <c r="E36" s="40">
        <f t="shared" si="2"/>
        <v>11.041666666666666</v>
      </c>
      <c r="F36" s="40">
        <f t="shared" si="2"/>
        <v>8.7800000000000011</v>
      </c>
      <c r="G36" s="40">
        <f t="shared" si="2"/>
        <v>83.807083333333324</v>
      </c>
      <c r="H36" s="40">
        <f t="shared" si="2"/>
        <v>33.557083333333331</v>
      </c>
      <c r="I36" s="40">
        <f t="shared" si="2"/>
        <v>8.4012499999999992</v>
      </c>
      <c r="J36" s="40">
        <f t="shared" si="2"/>
        <v>0.37916666666666671</v>
      </c>
      <c r="K36" s="40">
        <f t="shared" si="2"/>
        <v>146.76124999999999</v>
      </c>
      <c r="L36" s="40">
        <f t="shared" si="2"/>
        <v>25.242500000000007</v>
      </c>
      <c r="M36" s="40">
        <f t="shared" si="2"/>
        <v>71.644166666666663</v>
      </c>
      <c r="N36" s="40">
        <f t="shared" si="2"/>
        <v>133.4666666666667</v>
      </c>
      <c r="O36" s="40">
        <f t="shared" si="2"/>
        <v>0</v>
      </c>
      <c r="P36" s="40">
        <f t="shared" si="2"/>
        <v>0.65166666666666673</v>
      </c>
      <c r="Q36" s="40">
        <f t="shared" si="2"/>
        <v>4.3054166666666669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1.7810394294555529E-2</v>
      </c>
      <c r="C37" s="40">
        <f t="shared" ref="C37:Q37" si="3">STDEV(C9:C32)</f>
        <v>2.2128576841800512E-2</v>
      </c>
      <c r="D37" s="40">
        <f t="shared" si="3"/>
        <v>1.4116492564331857E-2</v>
      </c>
      <c r="E37" s="40">
        <f t="shared" si="3"/>
        <v>2.4123156233516925</v>
      </c>
      <c r="F37" s="40">
        <f t="shared" si="3"/>
        <v>4.0029793252352492</v>
      </c>
      <c r="G37" s="40">
        <f t="shared" si="3"/>
        <v>16.149819619174831</v>
      </c>
      <c r="H37" s="40">
        <f t="shared" si="3"/>
        <v>5.9234196051639394</v>
      </c>
      <c r="I37" s="40">
        <f t="shared" si="3"/>
        <v>0.97195147713918273</v>
      </c>
      <c r="J37" s="40">
        <f t="shared" si="3"/>
        <v>0.23688038931194724</v>
      </c>
      <c r="K37" s="40">
        <f t="shared" si="3"/>
        <v>88.422230940281779</v>
      </c>
      <c r="L37" s="40">
        <f t="shared" si="3"/>
        <v>3.8593953682792415</v>
      </c>
      <c r="M37" s="40">
        <f t="shared" si="3"/>
        <v>18.724501715473089</v>
      </c>
      <c r="N37" s="40">
        <f t="shared" si="3"/>
        <v>197.18858919862708</v>
      </c>
      <c r="O37" s="40">
        <f t="shared" si="3"/>
        <v>0</v>
      </c>
      <c r="P37" s="40">
        <f t="shared" si="3"/>
        <v>6.4178193957994345E-2</v>
      </c>
      <c r="Q37" s="40">
        <f t="shared" si="3"/>
        <v>7.7902763620491091E-3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A9" sqref="A9"/>
      <selection pane="topRight" activeCell="A9" sqref="A9"/>
      <selection pane="bottomLeft" activeCell="A9" sqref="A9"/>
      <selection pane="bottomRight" activeCell="G38" sqref="G38:H38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45603.041666666664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45603.041666666664</v>
      </c>
      <c r="B9" s="50">
        <v>5.26</v>
      </c>
      <c r="C9" s="50">
        <v>8.08</v>
      </c>
      <c r="D9" s="50">
        <v>14</v>
      </c>
      <c r="E9" s="50">
        <v>10.1</v>
      </c>
      <c r="F9" s="50">
        <v>6.11</v>
      </c>
      <c r="G9" s="50">
        <v>93.23</v>
      </c>
      <c r="H9" s="50">
        <v>42.38</v>
      </c>
      <c r="I9" s="50">
        <v>8.59</v>
      </c>
      <c r="J9" s="50">
        <v>0.16</v>
      </c>
      <c r="K9" s="50">
        <v>233.41</v>
      </c>
      <c r="L9" s="50">
        <v>21.37</v>
      </c>
      <c r="M9" s="50">
        <v>90.37</v>
      </c>
      <c r="N9" s="50">
        <v>1.5</v>
      </c>
      <c r="O9" s="50">
        <v>0</v>
      </c>
      <c r="P9" s="50">
        <v>0.66</v>
      </c>
      <c r="Q9" s="50">
        <v>4.3099999999999996</v>
      </c>
    </row>
    <row r="10" spans="1:21" customFormat="1">
      <c r="A10" s="49">
        <v>45603.083333333336</v>
      </c>
      <c r="B10" s="50">
        <v>5.27</v>
      </c>
      <c r="C10" s="50">
        <v>8.09</v>
      </c>
      <c r="D10" s="50">
        <v>14.02</v>
      </c>
      <c r="E10" s="50">
        <v>9.3800000000000008</v>
      </c>
      <c r="F10" s="50">
        <v>6.09</v>
      </c>
      <c r="G10" s="50">
        <v>93.12</v>
      </c>
      <c r="H10" s="50">
        <v>44.09</v>
      </c>
      <c r="I10" s="50">
        <v>8.32</v>
      </c>
      <c r="J10" s="50">
        <v>0.15</v>
      </c>
      <c r="K10" s="50">
        <v>232.59</v>
      </c>
      <c r="L10" s="50">
        <v>21.25</v>
      </c>
      <c r="M10" s="50">
        <v>92.04</v>
      </c>
      <c r="N10" s="50">
        <v>1.7</v>
      </c>
      <c r="O10" s="50">
        <v>0</v>
      </c>
      <c r="P10" s="50">
        <v>0.66</v>
      </c>
      <c r="Q10" s="50">
        <v>4.3</v>
      </c>
    </row>
    <row r="11" spans="1:21" customFormat="1">
      <c r="A11" s="49">
        <v>45603.125</v>
      </c>
      <c r="B11" s="50">
        <v>5.29</v>
      </c>
      <c r="C11" s="50">
        <v>8.1</v>
      </c>
      <c r="D11" s="50">
        <v>14.04</v>
      </c>
      <c r="E11" s="50">
        <v>10.130000000000001</v>
      </c>
      <c r="F11" s="50">
        <v>6.24</v>
      </c>
      <c r="G11" s="50">
        <v>93.12</v>
      </c>
      <c r="H11" s="50">
        <v>44.09</v>
      </c>
      <c r="I11" s="50">
        <v>7.99</v>
      </c>
      <c r="J11" s="50">
        <v>0.17</v>
      </c>
      <c r="K11" s="50">
        <v>247.45</v>
      </c>
      <c r="L11" s="50">
        <v>20.85</v>
      </c>
      <c r="M11" s="50">
        <v>92.44</v>
      </c>
      <c r="N11" s="50">
        <v>1.6</v>
      </c>
      <c r="O11" s="50">
        <v>0</v>
      </c>
      <c r="P11" s="50">
        <v>0.64</v>
      </c>
      <c r="Q11" s="50">
        <v>4.3</v>
      </c>
    </row>
    <row r="12" spans="1:21" customFormat="1">
      <c r="A12" s="49">
        <v>45603.166666666664</v>
      </c>
      <c r="B12" s="50">
        <v>5.29</v>
      </c>
      <c r="C12" s="50">
        <v>8.11</v>
      </c>
      <c r="D12" s="50">
        <v>14.03</v>
      </c>
      <c r="E12" s="50">
        <v>10.23</v>
      </c>
      <c r="F12" s="50">
        <v>5.86</v>
      </c>
      <c r="G12" s="50">
        <v>91.82</v>
      </c>
      <c r="H12" s="50">
        <v>40.18</v>
      </c>
      <c r="I12" s="50">
        <v>7.78</v>
      </c>
      <c r="J12" s="50">
        <v>0.34</v>
      </c>
      <c r="K12" s="50">
        <v>275.47000000000003</v>
      </c>
      <c r="L12" s="50">
        <v>20.82</v>
      </c>
      <c r="M12" s="50">
        <v>91.86</v>
      </c>
      <c r="N12" s="50">
        <v>1.7</v>
      </c>
      <c r="O12" s="50">
        <v>0</v>
      </c>
      <c r="P12" s="50">
        <v>0.65</v>
      </c>
      <c r="Q12" s="50">
        <v>4.3</v>
      </c>
    </row>
    <row r="13" spans="1:21" customFormat="1">
      <c r="A13" s="49">
        <v>45603.208333333336</v>
      </c>
      <c r="B13" s="50">
        <v>5.27</v>
      </c>
      <c r="C13" s="50">
        <v>8.11</v>
      </c>
      <c r="D13" s="50">
        <v>14.02</v>
      </c>
      <c r="E13" s="50">
        <v>10.24</v>
      </c>
      <c r="F13" s="50">
        <v>5.95</v>
      </c>
      <c r="G13" s="50">
        <v>88.71</v>
      </c>
      <c r="H13" s="50">
        <v>43.31</v>
      </c>
      <c r="I13" s="50">
        <v>7.72</v>
      </c>
      <c r="J13" s="50">
        <v>0.27</v>
      </c>
      <c r="K13" s="50">
        <v>55.51</v>
      </c>
      <c r="L13" s="50">
        <v>20.91</v>
      </c>
      <c r="M13" s="50">
        <v>88.06</v>
      </c>
      <c r="N13" s="50">
        <v>1.5</v>
      </c>
      <c r="O13" s="50">
        <v>0</v>
      </c>
      <c r="P13" s="50">
        <v>0.65</v>
      </c>
      <c r="Q13" s="50">
        <v>4.3</v>
      </c>
    </row>
    <row r="14" spans="1:21" customFormat="1">
      <c r="A14" s="49">
        <v>45603.25</v>
      </c>
      <c r="B14" s="50">
        <v>5.26</v>
      </c>
      <c r="C14" s="50">
        <v>8.09</v>
      </c>
      <c r="D14" s="50">
        <v>14.01</v>
      </c>
      <c r="E14" s="50">
        <v>10.68</v>
      </c>
      <c r="F14" s="50">
        <v>5.82</v>
      </c>
      <c r="G14" s="50">
        <v>98.42</v>
      </c>
      <c r="H14" s="50">
        <v>44.09</v>
      </c>
      <c r="I14" s="50">
        <v>7.9</v>
      </c>
      <c r="J14" s="50">
        <v>0.17</v>
      </c>
      <c r="K14" s="50">
        <v>227.35</v>
      </c>
      <c r="L14" s="50">
        <v>20.82</v>
      </c>
      <c r="M14" s="50">
        <v>94.25</v>
      </c>
      <c r="N14" s="50">
        <v>3.3</v>
      </c>
      <c r="O14" s="50">
        <v>0</v>
      </c>
      <c r="P14" s="50">
        <v>0.68</v>
      </c>
      <c r="Q14" s="50">
        <v>4.3</v>
      </c>
    </row>
    <row r="15" spans="1:21" customFormat="1">
      <c r="A15" s="49">
        <v>45603.291666666664</v>
      </c>
      <c r="B15" s="50">
        <v>5.28</v>
      </c>
      <c r="C15" s="50">
        <v>8.1199999999999992</v>
      </c>
      <c r="D15" s="50">
        <v>14.02</v>
      </c>
      <c r="E15" s="50">
        <v>11.16</v>
      </c>
      <c r="F15" s="50">
        <v>5.76</v>
      </c>
      <c r="G15" s="50">
        <v>98.42</v>
      </c>
      <c r="H15" s="50">
        <v>44.09</v>
      </c>
      <c r="I15" s="50">
        <v>8.1199999999999992</v>
      </c>
      <c r="J15" s="50">
        <v>0.15</v>
      </c>
      <c r="K15" s="50">
        <v>228.74</v>
      </c>
      <c r="L15" s="50">
        <v>21.04</v>
      </c>
      <c r="M15" s="50">
        <v>95.39</v>
      </c>
      <c r="N15" s="50">
        <v>43.7</v>
      </c>
      <c r="O15" s="50">
        <v>0</v>
      </c>
      <c r="P15" s="50">
        <v>0.68</v>
      </c>
      <c r="Q15" s="50">
        <v>4.3099999999999996</v>
      </c>
    </row>
    <row r="16" spans="1:21" customFormat="1">
      <c r="A16" s="49">
        <v>45603.333333333336</v>
      </c>
      <c r="B16" s="50">
        <v>5.27</v>
      </c>
      <c r="C16" s="50">
        <v>8.08</v>
      </c>
      <c r="D16" s="50">
        <v>14.01</v>
      </c>
      <c r="E16" s="50">
        <v>11.17</v>
      </c>
      <c r="F16" s="50">
        <v>5.95</v>
      </c>
      <c r="G16" s="50">
        <v>103.77</v>
      </c>
      <c r="H16" s="50">
        <v>45.27</v>
      </c>
      <c r="I16" s="50">
        <v>8.5299999999999994</v>
      </c>
      <c r="J16" s="50">
        <v>0.49</v>
      </c>
      <c r="K16" s="50">
        <v>43.82</v>
      </c>
      <c r="L16" s="50">
        <v>23.28</v>
      </c>
      <c r="M16" s="50">
        <v>85.39</v>
      </c>
      <c r="N16" s="50">
        <v>172.7</v>
      </c>
      <c r="O16" s="50">
        <v>0</v>
      </c>
      <c r="P16" s="50">
        <v>0.71</v>
      </c>
      <c r="Q16" s="50">
        <v>4.32</v>
      </c>
    </row>
    <row r="17" spans="1:17" customFormat="1">
      <c r="A17" s="49">
        <v>45603.375</v>
      </c>
      <c r="B17" s="50">
        <v>5.25</v>
      </c>
      <c r="C17" s="50">
        <v>8.08</v>
      </c>
      <c r="D17" s="50">
        <v>14</v>
      </c>
      <c r="E17" s="50">
        <v>12.42</v>
      </c>
      <c r="F17" s="50">
        <v>6.79</v>
      </c>
      <c r="G17" s="50">
        <v>108.07</v>
      </c>
      <c r="H17" s="50">
        <v>45.27</v>
      </c>
      <c r="I17" s="50">
        <v>9.0500000000000007</v>
      </c>
      <c r="J17" s="50">
        <v>0.66</v>
      </c>
      <c r="K17" s="50">
        <v>47.58</v>
      </c>
      <c r="L17" s="50">
        <v>26.16</v>
      </c>
      <c r="M17" s="50">
        <v>75.66</v>
      </c>
      <c r="N17" s="50">
        <v>274.3</v>
      </c>
      <c r="O17" s="50">
        <v>0</v>
      </c>
      <c r="P17" s="50">
        <v>0.74</v>
      </c>
      <c r="Q17" s="50">
        <v>4.3099999999999996</v>
      </c>
    </row>
    <row r="18" spans="1:17" customFormat="1">
      <c r="A18" s="49">
        <v>45603.416666666664</v>
      </c>
      <c r="B18" s="50">
        <v>5.28</v>
      </c>
      <c r="C18" s="50">
        <v>8.09</v>
      </c>
      <c r="D18" s="50">
        <v>14.01</v>
      </c>
      <c r="E18" s="50">
        <v>12.27</v>
      </c>
      <c r="F18" s="50">
        <v>8.0399999999999991</v>
      </c>
      <c r="G18" s="50">
        <v>109.35</v>
      </c>
      <c r="H18" s="50">
        <v>44.42</v>
      </c>
      <c r="I18" s="50">
        <v>9.2200000000000006</v>
      </c>
      <c r="J18" s="50">
        <v>0.76</v>
      </c>
      <c r="K18" s="50">
        <v>93.27</v>
      </c>
      <c r="L18" s="50">
        <v>28.44</v>
      </c>
      <c r="M18" s="50">
        <v>62.44</v>
      </c>
      <c r="N18" s="50">
        <v>410.8</v>
      </c>
      <c r="O18" s="50">
        <v>0</v>
      </c>
      <c r="P18" s="50">
        <v>0.74</v>
      </c>
      <c r="Q18" s="50">
        <v>4.3099999999999996</v>
      </c>
    </row>
    <row r="19" spans="1:17" customFormat="1">
      <c r="A19" s="49">
        <v>45603.458333333336</v>
      </c>
      <c r="B19" s="50">
        <v>5.26</v>
      </c>
      <c r="C19" s="50">
        <v>8.09</v>
      </c>
      <c r="D19" s="50">
        <v>13.99</v>
      </c>
      <c r="E19" s="50">
        <v>14.04</v>
      </c>
      <c r="F19" s="50">
        <v>10.24</v>
      </c>
      <c r="G19" s="50">
        <v>109.35</v>
      </c>
      <c r="H19" s="50">
        <v>44.42</v>
      </c>
      <c r="I19" s="50">
        <v>9.17</v>
      </c>
      <c r="J19" s="50">
        <v>0.35</v>
      </c>
      <c r="K19" s="50">
        <v>118.52</v>
      </c>
      <c r="L19" s="50">
        <v>29.83</v>
      </c>
      <c r="M19" s="50">
        <v>54.51</v>
      </c>
      <c r="N19" s="50">
        <v>491</v>
      </c>
      <c r="O19" s="50">
        <v>0</v>
      </c>
      <c r="P19" s="50">
        <v>0.74</v>
      </c>
      <c r="Q19" s="50">
        <v>4.3099999999999996</v>
      </c>
    </row>
    <row r="20" spans="1:17" customFormat="1">
      <c r="A20" s="49">
        <v>45603.5</v>
      </c>
      <c r="B20" s="50">
        <v>5.27</v>
      </c>
      <c r="C20" s="50">
        <v>8.09</v>
      </c>
      <c r="D20" s="50">
        <v>14.01</v>
      </c>
      <c r="E20" s="50">
        <v>13.34</v>
      </c>
      <c r="F20" s="50">
        <v>13.02</v>
      </c>
      <c r="G20" s="50">
        <v>103.91</v>
      </c>
      <c r="H20" s="50">
        <v>42.92</v>
      </c>
      <c r="I20" s="50">
        <v>8.7799999999999994</v>
      </c>
      <c r="J20" s="50">
        <v>0.56000000000000005</v>
      </c>
      <c r="K20" s="50">
        <v>111.41</v>
      </c>
      <c r="L20" s="50">
        <v>29.64</v>
      </c>
      <c r="M20" s="50">
        <v>51.91</v>
      </c>
      <c r="N20" s="50">
        <v>471.3</v>
      </c>
      <c r="O20" s="50">
        <v>0</v>
      </c>
      <c r="P20" s="50">
        <v>0.71</v>
      </c>
      <c r="Q20" s="50">
        <v>4.3</v>
      </c>
    </row>
    <row r="21" spans="1:17" customFormat="1">
      <c r="A21" s="49">
        <v>45603.541666666664</v>
      </c>
      <c r="B21" s="50">
        <v>5.29</v>
      </c>
      <c r="C21" s="50">
        <v>8.09</v>
      </c>
      <c r="D21" s="50">
        <v>14.04</v>
      </c>
      <c r="E21" s="50">
        <v>14.26</v>
      </c>
      <c r="F21" s="50">
        <v>18.95</v>
      </c>
      <c r="G21" s="50">
        <v>91.79</v>
      </c>
      <c r="H21" s="50">
        <v>39.619999999999997</v>
      </c>
      <c r="I21" s="50">
        <v>8.11</v>
      </c>
      <c r="J21" s="50">
        <v>0.78</v>
      </c>
      <c r="K21" s="50">
        <v>60.32</v>
      </c>
      <c r="L21" s="50">
        <v>30.4</v>
      </c>
      <c r="M21" s="50">
        <v>48.98</v>
      </c>
      <c r="N21" s="50">
        <v>435.8</v>
      </c>
      <c r="O21" s="50">
        <v>0</v>
      </c>
      <c r="P21" s="50">
        <v>0.67</v>
      </c>
      <c r="Q21" s="50">
        <v>4.32</v>
      </c>
    </row>
    <row r="22" spans="1:17" customFormat="1">
      <c r="A22" s="49">
        <v>45603.583333333336</v>
      </c>
      <c r="B22" s="50">
        <v>5.39</v>
      </c>
      <c r="C22" s="50">
        <v>8.09</v>
      </c>
      <c r="D22" s="50">
        <v>14.11</v>
      </c>
      <c r="E22" s="50">
        <v>15.07</v>
      </c>
      <c r="F22" s="50">
        <v>27.69</v>
      </c>
      <c r="G22" s="11" t="s">
        <v>12</v>
      </c>
      <c r="H22" s="11" t="s">
        <v>12</v>
      </c>
      <c r="I22" s="50">
        <v>7.83</v>
      </c>
      <c r="J22" s="50">
        <v>0.61</v>
      </c>
      <c r="K22" s="50">
        <v>64.16</v>
      </c>
      <c r="L22" s="50">
        <v>30.68</v>
      </c>
      <c r="M22" s="50">
        <v>45.19</v>
      </c>
      <c r="N22" s="50">
        <v>403.7</v>
      </c>
      <c r="O22" s="50">
        <v>0</v>
      </c>
      <c r="P22" s="50">
        <v>0.63</v>
      </c>
      <c r="Q22" s="50">
        <v>4.3</v>
      </c>
    </row>
    <row r="23" spans="1:17" customFormat="1">
      <c r="A23" s="49">
        <v>45603.625</v>
      </c>
      <c r="B23" s="50">
        <v>5.22</v>
      </c>
      <c r="C23" s="50">
        <v>8.07</v>
      </c>
      <c r="D23" s="50">
        <v>13.95</v>
      </c>
      <c r="E23" s="50">
        <v>17.16</v>
      </c>
      <c r="F23" s="50">
        <v>44.77</v>
      </c>
      <c r="G23" s="50">
        <v>42.95</v>
      </c>
      <c r="H23" s="50">
        <v>18.12</v>
      </c>
      <c r="I23" s="50">
        <v>7.32</v>
      </c>
      <c r="J23" s="50">
        <v>0.28999999999999998</v>
      </c>
      <c r="K23" s="50">
        <v>188.02</v>
      </c>
      <c r="L23" s="50">
        <v>30.06</v>
      </c>
      <c r="M23" s="50">
        <v>47.43</v>
      </c>
      <c r="N23" s="50">
        <v>122</v>
      </c>
      <c r="O23" s="50">
        <v>0</v>
      </c>
      <c r="P23" s="50">
        <v>0.57999999999999996</v>
      </c>
      <c r="Q23" s="50">
        <v>4.3</v>
      </c>
    </row>
    <row r="24" spans="1:17" customFormat="1">
      <c r="A24" s="49">
        <v>45603.666666666664</v>
      </c>
      <c r="B24" s="50">
        <v>5.29</v>
      </c>
      <c r="C24" s="50">
        <v>8.08</v>
      </c>
      <c r="D24" s="50">
        <v>14.03</v>
      </c>
      <c r="E24" s="50">
        <v>17.2</v>
      </c>
      <c r="F24" s="50">
        <v>31.69</v>
      </c>
      <c r="G24" s="50">
        <v>45.07</v>
      </c>
      <c r="H24" s="50">
        <v>18.12</v>
      </c>
      <c r="I24" s="50">
        <v>5.67</v>
      </c>
      <c r="J24" s="50">
        <v>0.38</v>
      </c>
      <c r="K24" s="50">
        <v>97.8</v>
      </c>
      <c r="L24" s="50">
        <v>29.79</v>
      </c>
      <c r="M24" s="50">
        <v>46.57</v>
      </c>
      <c r="N24" s="50">
        <v>86.4</v>
      </c>
      <c r="O24" s="50">
        <v>0</v>
      </c>
      <c r="P24" s="50">
        <v>0.53</v>
      </c>
      <c r="Q24" s="50">
        <v>4.3099999999999996</v>
      </c>
    </row>
    <row r="25" spans="1:17" customFormat="1">
      <c r="A25" s="49">
        <v>45603.708333333336</v>
      </c>
      <c r="B25" s="50">
        <v>5.28</v>
      </c>
      <c r="C25" s="50">
        <v>8.1</v>
      </c>
      <c r="D25" s="50">
        <v>14.03</v>
      </c>
      <c r="E25" s="50">
        <v>15.45</v>
      </c>
      <c r="F25" s="50">
        <v>28.56</v>
      </c>
      <c r="G25" s="50">
        <v>50</v>
      </c>
      <c r="H25" s="50">
        <v>21.23</v>
      </c>
      <c r="I25" s="50">
        <v>5.0999999999999996</v>
      </c>
      <c r="J25" s="50">
        <v>0.27</v>
      </c>
      <c r="K25" s="50">
        <v>152.63</v>
      </c>
      <c r="L25" s="50">
        <v>29.12</v>
      </c>
      <c r="M25" s="50">
        <v>58.4</v>
      </c>
      <c r="N25" s="50">
        <v>37.299999999999997</v>
      </c>
      <c r="O25" s="50">
        <v>0</v>
      </c>
      <c r="P25" s="50">
        <v>0.53</v>
      </c>
      <c r="Q25" s="50">
        <v>4.3099999999999996</v>
      </c>
    </row>
    <row r="26" spans="1:17" customFormat="1">
      <c r="A26" s="49">
        <v>45603.75</v>
      </c>
      <c r="B26" s="50">
        <v>5.31</v>
      </c>
      <c r="C26" s="50">
        <v>8.08</v>
      </c>
      <c r="D26" s="50">
        <v>14.04</v>
      </c>
      <c r="E26" s="50">
        <v>11.13</v>
      </c>
      <c r="F26" s="50">
        <v>9.7100000000000009</v>
      </c>
      <c r="G26" s="50">
        <v>66.78</v>
      </c>
      <c r="H26" s="50">
        <v>23.57</v>
      </c>
      <c r="I26" s="50">
        <v>5.6</v>
      </c>
      <c r="J26" s="50">
        <v>0.28999999999999998</v>
      </c>
      <c r="K26" s="50">
        <v>170.09</v>
      </c>
      <c r="L26" s="50">
        <v>26.69</v>
      </c>
      <c r="M26" s="50">
        <v>65.7</v>
      </c>
      <c r="N26" s="50">
        <v>4.2</v>
      </c>
      <c r="O26" s="50">
        <v>0</v>
      </c>
      <c r="P26" s="50">
        <v>0.56999999999999995</v>
      </c>
      <c r="Q26" s="50">
        <v>4.3099999999999996</v>
      </c>
    </row>
    <row r="27" spans="1:17" customFormat="1">
      <c r="A27" s="49">
        <v>45603.791666666664</v>
      </c>
      <c r="B27" s="50">
        <v>5.33</v>
      </c>
      <c r="C27" s="50">
        <v>8.1199999999999992</v>
      </c>
      <c r="D27" s="50">
        <v>14.06</v>
      </c>
      <c r="E27" s="50">
        <v>7.8</v>
      </c>
      <c r="F27" s="50">
        <v>5.87</v>
      </c>
      <c r="G27" s="50">
        <v>83.63</v>
      </c>
      <c r="H27" s="50">
        <v>28.66</v>
      </c>
      <c r="I27" s="50">
        <v>6.16</v>
      </c>
      <c r="J27" s="50">
        <v>0.23</v>
      </c>
      <c r="K27" s="50">
        <v>172.56</v>
      </c>
      <c r="L27" s="50">
        <v>25.06</v>
      </c>
      <c r="M27" s="50">
        <v>77.05</v>
      </c>
      <c r="N27" s="50">
        <v>2</v>
      </c>
      <c r="O27" s="50">
        <v>0</v>
      </c>
      <c r="P27" s="50">
        <v>0.63</v>
      </c>
      <c r="Q27" s="50">
        <v>4.3099999999999996</v>
      </c>
    </row>
    <row r="28" spans="1:17" customFormat="1">
      <c r="A28" s="49">
        <v>45603.833333333336</v>
      </c>
      <c r="B28" s="50">
        <v>5.3</v>
      </c>
      <c r="C28" s="50">
        <v>8.08</v>
      </c>
      <c r="D28" s="50">
        <v>14.03</v>
      </c>
      <c r="E28" s="50">
        <v>8.17</v>
      </c>
      <c r="F28" s="50">
        <v>5.95</v>
      </c>
      <c r="G28" s="50">
        <v>109.12</v>
      </c>
      <c r="H28" s="50">
        <v>29.89</v>
      </c>
      <c r="I28" s="50">
        <v>7.29</v>
      </c>
      <c r="J28" s="50">
        <v>0.21</v>
      </c>
      <c r="K28" s="50">
        <v>154.01</v>
      </c>
      <c r="L28" s="50">
        <v>24.38</v>
      </c>
      <c r="M28" s="50">
        <v>72.709999999999994</v>
      </c>
      <c r="N28" s="50">
        <v>1.7</v>
      </c>
      <c r="O28" s="50">
        <v>0</v>
      </c>
      <c r="P28" s="50">
        <v>0.72</v>
      </c>
      <c r="Q28" s="50">
        <v>4.3</v>
      </c>
    </row>
    <row r="29" spans="1:17" customFormat="1">
      <c r="A29" s="49">
        <v>45603.875</v>
      </c>
      <c r="B29" s="50">
        <v>5.28</v>
      </c>
      <c r="C29" s="50">
        <v>8.1</v>
      </c>
      <c r="D29" s="50">
        <v>14.03</v>
      </c>
      <c r="E29" s="50">
        <v>8.6999999999999993</v>
      </c>
      <c r="F29" s="50">
        <v>5.74</v>
      </c>
      <c r="G29" s="50">
        <v>131.30000000000001</v>
      </c>
      <c r="H29" s="50">
        <v>29.89</v>
      </c>
      <c r="I29" s="50">
        <v>8.39</v>
      </c>
      <c r="J29" s="50">
        <v>0.21</v>
      </c>
      <c r="K29" s="50">
        <v>165.73</v>
      </c>
      <c r="L29" s="50">
        <v>23.84</v>
      </c>
      <c r="M29" s="50">
        <v>75.81</v>
      </c>
      <c r="N29" s="50">
        <v>1.7</v>
      </c>
      <c r="O29" s="50">
        <v>0</v>
      </c>
      <c r="P29" s="50">
        <v>0.82</v>
      </c>
      <c r="Q29" s="50">
        <v>4.3099999999999996</v>
      </c>
    </row>
    <row r="30" spans="1:17" customFormat="1">
      <c r="A30" s="49">
        <v>45603.916666666664</v>
      </c>
      <c r="B30" s="50">
        <v>5.34</v>
      </c>
      <c r="C30" s="50">
        <v>8.1199999999999992</v>
      </c>
      <c r="D30" s="50">
        <v>14.07</v>
      </c>
      <c r="E30" s="50">
        <v>8.9600000000000009</v>
      </c>
      <c r="F30" s="50">
        <v>5.64</v>
      </c>
      <c r="G30" s="50">
        <v>131.30000000000001</v>
      </c>
      <c r="H30" s="50">
        <v>32.69</v>
      </c>
      <c r="I30" s="50">
        <v>8.9600000000000009</v>
      </c>
      <c r="J30" s="50">
        <v>0.19</v>
      </c>
      <c r="K30" s="50">
        <v>162.16999999999999</v>
      </c>
      <c r="L30" s="50">
        <v>23.75</v>
      </c>
      <c r="M30" s="50">
        <v>75.86</v>
      </c>
      <c r="N30" s="50">
        <v>1.7</v>
      </c>
      <c r="O30" s="50">
        <v>0</v>
      </c>
      <c r="P30" s="50">
        <v>0.84</v>
      </c>
      <c r="Q30" s="50">
        <v>4.3</v>
      </c>
    </row>
    <row r="31" spans="1:17" customFormat="1">
      <c r="A31" s="49">
        <v>45603.958333333336</v>
      </c>
      <c r="B31" s="50">
        <v>5.31</v>
      </c>
      <c r="C31" s="50">
        <v>8.08</v>
      </c>
      <c r="D31" s="50">
        <v>14.05</v>
      </c>
      <c r="E31" s="50">
        <v>9.36</v>
      </c>
      <c r="F31" s="50">
        <v>5.82</v>
      </c>
      <c r="G31" s="50">
        <v>129.55000000000001</v>
      </c>
      <c r="H31" s="50">
        <v>32.69</v>
      </c>
      <c r="I31" s="50">
        <v>9.08</v>
      </c>
      <c r="J31" s="50">
        <v>0.2</v>
      </c>
      <c r="K31" s="50">
        <v>226.38</v>
      </c>
      <c r="L31" s="50">
        <v>22.77</v>
      </c>
      <c r="M31" s="50">
        <v>85.93</v>
      </c>
      <c r="N31" s="50">
        <v>1.9</v>
      </c>
      <c r="O31" s="50">
        <v>0</v>
      </c>
      <c r="P31" s="50">
        <v>0.84</v>
      </c>
      <c r="Q31" s="50">
        <v>4.3099999999999996</v>
      </c>
    </row>
    <row r="32" spans="1:17" customFormat="1">
      <c r="A32" s="49">
        <v>45604</v>
      </c>
      <c r="B32" s="50">
        <v>5.31</v>
      </c>
      <c r="C32" s="50">
        <v>8.1</v>
      </c>
      <c r="D32" s="50">
        <v>14.06</v>
      </c>
      <c r="E32" s="50">
        <v>9.2899999999999991</v>
      </c>
      <c r="F32" s="50">
        <v>5.82</v>
      </c>
      <c r="G32" s="50">
        <v>114.62</v>
      </c>
      <c r="H32" s="50">
        <v>33.82</v>
      </c>
      <c r="I32" s="50">
        <v>9.41</v>
      </c>
      <c r="J32" s="50">
        <v>0.18</v>
      </c>
      <c r="K32" s="50">
        <v>224.13</v>
      </c>
      <c r="L32" s="50">
        <v>21.79</v>
      </c>
      <c r="M32" s="50">
        <v>87.27</v>
      </c>
      <c r="N32" s="50">
        <v>1.6</v>
      </c>
      <c r="O32" s="50">
        <v>0</v>
      </c>
      <c r="P32" s="50">
        <v>0.83</v>
      </c>
      <c r="Q32" s="50">
        <v>4.3099999999999996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5.22</v>
      </c>
      <c r="C34" s="40">
        <f t="shared" si="0"/>
        <v>8.07</v>
      </c>
      <c r="D34" s="40">
        <f t="shared" si="0"/>
        <v>13.95</v>
      </c>
      <c r="E34" s="40">
        <f t="shared" si="0"/>
        <v>7.8</v>
      </c>
      <c r="F34" s="40">
        <f t="shared" si="0"/>
        <v>5.64</v>
      </c>
      <c r="G34" s="40">
        <f t="shared" si="0"/>
        <v>42.95</v>
      </c>
      <c r="H34" s="40">
        <f t="shared" si="0"/>
        <v>18.12</v>
      </c>
      <c r="I34" s="40">
        <f t="shared" si="0"/>
        <v>5.0999999999999996</v>
      </c>
      <c r="J34" s="40">
        <f t="shared" si="0"/>
        <v>0.15</v>
      </c>
      <c r="K34" s="40">
        <f t="shared" si="0"/>
        <v>43.82</v>
      </c>
      <c r="L34" s="40">
        <f t="shared" si="0"/>
        <v>20.82</v>
      </c>
      <c r="M34" s="40">
        <f t="shared" si="0"/>
        <v>45.19</v>
      </c>
      <c r="N34" s="40">
        <f t="shared" si="0"/>
        <v>1.5</v>
      </c>
      <c r="O34" s="40">
        <f t="shared" si="0"/>
        <v>0</v>
      </c>
      <c r="P34" s="40">
        <f t="shared" si="0"/>
        <v>0.53</v>
      </c>
      <c r="Q34" s="40">
        <f t="shared" si="0"/>
        <v>4.3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5.39</v>
      </c>
      <c r="C35" s="33">
        <f t="shared" si="1"/>
        <v>8.1199999999999992</v>
      </c>
      <c r="D35" s="33">
        <f t="shared" si="1"/>
        <v>14.11</v>
      </c>
      <c r="E35" s="33">
        <f t="shared" si="1"/>
        <v>17.2</v>
      </c>
      <c r="F35" s="33">
        <f t="shared" si="1"/>
        <v>44.77</v>
      </c>
      <c r="G35" s="33">
        <f t="shared" si="1"/>
        <v>131.30000000000001</v>
      </c>
      <c r="H35" s="33">
        <f t="shared" si="1"/>
        <v>45.27</v>
      </c>
      <c r="I35" s="33">
        <f t="shared" si="1"/>
        <v>9.41</v>
      </c>
      <c r="J35" s="33">
        <f t="shared" si="1"/>
        <v>0.78</v>
      </c>
      <c r="K35" s="33">
        <f t="shared" si="1"/>
        <v>275.47000000000003</v>
      </c>
      <c r="L35" s="33">
        <f t="shared" si="1"/>
        <v>30.68</v>
      </c>
      <c r="M35" s="33">
        <f t="shared" si="1"/>
        <v>95.39</v>
      </c>
      <c r="N35" s="33">
        <f t="shared" si="1"/>
        <v>491</v>
      </c>
      <c r="O35" s="33">
        <f t="shared" si="1"/>
        <v>0</v>
      </c>
      <c r="P35" s="33">
        <f t="shared" si="1"/>
        <v>0.84</v>
      </c>
      <c r="Q35" s="33">
        <f t="shared" si="1"/>
        <v>4.32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5.2875000000000005</v>
      </c>
      <c r="C36" s="40">
        <f t="shared" si="2"/>
        <v>8.0933333333333355</v>
      </c>
      <c r="D36" s="40">
        <f t="shared" si="2"/>
        <v>14.027499999999996</v>
      </c>
      <c r="E36" s="40">
        <f t="shared" si="2"/>
        <v>11.571249999999999</v>
      </c>
      <c r="F36" s="40">
        <f t="shared" si="2"/>
        <v>11.753333333333332</v>
      </c>
      <c r="G36" s="40">
        <f t="shared" si="2"/>
        <v>95.104347826086936</v>
      </c>
      <c r="H36" s="40">
        <f t="shared" si="2"/>
        <v>36.21</v>
      </c>
      <c r="I36" s="40">
        <f t="shared" si="2"/>
        <v>7.9204166666666644</v>
      </c>
      <c r="J36" s="40">
        <f t="shared" si="2"/>
        <v>0.3362500000000001</v>
      </c>
      <c r="K36" s="40">
        <f t="shared" si="2"/>
        <v>156.38000000000002</v>
      </c>
      <c r="L36" s="40">
        <f t="shared" si="2"/>
        <v>25.114166666666662</v>
      </c>
      <c r="M36" s="40">
        <f t="shared" si="2"/>
        <v>73.384166666666658</v>
      </c>
      <c r="N36" s="40">
        <f t="shared" si="2"/>
        <v>123.96249999999998</v>
      </c>
      <c r="O36" s="40">
        <f t="shared" si="2"/>
        <v>0</v>
      </c>
      <c r="P36" s="40">
        <f t="shared" si="2"/>
        <v>0.68541666666666679</v>
      </c>
      <c r="Q36" s="40">
        <f t="shared" si="2"/>
        <v>4.3066666666666675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3.3911649915626327E-2</v>
      </c>
      <c r="C37" s="40">
        <f t="shared" ref="C37:Q37" si="3">STDEV(C9:C32)</f>
        <v>1.4345630047135141E-2</v>
      </c>
      <c r="D37" s="40">
        <f t="shared" si="3"/>
        <v>3.0962810792528463E-2</v>
      </c>
      <c r="E37" s="40">
        <f t="shared" si="3"/>
        <v>2.7405574052196706</v>
      </c>
      <c r="F37" s="40">
        <f t="shared" si="3"/>
        <v>10.636406988414295</v>
      </c>
      <c r="G37" s="40">
        <f t="shared" si="3"/>
        <v>24.678431478462237</v>
      </c>
      <c r="H37" s="40">
        <f t="shared" si="3"/>
        <v>9.3280890569583104</v>
      </c>
      <c r="I37" s="40">
        <f t="shared" si="3"/>
        <v>1.2072083468704355</v>
      </c>
      <c r="J37" s="40">
        <f t="shared" si="3"/>
        <v>0.19873102862696196</v>
      </c>
      <c r="K37" s="40">
        <f t="shared" si="3"/>
        <v>71.886436587282503</v>
      </c>
      <c r="L37" s="40">
        <f t="shared" si="3"/>
        <v>3.7351059779699574</v>
      </c>
      <c r="M37" s="40">
        <f t="shared" si="3"/>
        <v>17.452187832616573</v>
      </c>
      <c r="N37" s="40">
        <f t="shared" si="3"/>
        <v>180.19696424721769</v>
      </c>
      <c r="O37" s="40">
        <f t="shared" si="3"/>
        <v>0</v>
      </c>
      <c r="P37" s="40">
        <f t="shared" si="3"/>
        <v>8.9247051670539937E-2</v>
      </c>
      <c r="Q37" s="40">
        <f t="shared" si="3"/>
        <v>6.3702205727060859E-3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v>24</v>
      </c>
      <c r="H38" s="45"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45604.041666666664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45604.041666666664</v>
      </c>
      <c r="B9" s="50">
        <v>5.26</v>
      </c>
      <c r="C9" s="50">
        <v>8.11</v>
      </c>
      <c r="D9" s="50">
        <v>13.99</v>
      </c>
      <c r="E9" s="50">
        <v>9.64</v>
      </c>
      <c r="F9" s="50">
        <v>5.77</v>
      </c>
      <c r="G9" s="50">
        <v>101.35</v>
      </c>
      <c r="H9" s="50">
        <v>34.049999999999997</v>
      </c>
      <c r="I9" s="50">
        <v>9.8000000000000007</v>
      </c>
      <c r="J9" s="50">
        <v>0.15</v>
      </c>
      <c r="K9" s="50">
        <v>216.84</v>
      </c>
      <c r="L9" s="50">
        <v>21.49</v>
      </c>
      <c r="M9" s="50">
        <v>92.65</v>
      </c>
      <c r="N9" s="50">
        <v>1.5</v>
      </c>
      <c r="O9" s="50">
        <v>0</v>
      </c>
      <c r="P9" s="50">
        <v>0.83</v>
      </c>
      <c r="Q9" s="50">
        <v>4.32</v>
      </c>
    </row>
    <row r="10" spans="1:21" customFormat="1">
      <c r="A10" s="49">
        <v>45604.083333333336</v>
      </c>
      <c r="B10" s="50">
        <v>5.25</v>
      </c>
      <c r="C10" s="50">
        <v>8.08</v>
      </c>
      <c r="D10" s="50">
        <v>14</v>
      </c>
      <c r="E10" s="50">
        <v>10.01</v>
      </c>
      <c r="F10" s="50">
        <v>5.71</v>
      </c>
      <c r="G10" s="50">
        <v>86.18</v>
      </c>
      <c r="H10" s="50">
        <v>34.049999999999997</v>
      </c>
      <c r="I10" s="50">
        <v>10.32</v>
      </c>
      <c r="J10" s="50">
        <v>0.2</v>
      </c>
      <c r="K10" s="50">
        <v>231.77</v>
      </c>
      <c r="L10" s="50">
        <v>20.92</v>
      </c>
      <c r="M10" s="50">
        <v>94.19</v>
      </c>
      <c r="N10" s="50">
        <v>1.7</v>
      </c>
      <c r="O10" s="50">
        <v>0</v>
      </c>
      <c r="P10" s="50">
        <v>0.85</v>
      </c>
      <c r="Q10" s="50">
        <v>4.34</v>
      </c>
    </row>
    <row r="11" spans="1:21" customFormat="1">
      <c r="A11" s="49">
        <v>45604.125</v>
      </c>
      <c r="B11" s="50">
        <v>5.24</v>
      </c>
      <c r="C11" s="50">
        <v>8.09</v>
      </c>
      <c r="D11" s="50">
        <v>13.99</v>
      </c>
      <c r="E11" s="50">
        <v>9.01</v>
      </c>
      <c r="F11" s="50">
        <v>5.94</v>
      </c>
      <c r="G11" s="50">
        <v>82.17</v>
      </c>
      <c r="H11" s="50">
        <v>32.200000000000003</v>
      </c>
      <c r="I11" s="50">
        <v>10.79</v>
      </c>
      <c r="J11" s="50">
        <v>0.13</v>
      </c>
      <c r="K11" s="50">
        <v>234.71</v>
      </c>
      <c r="L11" s="50">
        <v>20.58</v>
      </c>
      <c r="M11" s="50">
        <v>95.02</v>
      </c>
      <c r="N11" s="50">
        <v>1.4</v>
      </c>
      <c r="O11" s="50">
        <v>0</v>
      </c>
      <c r="P11" s="50">
        <v>0.84</v>
      </c>
      <c r="Q11" s="50">
        <v>4.3</v>
      </c>
    </row>
    <row r="12" spans="1:21" customFormat="1">
      <c r="A12" s="49">
        <v>45604.166666666664</v>
      </c>
      <c r="B12" s="50">
        <v>5.24</v>
      </c>
      <c r="C12" s="50">
        <v>8.08</v>
      </c>
      <c r="D12" s="50">
        <v>13.99</v>
      </c>
      <c r="E12" s="50">
        <v>8.9499999999999993</v>
      </c>
      <c r="F12" s="50">
        <v>5.91</v>
      </c>
      <c r="G12" s="50">
        <v>82.17</v>
      </c>
      <c r="H12" s="50">
        <v>32.200000000000003</v>
      </c>
      <c r="I12" s="50">
        <v>11.02</v>
      </c>
      <c r="J12" s="50">
        <v>0.14000000000000001</v>
      </c>
      <c r="K12" s="50">
        <v>214.99</v>
      </c>
      <c r="L12" s="50">
        <v>20.46</v>
      </c>
      <c r="M12" s="50">
        <v>93.91</v>
      </c>
      <c r="N12" s="50">
        <v>1.4</v>
      </c>
      <c r="O12" s="50">
        <v>0</v>
      </c>
      <c r="P12" s="50">
        <v>0.84</v>
      </c>
      <c r="Q12" s="50">
        <v>4.29</v>
      </c>
    </row>
    <row r="13" spans="1:21" customFormat="1">
      <c r="A13" s="49">
        <v>45604.208333333336</v>
      </c>
      <c r="B13" s="50">
        <v>5.24</v>
      </c>
      <c r="C13" s="50">
        <v>8.08</v>
      </c>
      <c r="D13" s="50">
        <v>13.98</v>
      </c>
      <c r="E13" s="50">
        <v>9.0299999999999994</v>
      </c>
      <c r="F13" s="50">
        <v>5.86</v>
      </c>
      <c r="G13" s="50">
        <v>77.069999999999993</v>
      </c>
      <c r="H13" s="50">
        <v>32.729999999999997</v>
      </c>
      <c r="I13" s="50">
        <v>11</v>
      </c>
      <c r="J13" s="50">
        <v>0.28000000000000003</v>
      </c>
      <c r="K13" s="50">
        <v>209.38</v>
      </c>
      <c r="L13" s="50">
        <v>20.51</v>
      </c>
      <c r="M13" s="50">
        <v>92.12</v>
      </c>
      <c r="N13" s="50">
        <v>1.5</v>
      </c>
      <c r="O13" s="50">
        <v>0</v>
      </c>
      <c r="P13" s="50">
        <v>0.84</v>
      </c>
      <c r="Q13" s="50">
        <v>4.3099999999999996</v>
      </c>
    </row>
    <row r="14" spans="1:21" customFormat="1">
      <c r="A14" s="49">
        <v>45604.25</v>
      </c>
      <c r="B14" s="50">
        <v>5.25</v>
      </c>
      <c r="C14" s="50">
        <v>8.08</v>
      </c>
      <c r="D14" s="50">
        <v>13.99</v>
      </c>
      <c r="E14" s="50">
        <v>9.3800000000000008</v>
      </c>
      <c r="F14" s="50">
        <v>5.67</v>
      </c>
      <c r="G14" s="50">
        <v>75.86</v>
      </c>
      <c r="H14" s="50">
        <v>32.729999999999997</v>
      </c>
      <c r="I14" s="50">
        <v>10.96</v>
      </c>
      <c r="J14" s="50">
        <v>0.28000000000000003</v>
      </c>
      <c r="K14" s="50">
        <v>239.78</v>
      </c>
      <c r="L14" s="50">
        <v>20.03</v>
      </c>
      <c r="M14" s="50">
        <v>96.41</v>
      </c>
      <c r="N14" s="50">
        <v>2.9</v>
      </c>
      <c r="O14" s="50">
        <v>0</v>
      </c>
      <c r="P14" s="50">
        <v>0.83</v>
      </c>
      <c r="Q14" s="50">
        <v>4.3</v>
      </c>
    </row>
    <row r="15" spans="1:21" customFormat="1">
      <c r="A15" s="49">
        <v>45604.291666666664</v>
      </c>
      <c r="B15" s="50">
        <v>5.23</v>
      </c>
      <c r="C15" s="50">
        <v>8.1</v>
      </c>
      <c r="D15" s="50">
        <v>13.99</v>
      </c>
      <c r="E15" s="50">
        <v>9.15</v>
      </c>
      <c r="F15" s="50">
        <v>5.75</v>
      </c>
      <c r="G15" s="50">
        <v>79.069999999999993</v>
      </c>
      <c r="H15" s="50">
        <v>36.44</v>
      </c>
      <c r="I15" s="50">
        <v>11.67</v>
      </c>
      <c r="J15" s="50">
        <v>0.5</v>
      </c>
      <c r="K15" s="50">
        <v>64.069999999999993</v>
      </c>
      <c r="L15" s="50">
        <v>20.83</v>
      </c>
      <c r="M15" s="50">
        <v>93.46</v>
      </c>
      <c r="N15" s="50">
        <v>43</v>
      </c>
      <c r="O15" s="50">
        <v>0</v>
      </c>
      <c r="P15" s="50">
        <v>0.86</v>
      </c>
      <c r="Q15" s="50">
        <v>4.32</v>
      </c>
    </row>
    <row r="16" spans="1:21" customFormat="1">
      <c r="A16" s="49">
        <v>45604.333333333336</v>
      </c>
      <c r="B16" s="50">
        <v>5.24</v>
      </c>
      <c r="C16" s="50">
        <v>8.1</v>
      </c>
      <c r="D16" s="50">
        <v>14</v>
      </c>
      <c r="E16" s="50">
        <v>8.99</v>
      </c>
      <c r="F16" s="50">
        <v>5.69</v>
      </c>
      <c r="G16" s="50">
        <v>102.47</v>
      </c>
      <c r="H16" s="50">
        <v>40.65</v>
      </c>
      <c r="I16" s="50">
        <v>12.6</v>
      </c>
      <c r="J16" s="50">
        <v>0.47</v>
      </c>
      <c r="K16" s="50">
        <v>54.75</v>
      </c>
      <c r="L16" s="50">
        <v>23.01</v>
      </c>
      <c r="M16" s="50">
        <v>87.92</v>
      </c>
      <c r="N16" s="50">
        <v>170.2</v>
      </c>
      <c r="O16" s="50">
        <v>0</v>
      </c>
      <c r="P16" s="50">
        <v>0.93</v>
      </c>
      <c r="Q16" s="50">
        <v>4.3099999999999996</v>
      </c>
    </row>
    <row r="17" spans="1:17" customFormat="1">
      <c r="A17" s="49">
        <v>45604.375</v>
      </c>
      <c r="B17" s="50">
        <v>5.26</v>
      </c>
      <c r="C17" s="50">
        <v>8.09</v>
      </c>
      <c r="D17" s="50">
        <v>13.99</v>
      </c>
      <c r="E17" s="50">
        <v>9.5299999999999994</v>
      </c>
      <c r="F17" s="50">
        <v>5.99</v>
      </c>
      <c r="G17" s="50">
        <v>111.12</v>
      </c>
      <c r="H17" s="50">
        <v>40.65</v>
      </c>
      <c r="I17" s="50">
        <v>12.67</v>
      </c>
      <c r="J17" s="50">
        <v>0.42</v>
      </c>
      <c r="K17" s="50">
        <v>68.09</v>
      </c>
      <c r="L17" s="50">
        <v>26.08</v>
      </c>
      <c r="M17" s="50">
        <v>79.94</v>
      </c>
      <c r="N17" s="50">
        <v>265</v>
      </c>
      <c r="O17" s="50">
        <v>0</v>
      </c>
      <c r="P17" s="50">
        <v>0.94</v>
      </c>
      <c r="Q17" s="50">
        <v>4.32</v>
      </c>
    </row>
    <row r="18" spans="1:17" customFormat="1">
      <c r="A18" s="49">
        <v>45604.416666666664</v>
      </c>
      <c r="B18" s="50">
        <v>5.26</v>
      </c>
      <c r="C18" s="50">
        <v>8.08</v>
      </c>
      <c r="D18" s="50">
        <v>14</v>
      </c>
      <c r="E18" s="50">
        <v>8.91</v>
      </c>
      <c r="F18" s="50">
        <v>6.51</v>
      </c>
      <c r="G18" s="50">
        <v>111.12</v>
      </c>
      <c r="H18" s="50">
        <v>39.520000000000003</v>
      </c>
      <c r="I18" s="50">
        <v>12.45</v>
      </c>
      <c r="J18" s="50">
        <v>0.75</v>
      </c>
      <c r="K18" s="50">
        <v>55.65</v>
      </c>
      <c r="L18" s="50">
        <v>28.24</v>
      </c>
      <c r="M18" s="50">
        <v>67.430000000000007</v>
      </c>
      <c r="N18" s="50">
        <v>452.5</v>
      </c>
      <c r="O18" s="50">
        <v>0</v>
      </c>
      <c r="P18" s="50">
        <v>0.92</v>
      </c>
      <c r="Q18" s="50">
        <v>4.3099999999999996</v>
      </c>
    </row>
    <row r="19" spans="1:17" customFormat="1">
      <c r="A19" s="49">
        <v>45604.458333333336</v>
      </c>
      <c r="B19" s="50">
        <v>5.23</v>
      </c>
      <c r="C19" s="50">
        <v>8.11</v>
      </c>
      <c r="D19" s="50">
        <v>13.98</v>
      </c>
      <c r="E19" s="50">
        <v>9</v>
      </c>
      <c r="F19" s="50">
        <v>8.15</v>
      </c>
      <c r="G19" s="50">
        <v>106.51</v>
      </c>
      <c r="H19" s="50">
        <v>38.61</v>
      </c>
      <c r="I19" s="50">
        <v>12.36</v>
      </c>
      <c r="J19" s="50">
        <v>0.78</v>
      </c>
      <c r="K19" s="50">
        <v>78.47</v>
      </c>
      <c r="L19" s="50">
        <v>29.95</v>
      </c>
      <c r="M19" s="50">
        <v>57.8</v>
      </c>
      <c r="N19" s="50">
        <v>542.1</v>
      </c>
      <c r="O19" s="50">
        <v>0</v>
      </c>
      <c r="P19" s="50">
        <v>0.91</v>
      </c>
      <c r="Q19" s="50">
        <v>4.33</v>
      </c>
    </row>
    <row r="20" spans="1:17" customFormat="1">
      <c r="A20" s="49">
        <v>45604.5</v>
      </c>
      <c r="B20" s="50">
        <v>5.21</v>
      </c>
      <c r="C20" s="50">
        <v>8.11</v>
      </c>
      <c r="D20" s="50">
        <v>13.97</v>
      </c>
      <c r="E20" s="50">
        <v>18.399999999999999</v>
      </c>
      <c r="F20" s="50">
        <v>11</v>
      </c>
      <c r="G20" s="50">
        <v>96.82</v>
      </c>
      <c r="H20" s="50">
        <v>37.14</v>
      </c>
      <c r="I20" s="50">
        <v>11.7</v>
      </c>
      <c r="J20" s="50">
        <v>0.47</v>
      </c>
      <c r="K20" s="50">
        <v>83.82</v>
      </c>
      <c r="L20" s="50">
        <v>31.11</v>
      </c>
      <c r="M20" s="50">
        <v>51.05</v>
      </c>
      <c r="N20" s="50">
        <v>600.70000000000005</v>
      </c>
      <c r="O20" s="50">
        <v>0</v>
      </c>
      <c r="P20" s="50">
        <v>0.83</v>
      </c>
      <c r="Q20" s="50">
        <v>4.3099999999999996</v>
      </c>
    </row>
    <row r="21" spans="1:17" customFormat="1">
      <c r="A21" s="49">
        <v>45604.541666666664</v>
      </c>
      <c r="B21" s="50">
        <v>5.24</v>
      </c>
      <c r="C21" s="50">
        <v>8.1</v>
      </c>
      <c r="D21" s="50">
        <v>14</v>
      </c>
      <c r="E21" s="50">
        <v>12.98</v>
      </c>
      <c r="F21" s="50">
        <v>13.26</v>
      </c>
      <c r="G21" s="50">
        <v>79.66</v>
      </c>
      <c r="H21" s="50">
        <v>36.31</v>
      </c>
      <c r="I21" s="50">
        <v>10.68</v>
      </c>
      <c r="J21" s="50">
        <v>0.86</v>
      </c>
      <c r="K21" s="50">
        <v>80.53</v>
      </c>
      <c r="L21" s="50">
        <v>31.12</v>
      </c>
      <c r="M21" s="50">
        <v>42.09</v>
      </c>
      <c r="N21" s="50">
        <v>531.29999999999995</v>
      </c>
      <c r="O21" s="50">
        <v>0</v>
      </c>
      <c r="P21" s="50">
        <v>0.77</v>
      </c>
      <c r="Q21" s="50">
        <v>4.3099999999999996</v>
      </c>
    </row>
    <row r="22" spans="1:17" customFormat="1">
      <c r="A22" s="49">
        <v>45604.583333333336</v>
      </c>
      <c r="B22" s="50">
        <v>5.25</v>
      </c>
      <c r="C22" s="50">
        <v>8.08</v>
      </c>
      <c r="D22" s="50">
        <v>13.99</v>
      </c>
      <c r="E22" s="50">
        <v>12.81</v>
      </c>
      <c r="F22" s="50">
        <v>16.329999999999998</v>
      </c>
      <c r="G22" s="50">
        <v>66.84</v>
      </c>
      <c r="H22" s="50">
        <v>28.92</v>
      </c>
      <c r="I22" s="50">
        <v>9.8000000000000007</v>
      </c>
      <c r="J22" s="50">
        <v>0.6</v>
      </c>
      <c r="K22" s="50">
        <v>329.16</v>
      </c>
      <c r="L22" s="50">
        <v>31.18</v>
      </c>
      <c r="M22" s="50">
        <v>38.409999999999997</v>
      </c>
      <c r="N22" s="50">
        <v>491.7</v>
      </c>
      <c r="O22" s="50">
        <v>0</v>
      </c>
      <c r="P22" s="50">
        <v>0.72</v>
      </c>
      <c r="Q22" s="50">
        <v>4.3</v>
      </c>
    </row>
    <row r="23" spans="1:17" customFormat="1">
      <c r="A23" s="49">
        <v>45604.625</v>
      </c>
      <c r="B23" s="50">
        <v>5.24</v>
      </c>
      <c r="C23" s="50">
        <v>8.1</v>
      </c>
      <c r="D23" s="50">
        <v>14</v>
      </c>
      <c r="E23" s="50">
        <v>15.17</v>
      </c>
      <c r="F23" s="50">
        <v>23.1</v>
      </c>
      <c r="G23" s="50">
        <v>58.24</v>
      </c>
      <c r="H23" s="50">
        <v>27.75</v>
      </c>
      <c r="I23" s="50">
        <v>8.81</v>
      </c>
      <c r="J23" s="50">
        <v>0.28999999999999998</v>
      </c>
      <c r="K23" s="50">
        <v>138.65</v>
      </c>
      <c r="L23" s="50">
        <v>30.76</v>
      </c>
      <c r="M23" s="50">
        <v>41.21</v>
      </c>
      <c r="N23" s="50">
        <v>134.9</v>
      </c>
      <c r="O23" s="50">
        <v>0</v>
      </c>
      <c r="P23" s="50">
        <v>0.65</v>
      </c>
      <c r="Q23" s="50">
        <v>4.3</v>
      </c>
    </row>
    <row r="24" spans="1:17" customFormat="1">
      <c r="A24" s="49">
        <v>45604.666666666664</v>
      </c>
      <c r="B24" s="50">
        <v>5.23</v>
      </c>
      <c r="C24" s="50">
        <v>8.08</v>
      </c>
      <c r="D24" s="50">
        <v>13.98</v>
      </c>
      <c r="E24" s="50">
        <v>11.63</v>
      </c>
      <c r="F24" s="50">
        <v>14.2</v>
      </c>
      <c r="G24" s="50">
        <v>50.58</v>
      </c>
      <c r="H24" s="50">
        <v>25.43</v>
      </c>
      <c r="I24" s="50">
        <v>8.34</v>
      </c>
      <c r="J24" s="50">
        <v>0.28999999999999998</v>
      </c>
      <c r="K24" s="50">
        <v>176.76</v>
      </c>
      <c r="L24" s="50">
        <v>29.83</v>
      </c>
      <c r="M24" s="50">
        <v>44.68</v>
      </c>
      <c r="N24" s="50">
        <v>77.2</v>
      </c>
      <c r="O24" s="50">
        <v>0</v>
      </c>
      <c r="P24" s="50">
        <v>0.64</v>
      </c>
      <c r="Q24" s="50">
        <v>4.29</v>
      </c>
    </row>
    <row r="25" spans="1:17" customFormat="1">
      <c r="A25" s="49">
        <v>45604.708333333336</v>
      </c>
      <c r="B25" s="50">
        <v>5.22</v>
      </c>
      <c r="C25" s="50">
        <v>8.09</v>
      </c>
      <c r="D25" s="50">
        <v>13.98</v>
      </c>
      <c r="E25" s="50">
        <v>9.39</v>
      </c>
      <c r="F25" s="50">
        <v>14.29</v>
      </c>
      <c r="G25" s="50">
        <v>50.58</v>
      </c>
      <c r="H25" s="50">
        <v>25.43</v>
      </c>
      <c r="I25" s="50">
        <v>8.17</v>
      </c>
      <c r="J25" s="50">
        <v>0.31</v>
      </c>
      <c r="K25" s="50">
        <v>172.66</v>
      </c>
      <c r="L25" s="50">
        <v>28.86</v>
      </c>
      <c r="M25" s="50">
        <v>54.54</v>
      </c>
      <c r="N25" s="50">
        <v>35.1</v>
      </c>
      <c r="O25" s="50">
        <v>0</v>
      </c>
      <c r="P25" s="50">
        <v>0.62</v>
      </c>
      <c r="Q25" s="50">
        <v>4.3</v>
      </c>
    </row>
    <row r="26" spans="1:17" customFormat="1">
      <c r="A26" s="49">
        <v>45604.75</v>
      </c>
      <c r="B26" s="50">
        <v>5.23</v>
      </c>
      <c r="C26" s="50">
        <v>8.09</v>
      </c>
      <c r="D26" s="50">
        <v>13.98</v>
      </c>
      <c r="E26" s="50">
        <v>9.0299999999999994</v>
      </c>
      <c r="F26" s="50">
        <v>6.36</v>
      </c>
      <c r="G26" s="50">
        <v>72.25</v>
      </c>
      <c r="H26" s="50">
        <v>24.47</v>
      </c>
      <c r="I26" s="50">
        <v>7.37</v>
      </c>
      <c r="J26" s="50">
        <v>0.33</v>
      </c>
      <c r="K26" s="50">
        <v>158.25</v>
      </c>
      <c r="L26" s="50">
        <v>27.2</v>
      </c>
      <c r="M26" s="50">
        <v>58.85</v>
      </c>
      <c r="N26" s="50">
        <v>4.0999999999999996</v>
      </c>
      <c r="O26" s="50">
        <v>0</v>
      </c>
      <c r="P26" s="50">
        <v>0.68</v>
      </c>
      <c r="Q26" s="50">
        <v>4.3099999999999996</v>
      </c>
    </row>
    <row r="27" spans="1:17" customFormat="1">
      <c r="A27" s="49">
        <v>45604.791666666664</v>
      </c>
      <c r="B27" s="50">
        <v>5.25</v>
      </c>
      <c r="C27" s="50">
        <v>8.09</v>
      </c>
      <c r="D27" s="50">
        <v>13.99</v>
      </c>
      <c r="E27" s="50">
        <v>9.5399999999999991</v>
      </c>
      <c r="F27" s="50">
        <v>5.75</v>
      </c>
      <c r="G27" s="50">
        <v>89.67</v>
      </c>
      <c r="H27" s="50">
        <v>26.28</v>
      </c>
      <c r="I27" s="50">
        <v>8.2200000000000006</v>
      </c>
      <c r="J27" s="50">
        <v>0.25</v>
      </c>
      <c r="K27" s="50">
        <v>162.63999999999999</v>
      </c>
      <c r="L27" s="50">
        <v>26.11</v>
      </c>
      <c r="M27" s="50">
        <v>63.33</v>
      </c>
      <c r="N27" s="50">
        <v>2</v>
      </c>
      <c r="O27" s="50">
        <v>0</v>
      </c>
      <c r="P27" s="50">
        <v>0.76</v>
      </c>
      <c r="Q27" s="50">
        <v>4.3099999999999996</v>
      </c>
    </row>
    <row r="28" spans="1:17" customFormat="1">
      <c r="A28" s="49">
        <v>45604.833333333336</v>
      </c>
      <c r="B28" s="50">
        <v>5.25</v>
      </c>
      <c r="C28" s="50">
        <v>8.08</v>
      </c>
      <c r="D28" s="50">
        <v>14</v>
      </c>
      <c r="E28" s="50">
        <v>9.68</v>
      </c>
      <c r="F28" s="50">
        <v>5.85</v>
      </c>
      <c r="G28" s="50">
        <v>104.53</v>
      </c>
      <c r="H28" s="50">
        <v>30.39</v>
      </c>
      <c r="I28" s="50">
        <v>9.2200000000000006</v>
      </c>
      <c r="J28" s="50">
        <v>0.51</v>
      </c>
      <c r="K28" s="50">
        <v>61.46</v>
      </c>
      <c r="L28" s="50">
        <v>25.71</v>
      </c>
      <c r="M28" s="50">
        <v>62.49</v>
      </c>
      <c r="N28" s="50">
        <v>1.7</v>
      </c>
      <c r="O28" s="50">
        <v>0</v>
      </c>
      <c r="P28" s="50">
        <v>0.84</v>
      </c>
      <c r="Q28" s="50">
        <v>4.3099999999999996</v>
      </c>
    </row>
    <row r="29" spans="1:17" customFormat="1">
      <c r="A29" s="49">
        <v>45604.875</v>
      </c>
      <c r="B29" s="50">
        <v>5.26</v>
      </c>
      <c r="C29" s="50">
        <v>8.11</v>
      </c>
      <c r="D29" s="50">
        <v>14.01</v>
      </c>
      <c r="E29" s="50">
        <v>9.92</v>
      </c>
      <c r="F29" s="50">
        <v>5.82</v>
      </c>
      <c r="G29" s="50">
        <v>104.53</v>
      </c>
      <c r="H29" s="50">
        <v>32.520000000000003</v>
      </c>
      <c r="I29" s="50">
        <v>9.57</v>
      </c>
      <c r="J29" s="50">
        <v>0.21</v>
      </c>
      <c r="K29" s="50">
        <v>173.46</v>
      </c>
      <c r="L29" s="50">
        <v>24.92</v>
      </c>
      <c r="M29" s="50">
        <v>71.790000000000006</v>
      </c>
      <c r="N29" s="50">
        <v>2.1</v>
      </c>
      <c r="O29" s="50">
        <v>0</v>
      </c>
      <c r="P29" s="50">
        <v>0.87</v>
      </c>
      <c r="Q29" s="50">
        <v>4.3</v>
      </c>
    </row>
    <row r="30" spans="1:17" customFormat="1">
      <c r="A30" s="49">
        <v>45604.916666666664</v>
      </c>
      <c r="B30" s="50">
        <v>5.26</v>
      </c>
      <c r="C30" s="50">
        <v>8.1</v>
      </c>
      <c r="D30" s="50">
        <v>14.01</v>
      </c>
      <c r="E30" s="50">
        <v>9.9700000000000006</v>
      </c>
      <c r="F30" s="50">
        <v>5.84</v>
      </c>
      <c r="G30" s="50">
        <v>100.72</v>
      </c>
      <c r="H30" s="50">
        <v>32.520000000000003</v>
      </c>
      <c r="I30" s="50">
        <v>9.65</v>
      </c>
      <c r="J30" s="50">
        <v>0.2</v>
      </c>
      <c r="K30" s="50">
        <v>215.4</v>
      </c>
      <c r="L30" s="50">
        <v>23.81</v>
      </c>
      <c r="M30" s="50">
        <v>82.7</v>
      </c>
      <c r="N30" s="50">
        <v>1.9</v>
      </c>
      <c r="O30" s="50">
        <v>0</v>
      </c>
      <c r="P30" s="50">
        <v>0.86</v>
      </c>
      <c r="Q30" s="50">
        <v>4.3099999999999996</v>
      </c>
    </row>
    <row r="31" spans="1:17" customFormat="1">
      <c r="A31" s="49">
        <v>45604.958333333336</v>
      </c>
      <c r="B31" s="50">
        <v>5.23</v>
      </c>
      <c r="C31" s="50">
        <v>8.09</v>
      </c>
      <c r="D31" s="50">
        <v>13.98</v>
      </c>
      <c r="E31" s="50">
        <v>10.43</v>
      </c>
      <c r="F31" s="50">
        <v>5.91</v>
      </c>
      <c r="G31" s="50">
        <v>100.72</v>
      </c>
      <c r="H31" s="50">
        <v>31.62</v>
      </c>
      <c r="I31" s="50">
        <v>9.7100000000000009</v>
      </c>
      <c r="J31" s="50">
        <v>0.21</v>
      </c>
      <c r="K31" s="50">
        <v>199.75</v>
      </c>
      <c r="L31" s="50">
        <v>22.53</v>
      </c>
      <c r="M31" s="50">
        <v>87.38</v>
      </c>
      <c r="N31" s="50">
        <v>1.9</v>
      </c>
      <c r="O31" s="50">
        <v>0</v>
      </c>
      <c r="P31" s="50">
        <v>0.86</v>
      </c>
      <c r="Q31" s="50">
        <v>4.3</v>
      </c>
    </row>
    <row r="32" spans="1:17" customFormat="1">
      <c r="A32" s="49">
        <v>45605</v>
      </c>
      <c r="B32" s="50">
        <v>5.23</v>
      </c>
      <c r="C32" s="50">
        <v>8.07</v>
      </c>
      <c r="D32" s="50">
        <v>13.97</v>
      </c>
      <c r="E32" s="50">
        <v>10.31</v>
      </c>
      <c r="F32" s="50">
        <v>5.84</v>
      </c>
      <c r="G32" s="50">
        <v>98.77</v>
      </c>
      <c r="H32" s="50">
        <v>31.6</v>
      </c>
      <c r="I32" s="50">
        <v>10.16</v>
      </c>
      <c r="J32" s="50">
        <v>0.19</v>
      </c>
      <c r="K32" s="50">
        <v>233.74</v>
      </c>
      <c r="L32" s="50">
        <v>22.15</v>
      </c>
      <c r="M32" s="50">
        <v>86.96</v>
      </c>
      <c r="N32" s="50">
        <v>1.7</v>
      </c>
      <c r="O32" s="50">
        <v>0</v>
      </c>
      <c r="P32" s="50">
        <v>0.86</v>
      </c>
      <c r="Q32" s="50">
        <v>4.3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5.21</v>
      </c>
      <c r="C34" s="40">
        <f t="shared" si="0"/>
        <v>8.07</v>
      </c>
      <c r="D34" s="40">
        <f t="shared" si="0"/>
        <v>13.97</v>
      </c>
      <c r="E34" s="40">
        <f t="shared" si="0"/>
        <v>8.91</v>
      </c>
      <c r="F34" s="40">
        <f t="shared" si="0"/>
        <v>5.67</v>
      </c>
      <c r="G34" s="40">
        <f t="shared" si="0"/>
        <v>50.58</v>
      </c>
      <c r="H34" s="40">
        <f t="shared" si="0"/>
        <v>24.47</v>
      </c>
      <c r="I34" s="40">
        <f t="shared" si="0"/>
        <v>7.37</v>
      </c>
      <c r="J34" s="40">
        <f t="shared" si="0"/>
        <v>0.13</v>
      </c>
      <c r="K34" s="40">
        <f t="shared" si="0"/>
        <v>54.75</v>
      </c>
      <c r="L34" s="40">
        <f t="shared" si="0"/>
        <v>20.03</v>
      </c>
      <c r="M34" s="40">
        <f t="shared" si="0"/>
        <v>38.409999999999997</v>
      </c>
      <c r="N34" s="40">
        <f t="shared" si="0"/>
        <v>1.4</v>
      </c>
      <c r="O34" s="40">
        <f t="shared" si="0"/>
        <v>0</v>
      </c>
      <c r="P34" s="40">
        <f t="shared" si="0"/>
        <v>0.62</v>
      </c>
      <c r="Q34" s="40">
        <f t="shared" si="0"/>
        <v>4.29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5.26</v>
      </c>
      <c r="C35" s="33">
        <f t="shared" si="1"/>
        <v>8.11</v>
      </c>
      <c r="D35" s="33">
        <f t="shared" si="1"/>
        <v>14.01</v>
      </c>
      <c r="E35" s="33">
        <f t="shared" si="1"/>
        <v>18.399999999999999</v>
      </c>
      <c r="F35" s="33">
        <f t="shared" si="1"/>
        <v>23.1</v>
      </c>
      <c r="G35" s="33">
        <f t="shared" si="1"/>
        <v>111.12</v>
      </c>
      <c r="H35" s="33">
        <f t="shared" si="1"/>
        <v>40.65</v>
      </c>
      <c r="I35" s="33">
        <f t="shared" si="1"/>
        <v>12.67</v>
      </c>
      <c r="J35" s="33">
        <f t="shared" si="1"/>
        <v>0.86</v>
      </c>
      <c r="K35" s="33">
        <f t="shared" si="1"/>
        <v>329.16</v>
      </c>
      <c r="L35" s="33">
        <f t="shared" si="1"/>
        <v>31.18</v>
      </c>
      <c r="M35" s="33">
        <f t="shared" si="1"/>
        <v>96.41</v>
      </c>
      <c r="N35" s="33">
        <f t="shared" si="1"/>
        <v>600.70000000000005</v>
      </c>
      <c r="O35" s="33">
        <f t="shared" si="1"/>
        <v>0</v>
      </c>
      <c r="P35" s="33">
        <f t="shared" si="1"/>
        <v>0.94</v>
      </c>
      <c r="Q35" s="33">
        <f t="shared" si="1"/>
        <v>4.34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5.241666666666668</v>
      </c>
      <c r="C36" s="40">
        <f t="shared" si="2"/>
        <v>8.0912500000000005</v>
      </c>
      <c r="D36" s="40">
        <f t="shared" si="2"/>
        <v>13.99</v>
      </c>
      <c r="E36" s="40">
        <f t="shared" si="2"/>
        <v>10.452499999999999</v>
      </c>
      <c r="F36" s="40">
        <f t="shared" si="2"/>
        <v>8.3541666666666661</v>
      </c>
      <c r="G36" s="40">
        <f t="shared" si="2"/>
        <v>87.041666666666671</v>
      </c>
      <c r="H36" s="40">
        <f t="shared" si="2"/>
        <v>32.675416666666656</v>
      </c>
      <c r="I36" s="40">
        <f t="shared" si="2"/>
        <v>10.293333333333335</v>
      </c>
      <c r="J36" s="40">
        <f t="shared" si="2"/>
        <v>0.36749999999999999</v>
      </c>
      <c r="K36" s="40">
        <f t="shared" si="2"/>
        <v>160.61583333333331</v>
      </c>
      <c r="L36" s="40">
        <f t="shared" si="2"/>
        <v>25.30791666666666</v>
      </c>
      <c r="M36" s="40">
        <f t="shared" si="2"/>
        <v>72.34708333333333</v>
      </c>
      <c r="N36" s="40">
        <f t="shared" si="2"/>
        <v>140.39583333333329</v>
      </c>
      <c r="O36" s="40">
        <f t="shared" si="2"/>
        <v>0</v>
      </c>
      <c r="P36" s="40">
        <f t="shared" si="2"/>
        <v>0.81458333333333333</v>
      </c>
      <c r="Q36" s="40">
        <f t="shared" si="2"/>
        <v>4.3083333333333336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1.3726099121798785E-2</v>
      </c>
      <c r="C37" s="40">
        <f t="shared" ref="C37:Q37" si="3">STDEV(C9:C32)</f>
        <v>1.1909988500706055E-2</v>
      </c>
      <c r="D37" s="40">
        <f t="shared" si="3"/>
        <v>1.1033545687347173E-2</v>
      </c>
      <c r="E37" s="40">
        <f t="shared" si="3"/>
        <v>2.2975662927465765</v>
      </c>
      <c r="F37" s="40">
        <f t="shared" si="3"/>
        <v>4.5939704497040026</v>
      </c>
      <c r="G37" s="40">
        <f t="shared" si="3"/>
        <v>18.312881108464467</v>
      </c>
      <c r="H37" s="40">
        <f t="shared" si="3"/>
        <v>4.7545602632737873</v>
      </c>
      <c r="I37" s="40">
        <f t="shared" si="3"/>
        <v>1.5027096299298941</v>
      </c>
      <c r="J37" s="40">
        <f t="shared" si="3"/>
        <v>0.20989127620291165</v>
      </c>
      <c r="K37" s="40">
        <f t="shared" si="3"/>
        <v>76.233078630842655</v>
      </c>
      <c r="L37" s="40">
        <f t="shared" si="3"/>
        <v>4.0422905464994816</v>
      </c>
      <c r="M37" s="40">
        <f t="shared" si="3"/>
        <v>20.109021656777713</v>
      </c>
      <c r="N37" s="40">
        <f t="shared" si="3"/>
        <v>212.33114105129502</v>
      </c>
      <c r="O37" s="40">
        <f t="shared" si="3"/>
        <v>0</v>
      </c>
      <c r="P37" s="40">
        <f t="shared" si="3"/>
        <v>9.1508097368800292E-2</v>
      </c>
      <c r="Q37" s="40">
        <f t="shared" si="3"/>
        <v>1.1671841502435339E-2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45605.041666666664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45605.041666666664</v>
      </c>
      <c r="B9" s="50">
        <v>5.31</v>
      </c>
      <c r="C9" s="50">
        <v>8.1</v>
      </c>
      <c r="D9" s="50">
        <v>14.06</v>
      </c>
      <c r="E9" s="50">
        <v>10.38</v>
      </c>
      <c r="F9" s="50">
        <v>5.87</v>
      </c>
      <c r="G9" s="50">
        <v>91.23</v>
      </c>
      <c r="H9" s="50">
        <v>31.6</v>
      </c>
      <c r="I9" s="50">
        <v>10.06</v>
      </c>
      <c r="J9" s="50">
        <v>0.12</v>
      </c>
      <c r="K9" s="50">
        <v>231.56</v>
      </c>
      <c r="L9" s="50">
        <v>21.89</v>
      </c>
      <c r="M9" s="50">
        <v>88.46</v>
      </c>
      <c r="N9" s="50">
        <v>1.7</v>
      </c>
      <c r="O9" s="50">
        <v>0</v>
      </c>
      <c r="P9" s="50">
        <v>0.84</v>
      </c>
      <c r="Q9" s="50">
        <v>4.32</v>
      </c>
    </row>
    <row r="10" spans="1:21" customFormat="1">
      <c r="A10" s="49">
        <v>45605.083333333336</v>
      </c>
      <c r="B10" s="50">
        <v>5.32</v>
      </c>
      <c r="C10" s="50">
        <v>8.08</v>
      </c>
      <c r="D10" s="50">
        <v>14.05</v>
      </c>
      <c r="E10" s="50">
        <v>10.72</v>
      </c>
      <c r="F10" s="50">
        <v>5.75</v>
      </c>
      <c r="G10" s="50">
        <v>86.2</v>
      </c>
      <c r="H10" s="50">
        <v>32.06</v>
      </c>
      <c r="I10" s="50">
        <v>9.84</v>
      </c>
      <c r="J10" s="50">
        <v>0.15</v>
      </c>
      <c r="K10" s="50">
        <v>236.08</v>
      </c>
      <c r="L10" s="50">
        <v>21.58</v>
      </c>
      <c r="M10" s="50">
        <v>92.74</v>
      </c>
      <c r="N10" s="50">
        <v>1.6</v>
      </c>
      <c r="O10" s="50">
        <v>0</v>
      </c>
      <c r="P10" s="50">
        <v>0.84</v>
      </c>
      <c r="Q10" s="50">
        <v>4.3099999999999996</v>
      </c>
    </row>
    <row r="11" spans="1:21" customFormat="1">
      <c r="A11" s="49">
        <v>45605.125</v>
      </c>
      <c r="B11" s="50">
        <v>5.35</v>
      </c>
      <c r="C11" s="50">
        <v>8.09</v>
      </c>
      <c r="D11" s="50">
        <v>14.08</v>
      </c>
      <c r="E11" s="50">
        <v>9.39</v>
      </c>
      <c r="F11" s="50">
        <v>5.63</v>
      </c>
      <c r="G11" s="50">
        <v>85.15</v>
      </c>
      <c r="H11" s="50">
        <v>32.06</v>
      </c>
      <c r="I11" s="50">
        <v>9.6300000000000008</v>
      </c>
      <c r="J11" s="50">
        <v>0.19</v>
      </c>
      <c r="K11" s="50">
        <v>250.4</v>
      </c>
      <c r="L11" s="50">
        <v>21.12</v>
      </c>
      <c r="M11" s="50">
        <v>93</v>
      </c>
      <c r="N11" s="50">
        <v>1.7</v>
      </c>
      <c r="O11" s="50">
        <v>0</v>
      </c>
      <c r="P11" s="50">
        <v>0.82</v>
      </c>
      <c r="Q11" s="50">
        <v>4.32</v>
      </c>
    </row>
    <row r="12" spans="1:21" customFormat="1">
      <c r="A12" s="49">
        <v>45605.166666666664</v>
      </c>
      <c r="B12" s="50">
        <v>5.34</v>
      </c>
      <c r="C12" s="50">
        <v>8.09</v>
      </c>
      <c r="D12" s="50">
        <v>14.07</v>
      </c>
      <c r="E12" s="50">
        <v>9.35</v>
      </c>
      <c r="F12" s="50">
        <v>5.63</v>
      </c>
      <c r="G12" s="50">
        <v>79.290000000000006</v>
      </c>
      <c r="H12" s="50">
        <v>28.94</v>
      </c>
      <c r="I12" s="50">
        <v>9.2100000000000009</v>
      </c>
      <c r="J12" s="50">
        <v>0.18</v>
      </c>
      <c r="K12" s="50">
        <v>229.93</v>
      </c>
      <c r="L12" s="50">
        <v>21.02</v>
      </c>
      <c r="M12" s="50">
        <v>92.62</v>
      </c>
      <c r="N12" s="50">
        <v>1.7</v>
      </c>
      <c r="O12" s="50">
        <v>0</v>
      </c>
      <c r="P12" s="50">
        <v>0.8</v>
      </c>
      <c r="Q12" s="50">
        <v>4.32</v>
      </c>
    </row>
    <row r="13" spans="1:21" customFormat="1">
      <c r="A13" s="49">
        <v>45605.208333333336</v>
      </c>
      <c r="B13" s="50">
        <v>5.34</v>
      </c>
      <c r="C13" s="50">
        <v>8.1</v>
      </c>
      <c r="D13" s="50">
        <v>14.07</v>
      </c>
      <c r="E13" s="50">
        <v>8.9499999999999993</v>
      </c>
      <c r="F13" s="50">
        <v>5.59</v>
      </c>
      <c r="G13" s="50">
        <v>77.72</v>
      </c>
      <c r="H13" s="50">
        <v>28.94</v>
      </c>
      <c r="I13" s="50">
        <v>9.08</v>
      </c>
      <c r="J13" s="50">
        <v>0.21</v>
      </c>
      <c r="K13" s="50">
        <v>155.57</v>
      </c>
      <c r="L13" s="50">
        <v>21.13</v>
      </c>
      <c r="M13" s="50">
        <v>90.27</v>
      </c>
      <c r="N13" s="50">
        <v>1.5</v>
      </c>
      <c r="O13" s="50">
        <v>0</v>
      </c>
      <c r="P13" s="50">
        <v>0.79</v>
      </c>
      <c r="Q13" s="50">
        <v>4.3099999999999996</v>
      </c>
    </row>
    <row r="14" spans="1:21" customFormat="1">
      <c r="A14" s="49">
        <v>45605.25</v>
      </c>
      <c r="B14" s="50">
        <v>5.36</v>
      </c>
      <c r="C14" s="50">
        <v>8.09</v>
      </c>
      <c r="D14" s="50">
        <v>14.08</v>
      </c>
      <c r="E14" s="50">
        <v>9.07</v>
      </c>
      <c r="F14" s="50">
        <v>5.5</v>
      </c>
      <c r="G14" s="50">
        <v>77.680000000000007</v>
      </c>
      <c r="H14" s="50">
        <v>29.56</v>
      </c>
      <c r="I14" s="50">
        <v>8.9600000000000009</v>
      </c>
      <c r="J14" s="50">
        <v>0.57999999999999996</v>
      </c>
      <c r="K14" s="50">
        <v>61.17</v>
      </c>
      <c r="L14" s="50">
        <v>21.03</v>
      </c>
      <c r="M14" s="50">
        <v>90.32</v>
      </c>
      <c r="N14" s="50">
        <v>3.1</v>
      </c>
      <c r="O14" s="50">
        <v>0</v>
      </c>
      <c r="P14" s="50">
        <v>0.77</v>
      </c>
      <c r="Q14" s="50">
        <v>4.3099999999999996</v>
      </c>
    </row>
    <row r="15" spans="1:21" customFormat="1">
      <c r="A15" s="49">
        <v>45605.291666666664</v>
      </c>
      <c r="B15" s="50">
        <v>5.36</v>
      </c>
      <c r="C15" s="50">
        <v>8.11</v>
      </c>
      <c r="D15" s="50">
        <v>14.09</v>
      </c>
      <c r="E15" s="50">
        <v>9.11</v>
      </c>
      <c r="F15" s="50">
        <v>5.8</v>
      </c>
      <c r="G15" s="50">
        <v>82.59</v>
      </c>
      <c r="H15" s="50">
        <v>32.659999999999997</v>
      </c>
      <c r="I15" s="50">
        <v>9.14</v>
      </c>
      <c r="J15" s="50">
        <v>0.56000000000000005</v>
      </c>
      <c r="K15" s="50">
        <v>62.47</v>
      </c>
      <c r="L15" s="50">
        <v>20.92</v>
      </c>
      <c r="M15" s="50">
        <v>90.74</v>
      </c>
      <c r="N15" s="50">
        <v>42.1</v>
      </c>
      <c r="O15" s="50">
        <v>0</v>
      </c>
      <c r="P15" s="50">
        <v>0.82</v>
      </c>
      <c r="Q15" s="50">
        <v>4.32</v>
      </c>
    </row>
    <row r="16" spans="1:21" customFormat="1">
      <c r="A16" s="49">
        <v>45605.333333333336</v>
      </c>
      <c r="B16" s="50">
        <v>5.35</v>
      </c>
      <c r="C16" s="50">
        <v>8.1</v>
      </c>
      <c r="D16" s="50">
        <v>14.06</v>
      </c>
      <c r="E16" s="50">
        <v>9.4600000000000009</v>
      </c>
      <c r="F16" s="50">
        <v>5.97</v>
      </c>
      <c r="G16" s="50">
        <v>96.48</v>
      </c>
      <c r="H16" s="50">
        <v>37.229999999999997</v>
      </c>
      <c r="I16" s="50">
        <v>9.85</v>
      </c>
      <c r="J16" s="50">
        <v>0.54</v>
      </c>
      <c r="K16" s="50">
        <v>55.79</v>
      </c>
      <c r="L16" s="50">
        <v>23.07</v>
      </c>
      <c r="M16" s="50">
        <v>88.71</v>
      </c>
      <c r="N16" s="50">
        <v>162.6</v>
      </c>
      <c r="O16" s="50">
        <v>0</v>
      </c>
      <c r="P16" s="50">
        <v>0.84</v>
      </c>
      <c r="Q16" s="50">
        <v>4.3099999999999996</v>
      </c>
    </row>
    <row r="17" spans="1:17" customFormat="1">
      <c r="A17" s="49">
        <v>45605.375</v>
      </c>
      <c r="B17" s="50">
        <v>5.34</v>
      </c>
      <c r="C17" s="50">
        <v>8.08</v>
      </c>
      <c r="D17" s="50">
        <v>14.07</v>
      </c>
      <c r="E17" s="50">
        <v>9.8000000000000007</v>
      </c>
      <c r="F17" s="50">
        <v>6.2</v>
      </c>
      <c r="G17" s="50">
        <v>100.95</v>
      </c>
      <c r="H17" s="50">
        <v>37.229999999999997</v>
      </c>
      <c r="I17" s="50">
        <v>10.06</v>
      </c>
      <c r="J17" s="50">
        <v>0.54</v>
      </c>
      <c r="K17" s="50">
        <v>87.61</v>
      </c>
      <c r="L17" s="50">
        <v>25.84</v>
      </c>
      <c r="M17" s="50">
        <v>78.78</v>
      </c>
      <c r="N17" s="50">
        <v>253.1</v>
      </c>
      <c r="O17" s="50">
        <v>0</v>
      </c>
      <c r="P17" s="50">
        <v>0.86</v>
      </c>
      <c r="Q17" s="50">
        <v>4.32</v>
      </c>
    </row>
    <row r="18" spans="1:17" customFormat="1">
      <c r="A18" s="49">
        <v>45605.416666666664</v>
      </c>
      <c r="B18" s="50">
        <v>5.34</v>
      </c>
      <c r="C18" s="50">
        <v>8.1</v>
      </c>
      <c r="D18" s="50">
        <v>14.08</v>
      </c>
      <c r="E18" s="50">
        <v>10.02</v>
      </c>
      <c r="F18" s="50">
        <v>6.31</v>
      </c>
      <c r="G18" s="50">
        <v>100.95</v>
      </c>
      <c r="H18" s="50">
        <v>38.119999999999997</v>
      </c>
      <c r="I18" s="50">
        <v>10.19</v>
      </c>
      <c r="J18" s="50">
        <v>0.49</v>
      </c>
      <c r="K18" s="50">
        <v>170.09</v>
      </c>
      <c r="L18" s="50">
        <v>28.25</v>
      </c>
      <c r="M18" s="50">
        <v>67.27</v>
      </c>
      <c r="N18" s="50">
        <v>412.1</v>
      </c>
      <c r="O18" s="50">
        <v>0</v>
      </c>
      <c r="P18" s="50">
        <v>0.84</v>
      </c>
      <c r="Q18" s="50">
        <v>4.32</v>
      </c>
    </row>
    <row r="19" spans="1:17" customFormat="1">
      <c r="A19" s="49">
        <v>45605.458333333336</v>
      </c>
      <c r="B19" s="50">
        <v>5.36</v>
      </c>
      <c r="C19" s="50">
        <v>8.09</v>
      </c>
      <c r="D19" s="50">
        <v>14.09</v>
      </c>
      <c r="E19" s="50">
        <v>11.15</v>
      </c>
      <c r="F19" s="50">
        <v>7.75</v>
      </c>
      <c r="G19" s="50">
        <v>95.7</v>
      </c>
      <c r="H19" s="50">
        <v>38.119999999999997</v>
      </c>
      <c r="I19" s="50">
        <v>10.210000000000001</v>
      </c>
      <c r="J19" s="50">
        <v>0.65</v>
      </c>
      <c r="K19" s="50">
        <v>117.51</v>
      </c>
      <c r="L19" s="50">
        <v>29.98</v>
      </c>
      <c r="M19" s="50">
        <v>58.52</v>
      </c>
      <c r="N19" s="50">
        <v>514.29999999999995</v>
      </c>
      <c r="O19" s="50">
        <v>0</v>
      </c>
      <c r="P19" s="50">
        <v>0.84</v>
      </c>
      <c r="Q19" s="50">
        <v>4.3099999999999996</v>
      </c>
    </row>
    <row r="20" spans="1:17" customFormat="1">
      <c r="A20" s="49">
        <v>45605.5</v>
      </c>
      <c r="B20" s="50">
        <v>5.36</v>
      </c>
      <c r="C20" s="50">
        <v>8.08</v>
      </c>
      <c r="D20" s="50">
        <v>14.08</v>
      </c>
      <c r="E20" s="50">
        <v>10.93</v>
      </c>
      <c r="F20" s="50">
        <v>12.13</v>
      </c>
      <c r="G20" s="50">
        <v>85.33</v>
      </c>
      <c r="H20" s="50">
        <v>35.79</v>
      </c>
      <c r="I20" s="50">
        <v>9.9600000000000009</v>
      </c>
      <c r="J20" s="50">
        <v>0.56000000000000005</v>
      </c>
      <c r="K20" s="50">
        <v>161.56</v>
      </c>
      <c r="L20" s="50">
        <v>30.6</v>
      </c>
      <c r="M20" s="50">
        <v>50.68</v>
      </c>
      <c r="N20" s="50">
        <v>536.5</v>
      </c>
      <c r="O20" s="50">
        <v>0</v>
      </c>
      <c r="P20" s="50">
        <v>0.78</v>
      </c>
      <c r="Q20" s="50">
        <v>4.32</v>
      </c>
    </row>
    <row r="21" spans="1:17" customFormat="1">
      <c r="A21" s="49">
        <v>45605.541666666664</v>
      </c>
      <c r="B21" s="50">
        <v>5.36</v>
      </c>
      <c r="C21" s="50">
        <v>8.09</v>
      </c>
      <c r="D21" s="50">
        <v>14.09</v>
      </c>
      <c r="E21" s="50">
        <v>10.94</v>
      </c>
      <c r="F21" s="50">
        <v>12.17</v>
      </c>
      <c r="G21" s="50">
        <v>71.33</v>
      </c>
      <c r="H21" s="50">
        <v>32.130000000000003</v>
      </c>
      <c r="I21" s="50">
        <v>9.48</v>
      </c>
      <c r="J21" s="50">
        <v>0.6</v>
      </c>
      <c r="K21" s="50">
        <v>304.73</v>
      </c>
      <c r="L21" s="50">
        <v>30.82</v>
      </c>
      <c r="M21" s="50">
        <v>48</v>
      </c>
      <c r="N21" s="50">
        <v>456.5</v>
      </c>
      <c r="O21" s="50">
        <v>0</v>
      </c>
      <c r="P21" s="50">
        <v>0.76</v>
      </c>
      <c r="Q21" s="50">
        <v>4.3099999999999996</v>
      </c>
    </row>
    <row r="22" spans="1:17" customFormat="1">
      <c r="A22" s="49">
        <v>45605.583333333336</v>
      </c>
      <c r="B22" s="50">
        <v>5.34</v>
      </c>
      <c r="C22" s="50">
        <v>8.1</v>
      </c>
      <c r="D22" s="50">
        <v>14.06</v>
      </c>
      <c r="E22" s="50">
        <v>10.14</v>
      </c>
      <c r="F22" s="50">
        <v>12.98</v>
      </c>
      <c r="G22" s="50">
        <v>67.94</v>
      </c>
      <c r="H22" s="50">
        <v>32.130000000000003</v>
      </c>
      <c r="I22" s="50">
        <v>8.75</v>
      </c>
      <c r="J22" s="50">
        <v>0.56999999999999995</v>
      </c>
      <c r="K22" s="50">
        <v>88.33</v>
      </c>
      <c r="L22" s="50">
        <v>31.45</v>
      </c>
      <c r="M22" s="50">
        <v>40.71</v>
      </c>
      <c r="N22" s="50">
        <v>481.2</v>
      </c>
      <c r="O22" s="50">
        <v>0</v>
      </c>
      <c r="P22" s="50">
        <v>0.71</v>
      </c>
      <c r="Q22" s="50">
        <v>4.3099999999999996</v>
      </c>
    </row>
    <row r="23" spans="1:17" customFormat="1">
      <c r="A23" s="49">
        <v>45605.625</v>
      </c>
      <c r="B23" s="50">
        <v>5.33</v>
      </c>
      <c r="C23" s="50">
        <v>8.09</v>
      </c>
      <c r="D23" s="50">
        <v>14.05</v>
      </c>
      <c r="E23" s="50">
        <v>10.72</v>
      </c>
      <c r="F23" s="50">
        <v>13.02</v>
      </c>
      <c r="G23" s="50">
        <v>60.37</v>
      </c>
      <c r="H23" s="50">
        <v>28.96</v>
      </c>
      <c r="I23" s="50">
        <v>7.87</v>
      </c>
      <c r="J23" s="50">
        <v>0.39</v>
      </c>
      <c r="K23" s="50">
        <v>195.75</v>
      </c>
      <c r="L23" s="50">
        <v>30.87</v>
      </c>
      <c r="M23" s="50">
        <v>43.35</v>
      </c>
      <c r="N23" s="50">
        <v>141.19999999999999</v>
      </c>
      <c r="O23" s="50">
        <v>0</v>
      </c>
      <c r="P23" s="50">
        <v>0.64</v>
      </c>
      <c r="Q23" s="50">
        <v>4.3099999999999996</v>
      </c>
    </row>
    <row r="24" spans="1:17" customFormat="1">
      <c r="A24" s="49">
        <v>45605.666666666664</v>
      </c>
      <c r="B24" s="50">
        <v>5.29</v>
      </c>
      <c r="C24" s="50">
        <v>8.07</v>
      </c>
      <c r="D24" s="50">
        <v>14.01</v>
      </c>
      <c r="E24" s="50">
        <v>10.82</v>
      </c>
      <c r="F24" s="50">
        <v>14.75</v>
      </c>
      <c r="G24" s="50">
        <v>55.81</v>
      </c>
      <c r="H24" s="50">
        <v>26.35</v>
      </c>
      <c r="I24" s="50">
        <v>7.26</v>
      </c>
      <c r="J24" s="50">
        <v>0.26</v>
      </c>
      <c r="K24" s="50">
        <v>181.25</v>
      </c>
      <c r="L24" s="50">
        <v>30.06</v>
      </c>
      <c r="M24" s="50">
        <v>50.09</v>
      </c>
      <c r="N24" s="50">
        <v>74.099999999999994</v>
      </c>
      <c r="O24" s="50">
        <v>0</v>
      </c>
      <c r="P24" s="50">
        <v>0.63</v>
      </c>
      <c r="Q24" s="50">
        <v>4.3099999999999996</v>
      </c>
    </row>
    <row r="25" spans="1:17" customFormat="1">
      <c r="A25" s="49">
        <v>45605.708333333336</v>
      </c>
      <c r="B25" s="50">
        <v>5.28</v>
      </c>
      <c r="C25" s="50">
        <v>8.09</v>
      </c>
      <c r="D25" s="50">
        <v>14.03</v>
      </c>
      <c r="E25" s="50">
        <v>11.27</v>
      </c>
      <c r="F25" s="50">
        <v>11.25</v>
      </c>
      <c r="G25" s="50">
        <v>57.4</v>
      </c>
      <c r="H25" s="50">
        <v>26.35</v>
      </c>
      <c r="I25" s="50">
        <v>7.17</v>
      </c>
      <c r="J25" s="50">
        <v>0.31</v>
      </c>
      <c r="K25" s="50">
        <v>168.06</v>
      </c>
      <c r="L25" s="50">
        <v>28.7</v>
      </c>
      <c r="M25" s="50">
        <v>57.94</v>
      </c>
      <c r="N25" s="50">
        <v>35</v>
      </c>
      <c r="O25" s="50">
        <v>0</v>
      </c>
      <c r="P25" s="50">
        <v>0.62</v>
      </c>
      <c r="Q25" s="50">
        <v>4.32</v>
      </c>
    </row>
    <row r="26" spans="1:17" customFormat="1">
      <c r="A26" s="49">
        <v>45605.75</v>
      </c>
      <c r="B26" s="50">
        <v>5.31</v>
      </c>
      <c r="C26" s="50">
        <v>8.1</v>
      </c>
      <c r="D26" s="50">
        <v>14.05</v>
      </c>
      <c r="E26" s="50">
        <v>11.3</v>
      </c>
      <c r="F26" s="50">
        <v>6.84</v>
      </c>
      <c r="G26" s="50">
        <v>82.93</v>
      </c>
      <c r="H26" s="50">
        <v>27.35</v>
      </c>
      <c r="I26" s="50">
        <v>7.37</v>
      </c>
      <c r="J26" s="50">
        <v>0.33</v>
      </c>
      <c r="K26" s="50">
        <v>173.02</v>
      </c>
      <c r="L26" s="50">
        <v>26.57</v>
      </c>
      <c r="M26" s="50">
        <v>63.44</v>
      </c>
      <c r="N26" s="50">
        <v>3.8</v>
      </c>
      <c r="O26" s="50">
        <v>0</v>
      </c>
      <c r="P26" s="50">
        <v>0.66</v>
      </c>
      <c r="Q26" s="50">
        <v>4.3099999999999996</v>
      </c>
    </row>
    <row r="27" spans="1:17" customFormat="1">
      <c r="A27" s="49">
        <v>45605.791666666664</v>
      </c>
      <c r="B27" s="50">
        <v>5.34</v>
      </c>
      <c r="C27" s="50">
        <v>8.07</v>
      </c>
      <c r="D27" s="50">
        <v>14.07</v>
      </c>
      <c r="E27" s="50">
        <v>10.52</v>
      </c>
      <c r="F27" s="50">
        <v>5.73</v>
      </c>
      <c r="G27" s="50">
        <v>100.06</v>
      </c>
      <c r="H27" s="50">
        <v>33.729999999999997</v>
      </c>
      <c r="I27" s="50">
        <v>8.19</v>
      </c>
      <c r="J27" s="50">
        <v>0.23</v>
      </c>
      <c r="K27" s="50">
        <v>186.22</v>
      </c>
      <c r="L27" s="50">
        <v>25.2</v>
      </c>
      <c r="M27" s="50">
        <v>79.45</v>
      </c>
      <c r="N27" s="50">
        <v>2</v>
      </c>
      <c r="O27" s="50">
        <v>0</v>
      </c>
      <c r="P27" s="50">
        <v>0.72</v>
      </c>
      <c r="Q27" s="50">
        <v>4.32</v>
      </c>
    </row>
    <row r="28" spans="1:17" customFormat="1">
      <c r="A28" s="49">
        <v>45605.833333333336</v>
      </c>
      <c r="B28" s="50">
        <v>5.32</v>
      </c>
      <c r="C28" s="50">
        <v>8.11</v>
      </c>
      <c r="D28" s="50">
        <v>14.07</v>
      </c>
      <c r="E28" s="50">
        <v>10.92</v>
      </c>
      <c r="F28" s="50">
        <v>5.91</v>
      </c>
      <c r="G28" s="50">
        <v>114.77</v>
      </c>
      <c r="H28" s="50">
        <v>36.28</v>
      </c>
      <c r="I28" s="50">
        <v>9.08</v>
      </c>
      <c r="J28" s="50">
        <v>0.21</v>
      </c>
      <c r="K28" s="50">
        <v>300.72000000000003</v>
      </c>
      <c r="L28" s="50">
        <v>25.08</v>
      </c>
      <c r="M28" s="50">
        <v>82.51</v>
      </c>
      <c r="N28" s="50">
        <v>1.7</v>
      </c>
      <c r="O28" s="50">
        <v>0</v>
      </c>
      <c r="P28" s="50">
        <v>0.81</v>
      </c>
      <c r="Q28" s="50">
        <v>4.33</v>
      </c>
    </row>
    <row r="29" spans="1:17" customFormat="1">
      <c r="A29" s="49">
        <v>45605.875</v>
      </c>
      <c r="B29" s="50">
        <v>5.37</v>
      </c>
      <c r="C29" s="50">
        <v>8.1</v>
      </c>
      <c r="D29" s="50">
        <v>14.1</v>
      </c>
      <c r="E29" s="50">
        <v>11.47</v>
      </c>
      <c r="F29" s="50">
        <v>5.83</v>
      </c>
      <c r="G29" s="50">
        <v>120.04</v>
      </c>
      <c r="H29" s="50">
        <v>36.28</v>
      </c>
      <c r="I29" s="50">
        <v>9.58</v>
      </c>
      <c r="J29" s="50">
        <v>0.17</v>
      </c>
      <c r="K29" s="50">
        <v>184.14</v>
      </c>
      <c r="L29" s="50">
        <v>25.19</v>
      </c>
      <c r="M29" s="50">
        <v>75.3</v>
      </c>
      <c r="N29" s="50">
        <v>2.1</v>
      </c>
      <c r="O29" s="50">
        <v>0</v>
      </c>
      <c r="P29" s="50">
        <v>0.84</v>
      </c>
      <c r="Q29" s="50">
        <v>4.3099999999999996</v>
      </c>
    </row>
    <row r="30" spans="1:17" customFormat="1">
      <c r="A30" s="49">
        <v>45605.916666666664</v>
      </c>
      <c r="B30" s="50">
        <v>5.36</v>
      </c>
      <c r="C30" s="50">
        <v>8.1</v>
      </c>
      <c r="D30" s="50">
        <v>14.09</v>
      </c>
      <c r="E30" s="50">
        <v>11.3</v>
      </c>
      <c r="F30" s="50">
        <v>5.94</v>
      </c>
      <c r="G30" s="50">
        <v>130.15</v>
      </c>
      <c r="H30" s="50">
        <v>31.63</v>
      </c>
      <c r="I30" s="50">
        <v>9.73</v>
      </c>
      <c r="J30" s="50">
        <v>0.17</v>
      </c>
      <c r="K30" s="50">
        <v>167.04</v>
      </c>
      <c r="L30" s="50">
        <v>24.47</v>
      </c>
      <c r="M30" s="50">
        <v>73</v>
      </c>
      <c r="N30" s="50">
        <v>2</v>
      </c>
      <c r="O30" s="50">
        <v>0</v>
      </c>
      <c r="P30" s="50">
        <v>0.88</v>
      </c>
      <c r="Q30" s="50">
        <v>4.3099999999999996</v>
      </c>
    </row>
    <row r="31" spans="1:17" customFormat="1">
      <c r="A31" s="49">
        <v>45605.958333333336</v>
      </c>
      <c r="B31" s="50">
        <v>5.34</v>
      </c>
      <c r="C31" s="50">
        <v>8.08</v>
      </c>
      <c r="D31" s="50">
        <v>14.07</v>
      </c>
      <c r="E31" s="50">
        <v>10.54</v>
      </c>
      <c r="F31" s="50">
        <v>5.82</v>
      </c>
      <c r="G31" s="50">
        <v>130.15</v>
      </c>
      <c r="H31" s="50">
        <v>35.630000000000003</v>
      </c>
      <c r="I31" s="50">
        <v>9.85</v>
      </c>
      <c r="J31" s="50">
        <v>0.23</v>
      </c>
      <c r="K31" s="50">
        <v>225.86</v>
      </c>
      <c r="L31" s="50">
        <v>23.75</v>
      </c>
      <c r="M31" s="50">
        <v>81.27</v>
      </c>
      <c r="N31" s="50">
        <v>1.9</v>
      </c>
      <c r="O31" s="50">
        <v>0</v>
      </c>
      <c r="P31" s="50">
        <v>0.88</v>
      </c>
      <c r="Q31" s="50">
        <v>4.3099999999999996</v>
      </c>
    </row>
    <row r="32" spans="1:17" customFormat="1">
      <c r="A32" s="49">
        <v>45606</v>
      </c>
      <c r="B32" s="50">
        <v>5.32</v>
      </c>
      <c r="C32" s="50">
        <v>8.09</v>
      </c>
      <c r="D32" s="50">
        <v>14.06</v>
      </c>
      <c r="E32" s="50">
        <v>10.28</v>
      </c>
      <c r="F32" s="50">
        <v>5.71</v>
      </c>
      <c r="G32" s="50">
        <v>117.12</v>
      </c>
      <c r="H32" s="50">
        <v>35.630000000000003</v>
      </c>
      <c r="I32" s="50">
        <v>9.6999999999999993</v>
      </c>
      <c r="J32" s="50">
        <v>0.19</v>
      </c>
      <c r="K32" s="50">
        <v>225.78</v>
      </c>
      <c r="L32" s="50">
        <v>22.4</v>
      </c>
      <c r="M32" s="50">
        <v>85.26</v>
      </c>
      <c r="N32" s="50">
        <v>1.7</v>
      </c>
      <c r="O32" s="50">
        <v>0</v>
      </c>
      <c r="P32" s="50">
        <v>0.84</v>
      </c>
      <c r="Q32" s="50">
        <v>4.3099999999999996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5.28</v>
      </c>
      <c r="C34" s="40">
        <f t="shared" si="0"/>
        <v>8.07</v>
      </c>
      <c r="D34" s="40">
        <f t="shared" si="0"/>
        <v>14.01</v>
      </c>
      <c r="E34" s="40">
        <f t="shared" si="0"/>
        <v>8.9499999999999993</v>
      </c>
      <c r="F34" s="40">
        <f t="shared" si="0"/>
        <v>5.5</v>
      </c>
      <c r="G34" s="40">
        <f t="shared" si="0"/>
        <v>55.81</v>
      </c>
      <c r="H34" s="40">
        <f t="shared" si="0"/>
        <v>26.35</v>
      </c>
      <c r="I34" s="40">
        <f t="shared" si="0"/>
        <v>7.17</v>
      </c>
      <c r="J34" s="40">
        <f t="shared" si="0"/>
        <v>0.12</v>
      </c>
      <c r="K34" s="40">
        <f t="shared" si="0"/>
        <v>55.79</v>
      </c>
      <c r="L34" s="40">
        <f t="shared" si="0"/>
        <v>20.92</v>
      </c>
      <c r="M34" s="40">
        <f t="shared" si="0"/>
        <v>40.71</v>
      </c>
      <c r="N34" s="40">
        <f t="shared" si="0"/>
        <v>1.5</v>
      </c>
      <c r="O34" s="40">
        <f t="shared" si="0"/>
        <v>0</v>
      </c>
      <c r="P34" s="40">
        <f t="shared" si="0"/>
        <v>0.62</v>
      </c>
      <c r="Q34" s="40">
        <f t="shared" si="0"/>
        <v>4.3099999999999996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5.37</v>
      </c>
      <c r="C35" s="33">
        <f t="shared" si="1"/>
        <v>8.11</v>
      </c>
      <c r="D35" s="33">
        <f t="shared" si="1"/>
        <v>14.1</v>
      </c>
      <c r="E35" s="33">
        <f t="shared" si="1"/>
        <v>11.47</v>
      </c>
      <c r="F35" s="33">
        <f t="shared" si="1"/>
        <v>14.75</v>
      </c>
      <c r="G35" s="33">
        <f t="shared" si="1"/>
        <v>130.15</v>
      </c>
      <c r="H35" s="33">
        <f t="shared" si="1"/>
        <v>38.119999999999997</v>
      </c>
      <c r="I35" s="33">
        <f t="shared" si="1"/>
        <v>10.210000000000001</v>
      </c>
      <c r="J35" s="33">
        <f t="shared" si="1"/>
        <v>0.65</v>
      </c>
      <c r="K35" s="33">
        <f t="shared" si="1"/>
        <v>304.73</v>
      </c>
      <c r="L35" s="33">
        <f t="shared" si="1"/>
        <v>31.45</v>
      </c>
      <c r="M35" s="33">
        <f t="shared" si="1"/>
        <v>93</v>
      </c>
      <c r="N35" s="33">
        <f t="shared" si="1"/>
        <v>536.5</v>
      </c>
      <c r="O35" s="33">
        <f t="shared" si="1"/>
        <v>0</v>
      </c>
      <c r="P35" s="33">
        <f t="shared" si="1"/>
        <v>0.88</v>
      </c>
      <c r="Q35" s="33">
        <f t="shared" si="1"/>
        <v>4.33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5.337083333333335</v>
      </c>
      <c r="C36" s="40">
        <f t="shared" si="2"/>
        <v>8.0916666666666668</v>
      </c>
      <c r="D36" s="40">
        <f t="shared" si="2"/>
        <v>14.067916666666669</v>
      </c>
      <c r="E36" s="40">
        <f t="shared" si="2"/>
        <v>10.356250000000001</v>
      </c>
      <c r="F36" s="40">
        <f t="shared" si="2"/>
        <v>7.6700000000000008</v>
      </c>
      <c r="G36" s="40">
        <f t="shared" si="2"/>
        <v>90.305833333333339</v>
      </c>
      <c r="H36" s="40">
        <f t="shared" si="2"/>
        <v>32.698333333333331</v>
      </c>
      <c r="I36" s="40">
        <f t="shared" si="2"/>
        <v>9.1758333333333333</v>
      </c>
      <c r="J36" s="40">
        <f t="shared" si="2"/>
        <v>0.35125000000000006</v>
      </c>
      <c r="K36" s="40">
        <f t="shared" si="2"/>
        <v>175.85999999999999</v>
      </c>
      <c r="L36" s="40">
        <f t="shared" si="2"/>
        <v>25.457916666666666</v>
      </c>
      <c r="M36" s="40">
        <f t="shared" si="2"/>
        <v>73.434583333333322</v>
      </c>
      <c r="N36" s="40">
        <f t="shared" si="2"/>
        <v>130.6333333333333</v>
      </c>
      <c r="O36" s="40">
        <f t="shared" si="2"/>
        <v>0</v>
      </c>
      <c r="P36" s="40">
        <f t="shared" si="2"/>
        <v>0.7845833333333333</v>
      </c>
      <c r="Q36" s="40">
        <f t="shared" si="2"/>
        <v>4.3145833333333332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2.3308734445466522E-2</v>
      </c>
      <c r="C37" s="40">
        <f t="shared" ref="C37:Q37" si="3">STDEV(C9:C32)</f>
        <v>1.0901402648748457E-2</v>
      </c>
      <c r="D37" s="40">
        <f t="shared" si="3"/>
        <v>2.0425722629261695E-2</v>
      </c>
      <c r="E37" s="40">
        <f t="shared" si="3"/>
        <v>0.79194209548971817</v>
      </c>
      <c r="F37" s="40">
        <f t="shared" si="3"/>
        <v>3.0629937046593159</v>
      </c>
      <c r="G37" s="40">
        <f t="shared" si="3"/>
        <v>21.281820965866309</v>
      </c>
      <c r="H37" s="40">
        <f t="shared" si="3"/>
        <v>3.7208083117453787</v>
      </c>
      <c r="I37" s="40">
        <f t="shared" si="3"/>
        <v>0.94526700468435065</v>
      </c>
      <c r="J37" s="40">
        <f t="shared" si="3"/>
        <v>0.18073070286069745</v>
      </c>
      <c r="K37" s="40">
        <f t="shared" si="3"/>
        <v>70.117018339840882</v>
      </c>
      <c r="L37" s="40">
        <f t="shared" si="3"/>
        <v>3.7656606085573592</v>
      </c>
      <c r="M37" s="40">
        <f t="shared" si="3"/>
        <v>17.555869817136209</v>
      </c>
      <c r="N37" s="40">
        <f t="shared" si="3"/>
        <v>194.6603031518969</v>
      </c>
      <c r="O37" s="40">
        <f t="shared" si="3"/>
        <v>0</v>
      </c>
      <c r="P37" s="40">
        <f t="shared" si="3"/>
        <v>7.9890096609229272E-2</v>
      </c>
      <c r="Q37" s="40">
        <f t="shared" si="3"/>
        <v>5.8822996587530119E-3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45606.041666666664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45606.041666666664</v>
      </c>
      <c r="B9" s="50">
        <v>5.18</v>
      </c>
      <c r="C9" s="50">
        <v>8.07</v>
      </c>
      <c r="D9" s="50">
        <v>13.93</v>
      </c>
      <c r="E9" s="50">
        <v>9.9600000000000009</v>
      </c>
      <c r="F9" s="50">
        <v>5.74</v>
      </c>
      <c r="G9" s="50">
        <v>95.64</v>
      </c>
      <c r="H9" s="50">
        <v>31.73</v>
      </c>
      <c r="I9" s="50">
        <v>9.4600000000000009</v>
      </c>
      <c r="J9" s="50">
        <v>0.19</v>
      </c>
      <c r="K9" s="50">
        <v>228.89</v>
      </c>
      <c r="L9" s="50">
        <v>21.89</v>
      </c>
      <c r="M9" s="50">
        <v>88.09</v>
      </c>
      <c r="N9" s="50">
        <v>1.7</v>
      </c>
      <c r="O9" s="50">
        <v>0</v>
      </c>
      <c r="P9" s="50">
        <v>0.83</v>
      </c>
      <c r="Q9" s="50">
        <v>4.3099999999999996</v>
      </c>
    </row>
    <row r="10" spans="1:21" customFormat="1">
      <c r="A10" s="49">
        <v>45606.083333333336</v>
      </c>
      <c r="B10" s="50">
        <v>5.16</v>
      </c>
      <c r="C10" s="50">
        <v>8.07</v>
      </c>
      <c r="D10" s="50">
        <v>13.92</v>
      </c>
      <c r="E10" s="50">
        <v>9.86</v>
      </c>
      <c r="F10" s="50">
        <v>5.94</v>
      </c>
      <c r="G10" s="50">
        <v>85.82</v>
      </c>
      <c r="H10" s="50">
        <v>30.82</v>
      </c>
      <c r="I10" s="50">
        <v>9.27</v>
      </c>
      <c r="J10" s="50">
        <v>0.17</v>
      </c>
      <c r="K10" s="50">
        <v>230.85</v>
      </c>
      <c r="L10" s="50">
        <v>21.41</v>
      </c>
      <c r="M10" s="50">
        <v>88.25</v>
      </c>
      <c r="N10" s="50">
        <v>1.6</v>
      </c>
      <c r="O10" s="50">
        <v>0</v>
      </c>
      <c r="P10" s="50">
        <v>0.79</v>
      </c>
      <c r="Q10" s="50">
        <v>4.3099999999999996</v>
      </c>
    </row>
    <row r="11" spans="1:21" customFormat="1">
      <c r="A11" s="49">
        <v>45606.125</v>
      </c>
      <c r="B11" s="50">
        <v>5.16</v>
      </c>
      <c r="C11" s="50">
        <v>8.08</v>
      </c>
      <c r="D11" s="50">
        <v>13.92</v>
      </c>
      <c r="E11" s="50">
        <v>8.48</v>
      </c>
      <c r="F11" s="50">
        <v>5.9</v>
      </c>
      <c r="G11" s="50">
        <v>84.86</v>
      </c>
      <c r="H11" s="50">
        <v>30.82</v>
      </c>
      <c r="I11" s="50">
        <v>8.9499999999999993</v>
      </c>
      <c r="J11" s="50">
        <v>0.19</v>
      </c>
      <c r="K11" s="50">
        <v>198.18</v>
      </c>
      <c r="L11" s="50">
        <v>21.63</v>
      </c>
      <c r="M11" s="50">
        <v>88.26</v>
      </c>
      <c r="N11" s="50">
        <v>1.7</v>
      </c>
      <c r="O11" s="50">
        <v>0</v>
      </c>
      <c r="P11" s="50">
        <v>0.78</v>
      </c>
      <c r="Q11" s="50">
        <v>4.3099999999999996</v>
      </c>
    </row>
    <row r="12" spans="1:21" customFormat="1">
      <c r="A12" s="49">
        <v>45606.166666666664</v>
      </c>
      <c r="B12" s="50">
        <v>5.17</v>
      </c>
      <c r="C12" s="50">
        <v>8.1199999999999992</v>
      </c>
      <c r="D12" s="50">
        <v>13.95</v>
      </c>
      <c r="E12" s="50">
        <v>9.34</v>
      </c>
      <c r="F12" s="50">
        <v>5.73</v>
      </c>
      <c r="G12" s="50">
        <v>82.86</v>
      </c>
      <c r="H12" s="50">
        <v>28.79</v>
      </c>
      <c r="I12" s="50">
        <v>8.94</v>
      </c>
      <c r="J12" s="50">
        <v>0.12</v>
      </c>
      <c r="K12" s="50">
        <v>227.83</v>
      </c>
      <c r="L12" s="50">
        <v>21.54</v>
      </c>
      <c r="M12" s="50">
        <v>89.24</v>
      </c>
      <c r="N12" s="50">
        <v>1.8</v>
      </c>
      <c r="O12" s="50">
        <v>0</v>
      </c>
      <c r="P12" s="50">
        <v>0.75</v>
      </c>
      <c r="Q12" s="50">
        <v>4.33</v>
      </c>
    </row>
    <row r="13" spans="1:21" customFormat="1">
      <c r="A13" s="49">
        <v>45606.208333333336</v>
      </c>
      <c r="B13" s="50">
        <v>5.17</v>
      </c>
      <c r="C13" s="50">
        <v>8.07</v>
      </c>
      <c r="D13" s="50">
        <v>13.93</v>
      </c>
      <c r="E13" s="50">
        <v>9.39</v>
      </c>
      <c r="F13" s="50">
        <v>5.75</v>
      </c>
      <c r="G13" s="50">
        <v>80.87</v>
      </c>
      <c r="H13" s="50">
        <v>28.79</v>
      </c>
      <c r="I13" s="50">
        <v>8.7799999999999994</v>
      </c>
      <c r="J13" s="50">
        <v>0.17</v>
      </c>
      <c r="K13" s="50">
        <v>202.05</v>
      </c>
      <c r="L13" s="50">
        <v>20.79</v>
      </c>
      <c r="M13" s="50">
        <v>94.18</v>
      </c>
      <c r="N13" s="50">
        <v>1.7</v>
      </c>
      <c r="O13" s="50">
        <v>0</v>
      </c>
      <c r="P13" s="50">
        <v>0.74</v>
      </c>
      <c r="Q13" s="50">
        <v>4.32</v>
      </c>
    </row>
    <row r="14" spans="1:21" customFormat="1">
      <c r="A14" s="49">
        <v>45606.25</v>
      </c>
      <c r="B14" s="50">
        <v>5.15</v>
      </c>
      <c r="C14" s="50">
        <v>8.08</v>
      </c>
      <c r="D14" s="50">
        <v>13.91</v>
      </c>
      <c r="E14" s="50">
        <v>9.3800000000000008</v>
      </c>
      <c r="F14" s="50">
        <v>5.87</v>
      </c>
      <c r="G14" s="50">
        <v>79.23</v>
      </c>
      <c r="H14" s="50">
        <v>26.16</v>
      </c>
      <c r="I14" s="50">
        <v>8.64</v>
      </c>
      <c r="J14" s="50">
        <v>0.18</v>
      </c>
      <c r="K14" s="50">
        <v>212.48</v>
      </c>
      <c r="L14" s="50">
        <v>20.27</v>
      </c>
      <c r="M14" s="50">
        <v>94.32</v>
      </c>
      <c r="N14" s="50">
        <v>2.6</v>
      </c>
      <c r="O14" s="50">
        <v>0</v>
      </c>
      <c r="P14" s="50">
        <v>0.73</v>
      </c>
      <c r="Q14" s="50">
        <v>4.3099999999999996</v>
      </c>
    </row>
    <row r="15" spans="1:21" customFormat="1">
      <c r="A15" s="49">
        <v>45606.291666666664</v>
      </c>
      <c r="B15" s="50">
        <v>5.17</v>
      </c>
      <c r="C15" s="50">
        <v>8.1</v>
      </c>
      <c r="D15" s="50">
        <v>13.93</v>
      </c>
      <c r="E15" s="50">
        <v>8.8800000000000008</v>
      </c>
      <c r="F15" s="50">
        <v>5.94</v>
      </c>
      <c r="G15" s="50">
        <v>74.56</v>
      </c>
      <c r="H15" s="50">
        <v>27.4</v>
      </c>
      <c r="I15" s="50">
        <v>8.5</v>
      </c>
      <c r="J15" s="50">
        <v>0.18</v>
      </c>
      <c r="K15" s="50">
        <v>192.23</v>
      </c>
      <c r="L15" s="50">
        <v>21.29</v>
      </c>
      <c r="M15" s="50">
        <v>91.71</v>
      </c>
      <c r="N15" s="50">
        <v>24.7</v>
      </c>
      <c r="O15" s="50">
        <v>0</v>
      </c>
      <c r="P15" s="50">
        <v>0.73</v>
      </c>
      <c r="Q15" s="50">
        <v>4.3099999999999996</v>
      </c>
    </row>
    <row r="16" spans="1:21" customFormat="1">
      <c r="A16" s="49">
        <v>45606.333333333336</v>
      </c>
      <c r="B16" s="50">
        <v>5.21</v>
      </c>
      <c r="C16" s="50">
        <v>8.08</v>
      </c>
      <c r="D16" s="50">
        <v>13.97</v>
      </c>
      <c r="E16" s="50">
        <v>8.66</v>
      </c>
      <c r="F16" s="50">
        <v>5.79</v>
      </c>
      <c r="G16" s="50">
        <v>75.739999999999995</v>
      </c>
      <c r="H16" s="50">
        <v>27.4</v>
      </c>
      <c r="I16" s="50">
        <v>8.5399999999999991</v>
      </c>
      <c r="J16" s="50">
        <v>0.13</v>
      </c>
      <c r="K16" s="50">
        <v>182.74</v>
      </c>
      <c r="L16" s="50">
        <v>23.16</v>
      </c>
      <c r="M16" s="50">
        <v>89</v>
      </c>
      <c r="N16" s="50">
        <v>57.3</v>
      </c>
      <c r="O16" s="50">
        <v>0</v>
      </c>
      <c r="P16" s="50">
        <v>0.73</v>
      </c>
      <c r="Q16" s="50">
        <v>4.3099999999999996</v>
      </c>
    </row>
    <row r="17" spans="1:17" customFormat="1">
      <c r="A17" s="49">
        <v>45606.375</v>
      </c>
      <c r="B17" s="50">
        <v>5.21</v>
      </c>
      <c r="C17" s="50">
        <v>8.09</v>
      </c>
      <c r="D17" s="50">
        <v>13.97</v>
      </c>
      <c r="E17" s="50">
        <v>8.7200000000000006</v>
      </c>
      <c r="F17" s="50">
        <v>5.9</v>
      </c>
      <c r="G17" s="50">
        <v>77.400000000000006</v>
      </c>
      <c r="H17" s="50">
        <v>26.22</v>
      </c>
      <c r="I17" s="50">
        <v>8.36</v>
      </c>
      <c r="J17" s="50">
        <v>0.41</v>
      </c>
      <c r="K17" s="50">
        <v>282.42</v>
      </c>
      <c r="L17" s="50">
        <v>25.18</v>
      </c>
      <c r="M17" s="50">
        <v>79.959999999999994</v>
      </c>
      <c r="N17" s="50">
        <v>173.6</v>
      </c>
      <c r="O17" s="50">
        <v>0</v>
      </c>
      <c r="P17" s="50">
        <v>0.73</v>
      </c>
      <c r="Q17" s="50">
        <v>4.32</v>
      </c>
    </row>
    <row r="18" spans="1:17" customFormat="1">
      <c r="A18" s="49">
        <v>45606.416666666664</v>
      </c>
      <c r="B18" s="50">
        <v>5.24</v>
      </c>
      <c r="C18" s="50">
        <v>8.08</v>
      </c>
      <c r="D18" s="50">
        <v>13.98</v>
      </c>
      <c r="E18" s="50">
        <v>8.81</v>
      </c>
      <c r="F18" s="50">
        <v>6.29</v>
      </c>
      <c r="G18" s="50">
        <v>77.400000000000006</v>
      </c>
      <c r="H18" s="50">
        <v>28.35</v>
      </c>
      <c r="I18" s="50">
        <v>8.3800000000000008</v>
      </c>
      <c r="J18" s="50">
        <v>0.56000000000000005</v>
      </c>
      <c r="K18" s="50">
        <v>60.45</v>
      </c>
      <c r="L18" s="50">
        <v>27.4</v>
      </c>
      <c r="M18" s="50">
        <v>68.069999999999993</v>
      </c>
      <c r="N18" s="50">
        <v>356.8</v>
      </c>
      <c r="O18" s="50">
        <v>0</v>
      </c>
      <c r="P18" s="50">
        <v>0.74</v>
      </c>
      <c r="Q18" s="50">
        <v>4.33</v>
      </c>
    </row>
    <row r="19" spans="1:17" customFormat="1">
      <c r="A19" s="49">
        <v>45606.458333333336</v>
      </c>
      <c r="B19" s="50">
        <v>5.24</v>
      </c>
      <c r="C19" s="50">
        <v>8.11</v>
      </c>
      <c r="D19" s="50">
        <v>14</v>
      </c>
      <c r="E19" s="50">
        <v>8.99</v>
      </c>
      <c r="F19" s="50">
        <v>7.72</v>
      </c>
      <c r="G19" s="50">
        <v>74.790000000000006</v>
      </c>
      <c r="H19" s="50">
        <v>28.35</v>
      </c>
      <c r="I19" s="50">
        <v>8.44</v>
      </c>
      <c r="J19" s="50">
        <v>0.31</v>
      </c>
      <c r="K19" s="50">
        <v>140.94999999999999</v>
      </c>
      <c r="L19" s="50">
        <v>29.45</v>
      </c>
      <c r="M19" s="50">
        <v>59.11</v>
      </c>
      <c r="N19" s="50">
        <v>426.6</v>
      </c>
      <c r="O19" s="50">
        <v>0</v>
      </c>
      <c r="P19" s="50">
        <v>0.74</v>
      </c>
      <c r="Q19" s="50">
        <v>4.3099999999999996</v>
      </c>
    </row>
    <row r="20" spans="1:17" customFormat="1">
      <c r="A20" s="49">
        <v>45606.5</v>
      </c>
      <c r="B20" s="50">
        <v>5.24</v>
      </c>
      <c r="C20" s="50">
        <v>8.09</v>
      </c>
      <c r="D20" s="50">
        <v>13.99</v>
      </c>
      <c r="E20" s="50">
        <v>8.82</v>
      </c>
      <c r="F20" s="50">
        <v>9.8800000000000008</v>
      </c>
      <c r="G20" s="50">
        <v>74.97</v>
      </c>
      <c r="H20" s="50">
        <v>30.66</v>
      </c>
      <c r="I20" s="50">
        <v>8.31</v>
      </c>
      <c r="J20" s="50">
        <v>0.4</v>
      </c>
      <c r="K20" s="50">
        <v>357.75</v>
      </c>
      <c r="L20" s="50">
        <v>30.68</v>
      </c>
      <c r="M20" s="50">
        <v>53.99</v>
      </c>
      <c r="N20" s="50">
        <v>482.5</v>
      </c>
      <c r="O20" s="50">
        <v>0</v>
      </c>
      <c r="P20" s="50">
        <v>0.73</v>
      </c>
      <c r="Q20" s="50">
        <v>4.32</v>
      </c>
    </row>
    <row r="21" spans="1:17" customFormat="1">
      <c r="A21" s="49">
        <v>45606.541666666664</v>
      </c>
      <c r="B21" s="50">
        <v>5.22</v>
      </c>
      <c r="C21" s="50">
        <v>8.1</v>
      </c>
      <c r="D21" s="50">
        <v>13.98</v>
      </c>
      <c r="E21" s="50">
        <v>13.92</v>
      </c>
      <c r="F21" s="50">
        <v>12.83</v>
      </c>
      <c r="G21" s="50">
        <v>74.97</v>
      </c>
      <c r="H21" s="50">
        <v>32.71</v>
      </c>
      <c r="I21" s="50">
        <v>8.2200000000000006</v>
      </c>
      <c r="J21" s="50">
        <v>0.66</v>
      </c>
      <c r="K21" s="50">
        <v>331.67</v>
      </c>
      <c r="L21" s="50">
        <v>30.86</v>
      </c>
      <c r="M21" s="50">
        <v>52.42</v>
      </c>
      <c r="N21" s="50">
        <v>416.6</v>
      </c>
      <c r="O21" s="50">
        <v>0</v>
      </c>
      <c r="P21" s="50">
        <v>0.71</v>
      </c>
      <c r="Q21" s="50">
        <v>4.3099999999999996</v>
      </c>
    </row>
    <row r="22" spans="1:17" customFormat="1">
      <c r="A22" s="49">
        <v>45606.583333333336</v>
      </c>
      <c r="B22" s="50">
        <v>5.22</v>
      </c>
      <c r="C22" s="50">
        <v>8.07</v>
      </c>
      <c r="D22" s="50">
        <v>13.96</v>
      </c>
      <c r="E22" s="50">
        <v>15.47</v>
      </c>
      <c r="F22" s="50">
        <v>15.25</v>
      </c>
      <c r="G22" s="50">
        <v>80.739999999999995</v>
      </c>
      <c r="H22" s="50">
        <v>32.71</v>
      </c>
      <c r="I22" s="50">
        <v>8.09</v>
      </c>
      <c r="J22" s="50">
        <v>0.82</v>
      </c>
      <c r="K22" s="50">
        <v>40.79</v>
      </c>
      <c r="L22" s="50">
        <v>29.95</v>
      </c>
      <c r="M22" s="50">
        <v>50.2</v>
      </c>
      <c r="N22" s="50">
        <v>275.60000000000002</v>
      </c>
      <c r="O22" s="50">
        <v>0</v>
      </c>
      <c r="P22" s="50">
        <v>0.7</v>
      </c>
      <c r="Q22" s="50">
        <v>4.32</v>
      </c>
    </row>
    <row r="23" spans="1:17" customFormat="1">
      <c r="A23" s="49">
        <v>45606.625</v>
      </c>
      <c r="B23" s="50">
        <v>5.2</v>
      </c>
      <c r="C23" s="50">
        <v>8.08</v>
      </c>
      <c r="D23" s="50">
        <v>13.96</v>
      </c>
      <c r="E23" s="50">
        <v>13.7</v>
      </c>
      <c r="F23" s="50">
        <v>16.53</v>
      </c>
      <c r="G23" s="50">
        <v>80.739999999999995</v>
      </c>
      <c r="H23" s="50">
        <v>29.94</v>
      </c>
      <c r="I23" s="50">
        <v>7.86</v>
      </c>
      <c r="J23" s="50">
        <v>0.63</v>
      </c>
      <c r="K23" s="50">
        <v>349.23</v>
      </c>
      <c r="L23" s="50">
        <v>29.9</v>
      </c>
      <c r="M23" s="50">
        <v>45.68</v>
      </c>
      <c r="N23" s="50">
        <v>156.1</v>
      </c>
      <c r="O23" s="50">
        <v>0</v>
      </c>
      <c r="P23" s="50">
        <v>0.68</v>
      </c>
      <c r="Q23" s="50">
        <v>4.32</v>
      </c>
    </row>
    <row r="24" spans="1:17" customFormat="1">
      <c r="A24" s="49">
        <v>45606.666666666664</v>
      </c>
      <c r="B24" s="50">
        <v>5.2</v>
      </c>
      <c r="C24" s="50">
        <v>8.1</v>
      </c>
      <c r="D24" s="50">
        <v>13.96</v>
      </c>
      <c r="E24" s="50">
        <v>14.92</v>
      </c>
      <c r="F24" s="50">
        <v>18.649999999999999</v>
      </c>
      <c r="G24" s="50">
        <v>77.73</v>
      </c>
      <c r="H24" s="50">
        <v>31.25</v>
      </c>
      <c r="I24" s="50">
        <v>7.64</v>
      </c>
      <c r="J24" s="50">
        <v>0.55000000000000004</v>
      </c>
      <c r="K24" s="50">
        <v>40.950000000000003</v>
      </c>
      <c r="L24" s="50">
        <v>29.19</v>
      </c>
      <c r="M24" s="50">
        <v>44.15</v>
      </c>
      <c r="N24" s="50">
        <v>78.900000000000006</v>
      </c>
      <c r="O24" s="50">
        <v>0</v>
      </c>
      <c r="P24" s="50">
        <v>0.68</v>
      </c>
      <c r="Q24" s="50">
        <v>4.3099999999999996</v>
      </c>
    </row>
    <row r="25" spans="1:17" customFormat="1">
      <c r="A25" s="49">
        <v>45606.708333333336</v>
      </c>
      <c r="B25" s="50">
        <v>5.2</v>
      </c>
      <c r="C25" s="50">
        <v>8.07</v>
      </c>
      <c r="D25" s="50">
        <v>13.95</v>
      </c>
      <c r="E25" s="50">
        <v>11.71</v>
      </c>
      <c r="F25" s="50">
        <v>11.69</v>
      </c>
      <c r="G25" s="50">
        <v>90.19</v>
      </c>
      <c r="H25" s="50">
        <v>31.68</v>
      </c>
      <c r="I25" s="50">
        <v>7.54</v>
      </c>
      <c r="J25" s="50">
        <v>0.52</v>
      </c>
      <c r="K25" s="50">
        <v>134.63</v>
      </c>
      <c r="L25" s="50">
        <v>28.53</v>
      </c>
      <c r="M25" s="50">
        <v>52.88</v>
      </c>
      <c r="N25" s="50">
        <v>31.8</v>
      </c>
      <c r="O25" s="50">
        <v>0</v>
      </c>
      <c r="P25" s="50">
        <v>0.7</v>
      </c>
      <c r="Q25" s="50">
        <v>4.3099999999999996</v>
      </c>
    </row>
    <row r="26" spans="1:17" customFormat="1">
      <c r="A26" s="49">
        <v>45606.75</v>
      </c>
      <c r="B26" s="50">
        <v>5.19</v>
      </c>
      <c r="C26" s="50">
        <v>8.06</v>
      </c>
      <c r="D26" s="50">
        <v>13.94</v>
      </c>
      <c r="E26" s="50">
        <v>8.94</v>
      </c>
      <c r="F26" s="50">
        <v>6.54</v>
      </c>
      <c r="G26" s="50">
        <v>95.41</v>
      </c>
      <c r="H26" s="50">
        <v>35.24</v>
      </c>
      <c r="I26" s="50">
        <v>7.83</v>
      </c>
      <c r="J26" s="50">
        <v>0.33</v>
      </c>
      <c r="K26" s="50">
        <v>161.06</v>
      </c>
      <c r="L26" s="50">
        <v>26.48</v>
      </c>
      <c r="M26" s="50">
        <v>65.33</v>
      </c>
      <c r="N26" s="50">
        <v>3.9</v>
      </c>
      <c r="O26" s="50">
        <v>0</v>
      </c>
      <c r="P26" s="50">
        <v>0.73</v>
      </c>
      <c r="Q26" s="50">
        <v>4.3099999999999996</v>
      </c>
    </row>
    <row r="27" spans="1:17" customFormat="1">
      <c r="A27" s="49">
        <v>45606.791666666664</v>
      </c>
      <c r="B27" s="50">
        <v>5.19</v>
      </c>
      <c r="C27" s="50">
        <v>8.09</v>
      </c>
      <c r="D27" s="50">
        <v>13.96</v>
      </c>
      <c r="E27" s="50">
        <v>9.41</v>
      </c>
      <c r="F27" s="50">
        <v>6.03</v>
      </c>
      <c r="G27" s="50">
        <v>109.17</v>
      </c>
      <c r="H27" s="50">
        <v>37.24</v>
      </c>
      <c r="I27" s="50">
        <v>8.51</v>
      </c>
      <c r="J27" s="50">
        <v>0.25</v>
      </c>
      <c r="K27" s="50">
        <v>163.32</v>
      </c>
      <c r="L27" s="50">
        <v>25.34</v>
      </c>
      <c r="M27" s="50">
        <v>65.959999999999994</v>
      </c>
      <c r="N27" s="50">
        <v>1.9</v>
      </c>
      <c r="O27" s="50">
        <v>0</v>
      </c>
      <c r="P27" s="50">
        <v>0.8</v>
      </c>
      <c r="Q27" s="50">
        <v>4.3099999999999996</v>
      </c>
    </row>
    <row r="28" spans="1:17" customFormat="1">
      <c r="A28" s="49">
        <v>45606.833333333336</v>
      </c>
      <c r="B28" s="50">
        <v>5.22</v>
      </c>
      <c r="C28" s="50">
        <v>8.09</v>
      </c>
      <c r="D28" s="50">
        <v>13.96</v>
      </c>
      <c r="E28" s="50">
        <v>9.7100000000000009</v>
      </c>
      <c r="F28" s="50">
        <v>7.14</v>
      </c>
      <c r="G28" s="50">
        <v>141.65</v>
      </c>
      <c r="H28" s="50">
        <v>39.19</v>
      </c>
      <c r="I28" s="50">
        <v>9.1199999999999992</v>
      </c>
      <c r="J28" s="50">
        <v>0.42</v>
      </c>
      <c r="K28" s="50">
        <v>75.44</v>
      </c>
      <c r="L28" s="50">
        <v>25.94</v>
      </c>
      <c r="M28" s="50">
        <v>60.5</v>
      </c>
      <c r="N28" s="50">
        <v>2</v>
      </c>
      <c r="O28" s="50">
        <v>0</v>
      </c>
      <c r="P28" s="50">
        <v>0.83</v>
      </c>
      <c r="Q28" s="50">
        <v>4.33</v>
      </c>
    </row>
    <row r="29" spans="1:17" customFormat="1">
      <c r="A29" s="49">
        <v>45606.875</v>
      </c>
      <c r="B29" s="50">
        <v>5.19</v>
      </c>
      <c r="C29" s="50">
        <v>8.1199999999999992</v>
      </c>
      <c r="D29" s="50">
        <v>13.96</v>
      </c>
      <c r="E29" s="50">
        <v>9.66</v>
      </c>
      <c r="F29" s="50">
        <v>6.44</v>
      </c>
      <c r="G29" s="50">
        <v>141.65</v>
      </c>
      <c r="H29" s="50">
        <v>40.700000000000003</v>
      </c>
      <c r="I29" s="50">
        <v>9.1</v>
      </c>
      <c r="J29" s="50">
        <v>0.24</v>
      </c>
      <c r="K29" s="50">
        <v>101.02</v>
      </c>
      <c r="L29" s="50">
        <v>25.87</v>
      </c>
      <c r="M29" s="50">
        <v>60.34</v>
      </c>
      <c r="N29" s="50">
        <v>2.1</v>
      </c>
      <c r="O29" s="50">
        <v>0</v>
      </c>
      <c r="P29" s="50">
        <v>0.83</v>
      </c>
      <c r="Q29" s="50">
        <v>4.3099999999999996</v>
      </c>
    </row>
    <row r="30" spans="1:17" customFormat="1">
      <c r="A30" s="49">
        <v>45606.916666666664</v>
      </c>
      <c r="B30" s="50">
        <v>5.19</v>
      </c>
      <c r="C30" s="50">
        <v>8.09</v>
      </c>
      <c r="D30" s="50">
        <v>13.96</v>
      </c>
      <c r="E30" s="50">
        <v>9.34</v>
      </c>
      <c r="F30" s="50">
        <v>6.42</v>
      </c>
      <c r="G30" s="50">
        <v>129.94999999999999</v>
      </c>
      <c r="H30" s="50">
        <v>40.700000000000003</v>
      </c>
      <c r="I30" s="50">
        <v>8.98</v>
      </c>
      <c r="J30" s="50">
        <v>0.38</v>
      </c>
      <c r="K30" s="50">
        <v>69.22</v>
      </c>
      <c r="L30" s="50">
        <v>25.63</v>
      </c>
      <c r="M30" s="50">
        <v>60.42</v>
      </c>
      <c r="N30" s="50">
        <v>2.1</v>
      </c>
      <c r="O30" s="50">
        <v>0</v>
      </c>
      <c r="P30" s="50">
        <v>0.81</v>
      </c>
      <c r="Q30" s="50">
        <v>4.3099999999999996</v>
      </c>
    </row>
    <row r="31" spans="1:17" customFormat="1">
      <c r="A31" s="49">
        <v>45606.958333333336</v>
      </c>
      <c r="B31" s="50">
        <v>5.21</v>
      </c>
      <c r="C31" s="50">
        <v>8.08</v>
      </c>
      <c r="D31" s="50">
        <v>13.95</v>
      </c>
      <c r="E31" s="50">
        <v>9.58</v>
      </c>
      <c r="F31" s="50">
        <v>6.36</v>
      </c>
      <c r="G31" s="50">
        <v>115.32</v>
      </c>
      <c r="H31" s="50">
        <v>36.380000000000003</v>
      </c>
      <c r="I31" s="50">
        <v>8.7200000000000006</v>
      </c>
      <c r="J31" s="50">
        <v>0.38</v>
      </c>
      <c r="K31" s="50">
        <v>129.21</v>
      </c>
      <c r="L31" s="50">
        <v>25.46</v>
      </c>
      <c r="M31" s="50">
        <v>61.22</v>
      </c>
      <c r="N31" s="50">
        <v>2.2000000000000002</v>
      </c>
      <c r="O31" s="50">
        <v>0</v>
      </c>
      <c r="P31" s="50">
        <v>0.77</v>
      </c>
      <c r="Q31" s="50">
        <v>4.3099999999999996</v>
      </c>
    </row>
    <row r="32" spans="1:17" customFormat="1">
      <c r="A32" s="49">
        <v>45607</v>
      </c>
      <c r="B32" s="50">
        <v>5.19</v>
      </c>
      <c r="C32" s="50">
        <v>8.07</v>
      </c>
      <c r="D32" s="50">
        <v>13.92</v>
      </c>
      <c r="E32" s="50">
        <v>9.65</v>
      </c>
      <c r="F32" s="50">
        <v>6.09</v>
      </c>
      <c r="G32" s="50">
        <v>98.81</v>
      </c>
      <c r="H32" s="50">
        <v>35.03</v>
      </c>
      <c r="I32" s="50">
        <v>8.5399999999999991</v>
      </c>
      <c r="J32" s="50">
        <v>0.23</v>
      </c>
      <c r="K32" s="50">
        <v>151.02000000000001</v>
      </c>
      <c r="L32" s="50">
        <v>24.84</v>
      </c>
      <c r="M32" s="50">
        <v>65.7</v>
      </c>
      <c r="N32" s="50">
        <v>2.1</v>
      </c>
      <c r="O32" s="50">
        <v>0</v>
      </c>
      <c r="P32" s="50">
        <v>0.75</v>
      </c>
      <c r="Q32" s="50">
        <v>4.3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5.15</v>
      </c>
      <c r="C34" s="40">
        <f t="shared" si="0"/>
        <v>8.06</v>
      </c>
      <c r="D34" s="40">
        <f t="shared" si="0"/>
        <v>13.91</v>
      </c>
      <c r="E34" s="40">
        <f t="shared" si="0"/>
        <v>8.48</v>
      </c>
      <c r="F34" s="40">
        <f t="shared" si="0"/>
        <v>5.73</v>
      </c>
      <c r="G34" s="40">
        <f t="shared" si="0"/>
        <v>74.56</v>
      </c>
      <c r="H34" s="40">
        <f t="shared" si="0"/>
        <v>26.16</v>
      </c>
      <c r="I34" s="40">
        <f t="shared" si="0"/>
        <v>7.54</v>
      </c>
      <c r="J34" s="40">
        <f t="shared" si="0"/>
        <v>0.12</v>
      </c>
      <c r="K34" s="40">
        <f t="shared" si="0"/>
        <v>40.79</v>
      </c>
      <c r="L34" s="40">
        <f t="shared" si="0"/>
        <v>20.27</v>
      </c>
      <c r="M34" s="40">
        <f t="shared" si="0"/>
        <v>44.15</v>
      </c>
      <c r="N34" s="40">
        <f t="shared" si="0"/>
        <v>1.6</v>
      </c>
      <c r="O34" s="40">
        <f t="shared" si="0"/>
        <v>0</v>
      </c>
      <c r="P34" s="40">
        <f t="shared" si="0"/>
        <v>0.68</v>
      </c>
      <c r="Q34" s="40">
        <f t="shared" si="0"/>
        <v>4.3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5.24</v>
      </c>
      <c r="C35" s="33">
        <f t="shared" si="1"/>
        <v>8.1199999999999992</v>
      </c>
      <c r="D35" s="33">
        <f t="shared" si="1"/>
        <v>14</v>
      </c>
      <c r="E35" s="33">
        <f t="shared" si="1"/>
        <v>15.47</v>
      </c>
      <c r="F35" s="33">
        <f t="shared" si="1"/>
        <v>18.649999999999999</v>
      </c>
      <c r="G35" s="33">
        <f t="shared" si="1"/>
        <v>141.65</v>
      </c>
      <c r="H35" s="33">
        <f t="shared" si="1"/>
        <v>40.700000000000003</v>
      </c>
      <c r="I35" s="33">
        <f t="shared" si="1"/>
        <v>9.4600000000000009</v>
      </c>
      <c r="J35" s="33">
        <f t="shared" si="1"/>
        <v>0.82</v>
      </c>
      <c r="K35" s="33">
        <f t="shared" si="1"/>
        <v>357.75</v>
      </c>
      <c r="L35" s="33">
        <f t="shared" si="1"/>
        <v>30.86</v>
      </c>
      <c r="M35" s="33">
        <f t="shared" si="1"/>
        <v>94.32</v>
      </c>
      <c r="N35" s="33">
        <f t="shared" si="1"/>
        <v>482.5</v>
      </c>
      <c r="O35" s="33">
        <f t="shared" si="1"/>
        <v>0</v>
      </c>
      <c r="P35" s="33">
        <f t="shared" si="1"/>
        <v>0.83</v>
      </c>
      <c r="Q35" s="33">
        <f t="shared" si="1"/>
        <v>4.33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5.1966666666666663</v>
      </c>
      <c r="C36" s="40">
        <f t="shared" si="2"/>
        <v>8.0858333333333352</v>
      </c>
      <c r="D36" s="40">
        <f t="shared" si="2"/>
        <v>13.952499999999999</v>
      </c>
      <c r="E36" s="40">
        <f t="shared" si="2"/>
        <v>10.220833333333333</v>
      </c>
      <c r="F36" s="40">
        <f t="shared" si="2"/>
        <v>8.1841666666666644</v>
      </c>
      <c r="G36" s="40">
        <f t="shared" si="2"/>
        <v>91.686250000000015</v>
      </c>
      <c r="H36" s="40">
        <f t="shared" si="2"/>
        <v>32.010833333333338</v>
      </c>
      <c r="I36" s="40">
        <f t="shared" si="2"/>
        <v>8.5299999999999994</v>
      </c>
      <c r="J36" s="40">
        <f t="shared" si="2"/>
        <v>0.35083333333333333</v>
      </c>
      <c r="K36" s="40">
        <f t="shared" si="2"/>
        <v>177.6825</v>
      </c>
      <c r="L36" s="40">
        <f t="shared" si="2"/>
        <v>25.528333333333336</v>
      </c>
      <c r="M36" s="40">
        <f t="shared" si="2"/>
        <v>69.540833333333353</v>
      </c>
      <c r="N36" s="40">
        <f t="shared" si="2"/>
        <v>104.49583333333332</v>
      </c>
      <c r="O36" s="40">
        <f t="shared" si="2"/>
        <v>0</v>
      </c>
      <c r="P36" s="40">
        <f t="shared" si="2"/>
        <v>0.75041666666666673</v>
      </c>
      <c r="Q36" s="40">
        <f t="shared" si="2"/>
        <v>4.3141666666666678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2.5819888974716081E-2</v>
      </c>
      <c r="C37" s="40">
        <f t="shared" ref="C37:Q37" si="3">STDEV(C9:C32)</f>
        <v>1.6129008882638164E-2</v>
      </c>
      <c r="D37" s="40">
        <f t="shared" si="3"/>
        <v>2.3636743688036307E-2</v>
      </c>
      <c r="E37" s="40">
        <f t="shared" si="3"/>
        <v>2.0787118014826347</v>
      </c>
      <c r="F37" s="40">
        <f t="shared" si="3"/>
        <v>3.8532018494693023</v>
      </c>
      <c r="G37" s="40">
        <f t="shared" si="3"/>
        <v>20.923465880597334</v>
      </c>
      <c r="H37" s="40">
        <f t="shared" si="3"/>
        <v>4.3591532052299513</v>
      </c>
      <c r="I37" s="40">
        <f t="shared" si="3"/>
        <v>0.50447562099067911</v>
      </c>
      <c r="J37" s="40">
        <f t="shared" si="3"/>
        <v>0.19051227660240669</v>
      </c>
      <c r="K37" s="40">
        <f t="shared" si="3"/>
        <v>91.599347835631718</v>
      </c>
      <c r="L37" s="40">
        <f t="shared" si="3"/>
        <v>3.437283642730026</v>
      </c>
      <c r="M37" s="40">
        <f t="shared" si="3"/>
        <v>16.821414901112238</v>
      </c>
      <c r="N37" s="40">
        <f t="shared" si="3"/>
        <v>160.87288927480353</v>
      </c>
      <c r="O37" s="40">
        <f t="shared" si="3"/>
        <v>0</v>
      </c>
      <c r="P37" s="40">
        <f t="shared" si="3"/>
        <v>4.534689162125817E-2</v>
      </c>
      <c r="Q37" s="40">
        <f t="shared" si="3"/>
        <v>7.7553160822906014E-3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 ht="25.5" customHeigh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45607.041666666664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45607.041666666664</v>
      </c>
      <c r="B9" s="50">
        <v>5.17</v>
      </c>
      <c r="C9" s="50">
        <v>8.09</v>
      </c>
      <c r="D9" s="50">
        <v>13.94</v>
      </c>
      <c r="E9" s="50">
        <v>9.99</v>
      </c>
      <c r="F9" s="50">
        <v>5.97</v>
      </c>
      <c r="G9" s="50">
        <v>83.31</v>
      </c>
      <c r="H9" s="50">
        <v>35.03</v>
      </c>
      <c r="I9" s="50">
        <v>8.35</v>
      </c>
      <c r="J9" s="50">
        <v>0.18</v>
      </c>
      <c r="K9" s="50">
        <v>224.72</v>
      </c>
      <c r="L9" s="50">
        <v>24.6</v>
      </c>
      <c r="M9" s="50">
        <v>74.239999999999995</v>
      </c>
      <c r="N9" s="50">
        <v>2.4</v>
      </c>
      <c r="O9" s="50">
        <v>0</v>
      </c>
      <c r="P9" s="50">
        <v>0.72</v>
      </c>
      <c r="Q9" s="50">
        <v>4.33</v>
      </c>
    </row>
    <row r="10" spans="1:21" customFormat="1">
      <c r="A10" s="49">
        <v>45607.083333333336</v>
      </c>
      <c r="B10" s="50">
        <v>5.17</v>
      </c>
      <c r="C10" s="50">
        <v>8.08</v>
      </c>
      <c r="D10" s="50">
        <v>13.93</v>
      </c>
      <c r="E10" s="50">
        <v>9.82</v>
      </c>
      <c r="F10" s="50">
        <v>6.1</v>
      </c>
      <c r="G10" s="50">
        <v>83.31</v>
      </c>
      <c r="H10" s="50">
        <v>32.450000000000003</v>
      </c>
      <c r="I10" s="50">
        <v>8.1999999999999993</v>
      </c>
      <c r="J10" s="50">
        <v>0.52</v>
      </c>
      <c r="K10" s="50">
        <v>47.77</v>
      </c>
      <c r="L10" s="50">
        <v>23.7</v>
      </c>
      <c r="M10" s="50">
        <v>74.010000000000005</v>
      </c>
      <c r="N10" s="50">
        <v>2.1</v>
      </c>
      <c r="O10" s="50">
        <v>0</v>
      </c>
      <c r="P10" s="50">
        <v>0.72</v>
      </c>
      <c r="Q10" s="50">
        <v>4.32</v>
      </c>
    </row>
    <row r="11" spans="1:21" customFormat="1">
      <c r="A11" s="49">
        <v>45607.125</v>
      </c>
      <c r="B11" s="50">
        <v>5.19</v>
      </c>
      <c r="C11" s="50">
        <v>8.08</v>
      </c>
      <c r="D11" s="50">
        <v>13.93</v>
      </c>
      <c r="E11" s="50">
        <v>10.11</v>
      </c>
      <c r="F11" s="50">
        <v>6.07</v>
      </c>
      <c r="G11" s="50">
        <v>71.52</v>
      </c>
      <c r="H11" s="50">
        <v>32.450000000000003</v>
      </c>
      <c r="I11" s="50">
        <v>8.0399999999999991</v>
      </c>
      <c r="J11" s="50">
        <v>0.51</v>
      </c>
      <c r="K11" s="50">
        <v>47.19</v>
      </c>
      <c r="L11" s="50">
        <v>23.52</v>
      </c>
      <c r="M11" s="50">
        <v>71.16</v>
      </c>
      <c r="N11" s="50">
        <v>2.1</v>
      </c>
      <c r="O11" s="50">
        <v>0</v>
      </c>
      <c r="P11" s="50">
        <v>0.69</v>
      </c>
      <c r="Q11" s="50">
        <v>4.32</v>
      </c>
    </row>
    <row r="12" spans="1:21" customFormat="1">
      <c r="A12" s="49">
        <v>45607.166666666664</v>
      </c>
      <c r="B12" s="50">
        <v>5.2</v>
      </c>
      <c r="C12" s="50">
        <v>8.1</v>
      </c>
      <c r="D12" s="50">
        <v>13.95</v>
      </c>
      <c r="E12" s="50">
        <v>9.81</v>
      </c>
      <c r="F12" s="50">
        <v>5.83</v>
      </c>
      <c r="G12" s="50">
        <v>64.97</v>
      </c>
      <c r="H12" s="50">
        <v>28.08</v>
      </c>
      <c r="I12" s="50">
        <v>7.84</v>
      </c>
      <c r="J12" s="50">
        <v>0.35</v>
      </c>
      <c r="K12" s="50">
        <v>46.23</v>
      </c>
      <c r="L12" s="50">
        <v>23.01</v>
      </c>
      <c r="M12" s="50">
        <v>72.62</v>
      </c>
      <c r="N12" s="50">
        <v>2.1</v>
      </c>
      <c r="O12" s="50">
        <v>0</v>
      </c>
      <c r="P12" s="50">
        <v>0.68</v>
      </c>
      <c r="Q12" s="50">
        <v>4.32</v>
      </c>
    </row>
    <row r="13" spans="1:21" customFormat="1">
      <c r="A13" s="49">
        <v>45607.208333333336</v>
      </c>
      <c r="B13" s="50">
        <v>5.21</v>
      </c>
      <c r="C13" s="50">
        <v>8.09</v>
      </c>
      <c r="D13" s="50">
        <v>13.97</v>
      </c>
      <c r="E13" s="50">
        <v>9.52</v>
      </c>
      <c r="F13" s="50">
        <v>5.8</v>
      </c>
      <c r="G13" s="50">
        <v>70.34</v>
      </c>
      <c r="H13" s="50">
        <v>27.6</v>
      </c>
      <c r="I13" s="50">
        <v>7.5</v>
      </c>
      <c r="J13" s="50">
        <v>0.49</v>
      </c>
      <c r="K13" s="50">
        <v>44.28</v>
      </c>
      <c r="L13" s="50">
        <v>22.75</v>
      </c>
      <c r="M13" s="50">
        <v>79.75</v>
      </c>
      <c r="N13" s="50">
        <v>2.1</v>
      </c>
      <c r="O13" s="50">
        <v>0</v>
      </c>
      <c r="P13" s="50">
        <v>0.65</v>
      </c>
      <c r="Q13" s="50">
        <v>4.3099999999999996</v>
      </c>
    </row>
    <row r="14" spans="1:21" customFormat="1">
      <c r="A14" s="49">
        <v>45607.25</v>
      </c>
      <c r="B14" s="50">
        <v>5.23</v>
      </c>
      <c r="C14" s="50">
        <v>8.11</v>
      </c>
      <c r="D14" s="50">
        <v>13.98</v>
      </c>
      <c r="E14" s="50">
        <v>9.18</v>
      </c>
      <c r="F14" s="50">
        <v>5.7</v>
      </c>
      <c r="G14" s="50">
        <v>79.34</v>
      </c>
      <c r="H14" s="50">
        <v>27.28</v>
      </c>
      <c r="I14" s="50">
        <v>7.75</v>
      </c>
      <c r="J14" s="50">
        <v>0.52</v>
      </c>
      <c r="K14" s="50">
        <v>43.53</v>
      </c>
      <c r="L14" s="50">
        <v>21.51</v>
      </c>
      <c r="M14" s="50">
        <v>82.54</v>
      </c>
      <c r="N14" s="50">
        <v>2.8</v>
      </c>
      <c r="O14" s="50">
        <v>0</v>
      </c>
      <c r="P14" s="50">
        <v>0.66</v>
      </c>
      <c r="Q14" s="50">
        <v>4.32</v>
      </c>
    </row>
    <row r="15" spans="1:21" customFormat="1">
      <c r="A15" s="49">
        <v>45607.291666666664</v>
      </c>
      <c r="B15" s="50">
        <v>5.21</v>
      </c>
      <c r="C15" s="50">
        <v>8.11</v>
      </c>
      <c r="D15" s="50">
        <v>13.99</v>
      </c>
      <c r="E15" s="50">
        <v>9.23</v>
      </c>
      <c r="F15" s="50">
        <v>5.8</v>
      </c>
      <c r="G15" s="50">
        <v>86.07</v>
      </c>
      <c r="H15" s="50">
        <v>29.71</v>
      </c>
      <c r="I15" s="50">
        <v>7.95</v>
      </c>
      <c r="J15" s="50">
        <v>0.53</v>
      </c>
      <c r="K15" s="50">
        <v>42.83</v>
      </c>
      <c r="L15" s="50">
        <v>21.56</v>
      </c>
      <c r="M15" s="50">
        <v>82.42</v>
      </c>
      <c r="N15" s="50">
        <v>34.5</v>
      </c>
      <c r="O15" s="50">
        <v>0</v>
      </c>
      <c r="P15" s="50">
        <v>0.67</v>
      </c>
      <c r="Q15" s="50">
        <v>4.33</v>
      </c>
    </row>
    <row r="16" spans="1:21" customFormat="1">
      <c r="A16" s="49">
        <v>45607.333333333336</v>
      </c>
      <c r="B16" s="50">
        <v>5.23</v>
      </c>
      <c r="C16" s="50">
        <v>8.1</v>
      </c>
      <c r="D16" s="50">
        <v>13.98</v>
      </c>
      <c r="E16" s="50">
        <v>8.99</v>
      </c>
      <c r="F16" s="50">
        <v>5.74</v>
      </c>
      <c r="G16" s="50">
        <v>86.07</v>
      </c>
      <c r="H16" s="50">
        <v>29.71</v>
      </c>
      <c r="I16" s="50">
        <v>8.23</v>
      </c>
      <c r="J16" s="50">
        <v>0.85</v>
      </c>
      <c r="K16" s="50">
        <v>49.16</v>
      </c>
      <c r="L16" s="50">
        <v>22.63</v>
      </c>
      <c r="M16" s="50">
        <v>78.17</v>
      </c>
      <c r="N16" s="50">
        <v>74.5</v>
      </c>
      <c r="O16" s="50">
        <v>0</v>
      </c>
      <c r="P16" s="50">
        <v>0.69</v>
      </c>
      <c r="Q16" s="50">
        <v>4.32</v>
      </c>
    </row>
    <row r="17" spans="1:17" customFormat="1">
      <c r="A17" s="49">
        <v>45607.375</v>
      </c>
      <c r="B17" s="50">
        <v>5.22</v>
      </c>
      <c r="C17" s="50">
        <v>8.09</v>
      </c>
      <c r="D17" s="50">
        <v>13.98</v>
      </c>
      <c r="E17" s="50">
        <v>9.64</v>
      </c>
      <c r="F17" s="50">
        <v>5.95</v>
      </c>
      <c r="G17" s="50">
        <v>80.66</v>
      </c>
      <c r="H17" s="50">
        <v>28.7</v>
      </c>
      <c r="I17" s="50">
        <v>8.44</v>
      </c>
      <c r="J17" s="50">
        <v>0.97</v>
      </c>
      <c r="K17" s="50">
        <v>56.61</v>
      </c>
      <c r="L17" s="50">
        <v>25.44</v>
      </c>
      <c r="M17" s="50">
        <v>70.41</v>
      </c>
      <c r="N17" s="50">
        <v>223.1</v>
      </c>
      <c r="O17" s="50">
        <v>0</v>
      </c>
      <c r="P17" s="50">
        <v>0.69</v>
      </c>
      <c r="Q17" s="50">
        <v>4.32</v>
      </c>
    </row>
    <row r="18" spans="1:17" customFormat="1">
      <c r="A18" s="49">
        <v>45607.416666666664</v>
      </c>
      <c r="B18" s="50">
        <v>5.2</v>
      </c>
      <c r="C18" s="50">
        <v>8.11</v>
      </c>
      <c r="D18" s="50">
        <v>13.97</v>
      </c>
      <c r="E18" s="50">
        <v>9.52</v>
      </c>
      <c r="F18" s="50">
        <v>6.67</v>
      </c>
      <c r="G18" s="50">
        <v>80.19</v>
      </c>
      <c r="H18" s="50">
        <v>27.74</v>
      </c>
      <c r="I18" s="50">
        <v>8.57</v>
      </c>
      <c r="J18" s="50">
        <v>0.86</v>
      </c>
      <c r="K18" s="50">
        <v>61.75</v>
      </c>
      <c r="L18" s="50">
        <v>27.93</v>
      </c>
      <c r="M18" s="50">
        <v>63.08</v>
      </c>
      <c r="N18" s="50">
        <v>408.2</v>
      </c>
      <c r="O18" s="50">
        <v>0</v>
      </c>
      <c r="P18" s="50">
        <v>0.69</v>
      </c>
      <c r="Q18" s="50">
        <v>4.34</v>
      </c>
    </row>
    <row r="19" spans="1:17" customFormat="1">
      <c r="A19" s="49">
        <v>45607.458333333336</v>
      </c>
      <c r="B19" s="50">
        <v>5.19</v>
      </c>
      <c r="C19" s="50">
        <v>8.07</v>
      </c>
      <c r="D19" s="50">
        <v>13.93</v>
      </c>
      <c r="E19" s="50">
        <v>11.77</v>
      </c>
      <c r="F19" s="50">
        <v>8.81</v>
      </c>
      <c r="G19" s="50">
        <v>80.19</v>
      </c>
      <c r="H19" s="50">
        <v>28.09</v>
      </c>
      <c r="I19" s="50">
        <v>8.6</v>
      </c>
      <c r="J19" s="50">
        <v>0.68</v>
      </c>
      <c r="K19" s="50">
        <v>75.63</v>
      </c>
      <c r="L19" s="50">
        <v>29.67</v>
      </c>
      <c r="M19" s="50">
        <v>55.2</v>
      </c>
      <c r="N19" s="50">
        <v>439.9</v>
      </c>
      <c r="O19" s="50">
        <v>0</v>
      </c>
      <c r="P19" s="50">
        <v>0.68</v>
      </c>
      <c r="Q19" s="50">
        <v>4.3099999999999996</v>
      </c>
    </row>
    <row r="20" spans="1:17" customFormat="1">
      <c r="A20" s="49">
        <v>45607.5</v>
      </c>
      <c r="B20" s="50">
        <v>5.18</v>
      </c>
      <c r="C20" s="50">
        <v>8.09</v>
      </c>
      <c r="D20" s="50">
        <v>13.93</v>
      </c>
      <c r="E20" s="50">
        <v>12.45</v>
      </c>
      <c r="F20" s="50">
        <v>10.59</v>
      </c>
      <c r="G20" s="50">
        <v>79.37</v>
      </c>
      <c r="H20" s="50">
        <v>28.09</v>
      </c>
      <c r="I20" s="50">
        <v>8.4600000000000009</v>
      </c>
      <c r="J20" s="50">
        <v>0.76</v>
      </c>
      <c r="K20" s="50">
        <v>121.75</v>
      </c>
      <c r="L20" s="50">
        <v>30.26</v>
      </c>
      <c r="M20" s="50">
        <v>51.01</v>
      </c>
      <c r="N20" s="50">
        <v>484</v>
      </c>
      <c r="O20" s="50">
        <v>0</v>
      </c>
      <c r="P20" s="50">
        <v>0.66</v>
      </c>
      <c r="Q20" s="50">
        <v>4.32</v>
      </c>
    </row>
    <row r="21" spans="1:17" customFormat="1">
      <c r="A21" s="49">
        <v>45607.541666666664</v>
      </c>
      <c r="B21" s="50">
        <v>5.2</v>
      </c>
      <c r="C21" s="50">
        <v>8.09</v>
      </c>
      <c r="D21" s="50">
        <v>13.94</v>
      </c>
      <c r="E21" s="50">
        <v>11.05</v>
      </c>
      <c r="F21" s="50">
        <v>16.29</v>
      </c>
      <c r="G21" s="50">
        <v>66.959999999999994</v>
      </c>
      <c r="H21" s="50">
        <v>24.7</v>
      </c>
      <c r="I21" s="50">
        <v>8.18</v>
      </c>
      <c r="J21" s="50">
        <v>0.47</v>
      </c>
      <c r="K21" s="50">
        <v>164.89</v>
      </c>
      <c r="L21" s="50">
        <v>31.29</v>
      </c>
      <c r="M21" s="50">
        <v>45.61</v>
      </c>
      <c r="N21" s="50">
        <v>522.9</v>
      </c>
      <c r="O21" s="50">
        <v>0</v>
      </c>
      <c r="P21" s="50">
        <v>0.65</v>
      </c>
      <c r="Q21" s="50">
        <v>4.9000000000000004</v>
      </c>
    </row>
    <row r="22" spans="1:17" customFormat="1">
      <c r="A22" s="49">
        <v>45607.583333333336</v>
      </c>
      <c r="B22" s="50">
        <v>5.24</v>
      </c>
      <c r="C22" s="50">
        <v>8.08</v>
      </c>
      <c r="D22" s="50">
        <v>13.98</v>
      </c>
      <c r="E22" s="50">
        <v>10.31</v>
      </c>
      <c r="F22" s="50">
        <v>14.96</v>
      </c>
      <c r="G22" s="50">
        <v>62.22</v>
      </c>
      <c r="H22" s="50">
        <v>25.32</v>
      </c>
      <c r="I22" s="50">
        <v>7.69</v>
      </c>
      <c r="J22" s="50">
        <v>0.71</v>
      </c>
      <c r="K22" s="50">
        <v>52.74</v>
      </c>
      <c r="L22" s="50">
        <v>30.89</v>
      </c>
      <c r="M22" s="50">
        <v>43.57</v>
      </c>
      <c r="N22" s="50">
        <v>422.6</v>
      </c>
      <c r="O22" s="50">
        <v>0</v>
      </c>
      <c r="P22" s="50">
        <v>0.62</v>
      </c>
      <c r="Q22" s="50">
        <v>4.9800000000000004</v>
      </c>
    </row>
    <row r="23" spans="1:17" customFormat="1">
      <c r="A23" s="49">
        <v>45607.625</v>
      </c>
      <c r="B23" s="50">
        <v>5.18</v>
      </c>
      <c r="C23" s="50">
        <v>8.09</v>
      </c>
      <c r="D23" s="50">
        <v>13.95</v>
      </c>
      <c r="E23" s="50">
        <v>11.12</v>
      </c>
      <c r="F23" s="50">
        <v>16.440000000000001</v>
      </c>
      <c r="G23" s="50">
        <v>56.8</v>
      </c>
      <c r="H23" s="50">
        <v>25.32</v>
      </c>
      <c r="I23" s="50">
        <v>6.99</v>
      </c>
      <c r="J23" s="50">
        <v>0.43</v>
      </c>
      <c r="K23" s="50">
        <v>139.83000000000001</v>
      </c>
      <c r="L23" s="50">
        <v>30.25</v>
      </c>
      <c r="M23" s="50">
        <v>43.16</v>
      </c>
      <c r="N23" s="50">
        <v>132.80000000000001</v>
      </c>
      <c r="O23" s="50">
        <v>0</v>
      </c>
      <c r="P23" s="50">
        <v>0.59</v>
      </c>
      <c r="Q23" s="50">
        <v>4.99</v>
      </c>
    </row>
    <row r="24" spans="1:17" customFormat="1">
      <c r="A24" s="49">
        <v>45607.666666666664</v>
      </c>
      <c r="B24" s="50">
        <v>5.19</v>
      </c>
      <c r="C24" s="50">
        <v>8.09</v>
      </c>
      <c r="D24" s="50">
        <v>13.95</v>
      </c>
      <c r="E24" s="50">
        <v>11.93</v>
      </c>
      <c r="F24" s="50">
        <v>15.59</v>
      </c>
      <c r="G24" s="50">
        <v>54.71</v>
      </c>
      <c r="H24" s="50">
        <v>21.95</v>
      </c>
      <c r="I24" s="50">
        <v>6.51</v>
      </c>
      <c r="J24" s="50">
        <v>0.68</v>
      </c>
      <c r="K24" s="50">
        <v>40.74</v>
      </c>
      <c r="L24" s="50">
        <v>30.01</v>
      </c>
      <c r="M24" s="50">
        <v>46.74</v>
      </c>
      <c r="N24" s="50">
        <v>91.6</v>
      </c>
      <c r="O24" s="50">
        <v>0</v>
      </c>
      <c r="P24" s="50">
        <v>0.57999999999999996</v>
      </c>
      <c r="Q24" s="50">
        <v>4.9800000000000004</v>
      </c>
    </row>
    <row r="25" spans="1:17" customFormat="1">
      <c r="A25" s="49">
        <v>45607.708333333336</v>
      </c>
      <c r="B25" s="50">
        <v>5.17</v>
      </c>
      <c r="C25" s="50">
        <v>8.11</v>
      </c>
      <c r="D25" s="50">
        <v>13.95</v>
      </c>
      <c r="E25" s="50">
        <v>11.18</v>
      </c>
      <c r="F25" s="50">
        <v>12.14</v>
      </c>
      <c r="G25" s="50">
        <v>56.65</v>
      </c>
      <c r="H25" s="50">
        <v>23.51</v>
      </c>
      <c r="I25" s="50">
        <v>6.33</v>
      </c>
      <c r="J25" s="50">
        <v>0.59</v>
      </c>
      <c r="K25" s="50">
        <v>70.14</v>
      </c>
      <c r="L25" s="50">
        <v>29.14</v>
      </c>
      <c r="M25" s="50">
        <v>50.28</v>
      </c>
      <c r="N25" s="50">
        <v>35.200000000000003</v>
      </c>
      <c r="O25" s="50">
        <v>0</v>
      </c>
      <c r="P25" s="50">
        <v>0.61</v>
      </c>
      <c r="Q25" s="50">
        <v>4.9800000000000004</v>
      </c>
    </row>
    <row r="26" spans="1:17" customFormat="1">
      <c r="A26" s="49">
        <v>45607.75</v>
      </c>
      <c r="B26" s="50">
        <v>5.2</v>
      </c>
      <c r="C26" s="50">
        <v>8.07</v>
      </c>
      <c r="D26" s="50">
        <v>13.95</v>
      </c>
      <c r="E26" s="50">
        <v>11.05</v>
      </c>
      <c r="F26" s="50">
        <v>9.27</v>
      </c>
      <c r="G26" s="50">
        <v>66.599999999999994</v>
      </c>
      <c r="H26" s="50">
        <v>23.51</v>
      </c>
      <c r="I26" s="50">
        <v>6.67</v>
      </c>
      <c r="J26" s="50">
        <v>0.37</v>
      </c>
      <c r="K26" s="50">
        <v>124.7</v>
      </c>
      <c r="L26" s="50">
        <v>27.72</v>
      </c>
      <c r="M26" s="50">
        <v>60.81</v>
      </c>
      <c r="N26" s="50">
        <v>3.7</v>
      </c>
      <c r="O26" s="50">
        <v>0</v>
      </c>
      <c r="P26" s="50">
        <v>0.64</v>
      </c>
      <c r="Q26" s="50">
        <v>4.99</v>
      </c>
    </row>
    <row r="27" spans="1:17" customFormat="1">
      <c r="A27" s="49">
        <v>45607.791666666664</v>
      </c>
      <c r="B27" s="50">
        <v>5.17</v>
      </c>
      <c r="C27" s="50">
        <v>8.08</v>
      </c>
      <c r="D27" s="50">
        <v>13.94</v>
      </c>
      <c r="E27" s="50">
        <v>10.19</v>
      </c>
      <c r="F27" s="50">
        <v>6.15</v>
      </c>
      <c r="G27" s="50">
        <v>86.29</v>
      </c>
      <c r="H27" s="50">
        <v>24.89</v>
      </c>
      <c r="I27" s="50">
        <v>7.15</v>
      </c>
      <c r="J27" s="50">
        <v>0.28999999999999998</v>
      </c>
      <c r="K27" s="50">
        <v>129.9</v>
      </c>
      <c r="L27" s="50">
        <v>26.02</v>
      </c>
      <c r="M27" s="50">
        <v>61.73</v>
      </c>
      <c r="N27" s="50">
        <v>1.8</v>
      </c>
      <c r="O27" s="50">
        <v>0</v>
      </c>
      <c r="P27" s="50">
        <v>0.65</v>
      </c>
      <c r="Q27" s="50">
        <v>4.99</v>
      </c>
    </row>
    <row r="28" spans="1:17" customFormat="1">
      <c r="A28" s="49">
        <v>45607.833333333336</v>
      </c>
      <c r="B28" s="50">
        <v>5.17</v>
      </c>
      <c r="C28" s="50">
        <v>8.08</v>
      </c>
      <c r="D28" s="50">
        <v>13.92</v>
      </c>
      <c r="E28" s="50">
        <v>10.61</v>
      </c>
      <c r="F28" s="50">
        <v>6.2</v>
      </c>
      <c r="G28" s="50">
        <v>102.45</v>
      </c>
      <c r="H28" s="50">
        <v>26.18</v>
      </c>
      <c r="I28" s="50">
        <v>7.68</v>
      </c>
      <c r="J28" s="50">
        <v>0.19</v>
      </c>
      <c r="K28" s="50">
        <v>155.44</v>
      </c>
      <c r="L28" s="50">
        <v>25.36</v>
      </c>
      <c r="M28" s="50">
        <v>66.23</v>
      </c>
      <c r="N28" s="50">
        <v>1.8</v>
      </c>
      <c r="O28" s="50">
        <v>0</v>
      </c>
      <c r="P28" s="50">
        <v>0.7</v>
      </c>
      <c r="Q28" s="50">
        <v>4.99</v>
      </c>
    </row>
    <row r="29" spans="1:17" customFormat="1">
      <c r="A29" s="49">
        <v>45607.875</v>
      </c>
      <c r="B29" s="50">
        <v>5.19</v>
      </c>
      <c r="C29" s="50">
        <v>8.07</v>
      </c>
      <c r="D29" s="50">
        <v>13.95</v>
      </c>
      <c r="E29" s="50">
        <v>11.17</v>
      </c>
      <c r="F29" s="50">
        <v>6.01</v>
      </c>
      <c r="G29" s="50">
        <v>102.45</v>
      </c>
      <c r="H29" s="50">
        <v>26.18</v>
      </c>
      <c r="I29" s="50">
        <v>8.15</v>
      </c>
      <c r="J29" s="50">
        <v>0.24</v>
      </c>
      <c r="K29" s="50">
        <v>109.68</v>
      </c>
      <c r="L29" s="50">
        <v>24.48</v>
      </c>
      <c r="M29" s="50">
        <v>68.209999999999994</v>
      </c>
      <c r="N29" s="50">
        <v>1.6</v>
      </c>
      <c r="O29" s="50">
        <v>0</v>
      </c>
      <c r="P29" s="50">
        <v>0.72</v>
      </c>
      <c r="Q29" s="50">
        <v>4.9800000000000004</v>
      </c>
    </row>
    <row r="30" spans="1:17" customFormat="1">
      <c r="A30" s="49">
        <v>45607.916666666664</v>
      </c>
      <c r="B30" s="50">
        <v>5.22</v>
      </c>
      <c r="C30" s="50">
        <v>8.09</v>
      </c>
      <c r="D30" s="50">
        <v>13.97</v>
      </c>
      <c r="E30" s="50">
        <v>10.94</v>
      </c>
      <c r="F30" s="50">
        <v>5.81</v>
      </c>
      <c r="G30" s="50">
        <v>94.68</v>
      </c>
      <c r="H30" s="50">
        <v>24.49</v>
      </c>
      <c r="I30" s="50">
        <v>8.33</v>
      </c>
      <c r="J30" s="50">
        <v>0.12</v>
      </c>
      <c r="K30" s="50">
        <v>186.01</v>
      </c>
      <c r="L30" s="50">
        <v>23.87</v>
      </c>
      <c r="M30" s="50">
        <v>75.61</v>
      </c>
      <c r="N30" s="50">
        <v>1.8</v>
      </c>
      <c r="O30" s="50">
        <v>0</v>
      </c>
      <c r="P30" s="50">
        <v>0.73</v>
      </c>
      <c r="Q30" s="50">
        <v>4.99</v>
      </c>
    </row>
    <row r="31" spans="1:17" customFormat="1">
      <c r="A31" s="49">
        <v>45607.958333333336</v>
      </c>
      <c r="B31" s="50">
        <v>5.23</v>
      </c>
      <c r="C31" s="50">
        <v>8.06</v>
      </c>
      <c r="D31" s="50">
        <v>13.97</v>
      </c>
      <c r="E31" s="50">
        <v>10.63</v>
      </c>
      <c r="F31" s="50">
        <v>5.81</v>
      </c>
      <c r="G31" s="50">
        <v>87.19</v>
      </c>
      <c r="H31" s="50">
        <v>26.73</v>
      </c>
      <c r="I31" s="50">
        <v>8.4600000000000009</v>
      </c>
      <c r="J31" s="50">
        <v>0.13</v>
      </c>
      <c r="K31" s="50">
        <v>198.15</v>
      </c>
      <c r="L31" s="50">
        <v>22.85</v>
      </c>
      <c r="M31" s="50">
        <v>79.78</v>
      </c>
      <c r="N31" s="50">
        <v>1.7</v>
      </c>
      <c r="O31" s="50">
        <v>0</v>
      </c>
      <c r="P31" s="50">
        <v>0.76</v>
      </c>
      <c r="Q31" s="50">
        <v>4.99</v>
      </c>
    </row>
    <row r="32" spans="1:17" customFormat="1">
      <c r="A32" s="49">
        <v>45608</v>
      </c>
      <c r="B32" s="50">
        <v>5.23</v>
      </c>
      <c r="C32" s="50">
        <v>8.07</v>
      </c>
      <c r="D32" s="50">
        <v>13.97</v>
      </c>
      <c r="E32" s="50">
        <v>9.65</v>
      </c>
      <c r="F32" s="50">
        <v>5.81</v>
      </c>
      <c r="G32" s="50">
        <v>80.38</v>
      </c>
      <c r="H32" s="50">
        <v>27.12</v>
      </c>
      <c r="I32" s="50">
        <v>8.4700000000000006</v>
      </c>
      <c r="J32" s="50">
        <v>0.18</v>
      </c>
      <c r="K32" s="50">
        <v>185.89</v>
      </c>
      <c r="L32" s="50">
        <v>22.1</v>
      </c>
      <c r="M32" s="50">
        <v>82.49</v>
      </c>
      <c r="N32" s="50">
        <v>1.6</v>
      </c>
      <c r="O32" s="50">
        <v>0</v>
      </c>
      <c r="P32" s="50">
        <v>0.75</v>
      </c>
      <c r="Q32" s="50">
        <v>4.99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5.17</v>
      </c>
      <c r="C34" s="40">
        <f t="shared" si="0"/>
        <v>8.06</v>
      </c>
      <c r="D34" s="40">
        <f t="shared" si="0"/>
        <v>13.92</v>
      </c>
      <c r="E34" s="40">
        <f t="shared" si="0"/>
        <v>8.99</v>
      </c>
      <c r="F34" s="40">
        <f t="shared" si="0"/>
        <v>5.7</v>
      </c>
      <c r="G34" s="40">
        <f t="shared" si="0"/>
        <v>54.71</v>
      </c>
      <c r="H34" s="40">
        <f t="shared" si="0"/>
        <v>21.95</v>
      </c>
      <c r="I34" s="40">
        <f t="shared" si="0"/>
        <v>6.33</v>
      </c>
      <c r="J34" s="40">
        <f t="shared" si="0"/>
        <v>0.12</v>
      </c>
      <c r="K34" s="40">
        <f t="shared" si="0"/>
        <v>40.74</v>
      </c>
      <c r="L34" s="40">
        <f t="shared" si="0"/>
        <v>21.51</v>
      </c>
      <c r="M34" s="40">
        <f t="shared" si="0"/>
        <v>43.16</v>
      </c>
      <c r="N34" s="40">
        <f t="shared" si="0"/>
        <v>1.6</v>
      </c>
      <c r="O34" s="40">
        <f t="shared" si="0"/>
        <v>0</v>
      </c>
      <c r="P34" s="40">
        <f t="shared" si="0"/>
        <v>0.57999999999999996</v>
      </c>
      <c r="Q34" s="40">
        <f t="shared" si="0"/>
        <v>4.3099999999999996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5.24</v>
      </c>
      <c r="C35" s="33">
        <f t="shared" si="1"/>
        <v>8.11</v>
      </c>
      <c r="D35" s="33">
        <f t="shared" si="1"/>
        <v>13.99</v>
      </c>
      <c r="E35" s="33">
        <f t="shared" si="1"/>
        <v>12.45</v>
      </c>
      <c r="F35" s="33">
        <f t="shared" si="1"/>
        <v>16.440000000000001</v>
      </c>
      <c r="G35" s="33">
        <f t="shared" si="1"/>
        <v>102.45</v>
      </c>
      <c r="H35" s="33">
        <f t="shared" si="1"/>
        <v>35.03</v>
      </c>
      <c r="I35" s="33">
        <f t="shared" si="1"/>
        <v>8.6</v>
      </c>
      <c r="J35" s="33">
        <f t="shared" si="1"/>
        <v>0.97</v>
      </c>
      <c r="K35" s="33">
        <f t="shared" si="1"/>
        <v>224.72</v>
      </c>
      <c r="L35" s="33">
        <f t="shared" si="1"/>
        <v>31.29</v>
      </c>
      <c r="M35" s="33">
        <f t="shared" si="1"/>
        <v>82.54</v>
      </c>
      <c r="N35" s="33">
        <f t="shared" si="1"/>
        <v>522.9</v>
      </c>
      <c r="O35" s="33">
        <f t="shared" si="1"/>
        <v>0</v>
      </c>
      <c r="P35" s="33">
        <f t="shared" si="1"/>
        <v>0.76</v>
      </c>
      <c r="Q35" s="33">
        <f t="shared" si="1"/>
        <v>4.99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5.199583333333333</v>
      </c>
      <c r="C36" s="40">
        <f t="shared" si="2"/>
        <v>8.0875000000000004</v>
      </c>
      <c r="D36" s="40">
        <f t="shared" si="2"/>
        <v>13.955000000000004</v>
      </c>
      <c r="E36" s="40">
        <f t="shared" si="2"/>
        <v>10.410833333333334</v>
      </c>
      <c r="F36" s="40">
        <f t="shared" si="2"/>
        <v>8.3129166666666663</v>
      </c>
      <c r="G36" s="40">
        <f t="shared" si="2"/>
        <v>77.613333333333344</v>
      </c>
      <c r="H36" s="40">
        <f t="shared" si="2"/>
        <v>27.284583333333327</v>
      </c>
      <c r="I36" s="40">
        <f t="shared" si="2"/>
        <v>7.8558333333333357</v>
      </c>
      <c r="J36" s="40">
        <f t="shared" si="2"/>
        <v>0.48416666666666647</v>
      </c>
      <c r="K36" s="40">
        <f t="shared" si="2"/>
        <v>100.81500000000001</v>
      </c>
      <c r="L36" s="40">
        <f t="shared" si="2"/>
        <v>25.856666666666669</v>
      </c>
      <c r="M36" s="40">
        <f t="shared" si="2"/>
        <v>65.78458333333333</v>
      </c>
      <c r="N36" s="40">
        <f t="shared" si="2"/>
        <v>120.70416666666665</v>
      </c>
      <c r="O36" s="40">
        <f t="shared" si="2"/>
        <v>0</v>
      </c>
      <c r="P36" s="40">
        <f t="shared" si="2"/>
        <v>0.67499999999999993</v>
      </c>
      <c r="Q36" s="40">
        <f t="shared" si="2"/>
        <v>4.6504166666666658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2.2742254613989817E-2</v>
      </c>
      <c r="C37" s="40">
        <f t="shared" ref="C37:Q37" si="3">STDEV(C9:C32)</f>
        <v>1.4218787326754335E-2</v>
      </c>
      <c r="D37" s="40">
        <f t="shared" si="3"/>
        <v>2.0216222500109366E-2</v>
      </c>
      <c r="E37" s="40">
        <f t="shared" si="3"/>
        <v>0.93002999795782482</v>
      </c>
      <c r="F37" s="40">
        <f t="shared" si="3"/>
        <v>3.8278084082337438</v>
      </c>
      <c r="G37" s="40">
        <f t="shared" si="3"/>
        <v>13.278045844523746</v>
      </c>
      <c r="H37" s="40">
        <f t="shared" si="3"/>
        <v>3.0718270716255507</v>
      </c>
      <c r="I37" s="40">
        <f t="shared" si="3"/>
        <v>0.6745105579259606</v>
      </c>
      <c r="J37" s="40">
        <f t="shared" si="3"/>
        <v>0.24606320620782693</v>
      </c>
      <c r="K37" s="40">
        <f t="shared" si="3"/>
        <v>59.716822041888726</v>
      </c>
      <c r="L37" s="40">
        <f t="shared" si="3"/>
        <v>3.3004751524415301</v>
      </c>
      <c r="M37" s="40">
        <f t="shared" si="3"/>
        <v>13.374087853225632</v>
      </c>
      <c r="N37" s="40">
        <f t="shared" si="3"/>
        <v>184.22395746379783</v>
      </c>
      <c r="O37" s="40">
        <f t="shared" si="3"/>
        <v>0</v>
      </c>
      <c r="P37" s="40">
        <f t="shared" si="3"/>
        <v>4.6904157598233978E-2</v>
      </c>
      <c r="Q37" s="40">
        <f t="shared" si="3"/>
        <v>0.3363290206701432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45608.041666666664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45608.041666666664</v>
      </c>
      <c r="B9" s="50">
        <v>5.28</v>
      </c>
      <c r="C9" s="50">
        <v>8.06</v>
      </c>
      <c r="D9" s="50">
        <v>14</v>
      </c>
      <c r="E9" s="50">
        <v>9.3699999999999992</v>
      </c>
      <c r="F9" s="50">
        <v>5.68</v>
      </c>
      <c r="G9" s="50">
        <v>75.89</v>
      </c>
      <c r="H9" s="50">
        <v>27.84</v>
      </c>
      <c r="I9" s="50">
        <v>8.39</v>
      </c>
      <c r="J9" s="50">
        <v>0.14000000000000001</v>
      </c>
      <c r="K9" s="50">
        <v>191.97</v>
      </c>
      <c r="L9" s="50">
        <v>21.65</v>
      </c>
      <c r="M9" s="50">
        <v>84.56</v>
      </c>
      <c r="N9" s="50">
        <v>1.5</v>
      </c>
      <c r="O9" s="50">
        <v>0</v>
      </c>
      <c r="P9" s="50">
        <v>0.74</v>
      </c>
      <c r="Q9" s="50">
        <v>4.99</v>
      </c>
    </row>
    <row r="10" spans="1:21" customFormat="1">
      <c r="A10" s="49">
        <v>45608.083333333336</v>
      </c>
      <c r="B10" s="50">
        <v>5.26</v>
      </c>
      <c r="C10" s="50">
        <v>8.09</v>
      </c>
      <c r="D10" s="50">
        <v>14.01</v>
      </c>
      <c r="E10" s="50">
        <v>9.42</v>
      </c>
      <c r="F10" s="50">
        <v>5.83</v>
      </c>
      <c r="G10" s="50">
        <v>70.69</v>
      </c>
      <c r="H10" s="50">
        <v>27.84</v>
      </c>
      <c r="I10" s="50">
        <v>8.15</v>
      </c>
      <c r="J10" s="50">
        <v>0.17</v>
      </c>
      <c r="K10" s="50">
        <v>207.45</v>
      </c>
      <c r="L10" s="50">
        <v>21.03</v>
      </c>
      <c r="M10" s="50">
        <v>90.18</v>
      </c>
      <c r="N10" s="50">
        <v>1.5</v>
      </c>
      <c r="O10" s="50">
        <v>0</v>
      </c>
      <c r="P10" s="50">
        <v>0.72</v>
      </c>
      <c r="Q10" s="50">
        <v>5</v>
      </c>
    </row>
    <row r="11" spans="1:21" customFormat="1">
      <c r="A11" s="49">
        <v>45608.125</v>
      </c>
      <c r="B11" s="50">
        <v>5.26</v>
      </c>
      <c r="C11" s="50">
        <v>8.11</v>
      </c>
      <c r="D11" s="50">
        <v>14.02</v>
      </c>
      <c r="E11" s="50">
        <v>9.5500000000000007</v>
      </c>
      <c r="F11" s="50">
        <v>5.81</v>
      </c>
      <c r="G11" s="50">
        <v>64.900000000000006</v>
      </c>
      <c r="H11" s="50">
        <v>26.8</v>
      </c>
      <c r="I11" s="50">
        <v>7.86</v>
      </c>
      <c r="J11" s="50">
        <v>0.13</v>
      </c>
      <c r="K11" s="50">
        <v>221.06</v>
      </c>
      <c r="L11" s="50">
        <v>20.41</v>
      </c>
      <c r="M11" s="50">
        <v>89.84</v>
      </c>
      <c r="N11" s="50">
        <v>1.5</v>
      </c>
      <c r="O11" s="50">
        <v>0</v>
      </c>
      <c r="P11" s="50">
        <v>0.69</v>
      </c>
      <c r="Q11" s="50">
        <v>4.99</v>
      </c>
    </row>
    <row r="12" spans="1:21" customFormat="1">
      <c r="A12" s="49">
        <v>45608.166666666664</v>
      </c>
      <c r="B12" s="50">
        <v>5.25</v>
      </c>
      <c r="C12" s="50">
        <v>8.08</v>
      </c>
      <c r="D12" s="50">
        <v>13.99</v>
      </c>
      <c r="E12" s="50">
        <v>9.7100000000000009</v>
      </c>
      <c r="F12" s="50">
        <v>5.77</v>
      </c>
      <c r="G12" s="50">
        <v>60.97</v>
      </c>
      <c r="H12" s="50">
        <v>24.09</v>
      </c>
      <c r="I12" s="50">
        <v>7.69</v>
      </c>
      <c r="J12" s="50">
        <v>0.15</v>
      </c>
      <c r="K12" s="50">
        <v>320.62</v>
      </c>
      <c r="L12" s="50">
        <v>20.28</v>
      </c>
      <c r="M12" s="50">
        <v>86.26</v>
      </c>
      <c r="N12" s="50">
        <v>1.4</v>
      </c>
      <c r="O12" s="50">
        <v>0</v>
      </c>
      <c r="P12" s="50">
        <v>0.67</v>
      </c>
      <c r="Q12" s="50">
        <v>4.99</v>
      </c>
    </row>
    <row r="13" spans="1:21" customFormat="1">
      <c r="A13" s="49">
        <v>45608.208333333336</v>
      </c>
      <c r="B13" s="50">
        <v>5.27</v>
      </c>
      <c r="C13" s="50">
        <v>8.07</v>
      </c>
      <c r="D13" s="50">
        <v>14.01</v>
      </c>
      <c r="E13" s="50">
        <v>9.77</v>
      </c>
      <c r="F13" s="50">
        <v>5.77</v>
      </c>
      <c r="G13" s="50">
        <v>72.86</v>
      </c>
      <c r="H13" s="50">
        <v>26.78</v>
      </c>
      <c r="I13" s="50">
        <v>7.95</v>
      </c>
      <c r="J13" s="50">
        <v>0.27</v>
      </c>
      <c r="K13" s="50">
        <v>41.23</v>
      </c>
      <c r="L13" s="50">
        <v>20.22</v>
      </c>
      <c r="M13" s="50">
        <v>85.56</v>
      </c>
      <c r="N13" s="50">
        <v>1.4</v>
      </c>
      <c r="O13" s="50">
        <v>0</v>
      </c>
      <c r="P13" s="50">
        <v>0.69</v>
      </c>
      <c r="Q13" s="50">
        <v>4.9800000000000004</v>
      </c>
    </row>
    <row r="14" spans="1:21" customFormat="1">
      <c r="A14" s="49">
        <v>45608.25</v>
      </c>
      <c r="B14" s="50">
        <v>5.27</v>
      </c>
      <c r="C14" s="50">
        <v>8.11</v>
      </c>
      <c r="D14" s="50">
        <v>14.03</v>
      </c>
      <c r="E14" s="50">
        <v>9.85</v>
      </c>
      <c r="F14" s="50">
        <v>5.74</v>
      </c>
      <c r="G14" s="50">
        <v>86.2</v>
      </c>
      <c r="H14" s="50">
        <v>28.57</v>
      </c>
      <c r="I14" s="50">
        <v>8.26</v>
      </c>
      <c r="J14" s="50">
        <v>0.24</v>
      </c>
      <c r="K14" s="50">
        <v>176.27</v>
      </c>
      <c r="L14" s="50">
        <v>20.07</v>
      </c>
      <c r="M14" s="50">
        <v>88.15</v>
      </c>
      <c r="N14" s="50">
        <v>2.4</v>
      </c>
      <c r="O14" s="50">
        <v>0</v>
      </c>
      <c r="P14" s="50">
        <v>0.72</v>
      </c>
      <c r="Q14" s="50">
        <v>4.9800000000000004</v>
      </c>
    </row>
    <row r="15" spans="1:21" customFormat="1">
      <c r="A15" s="49">
        <v>45608.291666666664</v>
      </c>
      <c r="B15" s="50">
        <v>5.27</v>
      </c>
      <c r="C15" s="50">
        <v>8.07</v>
      </c>
      <c r="D15" s="50">
        <v>14</v>
      </c>
      <c r="E15" s="50">
        <v>10.17</v>
      </c>
      <c r="F15" s="50">
        <v>5.78</v>
      </c>
      <c r="G15" s="50">
        <v>87.46</v>
      </c>
      <c r="H15" s="50">
        <v>30.71</v>
      </c>
      <c r="I15" s="50">
        <v>8.61</v>
      </c>
      <c r="J15" s="50">
        <v>0.49</v>
      </c>
      <c r="K15" s="50">
        <v>332.9</v>
      </c>
      <c r="L15" s="50">
        <v>20.149999999999999</v>
      </c>
      <c r="M15" s="50">
        <v>90.51</v>
      </c>
      <c r="N15" s="50">
        <v>40.5</v>
      </c>
      <c r="O15" s="50">
        <v>0</v>
      </c>
      <c r="P15" s="50">
        <v>0.75</v>
      </c>
      <c r="Q15" s="50">
        <v>4.99</v>
      </c>
    </row>
    <row r="16" spans="1:21" customFormat="1">
      <c r="A16" s="49">
        <v>45608.333333333336</v>
      </c>
      <c r="B16" s="50">
        <v>5.27</v>
      </c>
      <c r="C16" s="50">
        <v>8.11</v>
      </c>
      <c r="D16" s="50">
        <v>14.02</v>
      </c>
      <c r="E16" s="50">
        <v>10.06</v>
      </c>
      <c r="F16" s="50">
        <v>5.74</v>
      </c>
      <c r="G16" s="50">
        <v>97.51</v>
      </c>
      <c r="H16" s="50">
        <v>34.35</v>
      </c>
      <c r="I16" s="50">
        <v>9.4</v>
      </c>
      <c r="J16" s="50">
        <v>0.68</v>
      </c>
      <c r="K16" s="50">
        <v>45.74</v>
      </c>
      <c r="L16" s="50">
        <v>22.39</v>
      </c>
      <c r="M16" s="50">
        <v>83.34</v>
      </c>
      <c r="N16" s="50">
        <v>197.8</v>
      </c>
      <c r="O16" s="50">
        <v>0</v>
      </c>
      <c r="P16" s="50">
        <v>0.79</v>
      </c>
      <c r="Q16" s="50">
        <v>4.99</v>
      </c>
    </row>
    <row r="17" spans="1:17" customFormat="1">
      <c r="A17" s="49">
        <v>45608.375</v>
      </c>
      <c r="B17" s="50">
        <v>5.28</v>
      </c>
      <c r="C17" s="50">
        <v>8.08</v>
      </c>
      <c r="D17" s="50">
        <v>14.01</v>
      </c>
      <c r="E17" s="50">
        <v>9.8699999999999992</v>
      </c>
      <c r="F17" s="50">
        <v>6.03</v>
      </c>
      <c r="G17" s="50">
        <v>97.51</v>
      </c>
      <c r="H17" s="50">
        <v>35.450000000000003</v>
      </c>
      <c r="I17" s="50">
        <v>10.14</v>
      </c>
      <c r="J17" s="50">
        <v>1.08</v>
      </c>
      <c r="K17" s="50">
        <v>47.61</v>
      </c>
      <c r="L17" s="50">
        <v>25.36</v>
      </c>
      <c r="M17" s="50">
        <v>69.87</v>
      </c>
      <c r="N17" s="50">
        <v>295.2</v>
      </c>
      <c r="O17" s="50">
        <v>0</v>
      </c>
      <c r="P17" s="50">
        <v>0.83</v>
      </c>
      <c r="Q17" s="50">
        <v>4.99</v>
      </c>
    </row>
    <row r="18" spans="1:17" customFormat="1">
      <c r="A18" s="49">
        <v>45608.416666666664</v>
      </c>
      <c r="B18" s="50">
        <v>5.25</v>
      </c>
      <c r="C18" s="50">
        <v>8.1</v>
      </c>
      <c r="D18" s="50">
        <v>14.01</v>
      </c>
      <c r="E18" s="50">
        <v>9.32</v>
      </c>
      <c r="F18" s="50">
        <v>6.65</v>
      </c>
      <c r="G18" s="50">
        <v>94.87</v>
      </c>
      <c r="H18" s="50">
        <v>35.450000000000003</v>
      </c>
      <c r="I18" s="50">
        <v>10.28</v>
      </c>
      <c r="J18" s="50">
        <v>1.01</v>
      </c>
      <c r="K18" s="50">
        <v>57.08</v>
      </c>
      <c r="L18" s="50">
        <v>27.72</v>
      </c>
      <c r="M18" s="50">
        <v>60.18</v>
      </c>
      <c r="N18" s="50">
        <v>468</v>
      </c>
      <c r="O18" s="50">
        <v>0</v>
      </c>
      <c r="P18" s="50">
        <v>0.82</v>
      </c>
      <c r="Q18" s="50">
        <v>4.99</v>
      </c>
    </row>
    <row r="19" spans="1:17" customFormat="1">
      <c r="A19" s="49">
        <v>45608.458333333336</v>
      </c>
      <c r="B19" s="50">
        <v>5.26</v>
      </c>
      <c r="C19" s="50">
        <v>8.09</v>
      </c>
      <c r="D19" s="50">
        <v>13.99</v>
      </c>
      <c r="E19" s="50">
        <v>9.16</v>
      </c>
      <c r="F19" s="50">
        <v>8.5</v>
      </c>
      <c r="G19" s="50">
        <v>94.21</v>
      </c>
      <c r="H19" s="50">
        <v>37.200000000000003</v>
      </c>
      <c r="I19" s="50">
        <v>10.08</v>
      </c>
      <c r="J19" s="50">
        <v>0.61</v>
      </c>
      <c r="K19" s="50">
        <v>59.68</v>
      </c>
      <c r="L19" s="50">
        <v>29.93</v>
      </c>
      <c r="M19" s="50">
        <v>52.8</v>
      </c>
      <c r="N19" s="50">
        <v>594.29999999999995</v>
      </c>
      <c r="O19" s="50">
        <v>0</v>
      </c>
      <c r="P19" s="50">
        <v>0.81</v>
      </c>
      <c r="Q19" s="50">
        <v>5</v>
      </c>
    </row>
    <row r="20" spans="1:17" customFormat="1">
      <c r="A20" s="49">
        <v>45608.5</v>
      </c>
      <c r="B20" s="50">
        <v>5.27</v>
      </c>
      <c r="C20" s="50">
        <v>8.07</v>
      </c>
      <c r="D20" s="50">
        <v>14.01</v>
      </c>
      <c r="E20" s="50">
        <v>9.51</v>
      </c>
      <c r="F20" s="50">
        <v>9.91</v>
      </c>
      <c r="G20" s="50">
        <v>91.62</v>
      </c>
      <c r="H20" s="50">
        <v>37.200000000000003</v>
      </c>
      <c r="I20" s="50">
        <v>9.52</v>
      </c>
      <c r="J20" s="50">
        <v>0.66</v>
      </c>
      <c r="K20" s="50">
        <v>59.2</v>
      </c>
      <c r="L20" s="50">
        <v>30.58</v>
      </c>
      <c r="M20" s="50">
        <v>38.130000000000003</v>
      </c>
      <c r="N20" s="50">
        <v>582.1</v>
      </c>
      <c r="O20" s="50">
        <v>0</v>
      </c>
      <c r="P20" s="50">
        <v>0.75</v>
      </c>
      <c r="Q20" s="50">
        <v>4.99</v>
      </c>
    </row>
    <row r="21" spans="1:17" customFormat="1">
      <c r="A21" s="49">
        <v>45608.541666666664</v>
      </c>
      <c r="B21" s="50">
        <v>5.29</v>
      </c>
      <c r="C21" s="50">
        <v>8.09</v>
      </c>
      <c r="D21" s="50">
        <v>14.03</v>
      </c>
      <c r="E21" s="50">
        <v>10.26</v>
      </c>
      <c r="F21" s="50">
        <v>11.26</v>
      </c>
      <c r="G21" s="50">
        <v>73.900000000000006</v>
      </c>
      <c r="H21" s="50">
        <v>32.4</v>
      </c>
      <c r="I21" s="50">
        <v>8.74</v>
      </c>
      <c r="J21" s="50">
        <v>0.87</v>
      </c>
      <c r="K21" s="50">
        <v>57.05</v>
      </c>
      <c r="L21" s="50">
        <v>30.96</v>
      </c>
      <c r="M21" s="50">
        <v>36.53</v>
      </c>
      <c r="N21" s="50">
        <v>563.79999999999995</v>
      </c>
      <c r="O21" s="50">
        <v>0</v>
      </c>
      <c r="P21" s="50">
        <v>0.69</v>
      </c>
      <c r="Q21" s="50">
        <v>4.99</v>
      </c>
    </row>
    <row r="22" spans="1:17" customFormat="1">
      <c r="A22" s="49">
        <v>45608.583333333336</v>
      </c>
      <c r="B22" s="50">
        <v>5.29</v>
      </c>
      <c r="C22" s="50">
        <v>8.09</v>
      </c>
      <c r="D22" s="50">
        <v>14.02</v>
      </c>
      <c r="E22" s="50">
        <v>11.04</v>
      </c>
      <c r="F22" s="50">
        <v>13.77</v>
      </c>
      <c r="G22" s="50">
        <v>63.07</v>
      </c>
      <c r="H22" s="50">
        <v>32.090000000000003</v>
      </c>
      <c r="I22" s="50">
        <v>8.11</v>
      </c>
      <c r="J22" s="50">
        <v>0.45</v>
      </c>
      <c r="K22" s="50">
        <v>355.88</v>
      </c>
      <c r="L22" s="50">
        <v>31.15</v>
      </c>
      <c r="M22" s="50">
        <v>33.21</v>
      </c>
      <c r="N22" s="50">
        <v>517.79999999999995</v>
      </c>
      <c r="O22" s="50">
        <v>0</v>
      </c>
      <c r="P22" s="50">
        <v>0.64</v>
      </c>
      <c r="Q22" s="50">
        <v>4.99</v>
      </c>
    </row>
    <row r="23" spans="1:17" customFormat="1">
      <c r="A23" s="49">
        <v>45608.625</v>
      </c>
      <c r="B23" s="50">
        <v>5.24</v>
      </c>
      <c r="C23" s="50">
        <v>8.11</v>
      </c>
      <c r="D23" s="50">
        <v>14</v>
      </c>
      <c r="E23" s="50">
        <v>13.24</v>
      </c>
      <c r="F23" s="50">
        <v>24.31</v>
      </c>
      <c r="G23" s="50">
        <v>55.94</v>
      </c>
      <c r="H23" s="50">
        <v>28.22</v>
      </c>
      <c r="I23" s="50">
        <v>7.69</v>
      </c>
      <c r="J23" s="50">
        <v>0.47</v>
      </c>
      <c r="K23" s="50">
        <v>337.39</v>
      </c>
      <c r="L23" s="50">
        <v>30.38</v>
      </c>
      <c r="M23" s="50">
        <v>34.090000000000003</v>
      </c>
      <c r="N23" s="50">
        <v>108.5</v>
      </c>
      <c r="O23" s="50">
        <v>0</v>
      </c>
      <c r="P23" s="50">
        <v>0.54</v>
      </c>
      <c r="Q23" s="50">
        <v>4.99</v>
      </c>
    </row>
    <row r="24" spans="1:17" customFormat="1">
      <c r="A24" s="49">
        <v>45608.666666666664</v>
      </c>
      <c r="B24" s="50">
        <v>5.25</v>
      </c>
      <c r="C24" s="50">
        <v>8.06</v>
      </c>
      <c r="D24" s="50">
        <v>13.99</v>
      </c>
      <c r="E24" s="50">
        <v>14.18</v>
      </c>
      <c r="F24" s="50">
        <v>17.760000000000002</v>
      </c>
      <c r="G24" s="50">
        <v>49.04</v>
      </c>
      <c r="H24" s="50">
        <v>26.43</v>
      </c>
      <c r="I24" s="50">
        <v>7.08</v>
      </c>
      <c r="J24" s="50">
        <v>0.68</v>
      </c>
      <c r="K24" s="50">
        <v>47.51</v>
      </c>
      <c r="L24" s="50">
        <v>29.95</v>
      </c>
      <c r="M24" s="50">
        <v>34.1</v>
      </c>
      <c r="N24" s="50">
        <v>64.099999999999994</v>
      </c>
      <c r="O24" s="50">
        <v>0</v>
      </c>
      <c r="P24" s="50">
        <v>0.56000000000000005</v>
      </c>
      <c r="Q24" s="50">
        <v>5</v>
      </c>
    </row>
    <row r="25" spans="1:17" customFormat="1">
      <c r="A25" s="49">
        <v>45608.708333333336</v>
      </c>
      <c r="B25" s="50">
        <v>5.24</v>
      </c>
      <c r="C25" s="50">
        <v>8.1</v>
      </c>
      <c r="D25" s="50">
        <v>14</v>
      </c>
      <c r="E25" s="50">
        <v>13.72</v>
      </c>
      <c r="F25" s="50">
        <v>15.33</v>
      </c>
      <c r="G25" s="50">
        <v>53.27</v>
      </c>
      <c r="H25" s="50">
        <v>25.78</v>
      </c>
      <c r="I25" s="50">
        <v>7.04</v>
      </c>
      <c r="J25" s="50">
        <v>0.41</v>
      </c>
      <c r="K25" s="50">
        <v>91.53</v>
      </c>
      <c r="L25" s="50">
        <v>29.37</v>
      </c>
      <c r="M25" s="50">
        <v>43.34</v>
      </c>
      <c r="N25" s="50">
        <v>30.4</v>
      </c>
      <c r="O25" s="50">
        <v>0</v>
      </c>
      <c r="P25" s="50">
        <v>0.59</v>
      </c>
      <c r="Q25" s="50">
        <v>4.97</v>
      </c>
    </row>
    <row r="26" spans="1:17" customFormat="1">
      <c r="A26" s="49">
        <v>45608.75</v>
      </c>
      <c r="B26" s="50">
        <v>5.26</v>
      </c>
      <c r="C26" s="50">
        <v>8.08</v>
      </c>
      <c r="D26" s="50">
        <v>14.01</v>
      </c>
      <c r="E26" s="50">
        <v>11.87</v>
      </c>
      <c r="F26" s="50">
        <v>9.4600000000000009</v>
      </c>
      <c r="G26" s="50">
        <v>66.27</v>
      </c>
      <c r="H26" s="50">
        <v>25.85</v>
      </c>
      <c r="I26" s="50">
        <v>7.32</v>
      </c>
      <c r="J26" s="50">
        <v>0.54</v>
      </c>
      <c r="K26" s="50">
        <v>52.53</v>
      </c>
      <c r="L26" s="50">
        <v>27.54</v>
      </c>
      <c r="M26" s="50">
        <v>49.55</v>
      </c>
      <c r="N26" s="50">
        <v>3.5</v>
      </c>
      <c r="O26" s="50">
        <v>0</v>
      </c>
      <c r="P26" s="50">
        <v>0.63</v>
      </c>
      <c r="Q26" s="50">
        <v>4.9800000000000004</v>
      </c>
    </row>
    <row r="27" spans="1:17" customFormat="1">
      <c r="A27" s="49">
        <v>45608.791666666664</v>
      </c>
      <c r="B27" s="50">
        <v>5.29</v>
      </c>
      <c r="C27" s="50">
        <v>8.07</v>
      </c>
      <c r="D27" s="50">
        <v>14.03</v>
      </c>
      <c r="E27" s="50">
        <v>11.34</v>
      </c>
      <c r="F27" s="50">
        <v>6.57</v>
      </c>
      <c r="G27" s="50">
        <v>85.34</v>
      </c>
      <c r="H27" s="50">
        <v>32.1</v>
      </c>
      <c r="I27" s="50">
        <v>7.77</v>
      </c>
      <c r="J27" s="50">
        <v>0.36</v>
      </c>
      <c r="K27" s="50">
        <v>58.83</v>
      </c>
      <c r="L27" s="50">
        <v>26.26</v>
      </c>
      <c r="M27" s="50">
        <v>54.3</v>
      </c>
      <c r="N27" s="50">
        <v>1.8</v>
      </c>
      <c r="O27" s="50">
        <v>0</v>
      </c>
      <c r="P27" s="50">
        <v>1</v>
      </c>
      <c r="Q27" s="50">
        <v>4.9800000000000004</v>
      </c>
    </row>
    <row r="28" spans="1:17" customFormat="1">
      <c r="A28" s="49">
        <v>45608.833333333336</v>
      </c>
      <c r="B28" s="50">
        <v>5.3</v>
      </c>
      <c r="C28" s="50">
        <v>8.07</v>
      </c>
      <c r="D28" s="50">
        <v>14.03</v>
      </c>
      <c r="E28" s="50">
        <v>11.71</v>
      </c>
      <c r="F28" s="50">
        <v>6.28</v>
      </c>
      <c r="G28" s="50">
        <v>112.34</v>
      </c>
      <c r="H28" s="50">
        <v>37.68</v>
      </c>
      <c r="I28" s="50">
        <v>8.52</v>
      </c>
      <c r="J28" s="50">
        <v>0.38</v>
      </c>
      <c r="K28" s="50">
        <v>156.31</v>
      </c>
      <c r="L28" s="50">
        <v>25.4</v>
      </c>
      <c r="M28" s="50">
        <v>66.989999999999995</v>
      </c>
      <c r="N28" s="50">
        <v>2.1</v>
      </c>
      <c r="O28" s="50">
        <v>0</v>
      </c>
      <c r="P28" s="50">
        <v>1.1200000000000001</v>
      </c>
      <c r="Q28" s="50">
        <v>4.99</v>
      </c>
    </row>
    <row r="29" spans="1:17" customFormat="1">
      <c r="A29" s="49">
        <v>45608.875</v>
      </c>
      <c r="B29" s="50">
        <v>5.28</v>
      </c>
      <c r="C29" s="50">
        <v>8.1</v>
      </c>
      <c r="D29" s="50">
        <v>14.03</v>
      </c>
      <c r="E29" s="50">
        <v>10.8</v>
      </c>
      <c r="F29" s="50">
        <v>5.81</v>
      </c>
      <c r="G29" s="50">
        <v>141.88999999999999</v>
      </c>
      <c r="H29" s="50">
        <v>49.73</v>
      </c>
      <c r="I29" s="50">
        <v>9.2899999999999991</v>
      </c>
      <c r="J29" s="50">
        <v>0.19</v>
      </c>
      <c r="K29" s="50">
        <v>177.45</v>
      </c>
      <c r="L29" s="50">
        <v>23.9</v>
      </c>
      <c r="M29" s="50">
        <v>70.36</v>
      </c>
      <c r="N29" s="50">
        <v>1.7</v>
      </c>
      <c r="O29" s="50">
        <v>0</v>
      </c>
      <c r="P29" s="50">
        <v>1.18</v>
      </c>
      <c r="Q29" s="50">
        <v>4.9800000000000004</v>
      </c>
    </row>
    <row r="30" spans="1:17" customFormat="1">
      <c r="A30" s="49">
        <v>45608.916666666664</v>
      </c>
      <c r="B30" s="50">
        <v>5.27</v>
      </c>
      <c r="C30" s="50">
        <v>8.11</v>
      </c>
      <c r="D30" s="50">
        <v>14.02</v>
      </c>
      <c r="E30" s="50">
        <v>10.38</v>
      </c>
      <c r="F30" s="50">
        <v>5.86</v>
      </c>
      <c r="G30" s="50">
        <v>164</v>
      </c>
      <c r="H30" s="50">
        <v>62.56</v>
      </c>
      <c r="I30" s="50">
        <v>9.82</v>
      </c>
      <c r="J30" s="50">
        <v>0.22</v>
      </c>
      <c r="K30" s="50">
        <v>190.95</v>
      </c>
      <c r="L30" s="50">
        <v>22.86</v>
      </c>
      <c r="M30" s="50">
        <v>78.400000000000006</v>
      </c>
      <c r="N30" s="50">
        <v>2</v>
      </c>
      <c r="O30" s="50">
        <v>0</v>
      </c>
      <c r="P30" s="50">
        <v>1.1599999999999999</v>
      </c>
      <c r="Q30" s="50">
        <v>4.99</v>
      </c>
    </row>
    <row r="31" spans="1:17" customFormat="1">
      <c r="A31" s="49">
        <v>45608.958333333336</v>
      </c>
      <c r="B31" s="50">
        <v>5.26</v>
      </c>
      <c r="C31" s="50">
        <v>8.11</v>
      </c>
      <c r="D31" s="50">
        <v>14.01</v>
      </c>
      <c r="E31" s="50">
        <v>10.66</v>
      </c>
      <c r="F31" s="50">
        <v>6</v>
      </c>
      <c r="G31" s="50">
        <v>164</v>
      </c>
      <c r="H31" s="50">
        <v>62.56</v>
      </c>
      <c r="I31" s="50">
        <v>9.9</v>
      </c>
      <c r="J31" s="50">
        <v>0.25</v>
      </c>
      <c r="K31" s="50">
        <v>163.68</v>
      </c>
      <c r="L31" s="50">
        <v>22.8</v>
      </c>
      <c r="M31" s="50">
        <v>77.03</v>
      </c>
      <c r="N31" s="50">
        <v>1.4</v>
      </c>
      <c r="O31" s="50">
        <v>0</v>
      </c>
      <c r="P31" s="50">
        <v>1.1100000000000001</v>
      </c>
      <c r="Q31" s="50">
        <v>4.9800000000000004</v>
      </c>
    </row>
    <row r="32" spans="1:17" customFormat="1">
      <c r="A32" s="49">
        <v>45609</v>
      </c>
      <c r="B32" s="50">
        <v>5.28</v>
      </c>
      <c r="C32" s="50">
        <v>8.11</v>
      </c>
      <c r="D32" s="50">
        <v>14.02</v>
      </c>
      <c r="E32" s="50">
        <v>10.8</v>
      </c>
      <c r="F32" s="50">
        <v>5.87</v>
      </c>
      <c r="G32" s="50">
        <v>130.66999999999999</v>
      </c>
      <c r="H32" s="50">
        <v>59.23</v>
      </c>
      <c r="I32" s="50">
        <v>9.7200000000000006</v>
      </c>
      <c r="J32" s="50">
        <v>0.47</v>
      </c>
      <c r="K32" s="50">
        <v>52.24</v>
      </c>
      <c r="L32" s="50">
        <v>22.65</v>
      </c>
      <c r="M32" s="50">
        <v>69.66</v>
      </c>
      <c r="N32" s="50">
        <v>1.5</v>
      </c>
      <c r="O32" s="50">
        <v>0</v>
      </c>
      <c r="P32" s="50">
        <v>1.02</v>
      </c>
      <c r="Q32" s="50">
        <v>4.9800000000000004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5.24</v>
      </c>
      <c r="C34" s="40">
        <f t="shared" si="0"/>
        <v>8.06</v>
      </c>
      <c r="D34" s="40">
        <f t="shared" si="0"/>
        <v>13.99</v>
      </c>
      <c r="E34" s="40">
        <f t="shared" si="0"/>
        <v>9.16</v>
      </c>
      <c r="F34" s="40">
        <f t="shared" si="0"/>
        <v>5.68</v>
      </c>
      <c r="G34" s="40">
        <f t="shared" si="0"/>
        <v>49.04</v>
      </c>
      <c r="H34" s="40">
        <f t="shared" si="0"/>
        <v>24.09</v>
      </c>
      <c r="I34" s="40">
        <f t="shared" si="0"/>
        <v>7.04</v>
      </c>
      <c r="J34" s="40">
        <f t="shared" si="0"/>
        <v>0.13</v>
      </c>
      <c r="K34" s="40">
        <f t="shared" si="0"/>
        <v>41.23</v>
      </c>
      <c r="L34" s="40">
        <f t="shared" si="0"/>
        <v>20.07</v>
      </c>
      <c r="M34" s="40">
        <f t="shared" si="0"/>
        <v>33.21</v>
      </c>
      <c r="N34" s="40">
        <f t="shared" si="0"/>
        <v>1.4</v>
      </c>
      <c r="O34" s="40">
        <f t="shared" si="0"/>
        <v>0</v>
      </c>
      <c r="P34" s="40">
        <f t="shared" si="0"/>
        <v>0.54</v>
      </c>
      <c r="Q34" s="40">
        <f t="shared" si="0"/>
        <v>4.97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5.3</v>
      </c>
      <c r="C35" s="33">
        <f t="shared" si="1"/>
        <v>8.11</v>
      </c>
      <c r="D35" s="33">
        <f t="shared" si="1"/>
        <v>14.03</v>
      </c>
      <c r="E35" s="33">
        <f t="shared" si="1"/>
        <v>14.18</v>
      </c>
      <c r="F35" s="33">
        <f t="shared" si="1"/>
        <v>24.31</v>
      </c>
      <c r="G35" s="33">
        <f t="shared" si="1"/>
        <v>164</v>
      </c>
      <c r="H35" s="33">
        <f t="shared" si="1"/>
        <v>62.56</v>
      </c>
      <c r="I35" s="33">
        <f t="shared" si="1"/>
        <v>10.28</v>
      </c>
      <c r="J35" s="33">
        <f t="shared" si="1"/>
        <v>1.08</v>
      </c>
      <c r="K35" s="33">
        <f t="shared" si="1"/>
        <v>355.88</v>
      </c>
      <c r="L35" s="33">
        <f t="shared" si="1"/>
        <v>31.15</v>
      </c>
      <c r="M35" s="33">
        <f t="shared" si="1"/>
        <v>90.51</v>
      </c>
      <c r="N35" s="33">
        <f t="shared" si="1"/>
        <v>594.29999999999995</v>
      </c>
      <c r="O35" s="33">
        <f t="shared" si="1"/>
        <v>0</v>
      </c>
      <c r="P35" s="33">
        <f t="shared" si="1"/>
        <v>1.18</v>
      </c>
      <c r="Q35" s="33">
        <f t="shared" si="1"/>
        <v>5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5.2683333333333335</v>
      </c>
      <c r="C36" s="40">
        <f t="shared" si="2"/>
        <v>8.0891666666666655</v>
      </c>
      <c r="D36" s="40">
        <f t="shared" si="2"/>
        <v>14.012083333333329</v>
      </c>
      <c r="E36" s="40">
        <f t="shared" si="2"/>
        <v>10.656666666666668</v>
      </c>
      <c r="F36" s="40">
        <f t="shared" si="2"/>
        <v>8.5620833333333355</v>
      </c>
      <c r="G36" s="40">
        <f t="shared" si="2"/>
        <v>89.767499999999998</v>
      </c>
      <c r="H36" s="40">
        <f t="shared" si="2"/>
        <v>35.287916666666668</v>
      </c>
      <c r="I36" s="40">
        <f t="shared" si="2"/>
        <v>8.6387499999999999</v>
      </c>
      <c r="J36" s="40">
        <f t="shared" si="2"/>
        <v>0.45500000000000007</v>
      </c>
      <c r="K36" s="40">
        <f t="shared" si="2"/>
        <v>145.92333333333332</v>
      </c>
      <c r="L36" s="40">
        <f t="shared" si="2"/>
        <v>25.125416666666663</v>
      </c>
      <c r="M36" s="40">
        <f t="shared" si="2"/>
        <v>65.289166666666659</v>
      </c>
      <c r="N36" s="40">
        <f t="shared" si="2"/>
        <v>145.25833333333333</v>
      </c>
      <c r="O36" s="40">
        <f t="shared" si="2"/>
        <v>0</v>
      </c>
      <c r="P36" s="40">
        <f t="shared" si="2"/>
        <v>0.8008333333333334</v>
      </c>
      <c r="Q36" s="40">
        <f t="shared" si="2"/>
        <v>4.9874999999999998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1.6061476099435992E-2</v>
      </c>
      <c r="C37" s="40">
        <f t="shared" ref="C37:Q37" si="3">STDEV(C9:C32)</f>
        <v>1.7672544824662257E-2</v>
      </c>
      <c r="D37" s="40">
        <f t="shared" si="3"/>
        <v>1.3180739131701365E-2</v>
      </c>
      <c r="E37" s="40">
        <f t="shared" si="3"/>
        <v>1.4024502367879608</v>
      </c>
      <c r="F37" s="40">
        <f t="shared" si="3"/>
        <v>4.782060661123678</v>
      </c>
      <c r="G37" s="40">
        <f t="shared" si="3"/>
        <v>32.349193021317156</v>
      </c>
      <c r="H37" s="40">
        <f t="shared" si="3"/>
        <v>11.547204434564369</v>
      </c>
      <c r="I37" s="40">
        <f t="shared" si="3"/>
        <v>1.0229892791312056</v>
      </c>
      <c r="J37" s="40">
        <f t="shared" si="3"/>
        <v>0.27113288896454601</v>
      </c>
      <c r="K37" s="40">
        <f t="shared" si="3"/>
        <v>106.58301021582508</v>
      </c>
      <c r="L37" s="40">
        <f t="shared" si="3"/>
        <v>4.0681626866348291</v>
      </c>
      <c r="M37" s="40">
        <f t="shared" si="3"/>
        <v>20.725522790210551</v>
      </c>
      <c r="N37" s="40">
        <f t="shared" si="3"/>
        <v>222.18337103014443</v>
      </c>
      <c r="O37" s="40">
        <f t="shared" si="3"/>
        <v>0</v>
      </c>
      <c r="P37" s="40">
        <f t="shared" si="3"/>
        <v>0.19345635765939678</v>
      </c>
      <c r="Q37" s="40">
        <f t="shared" si="3"/>
        <v>7.3720978077447923E-3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45609.041666666664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45609.041666666664</v>
      </c>
      <c r="B9" s="50">
        <v>5.31</v>
      </c>
      <c r="C9" s="50">
        <v>8.09</v>
      </c>
      <c r="D9" s="50">
        <v>14.05</v>
      </c>
      <c r="E9" s="50">
        <v>10.9</v>
      </c>
      <c r="F9" s="50">
        <v>5.91</v>
      </c>
      <c r="G9" s="50">
        <v>102.08</v>
      </c>
      <c r="H9" s="50">
        <v>49</v>
      </c>
      <c r="I9" s="50">
        <v>9.5</v>
      </c>
      <c r="J9" s="50">
        <v>0.38</v>
      </c>
      <c r="K9" s="50">
        <v>56.19</v>
      </c>
      <c r="L9" s="50">
        <v>22.09</v>
      </c>
      <c r="M9" s="50">
        <v>71.400000000000006</v>
      </c>
      <c r="N9" s="50">
        <v>1.7</v>
      </c>
      <c r="O9" s="50">
        <v>0</v>
      </c>
      <c r="P9" s="50">
        <v>0.95</v>
      </c>
      <c r="Q9" s="50">
        <v>4.9800000000000004</v>
      </c>
    </row>
    <row r="10" spans="1:21" customFormat="1">
      <c r="A10" s="49">
        <v>45609.083333333336</v>
      </c>
      <c r="B10" s="50">
        <v>5.35</v>
      </c>
      <c r="C10" s="50">
        <v>8.11</v>
      </c>
      <c r="D10" s="50">
        <v>14.07</v>
      </c>
      <c r="E10" s="50">
        <v>11.14</v>
      </c>
      <c r="F10" s="50">
        <v>5.75</v>
      </c>
      <c r="G10" s="50">
        <v>81.180000000000007</v>
      </c>
      <c r="H10" s="50">
        <v>40.89</v>
      </c>
      <c r="I10" s="50">
        <v>9.3699999999999992</v>
      </c>
      <c r="J10" s="50">
        <v>0.22</v>
      </c>
      <c r="K10" s="50">
        <v>229.6</v>
      </c>
      <c r="L10" s="50">
        <v>21.72</v>
      </c>
      <c r="M10" s="50">
        <v>82.29</v>
      </c>
      <c r="N10" s="50">
        <v>1.9</v>
      </c>
      <c r="O10" s="50">
        <v>0</v>
      </c>
      <c r="P10" s="50">
        <v>0.91</v>
      </c>
      <c r="Q10" s="50">
        <v>4.99</v>
      </c>
    </row>
    <row r="11" spans="1:21" customFormat="1">
      <c r="A11" s="49">
        <v>45609.125</v>
      </c>
      <c r="B11" s="50">
        <v>5.37</v>
      </c>
      <c r="C11" s="50">
        <v>8.1</v>
      </c>
      <c r="D11" s="50">
        <v>14.09</v>
      </c>
      <c r="E11" s="50">
        <v>10.4</v>
      </c>
      <c r="F11" s="50">
        <v>5.8</v>
      </c>
      <c r="G11" s="50">
        <v>81.180000000000007</v>
      </c>
      <c r="H11" s="50">
        <v>40.89</v>
      </c>
      <c r="I11" s="50">
        <v>9.1</v>
      </c>
      <c r="J11" s="50">
        <v>0.12</v>
      </c>
      <c r="K11" s="50">
        <v>350.23</v>
      </c>
      <c r="L11" s="50">
        <v>19.850000000000001</v>
      </c>
      <c r="M11" s="50">
        <v>84.32</v>
      </c>
      <c r="N11" s="50">
        <v>1.7</v>
      </c>
      <c r="O11" s="50">
        <v>0</v>
      </c>
      <c r="P11" s="50">
        <v>0.85</v>
      </c>
      <c r="Q11" s="50">
        <v>5</v>
      </c>
    </row>
    <row r="12" spans="1:21" customFormat="1">
      <c r="A12" s="49">
        <v>45609.166666666664</v>
      </c>
      <c r="B12" s="50">
        <v>5.39</v>
      </c>
      <c r="C12" s="50">
        <v>8.11</v>
      </c>
      <c r="D12" s="50">
        <v>14.12</v>
      </c>
      <c r="E12" s="50">
        <v>10.29</v>
      </c>
      <c r="F12" s="50">
        <v>5.59</v>
      </c>
      <c r="G12" s="50">
        <v>75.22</v>
      </c>
      <c r="H12" s="50">
        <v>31.41</v>
      </c>
      <c r="I12" s="50">
        <v>8.75</v>
      </c>
      <c r="J12" s="50">
        <v>0.1</v>
      </c>
      <c r="K12" s="50">
        <v>359.97</v>
      </c>
      <c r="L12" s="50">
        <v>19.899999999999999</v>
      </c>
      <c r="M12" s="50">
        <v>83.14</v>
      </c>
      <c r="N12" s="50">
        <v>1.4</v>
      </c>
      <c r="O12" s="50">
        <v>0</v>
      </c>
      <c r="P12" s="50">
        <v>0.8</v>
      </c>
      <c r="Q12" s="50">
        <v>4.99</v>
      </c>
    </row>
    <row r="13" spans="1:21" customFormat="1">
      <c r="A13" s="49">
        <v>45609.208333333336</v>
      </c>
      <c r="B13" s="50">
        <v>5.36</v>
      </c>
      <c r="C13" s="50">
        <v>8.08</v>
      </c>
      <c r="D13" s="50">
        <v>14.08</v>
      </c>
      <c r="E13" s="50">
        <v>9.6999999999999993</v>
      </c>
      <c r="F13" s="50">
        <v>5.56</v>
      </c>
      <c r="G13" s="50">
        <v>75.22</v>
      </c>
      <c r="H13" s="50">
        <v>30.37</v>
      </c>
      <c r="I13" s="50">
        <v>8.4600000000000009</v>
      </c>
      <c r="J13" s="50">
        <v>0.26</v>
      </c>
      <c r="K13" s="50">
        <v>44.03</v>
      </c>
      <c r="L13" s="50">
        <v>19.88</v>
      </c>
      <c r="M13" s="50">
        <v>81.99</v>
      </c>
      <c r="N13" s="50">
        <v>1.3</v>
      </c>
      <c r="O13" s="50">
        <v>0</v>
      </c>
      <c r="P13" s="50">
        <v>0.78</v>
      </c>
      <c r="Q13" s="50">
        <v>4.99</v>
      </c>
    </row>
    <row r="14" spans="1:21" customFormat="1">
      <c r="A14" s="49">
        <v>45609.25</v>
      </c>
      <c r="B14" s="50">
        <v>5.37</v>
      </c>
      <c r="C14" s="50">
        <v>8.09</v>
      </c>
      <c r="D14" s="50">
        <v>14.09</v>
      </c>
      <c r="E14" s="50">
        <v>9.48</v>
      </c>
      <c r="F14" s="50">
        <v>5.65</v>
      </c>
      <c r="G14" s="50">
        <v>89.23</v>
      </c>
      <c r="H14" s="50">
        <v>33.409999999999997</v>
      </c>
      <c r="I14" s="50">
        <v>8.58</v>
      </c>
      <c r="J14" s="50">
        <v>0.26</v>
      </c>
      <c r="K14" s="50">
        <v>112.94</v>
      </c>
      <c r="L14" s="50">
        <v>19.72</v>
      </c>
      <c r="M14" s="50">
        <v>84.74</v>
      </c>
      <c r="N14" s="50">
        <v>2</v>
      </c>
      <c r="O14" s="50">
        <v>0</v>
      </c>
      <c r="P14" s="50">
        <v>0.78</v>
      </c>
      <c r="Q14" s="50">
        <v>4.99</v>
      </c>
    </row>
    <row r="15" spans="1:21" customFormat="1">
      <c r="A15" s="49">
        <v>45609.291666666664</v>
      </c>
      <c r="B15" s="50">
        <v>5.38</v>
      </c>
      <c r="C15" s="50">
        <v>8.11</v>
      </c>
      <c r="D15" s="50">
        <v>14.11</v>
      </c>
      <c r="E15" s="50">
        <v>8.9700000000000006</v>
      </c>
      <c r="F15" s="50">
        <v>5.66</v>
      </c>
      <c r="G15" s="50">
        <v>104.9</v>
      </c>
      <c r="H15" s="50">
        <v>36.11</v>
      </c>
      <c r="I15" s="50">
        <v>9.1999999999999993</v>
      </c>
      <c r="J15" s="50">
        <v>0.44</v>
      </c>
      <c r="K15" s="50">
        <v>40.619999999999997</v>
      </c>
      <c r="L15" s="50">
        <v>19.78</v>
      </c>
      <c r="M15" s="50">
        <v>85.81</v>
      </c>
      <c r="N15" s="50">
        <v>38.799999999999997</v>
      </c>
      <c r="O15" s="50">
        <v>0</v>
      </c>
      <c r="P15" s="50">
        <v>0.84</v>
      </c>
      <c r="Q15" s="50">
        <v>4.9800000000000004</v>
      </c>
    </row>
    <row r="16" spans="1:21" customFormat="1">
      <c r="A16" s="49">
        <v>45609.333333333336</v>
      </c>
      <c r="B16" s="50">
        <v>5.39</v>
      </c>
      <c r="C16" s="50">
        <v>8.1300000000000008</v>
      </c>
      <c r="D16" s="50">
        <v>14.11</v>
      </c>
      <c r="E16" s="50">
        <v>9.23</v>
      </c>
      <c r="F16" s="50">
        <v>5.6</v>
      </c>
      <c r="G16" s="50">
        <v>114.43</v>
      </c>
      <c r="H16" s="50">
        <v>36.950000000000003</v>
      </c>
      <c r="I16" s="50">
        <v>10.63</v>
      </c>
      <c r="J16" s="50">
        <v>0.7</v>
      </c>
      <c r="K16" s="50">
        <v>51.65</v>
      </c>
      <c r="L16" s="50">
        <v>22</v>
      </c>
      <c r="M16" s="50">
        <v>82.78</v>
      </c>
      <c r="N16" s="50">
        <v>185.1</v>
      </c>
      <c r="O16" s="50">
        <v>0</v>
      </c>
      <c r="P16" s="50">
        <v>0.89</v>
      </c>
      <c r="Q16" s="50">
        <v>4.99</v>
      </c>
    </row>
    <row r="17" spans="1:17" customFormat="1">
      <c r="A17" s="49">
        <v>45609.375</v>
      </c>
      <c r="B17" s="50">
        <v>5.37</v>
      </c>
      <c r="C17" s="50">
        <v>8.11</v>
      </c>
      <c r="D17" s="50">
        <v>14.1</v>
      </c>
      <c r="E17" s="50">
        <v>8.99</v>
      </c>
      <c r="F17" s="50">
        <v>5.87</v>
      </c>
      <c r="G17" s="50">
        <v>114.43</v>
      </c>
      <c r="H17" s="50">
        <v>36.950000000000003</v>
      </c>
      <c r="I17" s="50">
        <v>11.75</v>
      </c>
      <c r="J17" s="50">
        <v>0.77</v>
      </c>
      <c r="K17" s="50">
        <v>52.37</v>
      </c>
      <c r="L17" s="50">
        <v>25.21</v>
      </c>
      <c r="M17" s="50">
        <v>72.02</v>
      </c>
      <c r="N17" s="50">
        <v>297.8</v>
      </c>
      <c r="O17" s="50">
        <v>0</v>
      </c>
      <c r="P17" s="50">
        <v>0.91</v>
      </c>
      <c r="Q17" s="50">
        <v>5.01</v>
      </c>
    </row>
    <row r="18" spans="1:17" customFormat="1">
      <c r="A18" s="49">
        <v>45609.416666666664</v>
      </c>
      <c r="B18" s="50">
        <v>5.38</v>
      </c>
      <c r="C18" s="50">
        <v>8.11</v>
      </c>
      <c r="D18" s="50">
        <v>14.12</v>
      </c>
      <c r="E18" s="50">
        <v>10.11</v>
      </c>
      <c r="F18" s="50">
        <v>6.92</v>
      </c>
      <c r="G18" s="50">
        <v>102.36</v>
      </c>
      <c r="H18" s="50">
        <v>34.92</v>
      </c>
      <c r="I18" s="50">
        <v>11.92</v>
      </c>
      <c r="J18" s="50">
        <v>0.85</v>
      </c>
      <c r="K18" s="50">
        <v>53.54</v>
      </c>
      <c r="L18" s="50">
        <v>27.64</v>
      </c>
      <c r="M18" s="50">
        <v>57.28</v>
      </c>
      <c r="N18" s="50">
        <v>473.4</v>
      </c>
      <c r="O18" s="50">
        <v>0</v>
      </c>
      <c r="P18" s="50">
        <v>0.87</v>
      </c>
      <c r="Q18" s="50">
        <v>4.99</v>
      </c>
    </row>
    <row r="19" spans="1:17" customFormat="1">
      <c r="A19" s="49">
        <v>45609.458333333336</v>
      </c>
      <c r="B19" s="50">
        <v>5.39</v>
      </c>
      <c r="C19" s="50">
        <v>8.09</v>
      </c>
      <c r="D19" s="50">
        <v>14.11</v>
      </c>
      <c r="E19" s="50">
        <v>10.59</v>
      </c>
      <c r="F19" s="50">
        <v>8.51</v>
      </c>
      <c r="G19" s="50">
        <v>93.38</v>
      </c>
      <c r="H19" s="50">
        <v>34.450000000000003</v>
      </c>
      <c r="I19" s="50">
        <v>11.8</v>
      </c>
      <c r="J19" s="50">
        <v>1.08</v>
      </c>
      <c r="K19" s="50">
        <v>44.78</v>
      </c>
      <c r="L19" s="50">
        <v>29.19</v>
      </c>
      <c r="M19" s="50">
        <v>47.82</v>
      </c>
      <c r="N19" s="50">
        <v>538</v>
      </c>
      <c r="O19" s="50">
        <v>0</v>
      </c>
      <c r="P19" s="50">
        <v>0.84</v>
      </c>
      <c r="Q19" s="50">
        <v>5.01</v>
      </c>
    </row>
    <row r="20" spans="1:17" customFormat="1">
      <c r="A20" s="49">
        <v>45609.5</v>
      </c>
      <c r="B20" s="50">
        <v>5.39</v>
      </c>
      <c r="C20" s="50">
        <v>8.1199999999999992</v>
      </c>
      <c r="D20" s="50">
        <v>14.11</v>
      </c>
      <c r="E20" s="50">
        <v>9.4499999999999993</v>
      </c>
      <c r="F20" s="50">
        <v>8.6999999999999993</v>
      </c>
      <c r="G20" s="50">
        <v>83.41</v>
      </c>
      <c r="H20" s="50">
        <v>32.119999999999997</v>
      </c>
      <c r="I20" s="50">
        <v>11.18</v>
      </c>
      <c r="J20" s="50">
        <v>0.65</v>
      </c>
      <c r="K20" s="50">
        <v>125.54</v>
      </c>
      <c r="L20" s="50">
        <v>30.4</v>
      </c>
      <c r="M20" s="50">
        <v>37.729999999999997</v>
      </c>
      <c r="N20" s="50">
        <v>587</v>
      </c>
      <c r="O20" s="50">
        <v>0</v>
      </c>
      <c r="P20" s="50">
        <v>0.8</v>
      </c>
      <c r="Q20" s="50">
        <v>4.9800000000000004</v>
      </c>
    </row>
    <row r="21" spans="1:17" customFormat="1">
      <c r="A21" s="49">
        <v>45609.541666666664</v>
      </c>
      <c r="B21" s="50">
        <v>5.36</v>
      </c>
      <c r="C21" s="50">
        <v>8.08</v>
      </c>
      <c r="D21" s="50">
        <v>14.08</v>
      </c>
      <c r="E21" s="50">
        <v>9.93</v>
      </c>
      <c r="F21" s="50">
        <v>11</v>
      </c>
      <c r="G21" s="50">
        <v>66.459999999999994</v>
      </c>
      <c r="H21" s="50">
        <v>31.22</v>
      </c>
      <c r="I21" s="50">
        <v>10.33</v>
      </c>
      <c r="J21" s="50">
        <v>0.64</v>
      </c>
      <c r="K21" s="50">
        <v>78.94</v>
      </c>
      <c r="L21" s="50">
        <v>30.86</v>
      </c>
      <c r="M21" s="50">
        <v>35.229999999999997</v>
      </c>
      <c r="N21" s="50">
        <v>579.79999999999995</v>
      </c>
      <c r="O21" s="50">
        <v>0</v>
      </c>
      <c r="P21" s="50">
        <v>0.71</v>
      </c>
      <c r="Q21" s="50">
        <v>4.99</v>
      </c>
    </row>
    <row r="22" spans="1:17" customFormat="1">
      <c r="A22" s="49">
        <v>45609.583333333336</v>
      </c>
      <c r="B22" s="50">
        <v>5.3</v>
      </c>
      <c r="C22" s="50">
        <v>8.1</v>
      </c>
      <c r="D22" s="50">
        <v>14.04</v>
      </c>
      <c r="E22" s="50">
        <v>8.64</v>
      </c>
      <c r="F22" s="50">
        <v>14.38</v>
      </c>
      <c r="G22" s="50">
        <v>55.33</v>
      </c>
      <c r="H22" s="50">
        <v>28.6</v>
      </c>
      <c r="I22" s="50">
        <v>9.42</v>
      </c>
      <c r="J22" s="50">
        <v>0.42</v>
      </c>
      <c r="K22" s="50">
        <v>87.59</v>
      </c>
      <c r="L22" s="50">
        <v>31.08</v>
      </c>
      <c r="M22" s="50">
        <v>35.74</v>
      </c>
      <c r="N22" s="50">
        <v>510</v>
      </c>
      <c r="O22" s="50">
        <v>0</v>
      </c>
      <c r="P22" s="50">
        <v>0.62</v>
      </c>
      <c r="Q22" s="50">
        <v>5</v>
      </c>
    </row>
    <row r="23" spans="1:17" customFormat="1">
      <c r="A23" s="49">
        <v>45609.625</v>
      </c>
      <c r="B23" s="50">
        <v>5.34</v>
      </c>
      <c r="C23" s="50">
        <v>8.1</v>
      </c>
      <c r="D23" s="50">
        <v>14.07</v>
      </c>
      <c r="E23" s="50">
        <v>8.94</v>
      </c>
      <c r="F23" s="50">
        <v>14.3</v>
      </c>
      <c r="G23" s="50">
        <v>50.42</v>
      </c>
      <c r="H23" s="50">
        <v>28.6</v>
      </c>
      <c r="I23" s="50">
        <v>8.02</v>
      </c>
      <c r="J23" s="50">
        <v>0.34</v>
      </c>
      <c r="K23" s="50">
        <v>123.1</v>
      </c>
      <c r="L23" s="50">
        <v>30.33</v>
      </c>
      <c r="M23" s="50">
        <v>37.36</v>
      </c>
      <c r="N23" s="50">
        <v>106.7</v>
      </c>
      <c r="O23" s="50">
        <v>0</v>
      </c>
      <c r="P23" s="50">
        <v>0.53</v>
      </c>
      <c r="Q23" s="50">
        <v>4.9800000000000004</v>
      </c>
    </row>
    <row r="24" spans="1:17" customFormat="1">
      <c r="A24" s="49">
        <v>45609.666666666664</v>
      </c>
      <c r="B24" s="50">
        <v>5.35</v>
      </c>
      <c r="C24" s="50">
        <v>8.1</v>
      </c>
      <c r="D24" s="50">
        <v>14.08</v>
      </c>
      <c r="E24" s="50">
        <v>9.41</v>
      </c>
      <c r="F24" s="50">
        <v>15.58</v>
      </c>
      <c r="G24" s="50">
        <v>45.46</v>
      </c>
      <c r="H24" s="50">
        <v>20.55</v>
      </c>
      <c r="I24" s="50">
        <v>7.19</v>
      </c>
      <c r="J24" s="50">
        <v>0.6</v>
      </c>
      <c r="K24" s="50">
        <v>128.22</v>
      </c>
      <c r="L24" s="50">
        <v>29.73</v>
      </c>
      <c r="M24" s="50">
        <v>37.369999999999997</v>
      </c>
      <c r="N24" s="50">
        <v>62.1</v>
      </c>
      <c r="O24" s="50">
        <v>0</v>
      </c>
      <c r="P24" s="50">
        <v>0.52</v>
      </c>
      <c r="Q24" s="50">
        <v>4.9800000000000004</v>
      </c>
    </row>
    <row r="25" spans="1:17" customFormat="1">
      <c r="A25" s="49">
        <v>45609.708333333336</v>
      </c>
      <c r="B25" s="50">
        <v>5.33</v>
      </c>
      <c r="C25" s="50">
        <v>8.09</v>
      </c>
      <c r="D25" s="50">
        <v>14.06</v>
      </c>
      <c r="E25" s="50">
        <v>10.18</v>
      </c>
      <c r="F25" s="50">
        <v>13.46</v>
      </c>
      <c r="G25" s="50">
        <v>48.02</v>
      </c>
      <c r="H25" s="50">
        <v>24.08</v>
      </c>
      <c r="I25" s="50">
        <v>6.67</v>
      </c>
      <c r="J25" s="50">
        <v>0.3</v>
      </c>
      <c r="K25" s="50">
        <v>142.75</v>
      </c>
      <c r="L25" s="50">
        <v>29.16</v>
      </c>
      <c r="M25" s="50">
        <v>46.41</v>
      </c>
      <c r="N25" s="50">
        <v>32.4</v>
      </c>
      <c r="O25" s="50">
        <v>0</v>
      </c>
      <c r="P25" s="50">
        <v>0.5</v>
      </c>
      <c r="Q25" s="50">
        <v>4.99</v>
      </c>
    </row>
    <row r="26" spans="1:17" customFormat="1">
      <c r="A26" s="49">
        <v>45609.75</v>
      </c>
      <c r="B26" s="50">
        <v>5.33</v>
      </c>
      <c r="C26" s="50">
        <v>8.1</v>
      </c>
      <c r="D26" s="50">
        <v>14.05</v>
      </c>
      <c r="E26" s="50">
        <v>9.35</v>
      </c>
      <c r="F26" s="50">
        <v>10.27</v>
      </c>
      <c r="G26" s="50">
        <v>65.22</v>
      </c>
      <c r="H26" s="50">
        <v>24.08</v>
      </c>
      <c r="I26" s="50">
        <v>6.44</v>
      </c>
      <c r="J26" s="50">
        <v>0.28000000000000003</v>
      </c>
      <c r="K26" s="50">
        <v>152.91</v>
      </c>
      <c r="L26" s="50">
        <v>27.37</v>
      </c>
      <c r="M26" s="50">
        <v>51.26</v>
      </c>
      <c r="N26" s="50">
        <v>3.4</v>
      </c>
      <c r="O26" s="50">
        <v>0</v>
      </c>
      <c r="P26" s="50">
        <v>0.51</v>
      </c>
      <c r="Q26" s="50">
        <v>4.99</v>
      </c>
    </row>
    <row r="27" spans="1:17" customFormat="1">
      <c r="A27" s="49">
        <v>45609.791666666664</v>
      </c>
      <c r="B27" s="50">
        <v>5.31</v>
      </c>
      <c r="C27" s="50">
        <v>8.09</v>
      </c>
      <c r="D27" s="50">
        <v>14.04</v>
      </c>
      <c r="E27" s="50">
        <v>11.21</v>
      </c>
      <c r="F27" s="50">
        <v>7.8</v>
      </c>
      <c r="G27" s="50">
        <v>79.650000000000006</v>
      </c>
      <c r="H27" s="50">
        <v>27.19</v>
      </c>
      <c r="I27" s="50">
        <v>6.48</v>
      </c>
      <c r="J27" s="50">
        <v>0.27</v>
      </c>
      <c r="K27" s="50">
        <v>131.22999999999999</v>
      </c>
      <c r="L27" s="50">
        <v>26.05</v>
      </c>
      <c r="M27" s="50">
        <v>55.55</v>
      </c>
      <c r="N27" s="50">
        <v>1.7</v>
      </c>
      <c r="O27" s="50">
        <v>0</v>
      </c>
      <c r="P27" s="50">
        <v>0.53</v>
      </c>
      <c r="Q27" s="50">
        <v>4.99</v>
      </c>
    </row>
    <row r="28" spans="1:17" customFormat="1">
      <c r="A28" s="49">
        <v>45609.833333333336</v>
      </c>
      <c r="B28" s="50">
        <v>5.33</v>
      </c>
      <c r="C28" s="50">
        <v>8.09</v>
      </c>
      <c r="D28" s="50">
        <v>14.07</v>
      </c>
      <c r="E28" s="50">
        <v>11.45</v>
      </c>
      <c r="F28" s="50">
        <v>7.33</v>
      </c>
      <c r="G28" s="50">
        <v>81.98</v>
      </c>
      <c r="H28" s="50">
        <v>28.98</v>
      </c>
      <c r="I28" s="50">
        <v>6.95</v>
      </c>
      <c r="J28" s="50">
        <v>0.26</v>
      </c>
      <c r="K28" s="50">
        <v>166.76</v>
      </c>
      <c r="L28" s="50">
        <v>25.15</v>
      </c>
      <c r="M28" s="50">
        <v>59.06</v>
      </c>
      <c r="N28" s="50">
        <v>1.7</v>
      </c>
      <c r="O28" s="50">
        <v>0</v>
      </c>
      <c r="P28" s="50">
        <v>0.52</v>
      </c>
      <c r="Q28" s="50">
        <v>5</v>
      </c>
    </row>
    <row r="29" spans="1:17" customFormat="1">
      <c r="A29" s="49">
        <v>45609.875</v>
      </c>
      <c r="B29" s="50">
        <v>5.32</v>
      </c>
      <c r="C29" s="50">
        <v>8.08</v>
      </c>
      <c r="D29" s="50">
        <v>14.06</v>
      </c>
      <c r="E29" s="50">
        <v>11.73</v>
      </c>
      <c r="F29" s="50">
        <v>7</v>
      </c>
      <c r="G29" s="50">
        <v>81.98</v>
      </c>
      <c r="H29" s="50">
        <v>28.98</v>
      </c>
      <c r="I29" s="50">
        <v>6.99</v>
      </c>
      <c r="J29" s="50">
        <v>0.34</v>
      </c>
      <c r="K29" s="50">
        <v>169.61</v>
      </c>
      <c r="L29" s="50">
        <v>24.47</v>
      </c>
      <c r="M29" s="50">
        <v>66.209999999999994</v>
      </c>
      <c r="N29" s="50">
        <v>2.1</v>
      </c>
      <c r="O29" s="50">
        <v>0</v>
      </c>
      <c r="P29" s="50">
        <v>0.54</v>
      </c>
      <c r="Q29" s="50">
        <v>4.99</v>
      </c>
    </row>
    <row r="30" spans="1:17" customFormat="1">
      <c r="A30" s="49">
        <v>45609.916666666664</v>
      </c>
      <c r="B30" s="50">
        <v>5.33</v>
      </c>
      <c r="C30" s="50">
        <v>8.1</v>
      </c>
      <c r="D30" s="50">
        <v>14.06</v>
      </c>
      <c r="E30" s="50">
        <v>11.92</v>
      </c>
      <c r="F30" s="50">
        <v>6.72</v>
      </c>
      <c r="G30" s="50">
        <v>81.599999999999994</v>
      </c>
      <c r="H30" s="50">
        <v>28.25</v>
      </c>
      <c r="I30" s="50">
        <v>6.86</v>
      </c>
      <c r="J30" s="50">
        <v>0.18</v>
      </c>
      <c r="K30" s="50">
        <v>147</v>
      </c>
      <c r="L30" s="50">
        <v>23.97</v>
      </c>
      <c r="M30" s="50">
        <v>65.23</v>
      </c>
      <c r="N30" s="50">
        <v>1.7</v>
      </c>
      <c r="O30" s="50">
        <v>0</v>
      </c>
      <c r="P30" s="50">
        <v>0.55000000000000004</v>
      </c>
      <c r="Q30" s="50">
        <v>4.99</v>
      </c>
    </row>
    <row r="31" spans="1:17" customFormat="1">
      <c r="A31" s="49">
        <v>45609.958333333336</v>
      </c>
      <c r="B31" s="50">
        <v>5.3</v>
      </c>
      <c r="C31" s="50">
        <v>8.1</v>
      </c>
      <c r="D31" s="50">
        <v>14.04</v>
      </c>
      <c r="E31" s="50">
        <v>12.09</v>
      </c>
      <c r="F31" s="50">
        <v>5.93</v>
      </c>
      <c r="G31" s="50">
        <v>82.21</v>
      </c>
      <c r="H31" s="50">
        <v>28.9</v>
      </c>
      <c r="I31" s="50">
        <v>6.79</v>
      </c>
      <c r="J31" s="50">
        <v>0.16</v>
      </c>
      <c r="K31" s="50">
        <v>183.77</v>
      </c>
      <c r="L31" s="50">
        <v>22.83</v>
      </c>
      <c r="M31" s="50">
        <v>80.900000000000006</v>
      </c>
      <c r="N31" s="50">
        <v>1.9</v>
      </c>
      <c r="O31" s="50">
        <v>0</v>
      </c>
      <c r="P31" s="50">
        <v>0.56000000000000005</v>
      </c>
      <c r="Q31" s="50">
        <v>4.9800000000000004</v>
      </c>
    </row>
    <row r="32" spans="1:17" customFormat="1">
      <c r="A32" s="49">
        <v>45610</v>
      </c>
      <c r="B32" s="50">
        <v>5.31</v>
      </c>
      <c r="C32" s="50">
        <v>8.07</v>
      </c>
      <c r="D32" s="50">
        <v>14.04</v>
      </c>
      <c r="E32" s="50">
        <v>11.71</v>
      </c>
      <c r="F32" s="50">
        <v>6.07</v>
      </c>
      <c r="G32" s="50">
        <v>82.21</v>
      </c>
      <c r="H32" s="50">
        <v>30.68</v>
      </c>
      <c r="I32" s="50">
        <v>6.84</v>
      </c>
      <c r="J32" s="50">
        <v>0.2</v>
      </c>
      <c r="K32" s="50">
        <v>206.72</v>
      </c>
      <c r="L32" s="50">
        <v>21.45</v>
      </c>
      <c r="M32" s="50">
        <v>82.77</v>
      </c>
      <c r="N32" s="50">
        <v>1.6</v>
      </c>
      <c r="O32" s="50">
        <v>0</v>
      </c>
      <c r="P32" s="50">
        <v>0.57999999999999996</v>
      </c>
      <c r="Q32" s="50">
        <v>4.99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5.3</v>
      </c>
      <c r="C34" s="40">
        <f t="shared" si="0"/>
        <v>8.07</v>
      </c>
      <c r="D34" s="40">
        <f t="shared" si="0"/>
        <v>14.04</v>
      </c>
      <c r="E34" s="40">
        <f t="shared" si="0"/>
        <v>8.64</v>
      </c>
      <c r="F34" s="40">
        <f t="shared" si="0"/>
        <v>5.56</v>
      </c>
      <c r="G34" s="40">
        <f t="shared" si="0"/>
        <v>45.46</v>
      </c>
      <c r="H34" s="40">
        <f t="shared" si="0"/>
        <v>20.55</v>
      </c>
      <c r="I34" s="40">
        <f t="shared" si="0"/>
        <v>6.44</v>
      </c>
      <c r="J34" s="40">
        <f t="shared" si="0"/>
        <v>0.1</v>
      </c>
      <c r="K34" s="40">
        <f t="shared" si="0"/>
        <v>40.619999999999997</v>
      </c>
      <c r="L34" s="40">
        <f t="shared" si="0"/>
        <v>19.72</v>
      </c>
      <c r="M34" s="40">
        <f t="shared" si="0"/>
        <v>35.229999999999997</v>
      </c>
      <c r="N34" s="40">
        <f t="shared" si="0"/>
        <v>1.3</v>
      </c>
      <c r="O34" s="40">
        <f t="shared" si="0"/>
        <v>0</v>
      </c>
      <c r="P34" s="40">
        <f t="shared" si="0"/>
        <v>0.5</v>
      </c>
      <c r="Q34" s="40">
        <f t="shared" si="0"/>
        <v>4.9800000000000004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5.39</v>
      </c>
      <c r="C35" s="33">
        <f t="shared" si="1"/>
        <v>8.1300000000000008</v>
      </c>
      <c r="D35" s="33">
        <f t="shared" si="1"/>
        <v>14.12</v>
      </c>
      <c r="E35" s="33">
        <f t="shared" si="1"/>
        <v>12.09</v>
      </c>
      <c r="F35" s="33">
        <f t="shared" si="1"/>
        <v>15.58</v>
      </c>
      <c r="G35" s="33">
        <f t="shared" si="1"/>
        <v>114.43</v>
      </c>
      <c r="H35" s="33">
        <f t="shared" si="1"/>
        <v>49</v>
      </c>
      <c r="I35" s="33">
        <f t="shared" si="1"/>
        <v>11.92</v>
      </c>
      <c r="J35" s="33">
        <f t="shared" si="1"/>
        <v>1.08</v>
      </c>
      <c r="K35" s="33">
        <f t="shared" si="1"/>
        <v>359.97</v>
      </c>
      <c r="L35" s="33">
        <f t="shared" si="1"/>
        <v>31.08</v>
      </c>
      <c r="M35" s="33">
        <f t="shared" si="1"/>
        <v>85.81</v>
      </c>
      <c r="N35" s="33">
        <f t="shared" si="1"/>
        <v>587</v>
      </c>
      <c r="O35" s="33">
        <f t="shared" si="1"/>
        <v>0</v>
      </c>
      <c r="P35" s="33">
        <f t="shared" si="1"/>
        <v>0.95</v>
      </c>
      <c r="Q35" s="33">
        <f t="shared" si="1"/>
        <v>5.01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5.3483333333333327</v>
      </c>
      <c r="C36" s="40">
        <f t="shared" si="2"/>
        <v>8.0979166666666664</v>
      </c>
      <c r="D36" s="40">
        <f t="shared" si="2"/>
        <v>14.077083333333336</v>
      </c>
      <c r="E36" s="40">
        <f t="shared" si="2"/>
        <v>10.242083333333332</v>
      </c>
      <c r="F36" s="40">
        <f t="shared" si="2"/>
        <v>8.1400000000000023</v>
      </c>
      <c r="G36" s="40">
        <f t="shared" si="2"/>
        <v>80.731666666666683</v>
      </c>
      <c r="H36" s="40">
        <f t="shared" si="2"/>
        <v>31.982500000000002</v>
      </c>
      <c r="I36" s="40">
        <f t="shared" si="2"/>
        <v>8.7174999999999994</v>
      </c>
      <c r="J36" s="40">
        <f t="shared" si="2"/>
        <v>0.40916666666666651</v>
      </c>
      <c r="K36" s="40">
        <f t="shared" si="2"/>
        <v>135.00249999999997</v>
      </c>
      <c r="L36" s="40">
        <f t="shared" si="2"/>
        <v>24.992916666666673</v>
      </c>
      <c r="M36" s="40">
        <f t="shared" si="2"/>
        <v>63.517083333333339</v>
      </c>
      <c r="N36" s="40">
        <f t="shared" si="2"/>
        <v>143.1333333333333</v>
      </c>
      <c r="O36" s="40">
        <f t="shared" si="2"/>
        <v>0</v>
      </c>
      <c r="P36" s="40">
        <f t="shared" si="2"/>
        <v>0.70374999999999976</v>
      </c>
      <c r="Q36" s="40">
        <f t="shared" si="2"/>
        <v>4.9904166666666656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3.0880789957606285E-2</v>
      </c>
      <c r="C37" s="40">
        <f t="shared" ref="C37:Q37" si="3">STDEV(C9:C32)</f>
        <v>1.3824731042801299E-2</v>
      </c>
      <c r="D37" s="40">
        <f t="shared" si="3"/>
        <v>2.7103532044280759E-2</v>
      </c>
      <c r="E37" s="40">
        <f t="shared" si="3"/>
        <v>1.0624703746935587</v>
      </c>
      <c r="F37" s="40">
        <f t="shared" si="3"/>
        <v>3.2418848516417613</v>
      </c>
      <c r="G37" s="40">
        <f t="shared" si="3"/>
        <v>19.123424667524652</v>
      </c>
      <c r="H37" s="40">
        <f t="shared" si="3"/>
        <v>6.184011115632031</v>
      </c>
      <c r="I37" s="40">
        <f t="shared" si="3"/>
        <v>1.8329929196476207</v>
      </c>
      <c r="J37" s="40">
        <f t="shared" si="3"/>
        <v>0.25591976777152636</v>
      </c>
      <c r="K37" s="40">
        <f t="shared" si="3"/>
        <v>87.040990905584806</v>
      </c>
      <c r="L37" s="40">
        <f t="shared" si="3"/>
        <v>4.0679943559092804</v>
      </c>
      <c r="M37" s="40">
        <f t="shared" si="3"/>
        <v>18.723960580465889</v>
      </c>
      <c r="N37" s="40">
        <f t="shared" si="3"/>
        <v>219.0382310617639</v>
      </c>
      <c r="O37" s="40">
        <f t="shared" si="3"/>
        <v>0</v>
      </c>
      <c r="P37" s="40">
        <f t="shared" si="3"/>
        <v>0.16113220335029924</v>
      </c>
      <c r="Q37" s="40">
        <f t="shared" si="3"/>
        <v>8.5867272029550284E-3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12" activePane="bottomRight" state="frozen"/>
      <selection activeCell="A9" sqref="A9"/>
      <selection pane="topRight" activeCell="A9" sqref="A9"/>
      <selection pane="bottomLeft" activeCell="A9" sqref="A9"/>
      <selection pane="bottomRight" activeCell="G23" sqref="G23:H23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45610.041666666664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45610.041666666664</v>
      </c>
      <c r="B9" s="53">
        <v>5.16</v>
      </c>
      <c r="C9" s="53">
        <v>8.1300000000000008</v>
      </c>
      <c r="D9" s="53">
        <v>13.93</v>
      </c>
      <c r="E9" s="53">
        <v>10.89</v>
      </c>
      <c r="F9" s="53">
        <v>5.7</v>
      </c>
      <c r="G9" s="53">
        <v>81.569999999999993</v>
      </c>
      <c r="H9" s="53">
        <v>30.68</v>
      </c>
      <c r="I9" s="53">
        <v>6.9</v>
      </c>
      <c r="J9" s="53">
        <v>0.15</v>
      </c>
      <c r="K9" s="53">
        <v>205.8</v>
      </c>
      <c r="L9" s="53">
        <v>20.89</v>
      </c>
      <c r="M9" s="53">
        <v>86.27</v>
      </c>
      <c r="N9" s="53">
        <v>1.4</v>
      </c>
      <c r="O9" s="53">
        <v>0</v>
      </c>
      <c r="P9" s="53">
        <v>0.6</v>
      </c>
      <c r="Q9" s="53">
        <v>4.99</v>
      </c>
    </row>
    <row r="10" spans="1:21" customFormat="1">
      <c r="A10" s="52">
        <v>45610.083333333336</v>
      </c>
      <c r="B10" s="53">
        <v>5.17</v>
      </c>
      <c r="C10" s="53">
        <v>8.08</v>
      </c>
      <c r="D10" s="53">
        <v>13.92</v>
      </c>
      <c r="E10" s="53">
        <v>11.08</v>
      </c>
      <c r="F10" s="53">
        <v>5.6</v>
      </c>
      <c r="G10" s="53">
        <v>81.569999999999993</v>
      </c>
      <c r="H10" s="53">
        <v>29.48</v>
      </c>
      <c r="I10" s="53">
        <v>7.22</v>
      </c>
      <c r="J10" s="53">
        <v>0.19</v>
      </c>
      <c r="K10" s="53">
        <v>215.69</v>
      </c>
      <c r="L10" s="53">
        <v>20.7</v>
      </c>
      <c r="M10" s="53">
        <v>89.31</v>
      </c>
      <c r="N10" s="53">
        <v>1.6</v>
      </c>
      <c r="O10" s="53">
        <v>0</v>
      </c>
      <c r="P10" s="53">
        <v>0.6</v>
      </c>
      <c r="Q10" s="53">
        <v>4.99</v>
      </c>
    </row>
    <row r="11" spans="1:21" customFormat="1">
      <c r="A11" s="52">
        <v>45610.125</v>
      </c>
      <c r="B11" s="53">
        <v>5.14</v>
      </c>
      <c r="C11" s="53">
        <v>8.1</v>
      </c>
      <c r="D11" s="53">
        <v>13.91</v>
      </c>
      <c r="E11" s="53">
        <v>9.64</v>
      </c>
      <c r="F11" s="53">
        <v>5.53</v>
      </c>
      <c r="G11" s="53">
        <v>79.739999999999995</v>
      </c>
      <c r="H11" s="53">
        <v>28.54</v>
      </c>
      <c r="I11" s="53">
        <v>7.33</v>
      </c>
      <c r="J11" s="53">
        <v>0.13</v>
      </c>
      <c r="K11" s="53">
        <v>221.11</v>
      </c>
      <c r="L11" s="53">
        <v>19.670000000000002</v>
      </c>
      <c r="M11" s="53">
        <v>89.41</v>
      </c>
      <c r="N11" s="53">
        <v>1.4</v>
      </c>
      <c r="O11" s="53">
        <v>0</v>
      </c>
      <c r="P11" s="53">
        <v>0.6</v>
      </c>
      <c r="Q11" s="53">
        <v>4.9800000000000004</v>
      </c>
    </row>
    <row r="12" spans="1:21" customFormat="1">
      <c r="A12" s="52">
        <v>45610.166666666664</v>
      </c>
      <c r="B12" s="53">
        <v>5.13</v>
      </c>
      <c r="C12" s="53">
        <v>8.07</v>
      </c>
      <c r="D12" s="53">
        <v>13.89</v>
      </c>
      <c r="E12" s="53">
        <v>10.35</v>
      </c>
      <c r="F12" s="53">
        <v>5.45</v>
      </c>
      <c r="G12" s="53">
        <v>76.39</v>
      </c>
      <c r="H12" s="53">
        <v>27.4</v>
      </c>
      <c r="I12" s="53">
        <v>7.36</v>
      </c>
      <c r="J12" s="53">
        <v>0.32</v>
      </c>
      <c r="K12" s="53">
        <v>307.66000000000003</v>
      </c>
      <c r="L12" s="53">
        <v>19.600000000000001</v>
      </c>
      <c r="M12" s="53">
        <v>87.72</v>
      </c>
      <c r="N12" s="53">
        <v>1.3</v>
      </c>
      <c r="O12" s="53">
        <v>0</v>
      </c>
      <c r="P12" s="53">
        <v>0.6</v>
      </c>
      <c r="Q12" s="53">
        <v>4.99</v>
      </c>
    </row>
    <row r="13" spans="1:21" customFormat="1">
      <c r="A13" s="52">
        <v>45610.208333333336</v>
      </c>
      <c r="B13" s="53">
        <v>5.14</v>
      </c>
      <c r="C13" s="53">
        <v>8.11</v>
      </c>
      <c r="D13" s="53">
        <v>13.9</v>
      </c>
      <c r="E13" s="53">
        <v>10.19</v>
      </c>
      <c r="F13" s="53">
        <v>5.61</v>
      </c>
      <c r="G13" s="53">
        <v>76.39</v>
      </c>
      <c r="H13" s="53">
        <v>26.63</v>
      </c>
      <c r="I13" s="53">
        <v>7.71</v>
      </c>
      <c r="J13" s="53">
        <v>0.36</v>
      </c>
      <c r="K13" s="53">
        <v>41.53</v>
      </c>
      <c r="L13" s="53">
        <v>19.64</v>
      </c>
      <c r="M13" s="53">
        <v>85.57</v>
      </c>
      <c r="N13" s="53">
        <v>1.4</v>
      </c>
      <c r="O13" s="53">
        <v>0</v>
      </c>
      <c r="P13" s="53">
        <v>0.59</v>
      </c>
      <c r="Q13" s="53">
        <v>4.99</v>
      </c>
    </row>
    <row r="14" spans="1:21" customFormat="1">
      <c r="A14" s="52">
        <v>45610.25</v>
      </c>
      <c r="B14" s="53">
        <v>5.13</v>
      </c>
      <c r="C14" s="53">
        <v>8.09</v>
      </c>
      <c r="D14" s="53">
        <v>13.9</v>
      </c>
      <c r="E14" s="53">
        <v>10.29</v>
      </c>
      <c r="F14" s="53">
        <v>5.7</v>
      </c>
      <c r="G14" s="53">
        <v>73.2</v>
      </c>
      <c r="H14" s="53">
        <v>27.42</v>
      </c>
      <c r="I14" s="53">
        <v>7.76</v>
      </c>
      <c r="J14" s="53">
        <v>0.19</v>
      </c>
      <c r="K14" s="53">
        <v>340.89</v>
      </c>
      <c r="L14" s="53">
        <v>19.27</v>
      </c>
      <c r="M14" s="53">
        <v>88.54</v>
      </c>
      <c r="N14" s="53">
        <v>2.9</v>
      </c>
      <c r="O14" s="53">
        <v>0</v>
      </c>
      <c r="P14" s="53">
        <v>0.56999999999999995</v>
      </c>
      <c r="Q14" s="53">
        <v>4.99</v>
      </c>
    </row>
    <row r="15" spans="1:21" customFormat="1">
      <c r="A15" s="52">
        <v>45610.291666666664</v>
      </c>
      <c r="B15" s="53">
        <v>5.14</v>
      </c>
      <c r="C15" s="53">
        <v>8.09</v>
      </c>
      <c r="D15" s="53">
        <v>13.91</v>
      </c>
      <c r="E15" s="53">
        <v>10.47</v>
      </c>
      <c r="F15" s="53">
        <v>5.71</v>
      </c>
      <c r="G15" s="53">
        <v>78.510000000000005</v>
      </c>
      <c r="H15" s="53">
        <v>27.42</v>
      </c>
      <c r="I15" s="53">
        <v>8.02</v>
      </c>
      <c r="J15" s="53">
        <v>0.57999999999999996</v>
      </c>
      <c r="K15" s="53">
        <v>57.73</v>
      </c>
      <c r="L15" s="53">
        <v>19.53</v>
      </c>
      <c r="M15" s="53">
        <v>87.72</v>
      </c>
      <c r="N15" s="53">
        <v>38.6</v>
      </c>
      <c r="O15" s="53">
        <v>0</v>
      </c>
      <c r="P15" s="53">
        <v>0.61</v>
      </c>
      <c r="Q15" s="53">
        <v>4.99</v>
      </c>
    </row>
    <row r="16" spans="1:21" customFormat="1">
      <c r="A16" s="52">
        <v>45610.333333333336</v>
      </c>
      <c r="B16" s="53">
        <v>5.15</v>
      </c>
      <c r="C16" s="53">
        <v>8.06</v>
      </c>
      <c r="D16" s="53">
        <v>13.89</v>
      </c>
      <c r="E16" s="53">
        <v>10.43</v>
      </c>
      <c r="F16" s="53">
        <v>5.77</v>
      </c>
      <c r="G16" s="53">
        <v>84.09</v>
      </c>
      <c r="H16" s="53">
        <v>28.97</v>
      </c>
      <c r="I16" s="53">
        <v>8.6</v>
      </c>
      <c r="J16" s="53">
        <v>1.0900000000000001</v>
      </c>
      <c r="K16" s="53">
        <v>50.39</v>
      </c>
      <c r="L16" s="53">
        <v>21.48</v>
      </c>
      <c r="M16" s="53">
        <v>82.19</v>
      </c>
      <c r="N16" s="53">
        <v>189.1</v>
      </c>
      <c r="O16" s="53">
        <v>0</v>
      </c>
      <c r="P16" s="53">
        <v>0.63</v>
      </c>
      <c r="Q16" s="53">
        <v>4.99</v>
      </c>
    </row>
    <row r="17" spans="1:17" customFormat="1">
      <c r="A17" s="52">
        <v>45610.375</v>
      </c>
      <c r="B17" s="53">
        <v>5.15</v>
      </c>
      <c r="C17" s="53">
        <v>8.09</v>
      </c>
      <c r="D17" s="53">
        <v>13.91</v>
      </c>
      <c r="E17" s="53">
        <v>10.39</v>
      </c>
      <c r="F17" s="53">
        <v>5.81</v>
      </c>
      <c r="G17" s="53">
        <v>87.22</v>
      </c>
      <c r="H17" s="53">
        <v>28.97</v>
      </c>
      <c r="I17" s="53">
        <v>8.91</v>
      </c>
      <c r="J17" s="53">
        <v>0.87</v>
      </c>
      <c r="K17" s="53">
        <v>48.67</v>
      </c>
      <c r="L17" s="53">
        <v>24.57</v>
      </c>
      <c r="M17" s="53">
        <v>73.83</v>
      </c>
      <c r="N17" s="53">
        <v>304</v>
      </c>
      <c r="O17" s="53">
        <v>0</v>
      </c>
      <c r="P17" s="53">
        <v>0.65</v>
      </c>
      <c r="Q17" s="53">
        <v>4.99</v>
      </c>
    </row>
    <row r="18" spans="1:17" customFormat="1">
      <c r="A18" s="52">
        <v>45610.416666666664</v>
      </c>
      <c r="B18" s="53">
        <v>5.15</v>
      </c>
      <c r="C18" s="53">
        <v>8.06</v>
      </c>
      <c r="D18" s="53">
        <v>13.91</v>
      </c>
      <c r="E18" s="53">
        <v>10.29</v>
      </c>
      <c r="F18" s="53">
        <v>6.98</v>
      </c>
      <c r="G18" s="53">
        <v>87.22</v>
      </c>
      <c r="H18" s="53">
        <v>28.88</v>
      </c>
      <c r="I18" s="53">
        <v>9.15</v>
      </c>
      <c r="J18" s="53">
        <v>0.87</v>
      </c>
      <c r="K18" s="53">
        <v>60.1</v>
      </c>
      <c r="L18" s="53">
        <v>27.29</v>
      </c>
      <c r="M18" s="53">
        <v>61.66</v>
      </c>
      <c r="N18" s="53">
        <v>454.5</v>
      </c>
      <c r="O18" s="53">
        <v>0</v>
      </c>
      <c r="P18" s="53">
        <v>0.7</v>
      </c>
      <c r="Q18" s="53">
        <v>4.99</v>
      </c>
    </row>
    <row r="19" spans="1:17" customFormat="1">
      <c r="A19" s="52">
        <v>45610.458333333336</v>
      </c>
      <c r="B19" s="53">
        <v>5.17</v>
      </c>
      <c r="C19" s="53">
        <v>8.08</v>
      </c>
      <c r="D19" s="53">
        <v>13.94</v>
      </c>
      <c r="E19" s="53">
        <v>9.7100000000000009</v>
      </c>
      <c r="F19" s="53">
        <v>8.4700000000000006</v>
      </c>
      <c r="G19" s="53">
        <v>87.56</v>
      </c>
      <c r="H19" s="53">
        <v>28.88</v>
      </c>
      <c r="I19" s="53">
        <v>9.15</v>
      </c>
      <c r="J19" s="53">
        <v>0.72</v>
      </c>
      <c r="K19" s="53">
        <v>127.66</v>
      </c>
      <c r="L19" s="53">
        <v>29.9</v>
      </c>
      <c r="M19" s="53">
        <v>50.48</v>
      </c>
      <c r="N19" s="53">
        <v>557.70000000000005</v>
      </c>
      <c r="O19" s="53">
        <v>0</v>
      </c>
      <c r="P19" s="53">
        <v>0.72</v>
      </c>
      <c r="Q19" s="53">
        <v>5</v>
      </c>
    </row>
    <row r="20" spans="1:17" customFormat="1">
      <c r="A20" s="52">
        <v>45610.5</v>
      </c>
      <c r="B20" s="53">
        <v>5.17</v>
      </c>
      <c r="C20" s="53">
        <v>8.1199999999999992</v>
      </c>
      <c r="D20" s="53">
        <v>13.95</v>
      </c>
      <c r="E20" s="53">
        <v>10.11</v>
      </c>
      <c r="F20" s="53">
        <v>10.8</v>
      </c>
      <c r="G20" s="53">
        <v>87.56</v>
      </c>
      <c r="H20" s="53">
        <v>27.92</v>
      </c>
      <c r="I20" s="53">
        <v>8.7899999999999991</v>
      </c>
      <c r="J20" s="53">
        <v>0.67</v>
      </c>
      <c r="K20" s="53">
        <v>94.89</v>
      </c>
      <c r="L20" s="53">
        <v>30.51</v>
      </c>
      <c r="M20" s="53">
        <v>37.17</v>
      </c>
      <c r="N20" s="53">
        <v>568.79999999999995</v>
      </c>
      <c r="O20" s="53">
        <v>0</v>
      </c>
      <c r="P20" s="53">
        <v>0.66</v>
      </c>
      <c r="Q20" s="53">
        <v>4.99</v>
      </c>
    </row>
    <row r="21" spans="1:17" customFormat="1">
      <c r="A21" s="52">
        <v>45610.541666666664</v>
      </c>
      <c r="B21" s="53">
        <v>5.17</v>
      </c>
      <c r="C21" s="53">
        <v>8.07</v>
      </c>
      <c r="D21" s="53">
        <v>13.93</v>
      </c>
      <c r="E21" s="53">
        <v>10.31</v>
      </c>
      <c r="F21" s="53">
        <v>12.93</v>
      </c>
      <c r="G21" s="53">
        <v>73.77</v>
      </c>
      <c r="H21" s="53">
        <v>25.07</v>
      </c>
      <c r="I21" s="53">
        <v>7.92</v>
      </c>
      <c r="J21" s="53">
        <v>0.59</v>
      </c>
      <c r="K21" s="53">
        <v>112.14</v>
      </c>
      <c r="L21" s="53">
        <v>30.67</v>
      </c>
      <c r="M21" s="53">
        <v>35.17</v>
      </c>
      <c r="N21" s="53">
        <v>549.20000000000005</v>
      </c>
      <c r="O21" s="53">
        <v>0</v>
      </c>
      <c r="P21" s="53">
        <v>0.61</v>
      </c>
      <c r="Q21" s="53">
        <v>5</v>
      </c>
    </row>
    <row r="22" spans="1:17" customFormat="1">
      <c r="A22" s="52">
        <v>45610.583333333336</v>
      </c>
      <c r="B22" s="53">
        <v>5.18</v>
      </c>
      <c r="C22" s="53">
        <v>8.06</v>
      </c>
      <c r="D22" s="53">
        <v>13.93</v>
      </c>
      <c r="E22" s="53">
        <v>13.47</v>
      </c>
      <c r="F22" s="53">
        <v>28.55</v>
      </c>
      <c r="G22" s="53">
        <v>64.12</v>
      </c>
      <c r="H22" s="53">
        <v>25.07</v>
      </c>
      <c r="I22" s="53">
        <v>7.32</v>
      </c>
      <c r="J22" s="53">
        <v>0.63</v>
      </c>
      <c r="K22" s="53">
        <v>81.94</v>
      </c>
      <c r="L22" s="53">
        <v>30.83</v>
      </c>
      <c r="M22" s="53">
        <v>33.92</v>
      </c>
      <c r="N22" s="53">
        <v>467.8</v>
      </c>
      <c r="O22" s="53">
        <v>0</v>
      </c>
      <c r="P22" s="53">
        <v>0.55000000000000004</v>
      </c>
      <c r="Q22" s="53">
        <v>4.99</v>
      </c>
    </row>
    <row r="23" spans="1:17" customFormat="1">
      <c r="A23" s="52">
        <v>45610.625</v>
      </c>
      <c r="B23" s="53">
        <v>5.2</v>
      </c>
      <c r="C23" s="53">
        <v>8.08</v>
      </c>
      <c r="D23" s="53">
        <v>13.94</v>
      </c>
      <c r="E23" s="53">
        <v>17.27</v>
      </c>
      <c r="F23" s="53">
        <v>34.020000000000003</v>
      </c>
      <c r="G23" s="11" t="s">
        <v>12</v>
      </c>
      <c r="H23" s="11" t="s">
        <v>12</v>
      </c>
      <c r="I23" s="53">
        <v>5.86</v>
      </c>
      <c r="J23" s="53">
        <v>0.83</v>
      </c>
      <c r="K23" s="53">
        <v>91.42</v>
      </c>
      <c r="L23" s="53">
        <v>29.98</v>
      </c>
      <c r="M23" s="53">
        <v>34.22</v>
      </c>
      <c r="N23" s="53">
        <v>105.3</v>
      </c>
      <c r="O23" s="53">
        <v>0</v>
      </c>
      <c r="P23" s="53">
        <v>0.45</v>
      </c>
      <c r="Q23" s="53">
        <v>5</v>
      </c>
    </row>
    <row r="24" spans="1:17" customFormat="1">
      <c r="A24" s="52">
        <v>45610.666666666664</v>
      </c>
      <c r="B24" s="53">
        <v>5.23</v>
      </c>
      <c r="C24" s="53">
        <v>8.1</v>
      </c>
      <c r="D24" s="53">
        <v>13.96</v>
      </c>
      <c r="E24" s="53">
        <v>17.62</v>
      </c>
      <c r="F24" s="53">
        <v>21.01</v>
      </c>
      <c r="G24" s="53">
        <v>38.840000000000003</v>
      </c>
      <c r="H24" s="53">
        <v>8.31</v>
      </c>
      <c r="I24" s="53">
        <v>5.35</v>
      </c>
      <c r="J24" s="53">
        <v>0.45</v>
      </c>
      <c r="K24" s="53">
        <v>79.040000000000006</v>
      </c>
      <c r="L24" s="53">
        <v>29.52</v>
      </c>
      <c r="M24" s="53">
        <v>36.57</v>
      </c>
      <c r="N24" s="53">
        <v>64.7</v>
      </c>
      <c r="O24" s="53">
        <v>0</v>
      </c>
      <c r="P24" s="53">
        <v>0.45</v>
      </c>
      <c r="Q24" s="53">
        <v>4.99</v>
      </c>
    </row>
    <row r="25" spans="1:17" customFormat="1">
      <c r="A25" s="52">
        <v>45610.708333333336</v>
      </c>
      <c r="B25" s="53">
        <v>5.16</v>
      </c>
      <c r="C25" s="53">
        <v>8.07</v>
      </c>
      <c r="D25" s="53">
        <v>13.92</v>
      </c>
      <c r="E25" s="53">
        <v>12.7</v>
      </c>
      <c r="F25" s="53">
        <v>15.57</v>
      </c>
      <c r="G25" s="53">
        <v>42.14</v>
      </c>
      <c r="H25" s="53">
        <v>13.4</v>
      </c>
      <c r="I25" s="53">
        <v>5.32</v>
      </c>
      <c r="J25" s="53">
        <v>0.46</v>
      </c>
      <c r="K25" s="53">
        <v>121.64</v>
      </c>
      <c r="L25" s="53">
        <v>28.73</v>
      </c>
      <c r="M25" s="53">
        <v>43.6</v>
      </c>
      <c r="N25" s="53">
        <v>31.8</v>
      </c>
      <c r="O25" s="53">
        <v>0</v>
      </c>
      <c r="P25" s="53">
        <v>0.47</v>
      </c>
      <c r="Q25" s="53">
        <v>4.99</v>
      </c>
    </row>
    <row r="26" spans="1:17" customFormat="1">
      <c r="A26" s="52">
        <v>45610.75</v>
      </c>
      <c r="B26" s="53">
        <v>5.15</v>
      </c>
      <c r="C26" s="53">
        <v>8.09</v>
      </c>
      <c r="D26" s="53">
        <v>13.92</v>
      </c>
      <c r="E26" s="53">
        <v>10.87</v>
      </c>
      <c r="F26" s="53">
        <v>9.24</v>
      </c>
      <c r="G26" s="53">
        <v>51.84</v>
      </c>
      <c r="H26" s="53">
        <v>15.76</v>
      </c>
      <c r="I26" s="53">
        <v>5.61</v>
      </c>
      <c r="J26" s="53">
        <v>0.2</v>
      </c>
      <c r="K26" s="53">
        <v>138.34</v>
      </c>
      <c r="L26" s="53">
        <v>26.68</v>
      </c>
      <c r="M26" s="53">
        <v>49.75</v>
      </c>
      <c r="N26" s="53">
        <v>3.3</v>
      </c>
      <c r="O26" s="53">
        <v>0</v>
      </c>
      <c r="P26" s="53">
        <v>0.51</v>
      </c>
      <c r="Q26" s="53">
        <v>4.99</v>
      </c>
    </row>
    <row r="27" spans="1:17" customFormat="1">
      <c r="A27" s="52">
        <v>45610.791666666664</v>
      </c>
      <c r="B27" s="53">
        <v>5.17</v>
      </c>
      <c r="C27" s="53">
        <v>8.07</v>
      </c>
      <c r="D27" s="53">
        <v>13.92</v>
      </c>
      <c r="E27" s="53">
        <v>10.36</v>
      </c>
      <c r="F27" s="53">
        <v>7.16</v>
      </c>
      <c r="G27" s="53">
        <v>61.09</v>
      </c>
      <c r="H27" s="53">
        <v>17.899999999999999</v>
      </c>
      <c r="I27" s="53">
        <v>6.02</v>
      </c>
      <c r="J27" s="53">
        <v>0.31</v>
      </c>
      <c r="K27" s="53">
        <v>163.53</v>
      </c>
      <c r="L27" s="53">
        <v>25.32</v>
      </c>
      <c r="M27" s="53">
        <v>56.38</v>
      </c>
      <c r="N27" s="53">
        <v>1.7</v>
      </c>
      <c r="O27" s="53">
        <v>0</v>
      </c>
      <c r="P27" s="53">
        <v>0.54</v>
      </c>
      <c r="Q27" s="53">
        <v>5</v>
      </c>
    </row>
    <row r="28" spans="1:17" customFormat="1">
      <c r="A28" s="52">
        <v>45610.833333333336</v>
      </c>
      <c r="B28" s="53">
        <v>5.15</v>
      </c>
      <c r="C28" s="53">
        <v>8.08</v>
      </c>
      <c r="D28" s="53">
        <v>13.9</v>
      </c>
      <c r="E28" s="53">
        <v>9.6199999999999992</v>
      </c>
      <c r="F28" s="53">
        <v>6.83</v>
      </c>
      <c r="G28" s="53">
        <v>76.56</v>
      </c>
      <c r="H28" s="53">
        <v>24.77</v>
      </c>
      <c r="I28" s="53">
        <v>6.53</v>
      </c>
      <c r="J28" s="53">
        <v>0.39</v>
      </c>
      <c r="K28" s="53">
        <v>132.11000000000001</v>
      </c>
      <c r="L28" s="53">
        <v>24.44</v>
      </c>
      <c r="M28" s="53">
        <v>57.56</v>
      </c>
      <c r="N28" s="53">
        <v>1.6</v>
      </c>
      <c r="O28" s="53">
        <v>0</v>
      </c>
      <c r="P28" s="53">
        <v>0.63</v>
      </c>
      <c r="Q28" s="53">
        <v>5.01</v>
      </c>
    </row>
    <row r="29" spans="1:17" customFormat="1">
      <c r="A29" s="52">
        <v>45610.875</v>
      </c>
      <c r="B29" s="53">
        <v>5.14</v>
      </c>
      <c r="C29" s="53">
        <v>8.09</v>
      </c>
      <c r="D29" s="53">
        <v>13.91</v>
      </c>
      <c r="E29" s="53">
        <v>9.32</v>
      </c>
      <c r="F29" s="53">
        <v>6.47</v>
      </c>
      <c r="G29" s="53">
        <v>93.82</v>
      </c>
      <c r="H29" s="53">
        <v>26.37</v>
      </c>
      <c r="I29" s="53">
        <v>7.2</v>
      </c>
      <c r="J29" s="53">
        <v>0.4</v>
      </c>
      <c r="K29" s="53">
        <v>73.489999999999995</v>
      </c>
      <c r="L29" s="53">
        <v>23.63</v>
      </c>
      <c r="M29" s="53">
        <v>59.7</v>
      </c>
      <c r="N29" s="53">
        <v>1.6</v>
      </c>
      <c r="O29" s="53">
        <v>0</v>
      </c>
      <c r="P29" s="53">
        <v>0.67</v>
      </c>
      <c r="Q29" s="53">
        <v>4.9800000000000004</v>
      </c>
    </row>
    <row r="30" spans="1:17" customFormat="1">
      <c r="A30" s="52">
        <v>45610.916666666664</v>
      </c>
      <c r="B30" s="53">
        <v>5.12</v>
      </c>
      <c r="C30" s="53">
        <v>8.08</v>
      </c>
      <c r="D30" s="53">
        <v>13.89</v>
      </c>
      <c r="E30" s="53">
        <v>9.0299999999999994</v>
      </c>
      <c r="F30" s="53">
        <v>6.2</v>
      </c>
      <c r="G30" s="53">
        <v>96.96</v>
      </c>
      <c r="H30" s="53">
        <v>30.46</v>
      </c>
      <c r="I30" s="53">
        <v>7.64</v>
      </c>
      <c r="J30" s="53">
        <v>0.22</v>
      </c>
      <c r="K30" s="53">
        <v>208.33</v>
      </c>
      <c r="L30" s="53">
        <v>22.99</v>
      </c>
      <c r="M30" s="53">
        <v>73.22</v>
      </c>
      <c r="N30" s="53">
        <v>2</v>
      </c>
      <c r="O30" s="53">
        <v>0</v>
      </c>
      <c r="P30" s="53">
        <v>0.69</v>
      </c>
      <c r="Q30" s="53">
        <v>4.99</v>
      </c>
    </row>
    <row r="31" spans="1:17" customFormat="1">
      <c r="A31" s="52">
        <v>45610.958333333336</v>
      </c>
      <c r="B31" s="53">
        <v>5.1100000000000003</v>
      </c>
      <c r="C31" s="53">
        <v>8.09</v>
      </c>
      <c r="D31" s="53">
        <v>13.89</v>
      </c>
      <c r="E31" s="53">
        <v>9.01</v>
      </c>
      <c r="F31" s="53">
        <v>6.21</v>
      </c>
      <c r="G31" s="53">
        <v>96.79</v>
      </c>
      <c r="H31" s="53">
        <v>30.4</v>
      </c>
      <c r="I31" s="53">
        <v>7.75</v>
      </c>
      <c r="J31" s="53">
        <v>0.19</v>
      </c>
      <c r="K31" s="53">
        <v>217.75</v>
      </c>
      <c r="L31" s="53">
        <v>21.05</v>
      </c>
      <c r="M31" s="53">
        <v>81.040000000000006</v>
      </c>
      <c r="N31" s="53">
        <v>1.6</v>
      </c>
      <c r="O31" s="53">
        <v>0</v>
      </c>
      <c r="P31" s="53">
        <v>0.68</v>
      </c>
      <c r="Q31" s="53">
        <v>4.99</v>
      </c>
    </row>
    <row r="32" spans="1:17" customFormat="1">
      <c r="A32" s="52">
        <v>45611</v>
      </c>
      <c r="B32" s="53">
        <v>5.12</v>
      </c>
      <c r="C32" s="53">
        <v>8.09</v>
      </c>
      <c r="D32" s="53">
        <v>13.89</v>
      </c>
      <c r="E32" s="53">
        <v>9.11</v>
      </c>
      <c r="F32" s="53">
        <v>5.86</v>
      </c>
      <c r="G32" s="53">
        <v>89.38</v>
      </c>
      <c r="H32" s="53">
        <v>28.53</v>
      </c>
      <c r="I32" s="53">
        <v>7.9</v>
      </c>
      <c r="J32" s="53">
        <v>0.26</v>
      </c>
      <c r="K32" s="53">
        <v>208.11</v>
      </c>
      <c r="L32" s="53">
        <v>20.6</v>
      </c>
      <c r="M32" s="53">
        <v>82.82</v>
      </c>
      <c r="N32" s="53">
        <v>1.6</v>
      </c>
      <c r="O32" s="53">
        <v>0</v>
      </c>
      <c r="P32" s="53">
        <v>0.68</v>
      </c>
      <c r="Q32" s="53">
        <v>4.99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5.1100000000000003</v>
      </c>
      <c r="C34" s="40">
        <f t="shared" si="0"/>
        <v>8.06</v>
      </c>
      <c r="D34" s="40">
        <f t="shared" si="0"/>
        <v>13.89</v>
      </c>
      <c r="E34" s="40">
        <f t="shared" si="0"/>
        <v>9.01</v>
      </c>
      <c r="F34" s="40">
        <f t="shared" si="0"/>
        <v>5.45</v>
      </c>
      <c r="G34" s="40">
        <f t="shared" si="0"/>
        <v>38.840000000000003</v>
      </c>
      <c r="H34" s="40">
        <f t="shared" si="0"/>
        <v>8.31</v>
      </c>
      <c r="I34" s="40">
        <f t="shared" si="0"/>
        <v>5.32</v>
      </c>
      <c r="J34" s="40">
        <f t="shared" si="0"/>
        <v>0.13</v>
      </c>
      <c r="K34" s="40">
        <f t="shared" si="0"/>
        <v>41.53</v>
      </c>
      <c r="L34" s="40">
        <f t="shared" si="0"/>
        <v>19.27</v>
      </c>
      <c r="M34" s="40">
        <f t="shared" si="0"/>
        <v>33.92</v>
      </c>
      <c r="N34" s="40">
        <f t="shared" si="0"/>
        <v>1.3</v>
      </c>
      <c r="O34" s="40">
        <f t="shared" si="0"/>
        <v>0</v>
      </c>
      <c r="P34" s="40">
        <f t="shared" si="0"/>
        <v>0.45</v>
      </c>
      <c r="Q34" s="40">
        <f t="shared" si="0"/>
        <v>4.9800000000000004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5.23</v>
      </c>
      <c r="C35" s="33">
        <f t="shared" si="1"/>
        <v>8.1300000000000008</v>
      </c>
      <c r="D35" s="33">
        <f t="shared" si="1"/>
        <v>13.96</v>
      </c>
      <c r="E35" s="33">
        <f t="shared" si="1"/>
        <v>17.62</v>
      </c>
      <c r="F35" s="33">
        <f t="shared" si="1"/>
        <v>34.020000000000003</v>
      </c>
      <c r="G35" s="33">
        <f t="shared" si="1"/>
        <v>96.96</v>
      </c>
      <c r="H35" s="33">
        <f t="shared" si="1"/>
        <v>30.68</v>
      </c>
      <c r="I35" s="33">
        <f t="shared" si="1"/>
        <v>9.15</v>
      </c>
      <c r="J35" s="33">
        <f t="shared" si="1"/>
        <v>1.0900000000000001</v>
      </c>
      <c r="K35" s="33">
        <f t="shared" si="1"/>
        <v>340.89</v>
      </c>
      <c r="L35" s="33">
        <f t="shared" si="1"/>
        <v>30.83</v>
      </c>
      <c r="M35" s="33">
        <f t="shared" si="1"/>
        <v>89.41</v>
      </c>
      <c r="N35" s="33">
        <f t="shared" si="1"/>
        <v>568.79999999999995</v>
      </c>
      <c r="O35" s="33">
        <f t="shared" si="1"/>
        <v>0</v>
      </c>
      <c r="P35" s="33">
        <f t="shared" si="1"/>
        <v>0.72</v>
      </c>
      <c r="Q35" s="33">
        <f t="shared" si="1"/>
        <v>5.01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5.1541666666666677</v>
      </c>
      <c r="C36" s="40">
        <f t="shared" si="2"/>
        <v>8.0854166666666689</v>
      </c>
      <c r="D36" s="40">
        <f t="shared" si="2"/>
        <v>13.914999999999999</v>
      </c>
      <c r="E36" s="40">
        <f t="shared" si="2"/>
        <v>10.938749999999999</v>
      </c>
      <c r="F36" s="40">
        <f t="shared" si="2"/>
        <v>9.8825000000000003</v>
      </c>
      <c r="G36" s="40">
        <f t="shared" si="2"/>
        <v>76.796956521739105</v>
      </c>
      <c r="H36" s="40">
        <f t="shared" si="2"/>
        <v>25.531739130434779</v>
      </c>
      <c r="I36" s="40">
        <f t="shared" si="2"/>
        <v>7.3883333333333345</v>
      </c>
      <c r="J36" s="40">
        <f t="shared" si="2"/>
        <v>0.46124999999999999</v>
      </c>
      <c r="K36" s="40">
        <f t="shared" si="2"/>
        <v>141.66500000000002</v>
      </c>
      <c r="L36" s="40">
        <f t="shared" si="2"/>
        <v>24.478750000000002</v>
      </c>
      <c r="M36" s="40">
        <f t="shared" si="2"/>
        <v>65.159166666666664</v>
      </c>
      <c r="N36" s="40">
        <f t="shared" si="2"/>
        <v>139.78749999999999</v>
      </c>
      <c r="O36" s="40">
        <f t="shared" si="2"/>
        <v>0</v>
      </c>
      <c r="P36" s="40">
        <f t="shared" si="2"/>
        <v>0.60249999999999992</v>
      </c>
      <c r="Q36" s="40">
        <f t="shared" si="2"/>
        <v>4.9916666666666663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2.6525896561771466E-2</v>
      </c>
      <c r="C37" s="40">
        <f t="shared" ref="C37:Q37" si="3">STDEV(C9:C32)</f>
        <v>1.7932037558919121E-2</v>
      </c>
      <c r="D37" s="40">
        <f t="shared" si="3"/>
        <v>1.9999999999999747E-2</v>
      </c>
      <c r="E37" s="40">
        <f t="shared" si="3"/>
        <v>2.2503107273363883</v>
      </c>
      <c r="F37" s="40">
        <f t="shared" si="3"/>
        <v>7.6354665869218499</v>
      </c>
      <c r="G37" s="40">
        <f t="shared" si="3"/>
        <v>15.823296816226081</v>
      </c>
      <c r="H37" s="40">
        <f t="shared" si="3"/>
        <v>5.9196273317697736</v>
      </c>
      <c r="I37" s="40">
        <f t="shared" si="3"/>
        <v>1.1456103999204064</v>
      </c>
      <c r="J37" s="40">
        <f t="shared" si="3"/>
        <v>0.2711860022679764</v>
      </c>
      <c r="K37" s="40">
        <f t="shared" si="3"/>
        <v>82.725380680270391</v>
      </c>
      <c r="L37" s="40">
        <f t="shared" si="3"/>
        <v>4.2707420315444038</v>
      </c>
      <c r="M37" s="40">
        <f t="shared" si="3"/>
        <v>20.97657470207864</v>
      </c>
      <c r="N37" s="40">
        <f t="shared" si="3"/>
        <v>212.50208451663025</v>
      </c>
      <c r="O37" s="40">
        <f t="shared" si="3"/>
        <v>0</v>
      </c>
      <c r="P37" s="40">
        <f t="shared" si="3"/>
        <v>7.6683993001203724E-2</v>
      </c>
      <c r="Q37" s="40">
        <f t="shared" si="3"/>
        <v>6.3702205727059254E-3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23</v>
      </c>
      <c r="H38" s="45">
        <f t="shared" si="4"/>
        <v>23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45611.041666666664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45611.041666666664</v>
      </c>
      <c r="B9" s="53">
        <v>5.32</v>
      </c>
      <c r="C9" s="53">
        <v>8.07</v>
      </c>
      <c r="D9" s="53">
        <v>14.04</v>
      </c>
      <c r="E9" s="53">
        <v>9.59</v>
      </c>
      <c r="F9" s="53">
        <v>5.69</v>
      </c>
      <c r="G9" s="53">
        <v>77.459999999999994</v>
      </c>
      <c r="H9" s="53">
        <v>28.5</v>
      </c>
      <c r="I9" s="53">
        <v>8.18</v>
      </c>
      <c r="J9" s="53">
        <v>0.16</v>
      </c>
      <c r="K9" s="53">
        <v>228.23</v>
      </c>
      <c r="L9" s="53">
        <v>19.829999999999998</v>
      </c>
      <c r="M9" s="53">
        <v>88.25</v>
      </c>
      <c r="N9" s="53">
        <v>1.4</v>
      </c>
      <c r="O9" s="53">
        <v>0</v>
      </c>
      <c r="P9" s="53">
        <v>0.68</v>
      </c>
      <c r="Q9" s="53">
        <v>4.9800000000000004</v>
      </c>
    </row>
    <row r="10" spans="1:21" customFormat="1">
      <c r="A10" s="52">
        <v>45611.083333333336</v>
      </c>
      <c r="B10" s="53">
        <v>5.32</v>
      </c>
      <c r="C10" s="53">
        <v>8.1</v>
      </c>
      <c r="D10" s="53">
        <v>14.06</v>
      </c>
      <c r="E10" s="53">
        <v>9.64</v>
      </c>
      <c r="F10" s="53">
        <v>5.48</v>
      </c>
      <c r="G10" s="53">
        <v>83.62</v>
      </c>
      <c r="H10" s="53">
        <v>26.44</v>
      </c>
      <c r="I10" s="53">
        <v>8.49</v>
      </c>
      <c r="J10" s="53">
        <v>0.16</v>
      </c>
      <c r="K10" s="53">
        <v>216.46</v>
      </c>
      <c r="L10" s="53">
        <v>19.3</v>
      </c>
      <c r="M10" s="53">
        <v>88.5</v>
      </c>
      <c r="N10" s="53">
        <v>1.3</v>
      </c>
      <c r="O10" s="53">
        <v>0</v>
      </c>
      <c r="P10" s="53">
        <v>0.67</v>
      </c>
      <c r="Q10" s="53">
        <v>4.99</v>
      </c>
    </row>
    <row r="11" spans="1:21" customFormat="1">
      <c r="A11" s="52">
        <v>45611.125</v>
      </c>
      <c r="B11" s="53">
        <v>5.3</v>
      </c>
      <c r="C11" s="53">
        <v>8.08</v>
      </c>
      <c r="D11" s="53">
        <v>14.04</v>
      </c>
      <c r="E11" s="53">
        <v>11.22</v>
      </c>
      <c r="F11" s="53">
        <v>5.68</v>
      </c>
      <c r="G11" s="53">
        <v>85.38</v>
      </c>
      <c r="H11" s="53">
        <v>26.81</v>
      </c>
      <c r="I11" s="53">
        <v>8.84</v>
      </c>
      <c r="J11" s="53">
        <v>0.14000000000000001</v>
      </c>
      <c r="K11" s="53">
        <v>185.75</v>
      </c>
      <c r="L11" s="53">
        <v>19.16</v>
      </c>
      <c r="M11" s="53">
        <v>90.53</v>
      </c>
      <c r="N11" s="53">
        <v>1.3</v>
      </c>
      <c r="O11" s="53">
        <v>0</v>
      </c>
      <c r="P11" s="53">
        <v>0.67</v>
      </c>
      <c r="Q11" s="53">
        <v>4.9800000000000004</v>
      </c>
    </row>
    <row r="12" spans="1:21" customFormat="1">
      <c r="A12" s="52">
        <v>45611.166666666664</v>
      </c>
      <c r="B12" s="53">
        <v>5.31</v>
      </c>
      <c r="C12" s="53">
        <v>8.11</v>
      </c>
      <c r="D12" s="53">
        <v>14.05</v>
      </c>
      <c r="E12" s="53">
        <v>11.07</v>
      </c>
      <c r="F12" s="53">
        <v>5.71</v>
      </c>
      <c r="G12" s="53">
        <v>85.18</v>
      </c>
      <c r="H12" s="53">
        <v>26.78</v>
      </c>
      <c r="I12" s="53">
        <v>9.43</v>
      </c>
      <c r="J12" s="53">
        <v>0.41</v>
      </c>
      <c r="K12" s="53">
        <v>41.73</v>
      </c>
      <c r="L12" s="53">
        <v>19.13</v>
      </c>
      <c r="M12" s="53">
        <v>89.63</v>
      </c>
      <c r="N12" s="53">
        <v>1.4</v>
      </c>
      <c r="O12" s="53">
        <v>0</v>
      </c>
      <c r="P12" s="53">
        <v>0.68</v>
      </c>
      <c r="Q12" s="53">
        <v>4.99</v>
      </c>
    </row>
    <row r="13" spans="1:21" customFormat="1">
      <c r="A13" s="52">
        <v>45611.208333333336</v>
      </c>
      <c r="B13" s="53">
        <v>5.3</v>
      </c>
      <c r="C13" s="53">
        <v>8.08</v>
      </c>
      <c r="D13" s="53">
        <v>14.03</v>
      </c>
      <c r="E13" s="53">
        <v>10.78</v>
      </c>
      <c r="F13" s="53">
        <v>5.78</v>
      </c>
      <c r="G13" s="53">
        <v>76.34</v>
      </c>
      <c r="H13" s="53">
        <v>24.73</v>
      </c>
      <c r="I13" s="53">
        <v>9.59</v>
      </c>
      <c r="J13" s="53">
        <v>0.28999999999999998</v>
      </c>
      <c r="K13" s="53">
        <v>38.340000000000003</v>
      </c>
      <c r="L13" s="53">
        <v>19.07</v>
      </c>
      <c r="M13" s="53">
        <v>78.38</v>
      </c>
      <c r="N13" s="53">
        <v>1.4</v>
      </c>
      <c r="O13" s="53">
        <v>0</v>
      </c>
      <c r="P13" s="53">
        <v>0.68</v>
      </c>
      <c r="Q13" s="53">
        <v>4.99</v>
      </c>
    </row>
    <row r="14" spans="1:21" customFormat="1">
      <c r="A14" s="52">
        <v>45611.25</v>
      </c>
      <c r="B14" s="53">
        <v>5.32</v>
      </c>
      <c r="C14" s="53">
        <v>8.11</v>
      </c>
      <c r="D14" s="53">
        <v>14.06</v>
      </c>
      <c r="E14" s="53">
        <v>10.37</v>
      </c>
      <c r="F14" s="53">
        <v>5.7</v>
      </c>
      <c r="G14" s="53">
        <v>74.03</v>
      </c>
      <c r="H14" s="53">
        <v>25.75</v>
      </c>
      <c r="I14" s="53">
        <v>9.4499999999999993</v>
      </c>
      <c r="J14" s="53">
        <v>0.45</v>
      </c>
      <c r="K14" s="53">
        <v>43.72</v>
      </c>
      <c r="L14" s="53">
        <v>18.64</v>
      </c>
      <c r="M14" s="53">
        <v>78.489999999999995</v>
      </c>
      <c r="N14" s="53">
        <v>2.5</v>
      </c>
      <c r="O14" s="53">
        <v>0</v>
      </c>
      <c r="P14" s="53">
        <v>0.68</v>
      </c>
      <c r="Q14" s="53">
        <v>5</v>
      </c>
    </row>
    <row r="15" spans="1:21" customFormat="1">
      <c r="A15" s="52">
        <v>45611.291666666664</v>
      </c>
      <c r="B15" s="53">
        <v>5.33</v>
      </c>
      <c r="C15" s="53">
        <v>8.1</v>
      </c>
      <c r="D15" s="53">
        <v>14.06</v>
      </c>
      <c r="E15" s="53">
        <v>9.92</v>
      </c>
      <c r="F15" s="53">
        <v>5.57</v>
      </c>
      <c r="G15" s="53">
        <v>74.599999999999994</v>
      </c>
      <c r="H15" s="53">
        <v>27.28</v>
      </c>
      <c r="I15" s="53">
        <v>9.27</v>
      </c>
      <c r="J15" s="53">
        <v>0.24</v>
      </c>
      <c r="K15" s="53">
        <v>154.66</v>
      </c>
      <c r="L15" s="53">
        <v>18.760000000000002</v>
      </c>
      <c r="M15" s="53">
        <v>87.04</v>
      </c>
      <c r="N15" s="53">
        <v>36.700000000000003</v>
      </c>
      <c r="O15" s="53">
        <v>0</v>
      </c>
      <c r="P15" s="53">
        <v>0.68</v>
      </c>
      <c r="Q15" s="53">
        <v>5</v>
      </c>
    </row>
    <row r="16" spans="1:21" customFormat="1">
      <c r="A16" s="52">
        <v>45611.333333333336</v>
      </c>
      <c r="B16" s="53">
        <v>5.29</v>
      </c>
      <c r="C16" s="53">
        <v>8.1</v>
      </c>
      <c r="D16" s="53">
        <v>14.03</v>
      </c>
      <c r="E16" s="53">
        <v>10.02</v>
      </c>
      <c r="F16" s="53">
        <v>5.53</v>
      </c>
      <c r="G16" s="53">
        <v>76.790000000000006</v>
      </c>
      <c r="H16" s="53">
        <v>27.25</v>
      </c>
      <c r="I16" s="53">
        <v>9.4700000000000006</v>
      </c>
      <c r="J16" s="53">
        <v>0.61</v>
      </c>
      <c r="K16" s="53">
        <v>55.42</v>
      </c>
      <c r="L16" s="53">
        <v>21.25</v>
      </c>
      <c r="M16" s="53">
        <v>73.11</v>
      </c>
      <c r="N16" s="53">
        <v>192.1</v>
      </c>
      <c r="O16" s="53">
        <v>0</v>
      </c>
      <c r="P16" s="53">
        <v>0.71</v>
      </c>
      <c r="Q16" s="53">
        <v>5</v>
      </c>
    </row>
    <row r="17" spans="1:17" customFormat="1">
      <c r="A17" s="52">
        <v>45611.375</v>
      </c>
      <c r="B17" s="53">
        <v>5.28</v>
      </c>
      <c r="C17" s="53">
        <v>8.09</v>
      </c>
      <c r="D17" s="53">
        <v>14.02</v>
      </c>
      <c r="E17" s="53">
        <v>10.29</v>
      </c>
      <c r="F17" s="53">
        <v>5.83</v>
      </c>
      <c r="G17" s="53">
        <v>78.849999999999994</v>
      </c>
      <c r="H17" s="53">
        <v>26.02</v>
      </c>
      <c r="I17" s="53">
        <v>9.99</v>
      </c>
      <c r="J17" s="53">
        <v>0.53</v>
      </c>
      <c r="K17" s="53">
        <v>88.58</v>
      </c>
      <c r="L17" s="53">
        <v>25.24</v>
      </c>
      <c r="M17" s="53">
        <v>64.459999999999994</v>
      </c>
      <c r="N17" s="53">
        <v>322.10000000000002</v>
      </c>
      <c r="O17" s="53">
        <v>0</v>
      </c>
      <c r="P17" s="53">
        <v>0.72</v>
      </c>
      <c r="Q17" s="53">
        <v>5</v>
      </c>
    </row>
    <row r="18" spans="1:17" customFormat="1">
      <c r="A18" s="52">
        <v>45611.416666666664</v>
      </c>
      <c r="B18" s="53">
        <v>5.28</v>
      </c>
      <c r="C18" s="53">
        <v>8.1</v>
      </c>
      <c r="D18" s="53">
        <v>14.02</v>
      </c>
      <c r="E18" s="53">
        <v>10.28</v>
      </c>
      <c r="F18" s="53">
        <v>6.36</v>
      </c>
      <c r="G18" s="53">
        <v>78.790000000000006</v>
      </c>
      <c r="H18" s="53">
        <v>25.99</v>
      </c>
      <c r="I18" s="53">
        <v>10.119999999999999</v>
      </c>
      <c r="J18" s="53">
        <v>0.56000000000000005</v>
      </c>
      <c r="K18" s="53">
        <v>92.05</v>
      </c>
      <c r="L18" s="53">
        <v>27.24</v>
      </c>
      <c r="M18" s="53">
        <v>51.73</v>
      </c>
      <c r="N18" s="53">
        <v>477.3</v>
      </c>
      <c r="O18" s="53">
        <v>0</v>
      </c>
      <c r="P18" s="53">
        <v>0.71</v>
      </c>
      <c r="Q18" s="53">
        <v>4.99</v>
      </c>
    </row>
    <row r="19" spans="1:17" customFormat="1">
      <c r="A19" s="52">
        <v>45611.458333333336</v>
      </c>
      <c r="B19" s="53">
        <v>5.28</v>
      </c>
      <c r="C19" s="53">
        <v>8.11</v>
      </c>
      <c r="D19" s="53">
        <v>14.02</v>
      </c>
      <c r="E19" s="53">
        <v>10.65</v>
      </c>
      <c r="F19" s="53">
        <v>7.62</v>
      </c>
      <c r="G19" s="53">
        <v>84.83</v>
      </c>
      <c r="H19" s="53">
        <v>25.49</v>
      </c>
      <c r="I19" s="53">
        <v>10.1</v>
      </c>
      <c r="J19" s="53">
        <v>0.75</v>
      </c>
      <c r="K19" s="53">
        <v>75.459999999999994</v>
      </c>
      <c r="L19" s="53">
        <v>28.84</v>
      </c>
      <c r="M19" s="53">
        <v>43.61</v>
      </c>
      <c r="N19" s="53">
        <v>512.29999999999995</v>
      </c>
      <c r="O19" s="53">
        <v>0</v>
      </c>
      <c r="P19" s="53">
        <v>0.68</v>
      </c>
      <c r="Q19" s="53">
        <v>4.99</v>
      </c>
    </row>
    <row r="20" spans="1:17" customFormat="1">
      <c r="A20" s="52">
        <v>45611.5</v>
      </c>
      <c r="B20" s="53">
        <v>5.28</v>
      </c>
      <c r="C20" s="53">
        <v>8.08</v>
      </c>
      <c r="D20" s="53">
        <v>14.01</v>
      </c>
      <c r="E20" s="53">
        <v>11.8</v>
      </c>
      <c r="F20" s="53">
        <v>8.9700000000000006</v>
      </c>
      <c r="G20" s="53">
        <v>84.76</v>
      </c>
      <c r="H20" s="53">
        <v>25.47</v>
      </c>
      <c r="I20" s="53">
        <v>9.84</v>
      </c>
      <c r="J20" s="53">
        <v>0.64</v>
      </c>
      <c r="K20" s="53">
        <v>53.26</v>
      </c>
      <c r="L20" s="53">
        <v>29.3</v>
      </c>
      <c r="M20" s="53">
        <v>35.630000000000003</v>
      </c>
      <c r="N20" s="53">
        <v>578.5</v>
      </c>
      <c r="O20" s="53">
        <v>0</v>
      </c>
      <c r="P20" s="53">
        <v>0.65</v>
      </c>
      <c r="Q20" s="53">
        <v>4.99</v>
      </c>
    </row>
    <row r="21" spans="1:17" customFormat="1">
      <c r="A21" s="52">
        <v>45611.541666666664</v>
      </c>
      <c r="B21" s="53">
        <v>5.27</v>
      </c>
      <c r="C21" s="53">
        <v>8.08</v>
      </c>
      <c r="D21" s="53">
        <v>14.01</v>
      </c>
      <c r="E21" s="53">
        <v>15.09</v>
      </c>
      <c r="F21" s="53">
        <v>10.82</v>
      </c>
      <c r="G21" s="53">
        <v>81.760000000000005</v>
      </c>
      <c r="H21" s="53">
        <v>24.34</v>
      </c>
      <c r="I21" s="53">
        <v>9.18</v>
      </c>
      <c r="J21" s="53">
        <v>0.75</v>
      </c>
      <c r="K21" s="53">
        <v>50.08</v>
      </c>
      <c r="L21" s="53">
        <v>30.33</v>
      </c>
      <c r="M21" s="53">
        <v>32.25</v>
      </c>
      <c r="N21" s="53">
        <v>562.4</v>
      </c>
      <c r="O21" s="53">
        <v>0</v>
      </c>
      <c r="P21" s="53">
        <v>0.61</v>
      </c>
      <c r="Q21" s="53">
        <v>5</v>
      </c>
    </row>
    <row r="22" spans="1:17" customFormat="1">
      <c r="A22" s="52">
        <v>45611.583333333336</v>
      </c>
      <c r="B22" s="53">
        <v>5.25</v>
      </c>
      <c r="C22" s="53">
        <v>8.1</v>
      </c>
      <c r="D22" s="53">
        <v>14.01</v>
      </c>
      <c r="E22" s="53">
        <v>22.55</v>
      </c>
      <c r="F22" s="53">
        <v>10.08</v>
      </c>
      <c r="G22" s="53">
        <v>75.64</v>
      </c>
      <c r="H22" s="53">
        <v>24.83</v>
      </c>
      <c r="I22" s="53">
        <v>8.57</v>
      </c>
      <c r="J22" s="53">
        <v>0.66</v>
      </c>
      <c r="K22" s="53">
        <v>47.76</v>
      </c>
      <c r="L22" s="53">
        <v>30.28</v>
      </c>
      <c r="M22" s="53">
        <v>31.99</v>
      </c>
      <c r="N22" s="53">
        <v>480</v>
      </c>
      <c r="O22" s="53">
        <v>0</v>
      </c>
      <c r="P22" s="53">
        <v>0.59</v>
      </c>
      <c r="Q22" s="53">
        <v>5</v>
      </c>
    </row>
    <row r="23" spans="1:17" customFormat="1">
      <c r="A23" s="52">
        <v>45611.625</v>
      </c>
      <c r="B23" s="53">
        <v>5.28</v>
      </c>
      <c r="C23" s="53">
        <v>8.09</v>
      </c>
      <c r="D23" s="53">
        <v>14.03</v>
      </c>
      <c r="E23" s="53">
        <v>43.07</v>
      </c>
      <c r="F23" s="53">
        <v>17.46</v>
      </c>
      <c r="G23" s="53">
        <v>69.13</v>
      </c>
      <c r="H23" s="53">
        <v>24.79</v>
      </c>
      <c r="I23" s="53">
        <v>8.07</v>
      </c>
      <c r="J23" s="53">
        <v>0.6</v>
      </c>
      <c r="K23" s="53">
        <v>38.31</v>
      </c>
      <c r="L23" s="53">
        <v>29.57</v>
      </c>
      <c r="M23" s="53">
        <v>31.58</v>
      </c>
      <c r="N23" s="53">
        <v>97.6</v>
      </c>
      <c r="O23" s="53">
        <v>0</v>
      </c>
      <c r="P23" s="53">
        <v>0.57999999999999996</v>
      </c>
      <c r="Q23" s="53">
        <v>4.99</v>
      </c>
    </row>
    <row r="24" spans="1:17" customFormat="1">
      <c r="A24" s="52">
        <v>45611.666666666664</v>
      </c>
      <c r="B24" s="53">
        <v>5.27</v>
      </c>
      <c r="C24" s="53">
        <v>8.09</v>
      </c>
      <c r="D24" s="53">
        <v>14.02</v>
      </c>
      <c r="E24" s="53">
        <v>24.96</v>
      </c>
      <c r="F24" s="53">
        <v>16.68</v>
      </c>
      <c r="G24" s="53">
        <v>66.08</v>
      </c>
      <c r="H24" s="53">
        <v>21.63</v>
      </c>
      <c r="I24" s="53">
        <v>7.53</v>
      </c>
      <c r="J24" s="53">
        <v>0.69</v>
      </c>
      <c r="K24" s="53">
        <v>42.82</v>
      </c>
      <c r="L24" s="53">
        <v>29.31</v>
      </c>
      <c r="M24" s="53">
        <v>31.1</v>
      </c>
      <c r="N24" s="53">
        <v>59.2</v>
      </c>
      <c r="O24" s="53">
        <v>0</v>
      </c>
      <c r="P24" s="53">
        <v>0.57999999999999996</v>
      </c>
      <c r="Q24" s="53">
        <v>5</v>
      </c>
    </row>
    <row r="25" spans="1:17" customFormat="1">
      <c r="A25" s="52">
        <v>45611.708333333336</v>
      </c>
      <c r="B25" s="53">
        <v>5.28</v>
      </c>
      <c r="C25" s="53">
        <v>8.09</v>
      </c>
      <c r="D25" s="53">
        <v>14.03</v>
      </c>
      <c r="E25" s="53">
        <v>15.9</v>
      </c>
      <c r="F25" s="53">
        <v>14.04</v>
      </c>
      <c r="G25" s="53">
        <v>68.75</v>
      </c>
      <c r="H25" s="53">
        <v>21.28</v>
      </c>
      <c r="I25" s="53">
        <v>7.04</v>
      </c>
      <c r="J25" s="53">
        <v>0.43</v>
      </c>
      <c r="K25" s="53">
        <v>48.46</v>
      </c>
      <c r="L25" s="53">
        <v>28.55</v>
      </c>
      <c r="M25" s="53">
        <v>37.18</v>
      </c>
      <c r="N25" s="53">
        <v>33.6</v>
      </c>
      <c r="O25" s="53">
        <v>0</v>
      </c>
      <c r="P25" s="53">
        <v>0.6</v>
      </c>
      <c r="Q25" s="53">
        <v>4.99</v>
      </c>
    </row>
    <row r="26" spans="1:17" customFormat="1">
      <c r="A26" s="52">
        <v>45611.75</v>
      </c>
      <c r="B26" s="53">
        <v>5.29</v>
      </c>
      <c r="C26" s="53">
        <v>8.09</v>
      </c>
      <c r="D26" s="53">
        <v>14.03</v>
      </c>
      <c r="E26" s="53">
        <v>10.32</v>
      </c>
      <c r="F26" s="53">
        <v>8.18</v>
      </c>
      <c r="G26" s="53">
        <v>79</v>
      </c>
      <c r="H26" s="53">
        <v>25.12</v>
      </c>
      <c r="I26" s="53">
        <v>7.06</v>
      </c>
      <c r="J26" s="53">
        <v>0.33</v>
      </c>
      <c r="K26" s="53">
        <v>160.11000000000001</v>
      </c>
      <c r="L26" s="53">
        <v>26.5</v>
      </c>
      <c r="M26" s="53">
        <v>50.88</v>
      </c>
      <c r="N26" s="53">
        <v>3.4</v>
      </c>
      <c r="O26" s="53">
        <v>0</v>
      </c>
      <c r="P26" s="53">
        <v>0.63</v>
      </c>
      <c r="Q26" s="53">
        <v>4.99</v>
      </c>
    </row>
    <row r="27" spans="1:17" customFormat="1">
      <c r="A27" s="52">
        <v>45611.791666666664</v>
      </c>
      <c r="B27" s="53">
        <v>5.27</v>
      </c>
      <c r="C27" s="53">
        <v>8.11</v>
      </c>
      <c r="D27" s="53">
        <v>14.03</v>
      </c>
      <c r="E27" s="53">
        <v>9.4499999999999993</v>
      </c>
      <c r="F27" s="53">
        <v>7.23</v>
      </c>
      <c r="G27" s="53">
        <v>97.09</v>
      </c>
      <c r="H27" s="53">
        <v>28.53</v>
      </c>
      <c r="I27" s="53">
        <v>7.71</v>
      </c>
      <c r="J27" s="53">
        <v>0.56999999999999995</v>
      </c>
      <c r="K27" s="53">
        <v>55.51</v>
      </c>
      <c r="L27" s="53">
        <v>25.28</v>
      </c>
      <c r="M27" s="53">
        <v>44.82</v>
      </c>
      <c r="N27" s="53">
        <v>1.7</v>
      </c>
      <c r="O27" s="53">
        <v>0</v>
      </c>
      <c r="P27" s="53">
        <v>0.7</v>
      </c>
      <c r="Q27" s="53">
        <v>5</v>
      </c>
    </row>
    <row r="28" spans="1:17" customFormat="1">
      <c r="A28" s="52">
        <v>45611.833333333336</v>
      </c>
      <c r="B28" s="53">
        <v>5.28</v>
      </c>
      <c r="C28" s="53">
        <v>8.07</v>
      </c>
      <c r="D28" s="53">
        <v>14.02</v>
      </c>
      <c r="E28" s="53">
        <v>8.7899999999999991</v>
      </c>
      <c r="F28" s="53">
        <v>6.45</v>
      </c>
      <c r="G28" s="53">
        <v>104.89</v>
      </c>
      <c r="H28" s="53">
        <v>35.74</v>
      </c>
      <c r="I28" s="53">
        <v>8.16</v>
      </c>
      <c r="J28" s="53">
        <v>0.2</v>
      </c>
      <c r="K28" s="53">
        <v>153.38</v>
      </c>
      <c r="L28" s="53">
        <v>24.2</v>
      </c>
      <c r="M28" s="53">
        <v>53.32</v>
      </c>
      <c r="N28" s="53">
        <v>1.7</v>
      </c>
      <c r="O28" s="53">
        <v>0</v>
      </c>
      <c r="P28" s="53">
        <v>0.72</v>
      </c>
      <c r="Q28" s="53">
        <v>5.01</v>
      </c>
    </row>
    <row r="29" spans="1:17" customFormat="1">
      <c r="A29" s="52">
        <v>45611.875</v>
      </c>
      <c r="B29" s="53">
        <v>5.28</v>
      </c>
      <c r="C29" s="53">
        <v>8.09</v>
      </c>
      <c r="D29" s="53">
        <v>14.02</v>
      </c>
      <c r="E29" s="53">
        <v>9.43</v>
      </c>
      <c r="F29" s="53">
        <v>6.19</v>
      </c>
      <c r="G29" s="53">
        <v>108.92</v>
      </c>
      <c r="H29" s="53">
        <v>35.700000000000003</v>
      </c>
      <c r="I29" s="53">
        <v>8.4499999999999993</v>
      </c>
      <c r="J29" s="53">
        <v>0.17</v>
      </c>
      <c r="K29" s="53">
        <v>224.26</v>
      </c>
      <c r="L29" s="53">
        <v>22.67</v>
      </c>
      <c r="M29" s="53">
        <v>59.81</v>
      </c>
      <c r="N29" s="53">
        <v>1.7</v>
      </c>
      <c r="O29" s="53">
        <v>0</v>
      </c>
      <c r="P29" s="53">
        <v>0.74</v>
      </c>
      <c r="Q29" s="53">
        <v>4.99</v>
      </c>
    </row>
    <row r="30" spans="1:17" customFormat="1">
      <c r="A30" s="52">
        <v>45611.916666666664</v>
      </c>
      <c r="B30" s="53">
        <v>5.29</v>
      </c>
      <c r="C30" s="53">
        <v>8.11</v>
      </c>
      <c r="D30" s="53">
        <v>14.05</v>
      </c>
      <c r="E30" s="53">
        <v>9.3000000000000007</v>
      </c>
      <c r="F30" s="53">
        <v>6.1</v>
      </c>
      <c r="G30" s="53">
        <v>108.9</v>
      </c>
      <c r="H30" s="53">
        <v>33.31</v>
      </c>
      <c r="I30" s="53">
        <v>8.91</v>
      </c>
      <c r="J30" s="53">
        <v>0.21</v>
      </c>
      <c r="K30" s="53">
        <v>122.47</v>
      </c>
      <c r="L30" s="53">
        <v>22.79</v>
      </c>
      <c r="M30" s="53">
        <v>57.02</v>
      </c>
      <c r="N30" s="53">
        <v>1.7</v>
      </c>
      <c r="O30" s="53">
        <v>0</v>
      </c>
      <c r="P30" s="53">
        <v>0.76</v>
      </c>
      <c r="Q30" s="53">
        <v>4.99</v>
      </c>
    </row>
    <row r="31" spans="1:17" customFormat="1">
      <c r="A31" s="52">
        <v>45611.958333333336</v>
      </c>
      <c r="B31" s="53">
        <v>5.29</v>
      </c>
      <c r="C31" s="53">
        <v>8.08</v>
      </c>
      <c r="D31" s="53">
        <v>14.03</v>
      </c>
      <c r="E31" s="53">
        <v>9.1199999999999992</v>
      </c>
      <c r="F31" s="53">
        <v>5.67</v>
      </c>
      <c r="G31" s="53">
        <v>108.19</v>
      </c>
      <c r="H31" s="53">
        <v>34.840000000000003</v>
      </c>
      <c r="I31" s="53">
        <v>9.39</v>
      </c>
      <c r="J31" s="53">
        <v>0.16</v>
      </c>
      <c r="K31" s="53">
        <v>218.31</v>
      </c>
      <c r="L31" s="53">
        <v>21.15</v>
      </c>
      <c r="M31" s="53">
        <v>72.239999999999995</v>
      </c>
      <c r="N31" s="53">
        <v>1.8</v>
      </c>
      <c r="O31" s="53">
        <v>0</v>
      </c>
      <c r="P31" s="53">
        <v>0.78</v>
      </c>
      <c r="Q31" s="53">
        <v>5</v>
      </c>
    </row>
    <row r="32" spans="1:17" customFormat="1">
      <c r="A32" s="52">
        <v>45612</v>
      </c>
      <c r="B32" s="53">
        <v>5.3</v>
      </c>
      <c r="C32" s="53">
        <v>8.08</v>
      </c>
      <c r="D32" s="53">
        <v>14.03</v>
      </c>
      <c r="E32" s="53">
        <v>9.25</v>
      </c>
      <c r="F32" s="53">
        <v>5.82</v>
      </c>
      <c r="G32" s="53">
        <v>106.73</v>
      </c>
      <c r="H32" s="53">
        <v>36.53</v>
      </c>
      <c r="I32" s="53">
        <v>9.9700000000000006</v>
      </c>
      <c r="J32" s="53">
        <v>0.2</v>
      </c>
      <c r="K32" s="53">
        <v>224.66</v>
      </c>
      <c r="L32" s="53">
        <v>19.760000000000002</v>
      </c>
      <c r="M32" s="53">
        <v>75.11</v>
      </c>
      <c r="N32" s="53">
        <v>1.7</v>
      </c>
      <c r="O32" s="53">
        <v>0</v>
      </c>
      <c r="P32" s="53">
        <v>0.79</v>
      </c>
      <c r="Q32" s="53">
        <v>5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5.25</v>
      </c>
      <c r="C34" s="40">
        <f t="shared" si="0"/>
        <v>8.07</v>
      </c>
      <c r="D34" s="40">
        <f t="shared" si="0"/>
        <v>14.01</v>
      </c>
      <c r="E34" s="40">
        <f t="shared" si="0"/>
        <v>8.7899999999999991</v>
      </c>
      <c r="F34" s="40">
        <f t="shared" si="0"/>
        <v>5.48</v>
      </c>
      <c r="G34" s="40">
        <f t="shared" si="0"/>
        <v>66.08</v>
      </c>
      <c r="H34" s="40">
        <f t="shared" si="0"/>
        <v>21.28</v>
      </c>
      <c r="I34" s="40">
        <f t="shared" si="0"/>
        <v>7.04</v>
      </c>
      <c r="J34" s="40">
        <f t="shared" si="0"/>
        <v>0.14000000000000001</v>
      </c>
      <c r="K34" s="40">
        <f t="shared" si="0"/>
        <v>38.31</v>
      </c>
      <c r="L34" s="40">
        <f t="shared" si="0"/>
        <v>18.64</v>
      </c>
      <c r="M34" s="40">
        <f t="shared" si="0"/>
        <v>31.1</v>
      </c>
      <c r="N34" s="40">
        <f t="shared" si="0"/>
        <v>1.3</v>
      </c>
      <c r="O34" s="40">
        <f t="shared" si="0"/>
        <v>0</v>
      </c>
      <c r="P34" s="40">
        <f t="shared" si="0"/>
        <v>0.57999999999999996</v>
      </c>
      <c r="Q34" s="40">
        <f t="shared" si="0"/>
        <v>4.9800000000000004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5.33</v>
      </c>
      <c r="C35" s="33">
        <f t="shared" si="1"/>
        <v>8.11</v>
      </c>
      <c r="D35" s="33">
        <f t="shared" si="1"/>
        <v>14.06</v>
      </c>
      <c r="E35" s="33">
        <f t="shared" si="1"/>
        <v>43.07</v>
      </c>
      <c r="F35" s="33">
        <f t="shared" si="1"/>
        <v>17.46</v>
      </c>
      <c r="G35" s="33">
        <f t="shared" si="1"/>
        <v>108.92</v>
      </c>
      <c r="H35" s="33">
        <f t="shared" si="1"/>
        <v>36.53</v>
      </c>
      <c r="I35" s="33">
        <f t="shared" si="1"/>
        <v>10.119999999999999</v>
      </c>
      <c r="J35" s="33">
        <f t="shared" si="1"/>
        <v>0.75</v>
      </c>
      <c r="K35" s="33">
        <f t="shared" si="1"/>
        <v>228.23</v>
      </c>
      <c r="L35" s="33">
        <f t="shared" si="1"/>
        <v>30.33</v>
      </c>
      <c r="M35" s="33">
        <f t="shared" si="1"/>
        <v>90.53</v>
      </c>
      <c r="N35" s="33">
        <f t="shared" si="1"/>
        <v>578.5</v>
      </c>
      <c r="O35" s="33">
        <f t="shared" si="1"/>
        <v>0</v>
      </c>
      <c r="P35" s="33">
        <f t="shared" si="1"/>
        <v>0.79</v>
      </c>
      <c r="Q35" s="33">
        <f t="shared" si="1"/>
        <v>5.01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5.2900000000000009</v>
      </c>
      <c r="C36" s="40">
        <f t="shared" si="2"/>
        <v>8.0920833333333331</v>
      </c>
      <c r="D36" s="40">
        <f t="shared" si="2"/>
        <v>14.031249999999995</v>
      </c>
      <c r="E36" s="40">
        <f t="shared" si="2"/>
        <v>13.035833333333336</v>
      </c>
      <c r="F36" s="40">
        <f t="shared" si="2"/>
        <v>7.8599999999999985</v>
      </c>
      <c r="G36" s="40">
        <f t="shared" si="2"/>
        <v>84.82125000000002</v>
      </c>
      <c r="H36" s="40">
        <f t="shared" si="2"/>
        <v>27.631249999999998</v>
      </c>
      <c r="I36" s="40">
        <f t="shared" si="2"/>
        <v>8.8670833333333317</v>
      </c>
      <c r="J36" s="40">
        <f t="shared" si="2"/>
        <v>0.41291666666666665</v>
      </c>
      <c r="K36" s="40">
        <f t="shared" si="2"/>
        <v>110.82458333333329</v>
      </c>
      <c r="L36" s="40">
        <f t="shared" si="2"/>
        <v>24.006249999999998</v>
      </c>
      <c r="M36" s="40">
        <f t="shared" si="2"/>
        <v>60.277499999999996</v>
      </c>
      <c r="N36" s="40">
        <f t="shared" si="2"/>
        <v>140.61666666666665</v>
      </c>
      <c r="O36" s="40">
        <f t="shared" si="2"/>
        <v>0</v>
      </c>
      <c r="P36" s="40">
        <f t="shared" si="2"/>
        <v>0.67874999999999996</v>
      </c>
      <c r="Q36" s="40">
        <f t="shared" si="2"/>
        <v>4.9941666666666658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1.9336831267771425E-2</v>
      </c>
      <c r="C37" s="40">
        <f t="shared" ref="C37:Q37" si="3">STDEV(C9:C32)</f>
        <v>1.2846642825425284E-2</v>
      </c>
      <c r="D37" s="40">
        <f t="shared" si="3"/>
        <v>1.5411035007422736E-2</v>
      </c>
      <c r="E37" s="40">
        <f t="shared" si="3"/>
        <v>7.5928604432153808</v>
      </c>
      <c r="F37" s="40">
        <f t="shared" si="3"/>
        <v>3.5277792004257509</v>
      </c>
      <c r="G37" s="40">
        <f t="shared" si="3"/>
        <v>13.527200074214285</v>
      </c>
      <c r="H37" s="40">
        <f t="shared" si="3"/>
        <v>4.3480223515484893</v>
      </c>
      <c r="I37" s="40">
        <f t="shared" si="3"/>
        <v>0.94028431947432456</v>
      </c>
      <c r="J37" s="40">
        <f t="shared" si="3"/>
        <v>0.21480990922545756</v>
      </c>
      <c r="K37" s="40">
        <f t="shared" si="3"/>
        <v>72.754670071481698</v>
      </c>
      <c r="L37" s="40">
        <f t="shared" si="3"/>
        <v>4.3485038031588656</v>
      </c>
      <c r="M37" s="40">
        <f t="shared" si="3"/>
        <v>21.280314081124512</v>
      </c>
      <c r="N37" s="40">
        <f t="shared" si="3"/>
        <v>213.99627113099658</v>
      </c>
      <c r="O37" s="40">
        <f t="shared" si="3"/>
        <v>0</v>
      </c>
      <c r="P37" s="40">
        <f t="shared" si="3"/>
        <v>5.9147016536909486E-2</v>
      </c>
      <c r="Q37" s="40">
        <f t="shared" si="3"/>
        <v>7.1728150235675688E-3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45612.041666666664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45612.041666666664</v>
      </c>
      <c r="B9" s="53">
        <v>5.3</v>
      </c>
      <c r="C9" s="53">
        <v>8.17</v>
      </c>
      <c r="D9" s="53">
        <v>14.04</v>
      </c>
      <c r="E9" s="53">
        <v>8.82</v>
      </c>
      <c r="F9" s="53">
        <v>5.94</v>
      </c>
      <c r="G9" s="53">
        <v>103.17</v>
      </c>
      <c r="H9" s="53">
        <v>36.51</v>
      </c>
      <c r="I9" s="53">
        <v>9.93</v>
      </c>
      <c r="J9" s="53">
        <v>0.18</v>
      </c>
      <c r="K9" s="53">
        <v>226.9</v>
      </c>
      <c r="L9" s="53">
        <v>18.760000000000002</v>
      </c>
      <c r="M9" s="53">
        <v>77.930000000000007</v>
      </c>
      <c r="N9" s="53">
        <v>1.5</v>
      </c>
      <c r="O9" s="53">
        <v>0</v>
      </c>
      <c r="P9" s="53">
        <v>0.77</v>
      </c>
      <c r="Q9" s="53">
        <v>5.01</v>
      </c>
    </row>
    <row r="10" spans="1:21" customFormat="1">
      <c r="A10" s="52">
        <v>45612.083333333336</v>
      </c>
      <c r="B10" s="53">
        <v>5.31</v>
      </c>
      <c r="C10" s="53">
        <v>8.11</v>
      </c>
      <c r="D10" s="53">
        <v>14.04</v>
      </c>
      <c r="E10" s="53">
        <v>8.3800000000000008</v>
      </c>
      <c r="F10" s="53">
        <v>5.85</v>
      </c>
      <c r="G10" s="53">
        <v>97.06</v>
      </c>
      <c r="H10" s="53">
        <v>34.75</v>
      </c>
      <c r="I10" s="53">
        <v>9.5299999999999994</v>
      </c>
      <c r="J10" s="53">
        <v>0.15</v>
      </c>
      <c r="K10" s="53">
        <v>321.69</v>
      </c>
      <c r="L10" s="53">
        <v>18.850000000000001</v>
      </c>
      <c r="M10" s="53">
        <v>77.510000000000005</v>
      </c>
      <c r="N10" s="53">
        <v>1.2</v>
      </c>
      <c r="O10" s="53">
        <v>0</v>
      </c>
      <c r="P10" s="53">
        <v>0.76</v>
      </c>
      <c r="Q10" s="53">
        <v>5</v>
      </c>
    </row>
    <row r="11" spans="1:21" customFormat="1">
      <c r="A11" s="52">
        <v>45612.125</v>
      </c>
      <c r="B11" s="53">
        <v>5.28</v>
      </c>
      <c r="C11" s="53">
        <v>8.07</v>
      </c>
      <c r="D11" s="53">
        <v>14.02</v>
      </c>
      <c r="E11" s="53">
        <v>10.039999999999999</v>
      </c>
      <c r="F11" s="53">
        <v>5.56</v>
      </c>
      <c r="G11" s="53">
        <v>92.4</v>
      </c>
      <c r="H11" s="53">
        <v>33.090000000000003</v>
      </c>
      <c r="I11" s="53">
        <v>10.029999999999999</v>
      </c>
      <c r="J11" s="53">
        <v>0.25</v>
      </c>
      <c r="K11" s="53">
        <v>65.319999999999993</v>
      </c>
      <c r="L11" s="53">
        <v>18.77</v>
      </c>
      <c r="M11" s="53">
        <v>71.260000000000005</v>
      </c>
      <c r="N11" s="53">
        <v>1.2</v>
      </c>
      <c r="O11" s="53">
        <v>0</v>
      </c>
      <c r="P11" s="53">
        <v>0.77</v>
      </c>
      <c r="Q11" s="53">
        <v>5</v>
      </c>
    </row>
    <row r="12" spans="1:21" customFormat="1">
      <c r="A12" s="52">
        <v>45612.166666666664</v>
      </c>
      <c r="B12" s="53">
        <v>5.27</v>
      </c>
      <c r="C12" s="53">
        <v>8.1</v>
      </c>
      <c r="D12" s="53">
        <v>14.02</v>
      </c>
      <c r="E12" s="53">
        <v>9.73</v>
      </c>
      <c r="F12" s="53">
        <v>5.56</v>
      </c>
      <c r="G12" s="53">
        <v>99.22</v>
      </c>
      <c r="H12" s="53">
        <v>33.159999999999997</v>
      </c>
      <c r="I12" s="53">
        <v>10.89</v>
      </c>
      <c r="J12" s="53">
        <v>0.44</v>
      </c>
      <c r="K12" s="53">
        <v>45.5</v>
      </c>
      <c r="L12" s="53">
        <v>18.62</v>
      </c>
      <c r="M12" s="53">
        <v>73.14</v>
      </c>
      <c r="N12" s="53">
        <v>1.4</v>
      </c>
      <c r="O12" s="53">
        <v>0</v>
      </c>
      <c r="P12" s="53">
        <v>0.8</v>
      </c>
      <c r="Q12" s="53">
        <v>4.99</v>
      </c>
    </row>
    <row r="13" spans="1:21" customFormat="1">
      <c r="A13" s="52">
        <v>45612.208333333336</v>
      </c>
      <c r="B13" s="53">
        <v>5.3</v>
      </c>
      <c r="C13" s="53">
        <v>8.1</v>
      </c>
      <c r="D13" s="53">
        <v>14.04</v>
      </c>
      <c r="E13" s="53">
        <v>9.8000000000000007</v>
      </c>
      <c r="F13" s="53">
        <v>5.71</v>
      </c>
      <c r="G13" s="53">
        <v>111.55</v>
      </c>
      <c r="H13" s="53">
        <v>33.25</v>
      </c>
      <c r="I13" s="53">
        <v>11.01</v>
      </c>
      <c r="J13" s="53">
        <v>0.27</v>
      </c>
      <c r="K13" s="53">
        <v>205.91</v>
      </c>
      <c r="L13" s="53">
        <v>17.88</v>
      </c>
      <c r="M13" s="53">
        <v>85.12</v>
      </c>
      <c r="N13" s="53">
        <v>1.7</v>
      </c>
      <c r="O13" s="53">
        <v>0</v>
      </c>
      <c r="P13" s="53">
        <v>0.83</v>
      </c>
      <c r="Q13" s="53">
        <v>4.99</v>
      </c>
    </row>
    <row r="14" spans="1:21" customFormat="1">
      <c r="A14" s="52">
        <v>45612.25</v>
      </c>
      <c r="B14" s="53">
        <v>5.28</v>
      </c>
      <c r="C14" s="53">
        <v>8.1</v>
      </c>
      <c r="D14" s="53">
        <v>14.03</v>
      </c>
      <c r="E14" s="53">
        <v>9.68</v>
      </c>
      <c r="F14" s="53">
        <v>5.77</v>
      </c>
      <c r="G14" s="53">
        <v>111.31</v>
      </c>
      <c r="H14" s="53">
        <v>35.799999999999997</v>
      </c>
      <c r="I14" s="53">
        <v>10.87</v>
      </c>
      <c r="J14" s="53">
        <v>0.14000000000000001</v>
      </c>
      <c r="K14" s="53">
        <v>210.58</v>
      </c>
      <c r="L14" s="53">
        <v>16.43</v>
      </c>
      <c r="M14" s="53">
        <v>87.62</v>
      </c>
      <c r="N14" s="53">
        <v>2.2000000000000002</v>
      </c>
      <c r="O14" s="53">
        <v>0</v>
      </c>
      <c r="P14" s="53">
        <v>0.83</v>
      </c>
      <c r="Q14" s="53">
        <v>4.99</v>
      </c>
    </row>
    <row r="15" spans="1:21" customFormat="1">
      <c r="A15" s="52">
        <v>45612.291666666664</v>
      </c>
      <c r="B15" s="53">
        <v>5.33</v>
      </c>
      <c r="C15" s="53">
        <v>8.11</v>
      </c>
      <c r="D15" s="53">
        <v>14.07</v>
      </c>
      <c r="E15" s="53">
        <v>9.57</v>
      </c>
      <c r="F15" s="53">
        <v>5.77</v>
      </c>
      <c r="G15" s="53">
        <v>100.5</v>
      </c>
      <c r="H15" s="53">
        <v>35.78</v>
      </c>
      <c r="I15" s="53">
        <v>10.81</v>
      </c>
      <c r="J15" s="53">
        <v>0.12</v>
      </c>
      <c r="K15" s="53">
        <v>219.69</v>
      </c>
      <c r="L15" s="53">
        <v>17.45</v>
      </c>
      <c r="M15" s="53">
        <v>89.35</v>
      </c>
      <c r="N15" s="53">
        <v>34.9</v>
      </c>
      <c r="O15" s="53">
        <v>0</v>
      </c>
      <c r="P15" s="53">
        <v>0.85</v>
      </c>
      <c r="Q15" s="53">
        <v>4.99</v>
      </c>
    </row>
    <row r="16" spans="1:21" customFormat="1">
      <c r="A16" s="52">
        <v>45612.333333333336</v>
      </c>
      <c r="B16" s="53">
        <v>5.34</v>
      </c>
      <c r="C16" s="53">
        <v>8.08</v>
      </c>
      <c r="D16" s="53">
        <v>14.07</v>
      </c>
      <c r="E16" s="53">
        <v>9.83</v>
      </c>
      <c r="F16" s="53">
        <v>5.73</v>
      </c>
      <c r="G16" s="53">
        <v>107.85</v>
      </c>
      <c r="H16" s="53">
        <v>38.630000000000003</v>
      </c>
      <c r="I16" s="53">
        <v>11.61</v>
      </c>
      <c r="J16" s="53">
        <v>0.74</v>
      </c>
      <c r="K16" s="53">
        <v>55.36</v>
      </c>
      <c r="L16" s="53">
        <v>20.39</v>
      </c>
      <c r="M16" s="53">
        <v>76.77</v>
      </c>
      <c r="N16" s="53">
        <v>196</v>
      </c>
      <c r="O16" s="53">
        <v>0</v>
      </c>
      <c r="P16" s="53">
        <v>0.87</v>
      </c>
      <c r="Q16" s="53">
        <v>5.01</v>
      </c>
    </row>
    <row r="17" spans="1:17" customFormat="1">
      <c r="A17" s="52">
        <v>45612.375</v>
      </c>
      <c r="B17" s="53">
        <v>5.32</v>
      </c>
      <c r="C17" s="53">
        <v>8.09</v>
      </c>
      <c r="D17" s="53">
        <v>14.06</v>
      </c>
      <c r="E17" s="53">
        <v>10.18</v>
      </c>
      <c r="F17" s="53">
        <v>5.8</v>
      </c>
      <c r="G17" s="53">
        <v>107.7</v>
      </c>
      <c r="H17" s="53">
        <v>38.590000000000003</v>
      </c>
      <c r="I17" s="53">
        <v>11.67</v>
      </c>
      <c r="J17" s="53">
        <v>0.97</v>
      </c>
      <c r="K17" s="53">
        <v>53.91</v>
      </c>
      <c r="L17" s="53">
        <v>23.7</v>
      </c>
      <c r="M17" s="53">
        <v>64.069999999999993</v>
      </c>
      <c r="N17" s="53">
        <v>329.4</v>
      </c>
      <c r="O17" s="53">
        <v>0</v>
      </c>
      <c r="P17" s="53">
        <v>0.86</v>
      </c>
      <c r="Q17" s="53">
        <v>5</v>
      </c>
    </row>
    <row r="18" spans="1:17" customFormat="1">
      <c r="A18" s="52">
        <v>45612.416666666664</v>
      </c>
      <c r="B18" s="53">
        <v>5.31</v>
      </c>
      <c r="C18" s="53">
        <v>8.11</v>
      </c>
      <c r="D18" s="53">
        <v>14.06</v>
      </c>
      <c r="E18" s="53">
        <v>10.5</v>
      </c>
      <c r="F18" s="53">
        <v>6.07</v>
      </c>
      <c r="G18" s="53">
        <v>101.08</v>
      </c>
      <c r="H18" s="53">
        <v>35.979999999999997</v>
      </c>
      <c r="I18" s="53">
        <v>11.61</v>
      </c>
      <c r="J18" s="53">
        <v>0.73</v>
      </c>
      <c r="K18" s="53">
        <v>113.07</v>
      </c>
      <c r="L18" s="53">
        <v>27.01</v>
      </c>
      <c r="M18" s="53">
        <v>48.84</v>
      </c>
      <c r="N18" s="53">
        <v>497.9</v>
      </c>
      <c r="O18" s="53">
        <v>0</v>
      </c>
      <c r="P18" s="53">
        <v>0.85</v>
      </c>
      <c r="Q18" s="53">
        <v>5</v>
      </c>
    </row>
    <row r="19" spans="1:17" customFormat="1">
      <c r="A19" s="52">
        <v>45612.458333333336</v>
      </c>
      <c r="B19" s="53">
        <v>5.3</v>
      </c>
      <c r="C19" s="53">
        <v>8.09</v>
      </c>
      <c r="D19" s="53">
        <v>14.04</v>
      </c>
      <c r="E19" s="53">
        <v>11.68</v>
      </c>
      <c r="F19" s="53">
        <v>8.81</v>
      </c>
      <c r="G19" s="53">
        <v>100.86</v>
      </c>
      <c r="H19" s="53">
        <v>34.32</v>
      </c>
      <c r="I19" s="53">
        <v>11.31</v>
      </c>
      <c r="J19" s="53">
        <v>0.65</v>
      </c>
      <c r="K19" s="53">
        <v>70.72</v>
      </c>
      <c r="L19" s="53">
        <v>29.04</v>
      </c>
      <c r="M19" s="53">
        <v>37.85</v>
      </c>
      <c r="N19" s="53">
        <v>570.6</v>
      </c>
      <c r="O19" s="53">
        <v>0</v>
      </c>
      <c r="P19" s="53">
        <v>0.81</v>
      </c>
      <c r="Q19" s="53">
        <v>4.99</v>
      </c>
    </row>
    <row r="20" spans="1:17" customFormat="1">
      <c r="A20" s="52">
        <v>45612.5</v>
      </c>
      <c r="B20" s="53">
        <v>5.32</v>
      </c>
      <c r="C20" s="53">
        <v>8.1</v>
      </c>
      <c r="D20" s="53">
        <v>14.05</v>
      </c>
      <c r="E20" s="53">
        <v>11.23</v>
      </c>
      <c r="F20" s="53">
        <v>12.14</v>
      </c>
      <c r="G20" s="53">
        <v>90.79</v>
      </c>
      <c r="H20" s="53">
        <v>30.89</v>
      </c>
      <c r="I20" s="53">
        <v>10.34</v>
      </c>
      <c r="J20" s="53">
        <v>0.68</v>
      </c>
      <c r="K20" s="53">
        <v>54.26</v>
      </c>
      <c r="L20" s="53">
        <v>28.98</v>
      </c>
      <c r="M20" s="53">
        <v>31.88</v>
      </c>
      <c r="N20" s="53">
        <v>569.6</v>
      </c>
      <c r="O20" s="53">
        <v>0</v>
      </c>
      <c r="P20" s="53">
        <v>0.75</v>
      </c>
      <c r="Q20" s="53">
        <v>5</v>
      </c>
    </row>
    <row r="21" spans="1:17" customFormat="1">
      <c r="A21" s="52">
        <v>45612.541666666664</v>
      </c>
      <c r="B21" s="53">
        <v>5.31</v>
      </c>
      <c r="C21" s="53">
        <v>8.08</v>
      </c>
      <c r="D21" s="53">
        <v>14.04</v>
      </c>
      <c r="E21" s="53">
        <v>11.39</v>
      </c>
      <c r="F21" s="53">
        <v>13.15</v>
      </c>
      <c r="G21" s="53">
        <v>75.17</v>
      </c>
      <c r="H21" s="53">
        <v>29.61</v>
      </c>
      <c r="I21" s="53">
        <v>9.18</v>
      </c>
      <c r="J21" s="53">
        <v>0.85</v>
      </c>
      <c r="K21" s="53">
        <v>56.14</v>
      </c>
      <c r="L21" s="53">
        <v>29.51</v>
      </c>
      <c r="M21" s="53">
        <v>29.76</v>
      </c>
      <c r="N21" s="53">
        <v>556.5</v>
      </c>
      <c r="O21" s="53">
        <v>0</v>
      </c>
      <c r="P21" s="53">
        <v>0.68</v>
      </c>
      <c r="Q21" s="53">
        <v>5</v>
      </c>
    </row>
    <row r="22" spans="1:17" customFormat="1">
      <c r="A22" s="52">
        <v>45612.583333333336</v>
      </c>
      <c r="B22" s="53">
        <v>5.3</v>
      </c>
      <c r="C22" s="53">
        <v>8.09</v>
      </c>
      <c r="D22" s="53">
        <v>14.04</v>
      </c>
      <c r="E22" s="53">
        <v>11.59</v>
      </c>
      <c r="F22" s="53">
        <v>13.31</v>
      </c>
      <c r="G22" s="53">
        <v>68.650000000000006</v>
      </c>
      <c r="H22" s="53">
        <v>26.8</v>
      </c>
      <c r="I22" s="53">
        <v>8.2899999999999991</v>
      </c>
      <c r="J22" s="53">
        <v>0.85</v>
      </c>
      <c r="K22" s="53">
        <v>82.2</v>
      </c>
      <c r="L22" s="53">
        <v>29.83</v>
      </c>
      <c r="M22" s="53">
        <v>29.2</v>
      </c>
      <c r="N22" s="53">
        <v>487.7</v>
      </c>
      <c r="O22" s="53">
        <v>0</v>
      </c>
      <c r="P22" s="53">
        <v>0.64</v>
      </c>
      <c r="Q22" s="53">
        <v>5</v>
      </c>
    </row>
    <row r="23" spans="1:17" customFormat="1">
      <c r="A23" s="52">
        <v>45612.625</v>
      </c>
      <c r="B23" s="53">
        <v>5.3</v>
      </c>
      <c r="C23" s="53">
        <v>8.11</v>
      </c>
      <c r="D23" s="53">
        <v>14.04</v>
      </c>
      <c r="E23" s="53">
        <v>12.6</v>
      </c>
      <c r="F23" s="53">
        <v>15.71</v>
      </c>
      <c r="G23" s="53">
        <v>65.38</v>
      </c>
      <c r="H23" s="53">
        <v>25.84</v>
      </c>
      <c r="I23" s="53">
        <v>7.31</v>
      </c>
      <c r="J23" s="53">
        <v>0.8</v>
      </c>
      <c r="K23" s="53">
        <v>48.45</v>
      </c>
      <c r="L23" s="53">
        <v>29.09</v>
      </c>
      <c r="M23" s="53">
        <v>29.2</v>
      </c>
      <c r="N23" s="53">
        <v>101.9</v>
      </c>
      <c r="O23" s="53">
        <v>0</v>
      </c>
      <c r="P23" s="53">
        <v>0.57999999999999996</v>
      </c>
      <c r="Q23" s="53">
        <v>5</v>
      </c>
    </row>
    <row r="24" spans="1:17" customFormat="1">
      <c r="A24" s="52">
        <v>45612.666666666664</v>
      </c>
      <c r="B24" s="53">
        <v>5.29</v>
      </c>
      <c r="C24" s="53">
        <v>8.11</v>
      </c>
      <c r="D24" s="53">
        <v>14.05</v>
      </c>
      <c r="E24" s="53">
        <v>12.24</v>
      </c>
      <c r="F24" s="53">
        <v>15.42</v>
      </c>
      <c r="G24" s="53">
        <v>65.209999999999994</v>
      </c>
      <c r="H24" s="53">
        <v>24.39</v>
      </c>
      <c r="I24" s="53">
        <v>7.04</v>
      </c>
      <c r="J24" s="53">
        <v>0.4</v>
      </c>
      <c r="K24" s="53">
        <v>65.319999999999993</v>
      </c>
      <c r="L24" s="53">
        <v>28.46</v>
      </c>
      <c r="M24" s="53">
        <v>32.799999999999997</v>
      </c>
      <c r="N24" s="53">
        <v>59.4</v>
      </c>
      <c r="O24" s="53">
        <v>0</v>
      </c>
      <c r="P24" s="53">
        <v>0.56999999999999995</v>
      </c>
      <c r="Q24" s="53">
        <v>5</v>
      </c>
    </row>
    <row r="25" spans="1:17" customFormat="1">
      <c r="A25" s="52">
        <v>45612.708333333336</v>
      </c>
      <c r="B25" s="53">
        <v>5.32</v>
      </c>
      <c r="C25" s="53">
        <v>8.11</v>
      </c>
      <c r="D25" s="53">
        <v>14.04</v>
      </c>
      <c r="E25" s="53">
        <v>11.67</v>
      </c>
      <c r="F25" s="53">
        <v>10.37</v>
      </c>
      <c r="G25" s="53">
        <v>58.48</v>
      </c>
      <c r="H25" s="53">
        <v>21.64</v>
      </c>
      <c r="I25" s="53">
        <v>6.75</v>
      </c>
      <c r="J25" s="53">
        <v>0.27</v>
      </c>
      <c r="K25" s="53">
        <v>155.11000000000001</v>
      </c>
      <c r="L25" s="53">
        <v>27.35</v>
      </c>
      <c r="M25" s="53">
        <v>45.58</v>
      </c>
      <c r="N25" s="53">
        <v>28.5</v>
      </c>
      <c r="O25" s="53">
        <v>0</v>
      </c>
      <c r="P25" s="53">
        <v>0.56000000000000005</v>
      </c>
      <c r="Q25" s="53">
        <v>5.01</v>
      </c>
    </row>
    <row r="26" spans="1:17" customFormat="1">
      <c r="A26" s="52">
        <v>45612.75</v>
      </c>
      <c r="B26" s="53">
        <v>5.3</v>
      </c>
      <c r="C26" s="53">
        <v>8.09</v>
      </c>
      <c r="D26" s="53">
        <v>14.04</v>
      </c>
      <c r="E26" s="53">
        <v>11.44</v>
      </c>
      <c r="F26" s="53">
        <v>7.36</v>
      </c>
      <c r="G26" s="53">
        <v>64.760000000000005</v>
      </c>
      <c r="H26" s="53">
        <v>21.61</v>
      </c>
      <c r="I26" s="53">
        <v>7.22</v>
      </c>
      <c r="J26" s="53">
        <v>0.26</v>
      </c>
      <c r="K26" s="53">
        <v>154.72999999999999</v>
      </c>
      <c r="L26" s="53">
        <v>24.93</v>
      </c>
      <c r="M26" s="53">
        <v>52.92</v>
      </c>
      <c r="N26" s="53">
        <v>4.0999999999999996</v>
      </c>
      <c r="O26" s="53">
        <v>0</v>
      </c>
      <c r="P26" s="53">
        <v>0.62</v>
      </c>
      <c r="Q26" s="53">
        <v>4.99</v>
      </c>
    </row>
    <row r="27" spans="1:17" customFormat="1">
      <c r="A27" s="52">
        <v>45612.791666666664</v>
      </c>
      <c r="B27" s="53">
        <v>5.29</v>
      </c>
      <c r="C27" s="53">
        <v>8.11</v>
      </c>
      <c r="D27" s="53">
        <v>14.03</v>
      </c>
      <c r="E27" s="53">
        <v>11.34</v>
      </c>
      <c r="F27" s="53">
        <v>6.03</v>
      </c>
      <c r="G27" s="53">
        <v>83.6</v>
      </c>
      <c r="H27" s="53">
        <v>23.66</v>
      </c>
      <c r="I27" s="53">
        <v>8.26</v>
      </c>
      <c r="J27" s="53">
        <v>0.31</v>
      </c>
      <c r="K27" s="53">
        <v>149.63</v>
      </c>
      <c r="L27" s="53">
        <v>23.51</v>
      </c>
      <c r="M27" s="53">
        <v>54.24</v>
      </c>
      <c r="N27" s="53">
        <v>1.6</v>
      </c>
      <c r="O27" s="53">
        <v>0</v>
      </c>
      <c r="P27" s="53">
        <v>0.72</v>
      </c>
      <c r="Q27" s="53">
        <v>4.99</v>
      </c>
    </row>
    <row r="28" spans="1:17" customFormat="1">
      <c r="A28" s="52">
        <v>45612.833333333336</v>
      </c>
      <c r="B28" s="53">
        <v>5.29</v>
      </c>
      <c r="C28" s="53">
        <v>8.11</v>
      </c>
      <c r="D28" s="53">
        <v>14.04</v>
      </c>
      <c r="E28" s="53">
        <v>11.64</v>
      </c>
      <c r="F28" s="53">
        <v>5.75</v>
      </c>
      <c r="G28" s="53">
        <v>111.23</v>
      </c>
      <c r="H28" s="53">
        <v>24.95</v>
      </c>
      <c r="I28" s="53">
        <v>9.14</v>
      </c>
      <c r="J28" s="53">
        <v>0.26</v>
      </c>
      <c r="K28" s="53">
        <v>180.56</v>
      </c>
      <c r="L28" s="53">
        <v>22.65</v>
      </c>
      <c r="M28" s="53">
        <v>66.900000000000006</v>
      </c>
      <c r="N28" s="53">
        <v>2</v>
      </c>
      <c r="O28" s="53">
        <v>0</v>
      </c>
      <c r="P28" s="53">
        <v>0.81</v>
      </c>
      <c r="Q28" s="53">
        <v>4.99</v>
      </c>
    </row>
    <row r="29" spans="1:17" customFormat="1">
      <c r="A29" s="52">
        <v>45612.875</v>
      </c>
      <c r="B29" s="53">
        <v>5.31</v>
      </c>
      <c r="C29" s="53">
        <v>8.08</v>
      </c>
      <c r="D29" s="53">
        <v>14.05</v>
      </c>
      <c r="E29" s="53">
        <v>11.13</v>
      </c>
      <c r="F29" s="53">
        <v>5.7</v>
      </c>
      <c r="G29" s="53">
        <v>119.17</v>
      </c>
      <c r="H29" s="53">
        <v>27.98</v>
      </c>
      <c r="I29" s="53">
        <v>9.86</v>
      </c>
      <c r="J29" s="53">
        <v>0.23</v>
      </c>
      <c r="K29" s="53">
        <v>166.06</v>
      </c>
      <c r="L29" s="53">
        <v>21.11</v>
      </c>
      <c r="M29" s="53">
        <v>70</v>
      </c>
      <c r="N29" s="53">
        <v>1.4</v>
      </c>
      <c r="O29" s="53">
        <v>0</v>
      </c>
      <c r="P29" s="53">
        <v>0.91</v>
      </c>
      <c r="Q29" s="53">
        <v>5</v>
      </c>
    </row>
    <row r="30" spans="1:17" customFormat="1">
      <c r="A30" s="52">
        <v>45612.916666666664</v>
      </c>
      <c r="B30" s="53">
        <v>5.3</v>
      </c>
      <c r="C30" s="53">
        <v>8.08</v>
      </c>
      <c r="D30" s="53">
        <v>14.04</v>
      </c>
      <c r="E30" s="53">
        <v>10.78</v>
      </c>
      <c r="F30" s="53">
        <v>5.69</v>
      </c>
      <c r="G30" s="53">
        <v>124.23</v>
      </c>
      <c r="H30" s="53">
        <v>27.93</v>
      </c>
      <c r="I30" s="53">
        <v>10.57</v>
      </c>
      <c r="J30" s="53">
        <v>0.21</v>
      </c>
      <c r="K30" s="53">
        <v>210.87</v>
      </c>
      <c r="L30" s="53">
        <v>20.88</v>
      </c>
      <c r="M30" s="53">
        <v>75.69</v>
      </c>
      <c r="N30" s="53">
        <v>1.7</v>
      </c>
      <c r="O30" s="53">
        <v>0</v>
      </c>
      <c r="P30" s="53">
        <v>0.92</v>
      </c>
      <c r="Q30" s="53">
        <v>5</v>
      </c>
    </row>
    <row r="31" spans="1:17" customFormat="1">
      <c r="A31" s="52">
        <v>45612.958333333336</v>
      </c>
      <c r="B31" s="53">
        <v>5.3</v>
      </c>
      <c r="C31" s="53">
        <v>8.08</v>
      </c>
      <c r="D31" s="53">
        <v>14.04</v>
      </c>
      <c r="E31" s="53">
        <v>10.81</v>
      </c>
      <c r="F31" s="53">
        <v>5.47</v>
      </c>
      <c r="G31" s="53">
        <v>124.03</v>
      </c>
      <c r="H31" s="53">
        <v>27.9</v>
      </c>
      <c r="I31" s="53">
        <v>10.57</v>
      </c>
      <c r="J31" s="53">
        <v>0.22</v>
      </c>
      <c r="K31" s="53">
        <v>214.42</v>
      </c>
      <c r="L31" s="53">
        <v>19.62</v>
      </c>
      <c r="M31" s="53">
        <v>78.56</v>
      </c>
      <c r="N31" s="53">
        <v>1.6</v>
      </c>
      <c r="O31" s="53">
        <v>0</v>
      </c>
      <c r="P31" s="53">
        <v>0.93</v>
      </c>
      <c r="Q31" s="53">
        <v>5</v>
      </c>
    </row>
    <row r="32" spans="1:17" customFormat="1">
      <c r="A32" s="52">
        <v>45613</v>
      </c>
      <c r="B32" s="53">
        <v>5.3</v>
      </c>
      <c r="C32" s="53">
        <v>8.1</v>
      </c>
      <c r="D32" s="53">
        <v>14.04</v>
      </c>
      <c r="E32" s="53">
        <v>10.82</v>
      </c>
      <c r="F32" s="53">
        <v>5.92</v>
      </c>
      <c r="G32" s="53">
        <v>114.8</v>
      </c>
      <c r="H32" s="53">
        <v>28.11</v>
      </c>
      <c r="I32" s="53">
        <v>10.51</v>
      </c>
      <c r="J32" s="53">
        <v>0.26</v>
      </c>
      <c r="K32" s="53">
        <v>242.43</v>
      </c>
      <c r="L32" s="53">
        <v>18.71</v>
      </c>
      <c r="M32" s="53">
        <v>78.16</v>
      </c>
      <c r="N32" s="53">
        <v>1.4</v>
      </c>
      <c r="O32" s="53">
        <v>0</v>
      </c>
      <c r="P32" s="53">
        <v>0.92</v>
      </c>
      <c r="Q32" s="53">
        <v>5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5.27</v>
      </c>
      <c r="C34" s="40">
        <f t="shared" si="0"/>
        <v>8.07</v>
      </c>
      <c r="D34" s="40">
        <f t="shared" si="0"/>
        <v>14.02</v>
      </c>
      <c r="E34" s="40">
        <f t="shared" si="0"/>
        <v>8.3800000000000008</v>
      </c>
      <c r="F34" s="40">
        <f t="shared" si="0"/>
        <v>5.47</v>
      </c>
      <c r="G34" s="40">
        <f t="shared" si="0"/>
        <v>58.48</v>
      </c>
      <c r="H34" s="40">
        <f t="shared" si="0"/>
        <v>21.61</v>
      </c>
      <c r="I34" s="40">
        <f t="shared" si="0"/>
        <v>6.75</v>
      </c>
      <c r="J34" s="40">
        <f t="shared" si="0"/>
        <v>0.12</v>
      </c>
      <c r="K34" s="40">
        <f t="shared" si="0"/>
        <v>45.5</v>
      </c>
      <c r="L34" s="40">
        <f t="shared" si="0"/>
        <v>16.43</v>
      </c>
      <c r="M34" s="40">
        <f t="shared" si="0"/>
        <v>29.2</v>
      </c>
      <c r="N34" s="40">
        <f t="shared" si="0"/>
        <v>1.2</v>
      </c>
      <c r="O34" s="40">
        <f t="shared" si="0"/>
        <v>0</v>
      </c>
      <c r="P34" s="40">
        <f t="shared" si="0"/>
        <v>0.56000000000000005</v>
      </c>
      <c r="Q34" s="40">
        <f t="shared" si="0"/>
        <v>4.99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5.34</v>
      </c>
      <c r="C35" s="33">
        <f t="shared" si="1"/>
        <v>8.17</v>
      </c>
      <c r="D35" s="33">
        <f t="shared" si="1"/>
        <v>14.07</v>
      </c>
      <c r="E35" s="33">
        <f t="shared" si="1"/>
        <v>12.6</v>
      </c>
      <c r="F35" s="33">
        <f t="shared" si="1"/>
        <v>15.71</v>
      </c>
      <c r="G35" s="33">
        <f t="shared" si="1"/>
        <v>124.23</v>
      </c>
      <c r="H35" s="33">
        <f t="shared" si="1"/>
        <v>38.630000000000003</v>
      </c>
      <c r="I35" s="33">
        <f t="shared" si="1"/>
        <v>11.67</v>
      </c>
      <c r="J35" s="33">
        <f t="shared" si="1"/>
        <v>0.97</v>
      </c>
      <c r="K35" s="33">
        <f t="shared" si="1"/>
        <v>321.69</v>
      </c>
      <c r="L35" s="33">
        <f t="shared" si="1"/>
        <v>29.83</v>
      </c>
      <c r="M35" s="33">
        <f t="shared" si="1"/>
        <v>89.35</v>
      </c>
      <c r="N35" s="33">
        <f t="shared" si="1"/>
        <v>570.6</v>
      </c>
      <c r="O35" s="33">
        <f t="shared" si="1"/>
        <v>0</v>
      </c>
      <c r="P35" s="33">
        <f t="shared" si="1"/>
        <v>0.93</v>
      </c>
      <c r="Q35" s="33">
        <f t="shared" si="1"/>
        <v>5.01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5.3029166666666674</v>
      </c>
      <c r="C36" s="40">
        <f t="shared" si="2"/>
        <v>8.0991666666666688</v>
      </c>
      <c r="D36" s="40">
        <f t="shared" si="2"/>
        <v>14.042916666666668</v>
      </c>
      <c r="E36" s="40">
        <f t="shared" si="2"/>
        <v>10.703750000000001</v>
      </c>
      <c r="F36" s="40">
        <f t="shared" si="2"/>
        <v>7.8579166666666653</v>
      </c>
      <c r="G36" s="40">
        <f t="shared" si="2"/>
        <v>95.75833333333334</v>
      </c>
      <c r="H36" s="40">
        <f t="shared" si="2"/>
        <v>30.46541666666667</v>
      </c>
      <c r="I36" s="40">
        <f t="shared" si="2"/>
        <v>9.7629166666666638</v>
      </c>
      <c r="J36" s="40">
        <f t="shared" si="2"/>
        <v>0.42666666666666669</v>
      </c>
      <c r="K36" s="40">
        <f t="shared" si="2"/>
        <v>140.36791666666667</v>
      </c>
      <c r="L36" s="40">
        <f t="shared" si="2"/>
        <v>22.980416666666667</v>
      </c>
      <c r="M36" s="40">
        <f t="shared" si="2"/>
        <v>61.014583333333348</v>
      </c>
      <c r="N36" s="40">
        <f t="shared" si="2"/>
        <v>143.97499999999999</v>
      </c>
      <c r="O36" s="40">
        <f t="shared" si="2"/>
        <v>0</v>
      </c>
      <c r="P36" s="40">
        <f t="shared" si="2"/>
        <v>0.77541666666666675</v>
      </c>
      <c r="Q36" s="40">
        <f t="shared" si="2"/>
        <v>4.9979166666666659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1.6010639578422386E-2</v>
      </c>
      <c r="C37" s="40">
        <f t="shared" ref="C37:Q37" si="3">STDEV(C9:C32)</f>
        <v>1.9763089590064651E-2</v>
      </c>
      <c r="D37" s="40">
        <f t="shared" si="3"/>
        <v>1.2676293062134192E-2</v>
      </c>
      <c r="E37" s="40">
        <f t="shared" si="3"/>
        <v>1.0627724714570468</v>
      </c>
      <c r="F37" s="40">
        <f t="shared" si="3"/>
        <v>3.4422856147657481</v>
      </c>
      <c r="G37" s="40">
        <f t="shared" si="3"/>
        <v>20.037588518162153</v>
      </c>
      <c r="H37" s="40">
        <f t="shared" si="3"/>
        <v>5.2827257285598588</v>
      </c>
      <c r="I37" s="40">
        <f t="shared" si="3"/>
        <v>1.5391908635685105</v>
      </c>
      <c r="J37" s="40">
        <f t="shared" si="3"/>
        <v>0.27325202042558921</v>
      </c>
      <c r="K37" s="40">
        <f t="shared" si="3"/>
        <v>79.793685267159418</v>
      </c>
      <c r="L37" s="40">
        <f t="shared" si="3"/>
        <v>4.5917122686391334</v>
      </c>
      <c r="M37" s="40">
        <f t="shared" si="3"/>
        <v>20.613094187742679</v>
      </c>
      <c r="N37" s="40">
        <f t="shared" si="3"/>
        <v>219.77215523671629</v>
      </c>
      <c r="O37" s="40">
        <f t="shared" si="3"/>
        <v>0</v>
      </c>
      <c r="P37" s="40">
        <f t="shared" si="3"/>
        <v>0.11466318034807799</v>
      </c>
      <c r="Q37" s="40">
        <f t="shared" si="3"/>
        <v>6.5800533014006447E-3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1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45613.041666666664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45613.041666666664</v>
      </c>
      <c r="B9" s="53">
        <v>5.18</v>
      </c>
      <c r="C9" s="53">
        <v>8.1199999999999992</v>
      </c>
      <c r="D9" s="53">
        <v>13.95</v>
      </c>
      <c r="E9" s="53">
        <v>10.74</v>
      </c>
      <c r="F9" s="53">
        <v>6.02</v>
      </c>
      <c r="G9" s="53">
        <v>113.33</v>
      </c>
      <c r="H9" s="53">
        <v>29.77</v>
      </c>
      <c r="I9" s="53">
        <v>10.29</v>
      </c>
      <c r="J9" s="53">
        <v>0.14000000000000001</v>
      </c>
      <c r="K9" s="53">
        <v>215.88</v>
      </c>
      <c r="L9" s="53">
        <v>18.350000000000001</v>
      </c>
      <c r="M9" s="53">
        <v>85.09</v>
      </c>
      <c r="N9" s="53">
        <v>1.4</v>
      </c>
      <c r="O9" s="53">
        <v>0</v>
      </c>
      <c r="P9" s="53">
        <v>0.87</v>
      </c>
      <c r="Q9" s="53">
        <v>4.99</v>
      </c>
    </row>
    <row r="10" spans="1:21" customFormat="1">
      <c r="A10" s="52">
        <v>45613.083333333336</v>
      </c>
      <c r="B10" s="53">
        <v>5.18</v>
      </c>
      <c r="C10" s="53">
        <v>8.1</v>
      </c>
      <c r="D10" s="53">
        <v>13.95</v>
      </c>
      <c r="E10" s="53">
        <v>10.75</v>
      </c>
      <c r="F10" s="53">
        <v>6</v>
      </c>
      <c r="G10" s="53">
        <v>108.58</v>
      </c>
      <c r="H10" s="53">
        <v>29.74</v>
      </c>
      <c r="I10" s="53">
        <v>9.99</v>
      </c>
      <c r="J10" s="53">
        <v>0.47</v>
      </c>
      <c r="K10" s="53">
        <v>235.3</v>
      </c>
      <c r="L10" s="53">
        <v>17.98</v>
      </c>
      <c r="M10" s="53">
        <v>83.07</v>
      </c>
      <c r="N10" s="53">
        <v>1.4</v>
      </c>
      <c r="O10" s="53">
        <v>0</v>
      </c>
      <c r="P10" s="53">
        <v>0.82</v>
      </c>
      <c r="Q10" s="53">
        <v>5.01</v>
      </c>
    </row>
    <row r="11" spans="1:21" customFormat="1">
      <c r="A11" s="52">
        <v>45613.125</v>
      </c>
      <c r="B11" s="53">
        <v>5.2</v>
      </c>
      <c r="C11" s="53">
        <v>8.11</v>
      </c>
      <c r="D11" s="53">
        <v>13.96</v>
      </c>
      <c r="E11" s="53">
        <v>9.56</v>
      </c>
      <c r="F11" s="53">
        <v>5.79</v>
      </c>
      <c r="G11" s="53">
        <v>91.6</v>
      </c>
      <c r="H11" s="53">
        <v>27.83</v>
      </c>
      <c r="I11" s="53">
        <v>9.6999999999999993</v>
      </c>
      <c r="J11" s="53">
        <v>0.2</v>
      </c>
      <c r="K11" s="53">
        <v>246.2</v>
      </c>
      <c r="L11" s="53">
        <v>18.59</v>
      </c>
      <c r="M11" s="53">
        <v>81.92</v>
      </c>
      <c r="N11" s="53">
        <v>1.7</v>
      </c>
      <c r="O11" s="53">
        <v>0</v>
      </c>
      <c r="P11" s="53">
        <v>0.8</v>
      </c>
      <c r="Q11" s="53">
        <v>5.01</v>
      </c>
    </row>
    <row r="12" spans="1:21" customFormat="1">
      <c r="A12" s="52">
        <v>45613.166666666664</v>
      </c>
      <c r="B12" s="53">
        <v>5.21</v>
      </c>
      <c r="C12" s="53">
        <v>8.09</v>
      </c>
      <c r="D12" s="53">
        <v>13.97</v>
      </c>
      <c r="E12" s="53">
        <v>9.3699999999999992</v>
      </c>
      <c r="F12" s="53">
        <v>5.63</v>
      </c>
      <c r="G12" s="53">
        <v>100.26</v>
      </c>
      <c r="H12" s="53">
        <v>28.92</v>
      </c>
      <c r="I12" s="53">
        <v>10.31</v>
      </c>
      <c r="J12" s="53">
        <v>0.21</v>
      </c>
      <c r="K12" s="53">
        <v>245.58</v>
      </c>
      <c r="L12" s="53">
        <v>17.29</v>
      </c>
      <c r="M12" s="53">
        <v>87.25</v>
      </c>
      <c r="N12" s="53">
        <v>1.5</v>
      </c>
      <c r="O12" s="53">
        <v>0</v>
      </c>
      <c r="P12" s="53">
        <v>0.89</v>
      </c>
      <c r="Q12" s="53">
        <v>4.99</v>
      </c>
    </row>
    <row r="13" spans="1:21" customFormat="1">
      <c r="A13" s="52">
        <v>45613.208333333336</v>
      </c>
      <c r="B13" s="53">
        <v>5.21</v>
      </c>
      <c r="C13" s="53">
        <v>8.08</v>
      </c>
      <c r="D13" s="53">
        <v>13.96</v>
      </c>
      <c r="E13" s="53">
        <v>9.3000000000000007</v>
      </c>
      <c r="F13" s="53">
        <v>5.55</v>
      </c>
      <c r="G13" s="53">
        <v>114.09</v>
      </c>
      <c r="H13" s="53">
        <v>30.85</v>
      </c>
      <c r="I13" s="53">
        <v>10.87</v>
      </c>
      <c r="J13" s="53">
        <v>0.15</v>
      </c>
      <c r="K13" s="53">
        <v>213.5</v>
      </c>
      <c r="L13" s="53">
        <v>17.059999999999999</v>
      </c>
      <c r="M13" s="53">
        <v>89.66</v>
      </c>
      <c r="N13" s="53">
        <v>1.4</v>
      </c>
      <c r="O13" s="53">
        <v>0</v>
      </c>
      <c r="P13" s="53">
        <v>0.99</v>
      </c>
      <c r="Q13" s="53">
        <v>4.9800000000000004</v>
      </c>
    </row>
    <row r="14" spans="1:21" customFormat="1">
      <c r="A14" s="52">
        <v>45613.25</v>
      </c>
      <c r="B14" s="53">
        <v>5.22</v>
      </c>
      <c r="C14" s="53">
        <v>8.07</v>
      </c>
      <c r="D14" s="53">
        <v>13.97</v>
      </c>
      <c r="E14" s="53">
        <v>9.56</v>
      </c>
      <c r="F14" s="53">
        <v>5.59</v>
      </c>
      <c r="G14" s="53">
        <v>119.03</v>
      </c>
      <c r="H14" s="53">
        <v>33.47</v>
      </c>
      <c r="I14" s="53">
        <v>11.47</v>
      </c>
      <c r="J14" s="53">
        <v>0.2</v>
      </c>
      <c r="K14" s="53">
        <v>193.11</v>
      </c>
      <c r="L14" s="53">
        <v>17.170000000000002</v>
      </c>
      <c r="M14" s="53">
        <v>84.82</v>
      </c>
      <c r="N14" s="53">
        <v>2.2000000000000002</v>
      </c>
      <c r="O14" s="53">
        <v>0</v>
      </c>
      <c r="P14" s="53">
        <v>1.1499999999999999</v>
      </c>
      <c r="Q14" s="53">
        <v>5</v>
      </c>
    </row>
    <row r="15" spans="1:21" customFormat="1">
      <c r="A15" s="52">
        <v>45613.291666666664</v>
      </c>
      <c r="B15" s="53">
        <v>5.24</v>
      </c>
      <c r="C15" s="53">
        <v>8.1</v>
      </c>
      <c r="D15" s="53">
        <v>13.97</v>
      </c>
      <c r="E15" s="53">
        <v>9.0299999999999994</v>
      </c>
      <c r="F15" s="53">
        <v>5.59</v>
      </c>
      <c r="G15" s="53">
        <v>119.03</v>
      </c>
      <c r="H15" s="53">
        <v>36.9</v>
      </c>
      <c r="I15" s="53">
        <v>11.94</v>
      </c>
      <c r="J15" s="53">
        <v>0.15</v>
      </c>
      <c r="K15" s="53">
        <v>217.37</v>
      </c>
      <c r="L15" s="53">
        <v>17.12</v>
      </c>
      <c r="M15" s="53">
        <v>90.6</v>
      </c>
      <c r="N15" s="53">
        <v>35.700000000000003</v>
      </c>
      <c r="O15" s="53">
        <v>0</v>
      </c>
      <c r="P15" s="53">
        <v>1.28</v>
      </c>
      <c r="Q15" s="53">
        <v>5.01</v>
      </c>
    </row>
    <row r="16" spans="1:21" customFormat="1">
      <c r="A16" s="52">
        <v>45613.333333333336</v>
      </c>
      <c r="B16" s="53">
        <v>5.22</v>
      </c>
      <c r="C16" s="53">
        <v>8.1</v>
      </c>
      <c r="D16" s="53">
        <v>13.98</v>
      </c>
      <c r="E16" s="53">
        <v>9.06</v>
      </c>
      <c r="F16" s="53">
        <v>5.49</v>
      </c>
      <c r="G16" s="53">
        <v>118.63</v>
      </c>
      <c r="H16" s="53">
        <v>37.880000000000003</v>
      </c>
      <c r="I16" s="53">
        <v>12.06</v>
      </c>
      <c r="J16" s="53">
        <v>0.24</v>
      </c>
      <c r="K16" s="53">
        <v>224.87</v>
      </c>
      <c r="L16" s="53">
        <v>20.12</v>
      </c>
      <c r="M16" s="53">
        <v>83.88</v>
      </c>
      <c r="N16" s="53">
        <v>156.6</v>
      </c>
      <c r="O16" s="53">
        <v>0</v>
      </c>
      <c r="P16" s="53">
        <v>1.29</v>
      </c>
      <c r="Q16" s="53">
        <v>4.99</v>
      </c>
    </row>
    <row r="17" spans="1:17" customFormat="1">
      <c r="A17" s="52">
        <v>45613.375</v>
      </c>
      <c r="B17" s="53">
        <v>5.21</v>
      </c>
      <c r="C17" s="53">
        <v>8.1</v>
      </c>
      <c r="D17" s="53">
        <v>13.97</v>
      </c>
      <c r="E17" s="53">
        <v>9.27</v>
      </c>
      <c r="F17" s="53">
        <v>6.1</v>
      </c>
      <c r="G17" s="53">
        <v>114.31</v>
      </c>
      <c r="H17" s="53">
        <v>37.85</v>
      </c>
      <c r="I17" s="53">
        <v>12.25</v>
      </c>
      <c r="J17" s="53">
        <v>0.55000000000000004</v>
      </c>
      <c r="K17" s="53">
        <v>64.760000000000005</v>
      </c>
      <c r="L17" s="53">
        <v>23.23</v>
      </c>
      <c r="M17" s="53">
        <v>64.11</v>
      </c>
      <c r="N17" s="53">
        <v>284.10000000000002</v>
      </c>
      <c r="O17" s="53">
        <v>0</v>
      </c>
      <c r="P17" s="53">
        <v>1.27</v>
      </c>
      <c r="Q17" s="53">
        <v>4.99</v>
      </c>
    </row>
    <row r="18" spans="1:17" customFormat="1">
      <c r="A18" s="52">
        <v>45613.416666666664</v>
      </c>
      <c r="B18" s="53">
        <v>5.22</v>
      </c>
      <c r="C18" s="53">
        <v>8.09</v>
      </c>
      <c r="D18" s="53">
        <v>13.98</v>
      </c>
      <c r="E18" s="53">
        <v>9.32</v>
      </c>
      <c r="F18" s="53">
        <v>6.56</v>
      </c>
      <c r="G18" s="53">
        <v>108.92</v>
      </c>
      <c r="H18" s="53">
        <v>35.78</v>
      </c>
      <c r="I18" s="53">
        <v>12.21</v>
      </c>
      <c r="J18" s="53">
        <v>0.62</v>
      </c>
      <c r="K18" s="53">
        <v>52.12</v>
      </c>
      <c r="L18" s="53">
        <v>26.3</v>
      </c>
      <c r="M18" s="53">
        <v>52.88</v>
      </c>
      <c r="N18" s="53">
        <v>431.9</v>
      </c>
      <c r="O18" s="53">
        <v>0</v>
      </c>
      <c r="P18" s="53">
        <v>1.17</v>
      </c>
      <c r="Q18" s="53">
        <v>5.01</v>
      </c>
    </row>
    <row r="19" spans="1:17" customFormat="1">
      <c r="A19" s="52">
        <v>45613.458333333336</v>
      </c>
      <c r="B19" s="53">
        <v>5.21</v>
      </c>
      <c r="C19" s="53">
        <v>8.07</v>
      </c>
      <c r="D19" s="53">
        <v>13.96</v>
      </c>
      <c r="E19" s="53">
        <v>8.75</v>
      </c>
      <c r="F19" s="53">
        <v>11.41</v>
      </c>
      <c r="G19" s="53">
        <v>97.91</v>
      </c>
      <c r="H19" s="53">
        <v>32.83</v>
      </c>
      <c r="I19" s="53">
        <v>12.16</v>
      </c>
      <c r="J19" s="53">
        <v>1.07</v>
      </c>
      <c r="K19" s="53">
        <v>98.55</v>
      </c>
      <c r="L19" s="53">
        <v>28.11</v>
      </c>
      <c r="M19" s="53">
        <v>42.93</v>
      </c>
      <c r="N19" s="53">
        <v>489.6</v>
      </c>
      <c r="O19" s="53">
        <v>0</v>
      </c>
      <c r="P19" s="53">
        <v>1.1000000000000001</v>
      </c>
      <c r="Q19" s="53">
        <v>5</v>
      </c>
    </row>
    <row r="20" spans="1:17" customFormat="1">
      <c r="A20" s="52">
        <v>45613.5</v>
      </c>
      <c r="B20" s="53">
        <v>5.19</v>
      </c>
      <c r="C20" s="53">
        <v>8.11</v>
      </c>
      <c r="D20" s="53">
        <v>13.95</v>
      </c>
      <c r="E20" s="53">
        <v>9.3000000000000007</v>
      </c>
      <c r="F20" s="53">
        <v>11.06</v>
      </c>
      <c r="G20" s="53">
        <v>93.35</v>
      </c>
      <c r="H20" s="53">
        <v>32.68</v>
      </c>
      <c r="I20" s="53">
        <v>11.54</v>
      </c>
      <c r="J20" s="53">
        <v>1.1100000000000001</v>
      </c>
      <c r="K20" s="53">
        <v>78.97</v>
      </c>
      <c r="L20" s="53">
        <v>28.89</v>
      </c>
      <c r="M20" s="53">
        <v>33.89</v>
      </c>
      <c r="N20" s="53">
        <v>525.29999999999995</v>
      </c>
      <c r="O20" s="53">
        <v>0</v>
      </c>
      <c r="P20" s="53">
        <v>0.97</v>
      </c>
      <c r="Q20" s="53">
        <v>4.99</v>
      </c>
    </row>
    <row r="21" spans="1:17" customFormat="1">
      <c r="A21" s="52">
        <v>45613.541666666664</v>
      </c>
      <c r="B21" s="53">
        <v>5.2</v>
      </c>
      <c r="C21" s="53">
        <v>8.11</v>
      </c>
      <c r="D21" s="53">
        <v>13.97</v>
      </c>
      <c r="E21" s="53">
        <v>10.02</v>
      </c>
      <c r="F21" s="53">
        <v>13.87</v>
      </c>
      <c r="G21" s="53">
        <v>85.89</v>
      </c>
      <c r="H21" s="53">
        <v>32.119999999999997</v>
      </c>
      <c r="I21" s="53">
        <v>10.58</v>
      </c>
      <c r="J21" s="53">
        <v>0.78</v>
      </c>
      <c r="K21" s="53">
        <v>59.22</v>
      </c>
      <c r="L21" s="53">
        <v>29.39</v>
      </c>
      <c r="M21" s="53">
        <v>30.71</v>
      </c>
      <c r="N21" s="53">
        <v>510.3</v>
      </c>
      <c r="O21" s="53">
        <v>0</v>
      </c>
      <c r="P21" s="53">
        <v>0.87</v>
      </c>
      <c r="Q21" s="53">
        <v>5</v>
      </c>
    </row>
    <row r="22" spans="1:17" customFormat="1">
      <c r="A22" s="52">
        <v>45613.583333333336</v>
      </c>
      <c r="B22" s="53">
        <v>5.2</v>
      </c>
      <c r="C22" s="53">
        <v>8.1</v>
      </c>
      <c r="D22" s="53">
        <v>13.97</v>
      </c>
      <c r="E22" s="53">
        <v>11.27</v>
      </c>
      <c r="F22" s="53">
        <v>15.77</v>
      </c>
      <c r="G22" s="53">
        <v>73.67</v>
      </c>
      <c r="H22" s="53">
        <v>28.73</v>
      </c>
      <c r="I22" s="53">
        <v>9.6999999999999993</v>
      </c>
      <c r="J22" s="53">
        <v>1.06</v>
      </c>
      <c r="K22" s="53">
        <v>60.43</v>
      </c>
      <c r="L22" s="53">
        <v>29.53</v>
      </c>
      <c r="M22" s="53">
        <v>28.68</v>
      </c>
      <c r="N22" s="53">
        <v>438.9</v>
      </c>
      <c r="O22" s="53">
        <v>0</v>
      </c>
      <c r="P22" s="53">
        <v>0.81</v>
      </c>
      <c r="Q22" s="53">
        <v>4.9800000000000004</v>
      </c>
    </row>
    <row r="23" spans="1:17" customFormat="1">
      <c r="A23" s="52">
        <v>45613.625</v>
      </c>
      <c r="B23" s="53">
        <v>5.21</v>
      </c>
      <c r="C23" s="53">
        <v>8.1</v>
      </c>
      <c r="D23" s="53">
        <v>13.96</v>
      </c>
      <c r="E23" s="53">
        <v>12.81</v>
      </c>
      <c r="F23" s="53">
        <v>19.62</v>
      </c>
      <c r="G23" s="53">
        <v>66.319999999999993</v>
      </c>
      <c r="H23" s="53">
        <v>28.68</v>
      </c>
      <c r="I23" s="53">
        <v>8.9700000000000006</v>
      </c>
      <c r="J23" s="53">
        <v>0.83</v>
      </c>
      <c r="K23" s="53">
        <v>47.63</v>
      </c>
      <c r="L23" s="53">
        <v>28.8</v>
      </c>
      <c r="M23" s="53">
        <v>29.11</v>
      </c>
      <c r="N23" s="53">
        <v>102.8</v>
      </c>
      <c r="O23" s="53">
        <v>0</v>
      </c>
      <c r="P23" s="53">
        <v>0.73</v>
      </c>
      <c r="Q23" s="53">
        <v>4.99</v>
      </c>
    </row>
    <row r="24" spans="1:17" customFormat="1">
      <c r="A24" s="52">
        <v>45613.666666666664</v>
      </c>
      <c r="B24" s="53">
        <v>5.2</v>
      </c>
      <c r="C24" s="53">
        <v>8.09</v>
      </c>
      <c r="D24" s="53">
        <v>13.96</v>
      </c>
      <c r="E24" s="53">
        <v>12.29</v>
      </c>
      <c r="F24" s="53">
        <v>19.45</v>
      </c>
      <c r="G24" s="53">
        <v>64.47</v>
      </c>
      <c r="H24" s="53">
        <v>25.59</v>
      </c>
      <c r="I24" s="53">
        <v>8.44</v>
      </c>
      <c r="J24" s="53">
        <v>0.62</v>
      </c>
      <c r="K24" s="53">
        <v>61.1</v>
      </c>
      <c r="L24" s="53">
        <v>28.52</v>
      </c>
      <c r="M24" s="53">
        <v>30.19</v>
      </c>
      <c r="N24" s="53">
        <v>63.3</v>
      </c>
      <c r="O24" s="53">
        <v>0</v>
      </c>
      <c r="P24" s="53">
        <v>0.71</v>
      </c>
      <c r="Q24" s="53">
        <v>4.99</v>
      </c>
    </row>
    <row r="25" spans="1:17" customFormat="1">
      <c r="A25" s="52">
        <v>45613.708333333336</v>
      </c>
      <c r="B25" s="53">
        <v>5.21</v>
      </c>
      <c r="C25" s="53">
        <v>8.07</v>
      </c>
      <c r="D25" s="53">
        <v>13.96</v>
      </c>
      <c r="E25" s="53">
        <v>11.7</v>
      </c>
      <c r="F25" s="53">
        <v>17.18</v>
      </c>
      <c r="G25" s="53">
        <v>62.55</v>
      </c>
      <c r="H25" s="53">
        <v>22.99</v>
      </c>
      <c r="I25" s="53">
        <v>8.15</v>
      </c>
      <c r="J25" s="53">
        <v>0.44</v>
      </c>
      <c r="K25" s="53">
        <v>161.22</v>
      </c>
      <c r="L25" s="53">
        <v>27.84</v>
      </c>
      <c r="M25" s="53">
        <v>43.65</v>
      </c>
      <c r="N25" s="53">
        <v>29.6</v>
      </c>
      <c r="O25" s="53">
        <v>0</v>
      </c>
      <c r="P25" s="53">
        <v>0.71</v>
      </c>
      <c r="Q25" s="53">
        <v>5</v>
      </c>
    </row>
    <row r="26" spans="1:17" customFormat="1">
      <c r="A26" s="52">
        <v>45613.75</v>
      </c>
      <c r="B26" s="53">
        <v>5.19</v>
      </c>
      <c r="C26" s="53">
        <v>8.1</v>
      </c>
      <c r="D26" s="53">
        <v>13.95</v>
      </c>
      <c r="E26" s="53">
        <v>9.31</v>
      </c>
      <c r="F26" s="53">
        <v>8.43</v>
      </c>
      <c r="G26" s="53">
        <v>72.010000000000005</v>
      </c>
      <c r="H26" s="53">
        <v>25.92</v>
      </c>
      <c r="I26" s="53">
        <v>7.85</v>
      </c>
      <c r="J26" s="53">
        <v>0.32</v>
      </c>
      <c r="K26" s="53">
        <v>158.37</v>
      </c>
      <c r="L26" s="53">
        <v>24.8</v>
      </c>
      <c r="M26" s="53">
        <v>55.71</v>
      </c>
      <c r="N26" s="53">
        <v>3.5</v>
      </c>
      <c r="O26" s="53">
        <v>0</v>
      </c>
      <c r="P26" s="53">
        <v>0.73</v>
      </c>
      <c r="Q26" s="53">
        <v>4.99</v>
      </c>
    </row>
    <row r="27" spans="1:17" customFormat="1">
      <c r="A27" s="52">
        <v>45613.791666666664</v>
      </c>
      <c r="B27" s="53">
        <v>5.19</v>
      </c>
      <c r="C27" s="53">
        <v>8.08</v>
      </c>
      <c r="D27" s="53">
        <v>13.94</v>
      </c>
      <c r="E27" s="53">
        <v>9.06</v>
      </c>
      <c r="F27" s="53">
        <v>6.6</v>
      </c>
      <c r="G27" s="53">
        <v>84.48</v>
      </c>
      <c r="H27" s="53">
        <v>25.92</v>
      </c>
      <c r="I27" s="53">
        <v>8.4600000000000009</v>
      </c>
      <c r="J27" s="53">
        <v>0.28000000000000003</v>
      </c>
      <c r="K27" s="53">
        <v>177.89</v>
      </c>
      <c r="L27" s="53">
        <v>23.1</v>
      </c>
      <c r="M27" s="53">
        <v>64.319999999999993</v>
      </c>
      <c r="N27" s="53">
        <v>1.7</v>
      </c>
      <c r="O27" s="53">
        <v>0</v>
      </c>
      <c r="P27" s="53">
        <v>0.81</v>
      </c>
      <c r="Q27" s="53">
        <v>5</v>
      </c>
    </row>
    <row r="28" spans="1:17" customFormat="1">
      <c r="A28" s="52">
        <v>45613.833333333336</v>
      </c>
      <c r="B28" s="53">
        <v>5.19</v>
      </c>
      <c r="C28" s="53">
        <v>8.11</v>
      </c>
      <c r="D28" s="53">
        <v>13.95</v>
      </c>
      <c r="E28" s="53">
        <v>8.76</v>
      </c>
      <c r="F28" s="53">
        <v>5.77</v>
      </c>
      <c r="G28" s="53">
        <v>101.77</v>
      </c>
      <c r="H28" s="53">
        <v>29.85</v>
      </c>
      <c r="I28" s="53">
        <v>9.27</v>
      </c>
      <c r="J28" s="53">
        <v>0.19</v>
      </c>
      <c r="K28" s="53">
        <v>205.24</v>
      </c>
      <c r="L28" s="53">
        <v>21.52</v>
      </c>
      <c r="M28" s="53">
        <v>74.400000000000006</v>
      </c>
      <c r="N28" s="53">
        <v>1.8</v>
      </c>
      <c r="O28" s="53">
        <v>0</v>
      </c>
      <c r="P28" s="53">
        <v>0.9</v>
      </c>
      <c r="Q28" s="53">
        <v>4.99</v>
      </c>
    </row>
    <row r="29" spans="1:17" customFormat="1">
      <c r="A29" s="52">
        <v>45613.875</v>
      </c>
      <c r="B29" s="53">
        <v>5.18</v>
      </c>
      <c r="C29" s="53">
        <v>8.1</v>
      </c>
      <c r="D29" s="53">
        <v>13.95</v>
      </c>
      <c r="E29" s="53">
        <v>9.08</v>
      </c>
      <c r="F29" s="53">
        <v>5.75</v>
      </c>
      <c r="G29" s="53">
        <v>112.12</v>
      </c>
      <c r="H29" s="53">
        <v>29.82</v>
      </c>
      <c r="I29" s="53">
        <v>9.9600000000000009</v>
      </c>
      <c r="J29" s="53">
        <v>0.23</v>
      </c>
      <c r="K29" s="53">
        <v>204.63</v>
      </c>
      <c r="L29" s="53">
        <v>20.3</v>
      </c>
      <c r="M29" s="53">
        <v>77.75</v>
      </c>
      <c r="N29" s="53">
        <v>1.4</v>
      </c>
      <c r="O29" s="53">
        <v>0</v>
      </c>
      <c r="P29" s="53">
        <v>0.93</v>
      </c>
      <c r="Q29" s="53">
        <v>4.99</v>
      </c>
    </row>
    <row r="30" spans="1:17" customFormat="1">
      <c r="A30" s="52">
        <v>45613.916666666664</v>
      </c>
      <c r="B30" s="53">
        <v>5.21</v>
      </c>
      <c r="C30" s="53">
        <v>8.07</v>
      </c>
      <c r="D30" s="53">
        <v>13.96</v>
      </c>
      <c r="E30" s="53">
        <v>9.19</v>
      </c>
      <c r="F30" s="53">
        <v>5.71</v>
      </c>
      <c r="G30" s="53">
        <v>114.29</v>
      </c>
      <c r="H30" s="53">
        <v>28.22</v>
      </c>
      <c r="I30" s="53">
        <v>10.039999999999999</v>
      </c>
      <c r="J30" s="53">
        <v>0.19</v>
      </c>
      <c r="K30" s="53">
        <v>224.18</v>
      </c>
      <c r="L30" s="53">
        <v>19.760000000000002</v>
      </c>
      <c r="M30" s="53">
        <v>83.67</v>
      </c>
      <c r="N30" s="53">
        <v>1.4</v>
      </c>
      <c r="O30" s="53">
        <v>0</v>
      </c>
      <c r="P30" s="53">
        <v>0.93</v>
      </c>
      <c r="Q30" s="53">
        <v>4.99</v>
      </c>
    </row>
    <row r="31" spans="1:17" customFormat="1">
      <c r="A31" s="52">
        <v>45613.958333333336</v>
      </c>
      <c r="B31" s="53">
        <v>5.21</v>
      </c>
      <c r="C31" s="53">
        <v>8.1</v>
      </c>
      <c r="D31" s="53">
        <v>13.96</v>
      </c>
      <c r="E31" s="53">
        <v>9.23</v>
      </c>
      <c r="F31" s="53">
        <v>5.7</v>
      </c>
      <c r="G31" s="53">
        <v>114.18</v>
      </c>
      <c r="H31" s="53">
        <v>26.59</v>
      </c>
      <c r="I31" s="53">
        <v>10.210000000000001</v>
      </c>
      <c r="J31" s="53">
        <v>0.19</v>
      </c>
      <c r="K31" s="53">
        <v>235</v>
      </c>
      <c r="L31" s="53">
        <v>18.920000000000002</v>
      </c>
      <c r="M31" s="53">
        <v>84.23</v>
      </c>
      <c r="N31" s="53">
        <v>1.7</v>
      </c>
      <c r="O31" s="53">
        <v>0</v>
      </c>
      <c r="P31" s="53">
        <v>0.94</v>
      </c>
      <c r="Q31" s="53">
        <v>4.99</v>
      </c>
    </row>
    <row r="32" spans="1:17" customFormat="1">
      <c r="A32" s="52">
        <v>45614</v>
      </c>
      <c r="B32" s="53">
        <v>5.19</v>
      </c>
      <c r="C32" s="53">
        <v>8.09</v>
      </c>
      <c r="D32" s="53">
        <v>13.95</v>
      </c>
      <c r="E32" s="53">
        <v>9.09</v>
      </c>
      <c r="F32" s="53">
        <v>5.8</v>
      </c>
      <c r="G32" s="53">
        <v>109.45</v>
      </c>
      <c r="H32" s="53">
        <v>28.36</v>
      </c>
      <c r="I32" s="53">
        <v>10.38</v>
      </c>
      <c r="J32" s="53">
        <v>0.13</v>
      </c>
      <c r="K32" s="53">
        <v>232.23</v>
      </c>
      <c r="L32" s="53">
        <v>17.93</v>
      </c>
      <c r="M32" s="53">
        <v>83.17</v>
      </c>
      <c r="N32" s="53">
        <v>1.3</v>
      </c>
      <c r="O32" s="53">
        <v>0</v>
      </c>
      <c r="P32" s="53">
        <v>0.94</v>
      </c>
      <c r="Q32" s="53">
        <v>4.99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5.18</v>
      </c>
      <c r="C34" s="40">
        <f t="shared" si="0"/>
        <v>8.07</v>
      </c>
      <c r="D34" s="40">
        <f t="shared" si="0"/>
        <v>13.94</v>
      </c>
      <c r="E34" s="40">
        <f t="shared" si="0"/>
        <v>8.75</v>
      </c>
      <c r="F34" s="40">
        <f t="shared" si="0"/>
        <v>5.49</v>
      </c>
      <c r="G34" s="40">
        <f t="shared" si="0"/>
        <v>62.55</v>
      </c>
      <c r="H34" s="40">
        <f t="shared" si="0"/>
        <v>22.99</v>
      </c>
      <c r="I34" s="40">
        <f t="shared" si="0"/>
        <v>7.85</v>
      </c>
      <c r="J34" s="40">
        <f t="shared" si="0"/>
        <v>0.13</v>
      </c>
      <c r="K34" s="40">
        <f t="shared" si="0"/>
        <v>47.63</v>
      </c>
      <c r="L34" s="40">
        <f t="shared" si="0"/>
        <v>17.059999999999999</v>
      </c>
      <c r="M34" s="40">
        <f t="shared" si="0"/>
        <v>28.68</v>
      </c>
      <c r="N34" s="40">
        <f t="shared" si="0"/>
        <v>1.3</v>
      </c>
      <c r="O34" s="40">
        <f t="shared" si="0"/>
        <v>0</v>
      </c>
      <c r="P34" s="40">
        <f t="shared" si="0"/>
        <v>0.71</v>
      </c>
      <c r="Q34" s="40">
        <f t="shared" si="0"/>
        <v>4.9800000000000004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5.24</v>
      </c>
      <c r="C35" s="33">
        <f t="shared" si="1"/>
        <v>8.1199999999999992</v>
      </c>
      <c r="D35" s="33">
        <f t="shared" si="1"/>
        <v>13.98</v>
      </c>
      <c r="E35" s="33">
        <f t="shared" si="1"/>
        <v>12.81</v>
      </c>
      <c r="F35" s="33">
        <f t="shared" si="1"/>
        <v>19.62</v>
      </c>
      <c r="G35" s="33">
        <f t="shared" si="1"/>
        <v>119.03</v>
      </c>
      <c r="H35" s="33">
        <f t="shared" si="1"/>
        <v>37.880000000000003</v>
      </c>
      <c r="I35" s="33">
        <f t="shared" si="1"/>
        <v>12.25</v>
      </c>
      <c r="J35" s="33">
        <f t="shared" si="1"/>
        <v>1.1100000000000001</v>
      </c>
      <c r="K35" s="33">
        <f t="shared" si="1"/>
        <v>246.2</v>
      </c>
      <c r="L35" s="33">
        <f t="shared" si="1"/>
        <v>29.53</v>
      </c>
      <c r="M35" s="33">
        <f t="shared" si="1"/>
        <v>90.6</v>
      </c>
      <c r="N35" s="33">
        <f t="shared" si="1"/>
        <v>525.29999999999995</v>
      </c>
      <c r="O35" s="33">
        <f t="shared" si="1"/>
        <v>0</v>
      </c>
      <c r="P35" s="33">
        <f t="shared" si="1"/>
        <v>1.29</v>
      </c>
      <c r="Q35" s="33">
        <f t="shared" si="1"/>
        <v>5.01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5.202916666666666</v>
      </c>
      <c r="C36" s="40">
        <f t="shared" si="2"/>
        <v>8.0941666666666645</v>
      </c>
      <c r="D36" s="40">
        <f t="shared" si="2"/>
        <v>13.960416666666665</v>
      </c>
      <c r="E36" s="40">
        <f t="shared" si="2"/>
        <v>9.8258333333333336</v>
      </c>
      <c r="F36" s="40">
        <f t="shared" si="2"/>
        <v>8.7683333333333344</v>
      </c>
      <c r="G36" s="40">
        <f t="shared" si="2"/>
        <v>98.34333333333332</v>
      </c>
      <c r="H36" s="40">
        <f t="shared" si="2"/>
        <v>30.303750000000004</v>
      </c>
      <c r="I36" s="40">
        <f t="shared" si="2"/>
        <v>10.283333333333333</v>
      </c>
      <c r="J36" s="40">
        <f t="shared" si="2"/>
        <v>0.43208333333333332</v>
      </c>
      <c r="K36" s="40">
        <f t="shared" si="2"/>
        <v>163.05624999999995</v>
      </c>
      <c r="L36" s="40">
        <f t="shared" si="2"/>
        <v>22.525833333333328</v>
      </c>
      <c r="M36" s="40">
        <f t="shared" si="2"/>
        <v>65.237083333333345</v>
      </c>
      <c r="N36" s="40">
        <f t="shared" si="2"/>
        <v>128.77083333333334</v>
      </c>
      <c r="O36" s="40">
        <f t="shared" si="2"/>
        <v>0</v>
      </c>
      <c r="P36" s="40">
        <f t="shared" si="2"/>
        <v>0.94208333333333327</v>
      </c>
      <c r="Q36" s="40">
        <f t="shared" si="2"/>
        <v>4.994583333333332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1.4884823513044805E-2</v>
      </c>
      <c r="C37" s="40">
        <f t="shared" ref="C37:Q37" si="3">STDEV(C9:C32)</f>
        <v>1.4421200175184614E-2</v>
      </c>
      <c r="D37" s="40">
        <f t="shared" si="3"/>
        <v>1.0417028979206737E-2</v>
      </c>
      <c r="E37" s="40">
        <f t="shared" si="3"/>
        <v>1.14194310627588</v>
      </c>
      <c r="F37" s="40">
        <f t="shared" si="3"/>
        <v>4.7896216303919878</v>
      </c>
      <c r="G37" s="40">
        <f t="shared" si="3"/>
        <v>18.904091267941705</v>
      </c>
      <c r="H37" s="40">
        <f t="shared" si="3"/>
        <v>3.9767977203643556</v>
      </c>
      <c r="I37" s="40">
        <f t="shared" si="3"/>
        <v>1.3402552212063898</v>
      </c>
      <c r="J37" s="40">
        <f t="shared" si="3"/>
        <v>0.32358023219391313</v>
      </c>
      <c r="K37" s="40">
        <f t="shared" si="3"/>
        <v>74.493797104626381</v>
      </c>
      <c r="L37" s="40">
        <f t="shared" si="3"/>
        <v>4.7271453989896086</v>
      </c>
      <c r="M37" s="40">
        <f t="shared" si="3"/>
        <v>22.805696938754515</v>
      </c>
      <c r="N37" s="40">
        <f t="shared" si="3"/>
        <v>195.52197581183117</v>
      </c>
      <c r="O37" s="40">
        <f t="shared" si="3"/>
        <v>0</v>
      </c>
      <c r="P37" s="40">
        <f t="shared" si="3"/>
        <v>0.18043375676327894</v>
      </c>
      <c r="Q37" s="40">
        <f t="shared" si="3"/>
        <v>8.836272412331132E-3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45614.041666666664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45614.041666666664</v>
      </c>
      <c r="B9" s="53">
        <v>5.23</v>
      </c>
      <c r="C9" s="53">
        <v>8.08</v>
      </c>
      <c r="D9" s="53">
        <v>13.98</v>
      </c>
      <c r="E9" s="53">
        <v>8.98</v>
      </c>
      <c r="F9" s="53">
        <v>5.71</v>
      </c>
      <c r="G9" s="53">
        <v>100.36</v>
      </c>
      <c r="H9" s="53">
        <v>29.86</v>
      </c>
      <c r="I9" s="53">
        <v>10.36</v>
      </c>
      <c r="J9" s="53">
        <v>0.16</v>
      </c>
      <c r="K9" s="53">
        <v>322.06</v>
      </c>
      <c r="L9" s="53">
        <v>17.899999999999999</v>
      </c>
      <c r="M9" s="53">
        <v>85.31</v>
      </c>
      <c r="N9" s="53">
        <v>1.4</v>
      </c>
      <c r="O9" s="53">
        <v>0</v>
      </c>
      <c r="P9" s="53">
        <v>0.93</v>
      </c>
      <c r="Q9" s="53">
        <v>4.99</v>
      </c>
    </row>
    <row r="10" spans="1:21" customFormat="1">
      <c r="A10" s="52">
        <v>45614.083333333336</v>
      </c>
      <c r="B10" s="53">
        <v>5.22</v>
      </c>
      <c r="C10" s="53">
        <v>8.1</v>
      </c>
      <c r="D10" s="53">
        <v>13.97</v>
      </c>
      <c r="E10" s="53">
        <v>9.01</v>
      </c>
      <c r="F10" s="53">
        <v>5.65</v>
      </c>
      <c r="G10" s="53">
        <v>91.38</v>
      </c>
      <c r="H10" s="53">
        <v>29.86</v>
      </c>
      <c r="I10" s="53">
        <v>10.65</v>
      </c>
      <c r="J10" s="53">
        <v>0.31</v>
      </c>
      <c r="K10" s="53">
        <v>49.5</v>
      </c>
      <c r="L10" s="53">
        <v>18.82</v>
      </c>
      <c r="M10" s="53">
        <v>72.900000000000006</v>
      </c>
      <c r="N10" s="53">
        <v>1.6</v>
      </c>
      <c r="O10" s="53">
        <v>0</v>
      </c>
      <c r="P10" s="53">
        <v>1.03</v>
      </c>
      <c r="Q10" s="53">
        <v>5</v>
      </c>
    </row>
    <row r="11" spans="1:21" customFormat="1">
      <c r="A11" s="52">
        <v>45614.125</v>
      </c>
      <c r="B11" s="53">
        <v>5.22</v>
      </c>
      <c r="C11" s="53">
        <v>8.1300000000000008</v>
      </c>
      <c r="D11" s="53">
        <v>14</v>
      </c>
      <c r="E11" s="53">
        <v>8.6</v>
      </c>
      <c r="F11" s="53">
        <v>5.53</v>
      </c>
      <c r="G11" s="53">
        <v>181.64</v>
      </c>
      <c r="H11" s="53">
        <v>34.299999999999997</v>
      </c>
      <c r="I11" s="53">
        <v>11.66</v>
      </c>
      <c r="J11" s="53">
        <v>0.2</v>
      </c>
      <c r="K11" s="53">
        <v>220.23</v>
      </c>
      <c r="L11" s="53">
        <v>18.21</v>
      </c>
      <c r="M11" s="53">
        <v>85.38</v>
      </c>
      <c r="N11" s="53">
        <v>1.8</v>
      </c>
      <c r="O11" s="53">
        <v>0</v>
      </c>
      <c r="P11" s="53">
        <v>1.17</v>
      </c>
      <c r="Q11" s="53">
        <v>5</v>
      </c>
    </row>
    <row r="12" spans="1:21" customFormat="1">
      <c r="A12" s="52">
        <v>45614.166666666664</v>
      </c>
      <c r="B12" s="53">
        <v>5.22</v>
      </c>
      <c r="C12" s="53">
        <v>8.1</v>
      </c>
      <c r="D12" s="53">
        <v>13.98</v>
      </c>
      <c r="E12" s="53">
        <v>8.6199999999999992</v>
      </c>
      <c r="F12" s="53">
        <v>5.47</v>
      </c>
      <c r="G12" s="53">
        <v>181.21</v>
      </c>
      <c r="H12" s="53">
        <v>37.29</v>
      </c>
      <c r="I12" s="53">
        <v>12.28</v>
      </c>
      <c r="J12" s="53">
        <v>0.19</v>
      </c>
      <c r="K12" s="53">
        <v>225.54</v>
      </c>
      <c r="L12" s="53">
        <v>17.04</v>
      </c>
      <c r="M12" s="53">
        <v>86.48</v>
      </c>
      <c r="N12" s="53">
        <v>1.6</v>
      </c>
      <c r="O12" s="53">
        <v>0</v>
      </c>
      <c r="P12" s="53">
        <v>1.23</v>
      </c>
      <c r="Q12" s="53">
        <v>5</v>
      </c>
    </row>
    <row r="13" spans="1:21" customFormat="1">
      <c r="A13" s="52">
        <v>45614.208333333336</v>
      </c>
      <c r="B13" s="53">
        <v>5.23</v>
      </c>
      <c r="C13" s="53">
        <v>8.08</v>
      </c>
      <c r="D13" s="53">
        <v>13.98</v>
      </c>
      <c r="E13" s="53">
        <v>8.09</v>
      </c>
      <c r="F13" s="53">
        <v>5.33</v>
      </c>
      <c r="G13" s="53">
        <v>161.37</v>
      </c>
      <c r="H13" s="53">
        <v>37.479999999999997</v>
      </c>
      <c r="I13" s="53">
        <v>12.66</v>
      </c>
      <c r="J13" s="53">
        <v>0.15</v>
      </c>
      <c r="K13" s="53">
        <v>183.85</v>
      </c>
      <c r="L13" s="53">
        <v>17.079999999999998</v>
      </c>
      <c r="M13" s="53">
        <v>85.31</v>
      </c>
      <c r="N13" s="53">
        <v>1.4</v>
      </c>
      <c r="O13" s="53">
        <v>0</v>
      </c>
      <c r="P13" s="53">
        <v>1.26</v>
      </c>
      <c r="Q13" s="53">
        <v>4.99</v>
      </c>
    </row>
    <row r="14" spans="1:21" customFormat="1">
      <c r="A14" s="52">
        <v>45614.25</v>
      </c>
      <c r="B14" s="53">
        <v>5.23</v>
      </c>
      <c r="C14" s="53">
        <v>8.11</v>
      </c>
      <c r="D14" s="53">
        <v>13.98</v>
      </c>
      <c r="E14" s="53">
        <v>8.59</v>
      </c>
      <c r="F14" s="53">
        <v>5.45</v>
      </c>
      <c r="G14" s="53">
        <v>135.93</v>
      </c>
      <c r="H14" s="53">
        <v>38.229999999999997</v>
      </c>
      <c r="I14" s="53">
        <v>12.72</v>
      </c>
      <c r="J14" s="53">
        <v>0.15</v>
      </c>
      <c r="K14" s="53">
        <v>221.95</v>
      </c>
      <c r="L14" s="53">
        <v>16.850000000000001</v>
      </c>
      <c r="M14" s="53">
        <v>90.6</v>
      </c>
      <c r="N14" s="53">
        <v>2.2000000000000002</v>
      </c>
      <c r="O14" s="53">
        <v>0</v>
      </c>
      <c r="P14" s="53">
        <v>1.25</v>
      </c>
      <c r="Q14" s="53">
        <v>5</v>
      </c>
    </row>
    <row r="15" spans="1:21" customFormat="1">
      <c r="A15" s="52">
        <v>45614.291666666664</v>
      </c>
      <c r="B15" s="53">
        <v>5.23</v>
      </c>
      <c r="C15" s="53">
        <v>8.08</v>
      </c>
      <c r="D15" s="53">
        <v>13.96</v>
      </c>
      <c r="E15" s="53">
        <v>8.57</v>
      </c>
      <c r="F15" s="53">
        <v>5.57</v>
      </c>
      <c r="G15" s="53">
        <v>106.3</v>
      </c>
      <c r="H15" s="53">
        <v>38.200000000000003</v>
      </c>
      <c r="I15" s="53">
        <v>12.73</v>
      </c>
      <c r="J15" s="53">
        <v>0.28000000000000003</v>
      </c>
      <c r="K15" s="53">
        <v>163.72999999999999</v>
      </c>
      <c r="L15" s="53">
        <v>17.489999999999998</v>
      </c>
      <c r="M15" s="53">
        <v>88.58</v>
      </c>
      <c r="N15" s="53">
        <v>34.6</v>
      </c>
      <c r="O15" s="53">
        <v>0</v>
      </c>
      <c r="P15" s="53">
        <v>1.24</v>
      </c>
      <c r="Q15" s="53">
        <v>5</v>
      </c>
    </row>
    <row r="16" spans="1:21" customFormat="1">
      <c r="A16" s="52">
        <v>45614.333333333336</v>
      </c>
      <c r="B16" s="53">
        <v>5.23</v>
      </c>
      <c r="C16" s="53">
        <v>8.09</v>
      </c>
      <c r="D16" s="53">
        <v>13.98</v>
      </c>
      <c r="E16" s="53">
        <v>9.06</v>
      </c>
      <c r="F16" s="53">
        <v>5.68</v>
      </c>
      <c r="G16" s="53">
        <v>113.41</v>
      </c>
      <c r="H16" s="53">
        <v>38.18</v>
      </c>
      <c r="I16" s="53">
        <v>12.95</v>
      </c>
      <c r="J16" s="53">
        <v>0.52</v>
      </c>
      <c r="K16" s="53">
        <v>57.51</v>
      </c>
      <c r="L16" s="53">
        <v>20.02</v>
      </c>
      <c r="M16" s="53">
        <v>78.19</v>
      </c>
      <c r="N16" s="53">
        <v>173</v>
      </c>
      <c r="O16" s="53">
        <v>0</v>
      </c>
      <c r="P16" s="53">
        <v>1.22</v>
      </c>
      <c r="Q16" s="53">
        <v>5.01</v>
      </c>
    </row>
    <row r="17" spans="1:17" customFormat="1">
      <c r="A17" s="52">
        <v>45614.375</v>
      </c>
      <c r="B17" s="53">
        <v>5.24</v>
      </c>
      <c r="C17" s="53">
        <v>8.07</v>
      </c>
      <c r="D17" s="53">
        <v>13.98</v>
      </c>
      <c r="E17" s="53">
        <v>9.23</v>
      </c>
      <c r="F17" s="53">
        <v>5.64</v>
      </c>
      <c r="G17" s="53">
        <v>113.39</v>
      </c>
      <c r="H17" s="53">
        <v>38.17</v>
      </c>
      <c r="I17" s="53">
        <v>12.99</v>
      </c>
      <c r="J17" s="53">
        <v>0.54</v>
      </c>
      <c r="K17" s="53">
        <v>52.66</v>
      </c>
      <c r="L17" s="53">
        <v>23.57</v>
      </c>
      <c r="M17" s="53">
        <v>66.099999999999994</v>
      </c>
      <c r="N17" s="53">
        <v>307.39999999999998</v>
      </c>
      <c r="O17" s="53">
        <v>0</v>
      </c>
      <c r="P17" s="53">
        <v>1.2</v>
      </c>
      <c r="Q17" s="53">
        <v>4.99</v>
      </c>
    </row>
    <row r="18" spans="1:17" customFormat="1">
      <c r="A18" s="52">
        <v>45614.416666666664</v>
      </c>
      <c r="B18" s="53">
        <v>5.24</v>
      </c>
      <c r="C18" s="53">
        <v>8.1</v>
      </c>
      <c r="D18" s="53">
        <v>13.98</v>
      </c>
      <c r="E18" s="53">
        <v>9.49</v>
      </c>
      <c r="F18" s="53">
        <v>6.42</v>
      </c>
      <c r="G18" s="53">
        <v>112.56</v>
      </c>
      <c r="H18" s="53">
        <v>37.58</v>
      </c>
      <c r="I18" s="53">
        <v>12.94</v>
      </c>
      <c r="J18" s="53">
        <v>0.77</v>
      </c>
      <c r="K18" s="53">
        <v>73.78</v>
      </c>
      <c r="L18" s="53">
        <v>26.41</v>
      </c>
      <c r="M18" s="53">
        <v>50.17</v>
      </c>
      <c r="N18" s="53">
        <v>440.2</v>
      </c>
      <c r="O18" s="53">
        <v>0</v>
      </c>
      <c r="P18" s="53">
        <v>1.17</v>
      </c>
      <c r="Q18" s="53">
        <v>5</v>
      </c>
    </row>
    <row r="19" spans="1:17" customFormat="1">
      <c r="A19" s="52">
        <v>45614.458333333336</v>
      </c>
      <c r="B19" s="53">
        <v>5.22</v>
      </c>
      <c r="C19" s="53">
        <v>8.09</v>
      </c>
      <c r="D19" s="53">
        <v>13.97</v>
      </c>
      <c r="E19" s="53">
        <v>10.91</v>
      </c>
      <c r="F19" s="53">
        <v>7.39</v>
      </c>
      <c r="G19" s="53">
        <v>111.59</v>
      </c>
      <c r="H19" s="53">
        <v>31.06</v>
      </c>
      <c r="I19" s="53">
        <v>12.62</v>
      </c>
      <c r="J19" s="53">
        <v>0.6</v>
      </c>
      <c r="K19" s="53">
        <v>76.040000000000006</v>
      </c>
      <c r="L19" s="53">
        <v>28.35</v>
      </c>
      <c r="M19" s="53">
        <v>41.85</v>
      </c>
      <c r="N19" s="53">
        <v>510</v>
      </c>
      <c r="O19" s="53">
        <v>0</v>
      </c>
      <c r="P19" s="53">
        <v>1.1200000000000001</v>
      </c>
      <c r="Q19" s="53">
        <v>4.99</v>
      </c>
    </row>
    <row r="20" spans="1:17" customFormat="1">
      <c r="A20" s="52">
        <v>45614.5</v>
      </c>
      <c r="B20" s="53">
        <v>5.22</v>
      </c>
      <c r="C20" s="53">
        <v>8.1</v>
      </c>
      <c r="D20" s="53">
        <v>13.97</v>
      </c>
      <c r="E20" s="53">
        <v>11.55</v>
      </c>
      <c r="F20" s="53">
        <v>10.84</v>
      </c>
      <c r="G20" s="53">
        <v>109.02</v>
      </c>
      <c r="H20" s="53">
        <v>31.03</v>
      </c>
      <c r="I20" s="53">
        <v>11.93</v>
      </c>
      <c r="J20" s="53">
        <v>0.97</v>
      </c>
      <c r="K20" s="53">
        <v>75.790000000000006</v>
      </c>
      <c r="L20" s="53">
        <v>28.88</v>
      </c>
      <c r="M20" s="53">
        <v>34.53</v>
      </c>
      <c r="N20" s="53">
        <v>531.9</v>
      </c>
      <c r="O20" s="53">
        <v>0</v>
      </c>
      <c r="P20" s="53">
        <v>1.03</v>
      </c>
      <c r="Q20" s="53">
        <v>5</v>
      </c>
    </row>
    <row r="21" spans="1:17" customFormat="1">
      <c r="A21" s="52">
        <v>45614.541666666664</v>
      </c>
      <c r="B21" s="53">
        <v>5.3</v>
      </c>
      <c r="C21" s="53">
        <v>8.07</v>
      </c>
      <c r="D21" s="53">
        <v>14.03</v>
      </c>
      <c r="E21" s="53">
        <v>10.39</v>
      </c>
      <c r="F21" s="53">
        <v>26.92</v>
      </c>
      <c r="G21" s="53">
        <v>66.8</v>
      </c>
      <c r="H21" s="53">
        <v>29.07</v>
      </c>
      <c r="I21" s="53">
        <v>10.86</v>
      </c>
      <c r="J21" s="53">
        <v>0.95</v>
      </c>
      <c r="K21" s="53">
        <v>73.16</v>
      </c>
      <c r="L21" s="53">
        <v>29.62</v>
      </c>
      <c r="M21" s="53">
        <v>24.48</v>
      </c>
      <c r="N21" s="53">
        <v>548</v>
      </c>
      <c r="O21" s="53">
        <v>0</v>
      </c>
      <c r="P21" s="53">
        <v>0.93</v>
      </c>
      <c r="Q21" s="53">
        <v>5.01</v>
      </c>
    </row>
    <row r="22" spans="1:17" customFormat="1">
      <c r="A22" s="52">
        <v>45614.583333333336</v>
      </c>
      <c r="B22" s="53">
        <v>5.31</v>
      </c>
      <c r="C22" s="53">
        <v>8.1300000000000008</v>
      </c>
      <c r="D22" s="53">
        <v>14.04</v>
      </c>
      <c r="E22" s="53">
        <v>19.399999999999999</v>
      </c>
      <c r="F22" s="53">
        <v>38.409999999999997</v>
      </c>
      <c r="G22" s="53">
        <v>63.84</v>
      </c>
      <c r="H22" s="53">
        <v>27.06</v>
      </c>
      <c r="I22" s="53">
        <v>8.5299999999999994</v>
      </c>
      <c r="J22" s="53">
        <v>1.1100000000000001</v>
      </c>
      <c r="K22" s="53">
        <v>54.42</v>
      </c>
      <c r="L22" s="53">
        <v>29.49</v>
      </c>
      <c r="M22" s="53">
        <v>25.41</v>
      </c>
      <c r="N22" s="53">
        <v>457.6</v>
      </c>
      <c r="O22" s="53">
        <v>0</v>
      </c>
      <c r="P22" s="53">
        <v>0.57999999999999996</v>
      </c>
      <c r="Q22" s="53">
        <v>5.01</v>
      </c>
    </row>
    <row r="23" spans="1:17" customFormat="1">
      <c r="A23" s="52">
        <v>45614.625</v>
      </c>
      <c r="B23" s="53">
        <v>5.23</v>
      </c>
      <c r="C23" s="53">
        <v>8.1199999999999992</v>
      </c>
      <c r="D23" s="53">
        <v>13.97</v>
      </c>
      <c r="E23" s="53">
        <v>9.83</v>
      </c>
      <c r="F23" s="53">
        <v>21.29</v>
      </c>
      <c r="G23" s="53">
        <v>63.79</v>
      </c>
      <c r="H23" s="53">
        <v>22.95</v>
      </c>
      <c r="I23" s="53">
        <v>5.6</v>
      </c>
      <c r="J23" s="53">
        <v>0.9</v>
      </c>
      <c r="K23" s="53">
        <v>59.82</v>
      </c>
      <c r="L23" s="53">
        <v>28.68</v>
      </c>
      <c r="M23" s="53">
        <v>26.24</v>
      </c>
      <c r="N23" s="53">
        <v>94.7</v>
      </c>
      <c r="O23" s="53">
        <v>0</v>
      </c>
      <c r="P23" s="53">
        <v>0.48</v>
      </c>
      <c r="Q23" s="53">
        <v>5.01</v>
      </c>
    </row>
    <row r="24" spans="1:17" customFormat="1">
      <c r="A24" s="52">
        <v>45614.666666666664</v>
      </c>
      <c r="B24" s="53">
        <v>5.22</v>
      </c>
      <c r="C24" s="53">
        <v>8.09</v>
      </c>
      <c r="D24" s="53">
        <v>13.97</v>
      </c>
      <c r="E24" s="53">
        <v>9.6199999999999992</v>
      </c>
      <c r="F24" s="53">
        <v>23.07</v>
      </c>
      <c r="G24" s="53">
        <v>61.18</v>
      </c>
      <c r="H24" s="53">
        <v>22.19</v>
      </c>
      <c r="I24" s="53">
        <v>5.75</v>
      </c>
      <c r="J24" s="53">
        <v>0.83</v>
      </c>
      <c r="K24" s="53">
        <v>56.95</v>
      </c>
      <c r="L24" s="53">
        <v>28.34</v>
      </c>
      <c r="M24" s="53">
        <v>29.16</v>
      </c>
      <c r="N24" s="53">
        <v>60.1</v>
      </c>
      <c r="O24" s="53">
        <v>0</v>
      </c>
      <c r="P24" s="53">
        <v>0.51</v>
      </c>
      <c r="Q24" s="53">
        <v>5</v>
      </c>
    </row>
    <row r="25" spans="1:17" customFormat="1">
      <c r="A25" s="52">
        <v>45614.708333333336</v>
      </c>
      <c r="B25" s="53">
        <v>5.23</v>
      </c>
      <c r="C25" s="53">
        <v>8.11</v>
      </c>
      <c r="D25" s="53">
        <v>13.99</v>
      </c>
      <c r="E25" s="53">
        <v>8.94</v>
      </c>
      <c r="F25" s="53">
        <v>20.100000000000001</v>
      </c>
      <c r="G25" s="53">
        <v>57.1</v>
      </c>
      <c r="H25" s="53">
        <v>21.03</v>
      </c>
      <c r="I25" s="53">
        <v>6.66</v>
      </c>
      <c r="J25" s="53">
        <v>0.69</v>
      </c>
      <c r="K25" s="53">
        <v>57.77</v>
      </c>
      <c r="L25" s="53">
        <v>27.58</v>
      </c>
      <c r="M25" s="53">
        <v>33.520000000000003</v>
      </c>
      <c r="N25" s="53">
        <v>29.5</v>
      </c>
      <c r="O25" s="53">
        <v>0</v>
      </c>
      <c r="P25" s="53">
        <v>0.53</v>
      </c>
      <c r="Q25" s="53">
        <v>5.01</v>
      </c>
    </row>
    <row r="26" spans="1:17" customFormat="1">
      <c r="A26" s="52">
        <v>45614.75</v>
      </c>
      <c r="B26" s="53">
        <v>5.26</v>
      </c>
      <c r="C26" s="53">
        <v>8.09</v>
      </c>
      <c r="D26" s="53">
        <v>14.01</v>
      </c>
      <c r="E26" s="53">
        <v>7.88</v>
      </c>
      <c r="F26" s="53">
        <v>7.5</v>
      </c>
      <c r="G26" s="53">
        <v>78.819999999999993</v>
      </c>
      <c r="H26" s="53">
        <v>23.13</v>
      </c>
      <c r="I26" s="53">
        <v>7.53</v>
      </c>
      <c r="J26" s="53">
        <v>0.21</v>
      </c>
      <c r="K26" s="53">
        <v>152.05000000000001</v>
      </c>
      <c r="L26" s="53">
        <v>25.33</v>
      </c>
      <c r="M26" s="53">
        <v>48.3</v>
      </c>
      <c r="N26" s="53">
        <v>3.6</v>
      </c>
      <c r="O26" s="53">
        <v>0</v>
      </c>
      <c r="P26" s="53">
        <v>0.57999999999999996</v>
      </c>
      <c r="Q26" s="53">
        <v>4.99</v>
      </c>
    </row>
    <row r="27" spans="1:17" customFormat="1">
      <c r="A27" s="52">
        <v>45614.791666666664</v>
      </c>
      <c r="B27" s="53">
        <v>5.23</v>
      </c>
      <c r="C27" s="53">
        <v>8.09</v>
      </c>
      <c r="D27" s="53">
        <v>13.99</v>
      </c>
      <c r="E27" s="53">
        <v>7.88</v>
      </c>
      <c r="F27" s="53">
        <v>5.84</v>
      </c>
      <c r="G27" s="53">
        <v>119.77</v>
      </c>
      <c r="H27" s="53">
        <v>24.77</v>
      </c>
      <c r="I27" s="53">
        <v>10.4</v>
      </c>
      <c r="J27" s="53">
        <v>0.27</v>
      </c>
      <c r="K27" s="53">
        <v>164.73</v>
      </c>
      <c r="L27" s="53">
        <v>22.66</v>
      </c>
      <c r="M27" s="53">
        <v>55.41</v>
      </c>
      <c r="N27" s="53">
        <v>1.8</v>
      </c>
      <c r="O27" s="53">
        <v>0</v>
      </c>
      <c r="P27" s="53">
        <v>0.64</v>
      </c>
      <c r="Q27" s="53">
        <v>5</v>
      </c>
    </row>
    <row r="28" spans="1:17" customFormat="1">
      <c r="A28" s="52">
        <v>45614.833333333336</v>
      </c>
      <c r="B28" s="53">
        <v>5.23</v>
      </c>
      <c r="C28" s="53">
        <v>8.09</v>
      </c>
      <c r="D28" s="53">
        <v>13.99</v>
      </c>
      <c r="E28" s="53">
        <v>8.1</v>
      </c>
      <c r="F28" s="53">
        <v>6.02</v>
      </c>
      <c r="G28" s="53">
        <v>123.59</v>
      </c>
      <c r="H28" s="53">
        <v>25.54</v>
      </c>
      <c r="I28" s="53">
        <v>11.56</v>
      </c>
      <c r="J28" s="53">
        <v>0.22</v>
      </c>
      <c r="K28" s="53">
        <v>207.69</v>
      </c>
      <c r="L28" s="53">
        <v>21.37</v>
      </c>
      <c r="M28" s="53">
        <v>70.7</v>
      </c>
      <c r="N28" s="53">
        <v>1.7</v>
      </c>
      <c r="O28" s="53">
        <v>0</v>
      </c>
      <c r="P28" s="53">
        <v>0.71</v>
      </c>
      <c r="Q28" s="53">
        <v>5</v>
      </c>
    </row>
    <row r="29" spans="1:17" customFormat="1">
      <c r="A29" s="52">
        <v>45614.875</v>
      </c>
      <c r="B29" s="53">
        <v>5.23</v>
      </c>
      <c r="C29" s="53">
        <v>8.06</v>
      </c>
      <c r="D29" s="53">
        <v>13.97</v>
      </c>
      <c r="E29" s="53">
        <v>8.35</v>
      </c>
      <c r="F29" s="53">
        <v>5.79</v>
      </c>
      <c r="G29" s="53">
        <v>123.35</v>
      </c>
      <c r="H29" s="53">
        <v>29.8</v>
      </c>
      <c r="I29" s="53">
        <v>11.65</v>
      </c>
      <c r="J29" s="53">
        <v>0.22</v>
      </c>
      <c r="K29" s="53">
        <v>224.88</v>
      </c>
      <c r="L29" s="53">
        <v>19.73</v>
      </c>
      <c r="M29" s="53">
        <v>74.36</v>
      </c>
      <c r="N29" s="53">
        <v>1.7</v>
      </c>
      <c r="O29" s="53">
        <v>0</v>
      </c>
      <c r="P29" s="53">
        <v>0.76</v>
      </c>
      <c r="Q29" s="53">
        <v>4.99</v>
      </c>
    </row>
    <row r="30" spans="1:17" customFormat="1">
      <c r="A30" s="52">
        <v>45614.916666666664</v>
      </c>
      <c r="B30" s="53">
        <v>5.23</v>
      </c>
      <c r="C30" s="53">
        <v>8.1</v>
      </c>
      <c r="D30" s="53">
        <v>13.99</v>
      </c>
      <c r="E30" s="53">
        <v>8.19</v>
      </c>
      <c r="F30" s="53">
        <v>5.9</v>
      </c>
      <c r="G30" s="53">
        <v>112.4</v>
      </c>
      <c r="H30" s="53">
        <v>30.55</v>
      </c>
      <c r="I30" s="53">
        <v>11.54</v>
      </c>
      <c r="J30" s="53">
        <v>0.16</v>
      </c>
      <c r="K30" s="53">
        <v>234.25</v>
      </c>
      <c r="L30" s="53">
        <v>18.739999999999998</v>
      </c>
      <c r="M30" s="53">
        <v>77.150000000000006</v>
      </c>
      <c r="N30" s="53">
        <v>1.4</v>
      </c>
      <c r="O30" s="53">
        <v>0</v>
      </c>
      <c r="P30" s="53">
        <v>0.79</v>
      </c>
      <c r="Q30" s="53">
        <v>4.99</v>
      </c>
    </row>
    <row r="31" spans="1:17" customFormat="1">
      <c r="A31" s="52">
        <v>45614.958333333336</v>
      </c>
      <c r="B31" s="53">
        <v>5.23</v>
      </c>
      <c r="C31" s="53">
        <v>8.09</v>
      </c>
      <c r="D31" s="53">
        <v>13.97</v>
      </c>
      <c r="E31" s="53">
        <v>8.5399999999999991</v>
      </c>
      <c r="F31" s="53">
        <v>5.86</v>
      </c>
      <c r="G31" s="53">
        <v>98.79</v>
      </c>
      <c r="H31" s="53">
        <v>30.52</v>
      </c>
      <c r="I31" s="53">
        <v>11.28</v>
      </c>
      <c r="J31" s="53">
        <v>0.17</v>
      </c>
      <c r="K31" s="53">
        <v>197.56</v>
      </c>
      <c r="L31" s="53">
        <v>18.940000000000001</v>
      </c>
      <c r="M31" s="53">
        <v>72.02</v>
      </c>
      <c r="N31" s="53">
        <v>1.3</v>
      </c>
      <c r="O31" s="53">
        <v>0</v>
      </c>
      <c r="P31" s="53">
        <v>0.79</v>
      </c>
      <c r="Q31" s="53">
        <v>4.99</v>
      </c>
    </row>
    <row r="32" spans="1:17" customFormat="1">
      <c r="A32" s="52">
        <v>45615</v>
      </c>
      <c r="B32" s="53">
        <v>5.23</v>
      </c>
      <c r="C32" s="53">
        <v>8.09</v>
      </c>
      <c r="D32" s="53">
        <v>13.98</v>
      </c>
      <c r="E32" s="53">
        <v>8.3800000000000008</v>
      </c>
      <c r="F32" s="53">
        <v>5.63</v>
      </c>
      <c r="G32" s="53">
        <v>94.55</v>
      </c>
      <c r="H32" s="53">
        <v>31.82</v>
      </c>
      <c r="I32" s="53">
        <v>10.92</v>
      </c>
      <c r="J32" s="53">
        <v>0.19</v>
      </c>
      <c r="K32" s="53">
        <v>197.59</v>
      </c>
      <c r="L32" s="53">
        <v>18.579999999999998</v>
      </c>
      <c r="M32" s="53">
        <v>82.45</v>
      </c>
      <c r="N32" s="53">
        <v>1.4</v>
      </c>
      <c r="O32" s="53">
        <v>0</v>
      </c>
      <c r="P32" s="53">
        <v>0.8</v>
      </c>
      <c r="Q32" s="53">
        <v>4.99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5.22</v>
      </c>
      <c r="C34" s="40">
        <f t="shared" si="0"/>
        <v>8.06</v>
      </c>
      <c r="D34" s="40">
        <f t="shared" si="0"/>
        <v>13.96</v>
      </c>
      <c r="E34" s="40">
        <f t="shared" si="0"/>
        <v>7.88</v>
      </c>
      <c r="F34" s="40">
        <f t="shared" si="0"/>
        <v>5.33</v>
      </c>
      <c r="G34" s="40">
        <f t="shared" si="0"/>
        <v>57.1</v>
      </c>
      <c r="H34" s="40">
        <f t="shared" si="0"/>
        <v>21.03</v>
      </c>
      <c r="I34" s="40">
        <f t="shared" si="0"/>
        <v>5.6</v>
      </c>
      <c r="J34" s="40">
        <f t="shared" si="0"/>
        <v>0.15</v>
      </c>
      <c r="K34" s="40">
        <f t="shared" si="0"/>
        <v>49.5</v>
      </c>
      <c r="L34" s="40">
        <f t="shared" si="0"/>
        <v>16.850000000000001</v>
      </c>
      <c r="M34" s="40">
        <f t="shared" si="0"/>
        <v>24.48</v>
      </c>
      <c r="N34" s="40">
        <f t="shared" si="0"/>
        <v>1.3</v>
      </c>
      <c r="O34" s="40">
        <f t="shared" si="0"/>
        <v>0</v>
      </c>
      <c r="P34" s="40">
        <f t="shared" si="0"/>
        <v>0.48</v>
      </c>
      <c r="Q34" s="40">
        <f t="shared" si="0"/>
        <v>4.99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5.31</v>
      </c>
      <c r="C35" s="33">
        <f t="shared" si="1"/>
        <v>8.1300000000000008</v>
      </c>
      <c r="D35" s="33">
        <f t="shared" si="1"/>
        <v>14.04</v>
      </c>
      <c r="E35" s="33">
        <f t="shared" si="1"/>
        <v>19.399999999999999</v>
      </c>
      <c r="F35" s="33">
        <f t="shared" si="1"/>
        <v>38.409999999999997</v>
      </c>
      <c r="G35" s="33">
        <f t="shared" si="1"/>
        <v>181.64</v>
      </c>
      <c r="H35" s="33">
        <f t="shared" si="1"/>
        <v>38.229999999999997</v>
      </c>
      <c r="I35" s="33">
        <f t="shared" si="1"/>
        <v>12.99</v>
      </c>
      <c r="J35" s="33">
        <f t="shared" si="1"/>
        <v>1.1100000000000001</v>
      </c>
      <c r="K35" s="33">
        <f t="shared" si="1"/>
        <v>322.06</v>
      </c>
      <c r="L35" s="33">
        <f t="shared" si="1"/>
        <v>29.62</v>
      </c>
      <c r="M35" s="33">
        <f t="shared" si="1"/>
        <v>90.6</v>
      </c>
      <c r="N35" s="33">
        <f t="shared" si="1"/>
        <v>548</v>
      </c>
      <c r="O35" s="33">
        <f t="shared" si="1"/>
        <v>0</v>
      </c>
      <c r="P35" s="33">
        <f t="shared" si="1"/>
        <v>1.26</v>
      </c>
      <c r="Q35" s="33">
        <f t="shared" si="1"/>
        <v>5.01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5.2358333333333347</v>
      </c>
      <c r="C36" s="40">
        <f t="shared" si="2"/>
        <v>8.0941666666666663</v>
      </c>
      <c r="D36" s="40">
        <f t="shared" si="2"/>
        <v>13.984583333333338</v>
      </c>
      <c r="E36" s="40">
        <f t="shared" si="2"/>
        <v>9.4249999999999989</v>
      </c>
      <c r="F36" s="40">
        <f t="shared" si="2"/>
        <v>10.292083333333332</v>
      </c>
      <c r="G36" s="40">
        <f t="shared" si="2"/>
        <v>107.58916666666666</v>
      </c>
      <c r="H36" s="40">
        <f t="shared" si="2"/>
        <v>30.819583333333327</v>
      </c>
      <c r="I36" s="40">
        <f t="shared" si="2"/>
        <v>10.782083333333334</v>
      </c>
      <c r="J36" s="40">
        <f t="shared" si="2"/>
        <v>0.44833333333333342</v>
      </c>
      <c r="K36" s="40">
        <f t="shared" si="2"/>
        <v>141.81291666666667</v>
      </c>
      <c r="L36" s="40">
        <f t="shared" si="2"/>
        <v>22.486666666666668</v>
      </c>
      <c r="M36" s="40">
        <f t="shared" si="2"/>
        <v>61.858333333333341</v>
      </c>
      <c r="N36" s="40">
        <f t="shared" si="2"/>
        <v>133.74583333333331</v>
      </c>
      <c r="O36" s="40">
        <f t="shared" si="2"/>
        <v>0</v>
      </c>
      <c r="P36" s="40">
        <f t="shared" si="2"/>
        <v>0.91458333333333341</v>
      </c>
      <c r="Q36" s="40">
        <f t="shared" si="2"/>
        <v>4.9983333333333331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2.3015432755599707E-2</v>
      </c>
      <c r="C37" s="40">
        <f t="shared" ref="C37:Q37" si="3">STDEV(C9:C32)</f>
        <v>1.7424786610050504E-2</v>
      </c>
      <c r="D37" s="40">
        <f t="shared" si="3"/>
        <v>1.9105921382755724E-2</v>
      </c>
      <c r="E37" s="40">
        <f t="shared" si="3"/>
        <v>2.3196757644494101</v>
      </c>
      <c r="F37" s="40">
        <f t="shared" si="3"/>
        <v>8.8460342277187145</v>
      </c>
      <c r="G37" s="40">
        <f t="shared" si="3"/>
        <v>34.247326511545488</v>
      </c>
      <c r="H37" s="40">
        <f t="shared" si="3"/>
        <v>5.6676515182114482</v>
      </c>
      <c r="I37" s="40">
        <f t="shared" si="3"/>
        <v>2.2877822547015856</v>
      </c>
      <c r="J37" s="40">
        <f t="shared" si="3"/>
        <v>0.32079611114777595</v>
      </c>
      <c r="K37" s="40">
        <f t="shared" si="3"/>
        <v>81.074374254066242</v>
      </c>
      <c r="L37" s="40">
        <f t="shared" si="3"/>
        <v>4.7714911229333357</v>
      </c>
      <c r="M37" s="40">
        <f t="shared" si="3"/>
        <v>23.384801207969041</v>
      </c>
      <c r="N37" s="40">
        <f t="shared" si="3"/>
        <v>203.90754933924401</v>
      </c>
      <c r="O37" s="40">
        <f t="shared" si="3"/>
        <v>0</v>
      </c>
      <c r="P37" s="40">
        <f t="shared" si="3"/>
        <v>0.27357503011321971</v>
      </c>
      <c r="Q37" s="40">
        <f t="shared" si="3"/>
        <v>7.6138698762686485E-3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45615.041666666664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45615.041666666664</v>
      </c>
      <c r="B9" s="53">
        <v>5.22</v>
      </c>
      <c r="C9" s="53">
        <v>8.11</v>
      </c>
      <c r="D9" s="53">
        <v>13.98</v>
      </c>
      <c r="E9" s="53">
        <v>8.68</v>
      </c>
      <c r="F9" s="53">
        <v>5.56</v>
      </c>
      <c r="G9" s="53">
        <v>97.01</v>
      </c>
      <c r="H9" s="53">
        <v>31.81</v>
      </c>
      <c r="I9" s="53">
        <v>10.56</v>
      </c>
      <c r="J9" s="53">
        <v>0.34</v>
      </c>
      <c r="K9" s="53">
        <v>232.98</v>
      </c>
      <c r="L9" s="53">
        <v>18.239999999999998</v>
      </c>
      <c r="M9" s="53">
        <v>79.959999999999994</v>
      </c>
      <c r="N9" s="53">
        <v>1.4</v>
      </c>
      <c r="O9" s="53">
        <v>0</v>
      </c>
      <c r="P9" s="53">
        <v>0.82</v>
      </c>
      <c r="Q9" s="53">
        <v>4.99</v>
      </c>
    </row>
    <row r="10" spans="1:21" customFormat="1">
      <c r="A10" s="52">
        <v>45615.083333333336</v>
      </c>
      <c r="B10" s="53">
        <v>5.21</v>
      </c>
      <c r="C10" s="53">
        <v>8.1</v>
      </c>
      <c r="D10" s="53">
        <v>13.98</v>
      </c>
      <c r="E10" s="53">
        <v>8.56</v>
      </c>
      <c r="F10" s="53">
        <v>5.53</v>
      </c>
      <c r="G10" s="53">
        <v>107.61</v>
      </c>
      <c r="H10" s="53">
        <v>31.33</v>
      </c>
      <c r="I10" s="53">
        <v>10.61</v>
      </c>
      <c r="J10" s="53">
        <v>0.26</v>
      </c>
      <c r="K10" s="53">
        <v>209.1</v>
      </c>
      <c r="L10" s="53">
        <v>18.399999999999999</v>
      </c>
      <c r="M10" s="53">
        <v>69.760000000000005</v>
      </c>
      <c r="N10" s="53">
        <v>1.5</v>
      </c>
      <c r="O10" s="53">
        <v>0</v>
      </c>
      <c r="P10" s="53">
        <v>0.83</v>
      </c>
      <c r="Q10" s="53">
        <v>4.99</v>
      </c>
    </row>
    <row r="11" spans="1:21" customFormat="1">
      <c r="A11" s="52">
        <v>45615.125</v>
      </c>
      <c r="B11" s="53">
        <v>5.2</v>
      </c>
      <c r="C11" s="53">
        <v>8.1</v>
      </c>
      <c r="D11" s="53">
        <v>13.96</v>
      </c>
      <c r="E11" s="53">
        <v>8.83</v>
      </c>
      <c r="F11" s="53">
        <v>5.56</v>
      </c>
      <c r="G11" s="53">
        <v>108.73</v>
      </c>
      <c r="H11" s="53">
        <v>32.729999999999997</v>
      </c>
      <c r="I11" s="53">
        <v>10.73</v>
      </c>
      <c r="J11" s="53">
        <v>0.16</v>
      </c>
      <c r="K11" s="53">
        <v>229.33</v>
      </c>
      <c r="L11" s="53">
        <v>17.88</v>
      </c>
      <c r="M11" s="53">
        <v>81.81</v>
      </c>
      <c r="N11" s="53">
        <v>1.7</v>
      </c>
      <c r="O11" s="53">
        <v>0</v>
      </c>
      <c r="P11" s="53">
        <v>0.84</v>
      </c>
      <c r="Q11" s="53">
        <v>4.9800000000000004</v>
      </c>
    </row>
    <row r="12" spans="1:21" customFormat="1">
      <c r="A12" s="52">
        <v>45615.166666666664</v>
      </c>
      <c r="B12" s="53">
        <v>5.21</v>
      </c>
      <c r="C12" s="53">
        <v>8.1</v>
      </c>
      <c r="D12" s="53">
        <v>13.97</v>
      </c>
      <c r="E12" s="53">
        <v>8.83</v>
      </c>
      <c r="F12" s="53">
        <v>5.71</v>
      </c>
      <c r="G12" s="53">
        <v>108.3</v>
      </c>
      <c r="H12" s="53">
        <v>32.65</v>
      </c>
      <c r="I12" s="53">
        <v>10.76</v>
      </c>
      <c r="J12" s="53">
        <v>0.14000000000000001</v>
      </c>
      <c r="K12" s="53">
        <v>230.26</v>
      </c>
      <c r="L12" s="53">
        <v>16.77</v>
      </c>
      <c r="M12" s="53">
        <v>89.05</v>
      </c>
      <c r="N12" s="53">
        <v>1.6</v>
      </c>
      <c r="O12" s="53">
        <v>0</v>
      </c>
      <c r="P12" s="53">
        <v>0.81</v>
      </c>
      <c r="Q12" s="53">
        <v>4.99</v>
      </c>
    </row>
    <row r="13" spans="1:21" customFormat="1">
      <c r="A13" s="52">
        <v>45615.208333333336</v>
      </c>
      <c r="B13" s="53">
        <v>5.21</v>
      </c>
      <c r="C13" s="53">
        <v>8.09</v>
      </c>
      <c r="D13" s="53">
        <v>13.97</v>
      </c>
      <c r="E13" s="53">
        <v>8.7100000000000009</v>
      </c>
      <c r="F13" s="53">
        <v>5.63</v>
      </c>
      <c r="G13" s="53">
        <v>89.36</v>
      </c>
      <c r="H13" s="53">
        <v>27.55</v>
      </c>
      <c r="I13" s="53">
        <v>10.67</v>
      </c>
      <c r="J13" s="53">
        <v>0.21</v>
      </c>
      <c r="K13" s="53">
        <v>237.83</v>
      </c>
      <c r="L13" s="53">
        <v>16.190000000000001</v>
      </c>
      <c r="M13" s="53">
        <v>88.96</v>
      </c>
      <c r="N13" s="53">
        <v>1.4</v>
      </c>
      <c r="O13" s="53">
        <v>0</v>
      </c>
      <c r="P13" s="53">
        <v>0.8</v>
      </c>
      <c r="Q13" s="53">
        <v>5</v>
      </c>
    </row>
    <row r="14" spans="1:21" customFormat="1">
      <c r="A14" s="52">
        <v>45615.25</v>
      </c>
      <c r="B14" s="53">
        <v>5.21</v>
      </c>
      <c r="C14" s="53">
        <v>8.06</v>
      </c>
      <c r="D14" s="53">
        <v>13.96</v>
      </c>
      <c r="E14" s="53">
        <v>8.7899999999999991</v>
      </c>
      <c r="F14" s="53">
        <v>5.65</v>
      </c>
      <c r="G14" s="53">
        <v>85.93</v>
      </c>
      <c r="H14" s="53">
        <v>29.47</v>
      </c>
      <c r="I14" s="53">
        <v>10.41</v>
      </c>
      <c r="J14" s="53">
        <v>0.15</v>
      </c>
      <c r="K14" s="53">
        <v>240.21</v>
      </c>
      <c r="L14" s="53">
        <v>16</v>
      </c>
      <c r="M14" s="53">
        <v>88.73</v>
      </c>
      <c r="N14" s="53">
        <v>1.9</v>
      </c>
      <c r="O14" s="53">
        <v>0</v>
      </c>
      <c r="P14" s="53">
        <v>0.78</v>
      </c>
      <c r="Q14" s="53">
        <v>4.99</v>
      </c>
    </row>
    <row r="15" spans="1:21" customFormat="1">
      <c r="A15" s="52">
        <v>45615.291666666664</v>
      </c>
      <c r="B15" s="53">
        <v>5.22</v>
      </c>
      <c r="C15" s="53">
        <v>8.09</v>
      </c>
      <c r="D15" s="53">
        <v>13.96</v>
      </c>
      <c r="E15" s="53">
        <v>9.1</v>
      </c>
      <c r="F15" s="53">
        <v>5.57</v>
      </c>
      <c r="G15" s="53">
        <v>89.22</v>
      </c>
      <c r="H15" s="53">
        <v>29.45</v>
      </c>
      <c r="I15" s="53">
        <v>10.11</v>
      </c>
      <c r="J15" s="53">
        <v>0.14000000000000001</v>
      </c>
      <c r="K15" s="53">
        <v>192.93</v>
      </c>
      <c r="L15" s="53">
        <v>17.13</v>
      </c>
      <c r="M15" s="53">
        <v>89.83</v>
      </c>
      <c r="N15" s="53">
        <v>33.6</v>
      </c>
      <c r="O15" s="53">
        <v>0</v>
      </c>
      <c r="P15" s="53">
        <v>0.81</v>
      </c>
      <c r="Q15" s="53">
        <v>4.9800000000000004</v>
      </c>
    </row>
    <row r="16" spans="1:21" customFormat="1">
      <c r="A16" s="52">
        <v>45615.333333333336</v>
      </c>
      <c r="B16" s="53">
        <v>5.23</v>
      </c>
      <c r="C16" s="53">
        <v>8.07</v>
      </c>
      <c r="D16" s="53">
        <v>13.98</v>
      </c>
      <c r="E16" s="53">
        <v>8.8800000000000008</v>
      </c>
      <c r="F16" s="53">
        <v>5.63</v>
      </c>
      <c r="G16" s="53">
        <v>99.84</v>
      </c>
      <c r="H16" s="53">
        <v>34.72</v>
      </c>
      <c r="I16" s="53">
        <v>11.15</v>
      </c>
      <c r="J16" s="53">
        <v>0.54</v>
      </c>
      <c r="K16" s="53">
        <v>53.13</v>
      </c>
      <c r="L16" s="53">
        <v>19.690000000000001</v>
      </c>
      <c r="M16" s="53">
        <v>75.83</v>
      </c>
      <c r="N16" s="53">
        <v>150.19999999999999</v>
      </c>
      <c r="O16" s="53">
        <v>0</v>
      </c>
      <c r="P16" s="53">
        <v>0.92</v>
      </c>
      <c r="Q16" s="53">
        <v>5</v>
      </c>
    </row>
    <row r="17" spans="1:17" customFormat="1">
      <c r="A17" s="52">
        <v>45615.375</v>
      </c>
      <c r="B17" s="53">
        <v>5.21</v>
      </c>
      <c r="C17" s="53">
        <v>8.1</v>
      </c>
      <c r="D17" s="53">
        <v>13.98</v>
      </c>
      <c r="E17" s="53">
        <v>8.83</v>
      </c>
      <c r="F17" s="53">
        <v>5.66</v>
      </c>
      <c r="G17" s="53">
        <v>110.3</v>
      </c>
      <c r="H17" s="53">
        <v>37.28</v>
      </c>
      <c r="I17" s="53">
        <v>12.05</v>
      </c>
      <c r="J17" s="53">
        <v>0.57999999999999996</v>
      </c>
      <c r="K17" s="53">
        <v>51.62</v>
      </c>
      <c r="L17" s="53">
        <v>22.75</v>
      </c>
      <c r="M17" s="53">
        <v>63.35</v>
      </c>
      <c r="N17" s="53">
        <v>269.39999999999998</v>
      </c>
      <c r="O17" s="53">
        <v>0</v>
      </c>
      <c r="P17" s="53">
        <v>0.95</v>
      </c>
      <c r="Q17" s="53">
        <v>4.99</v>
      </c>
    </row>
    <row r="18" spans="1:17" customFormat="1">
      <c r="A18" s="52">
        <v>45615.416666666664</v>
      </c>
      <c r="B18" s="53">
        <v>5.23</v>
      </c>
      <c r="C18" s="53">
        <v>8.09</v>
      </c>
      <c r="D18" s="53">
        <v>13.98</v>
      </c>
      <c r="E18" s="53">
        <v>8.64</v>
      </c>
      <c r="F18" s="53">
        <v>6.24</v>
      </c>
      <c r="G18" s="53">
        <v>117.33</v>
      </c>
      <c r="H18" s="53">
        <v>37.96</v>
      </c>
      <c r="I18" s="53">
        <v>12.11</v>
      </c>
      <c r="J18" s="53">
        <v>0.68</v>
      </c>
      <c r="K18" s="53">
        <v>58.13</v>
      </c>
      <c r="L18" s="53">
        <v>25.44</v>
      </c>
      <c r="M18" s="53">
        <v>53.27</v>
      </c>
      <c r="N18" s="53">
        <v>400.7</v>
      </c>
      <c r="O18" s="53">
        <v>0</v>
      </c>
      <c r="P18" s="53">
        <v>0.96</v>
      </c>
      <c r="Q18" s="53">
        <v>4.9800000000000004</v>
      </c>
    </row>
    <row r="19" spans="1:17" customFormat="1">
      <c r="A19" s="52">
        <v>45615.458333333336</v>
      </c>
      <c r="B19" s="53">
        <v>5.24</v>
      </c>
      <c r="C19" s="53">
        <v>8.1</v>
      </c>
      <c r="D19" s="53">
        <v>14</v>
      </c>
      <c r="E19" s="53">
        <v>9.58</v>
      </c>
      <c r="F19" s="53">
        <v>7.99</v>
      </c>
      <c r="G19" s="53">
        <v>117.1</v>
      </c>
      <c r="H19" s="53">
        <v>37.94</v>
      </c>
      <c r="I19" s="53">
        <v>11.91</v>
      </c>
      <c r="J19" s="53">
        <v>0.66</v>
      </c>
      <c r="K19" s="53">
        <v>111.96</v>
      </c>
      <c r="L19" s="53">
        <v>27.47</v>
      </c>
      <c r="M19" s="53">
        <v>42.32</v>
      </c>
      <c r="N19" s="53">
        <v>462.6</v>
      </c>
      <c r="O19" s="53">
        <v>0</v>
      </c>
      <c r="P19" s="53">
        <v>0.93</v>
      </c>
      <c r="Q19" s="53">
        <v>5</v>
      </c>
    </row>
    <row r="20" spans="1:17" customFormat="1">
      <c r="A20" s="52">
        <v>45615.5</v>
      </c>
      <c r="B20" s="53">
        <v>5.24</v>
      </c>
      <c r="C20" s="53">
        <v>8.08</v>
      </c>
      <c r="D20" s="53">
        <v>13.99</v>
      </c>
      <c r="E20" s="53">
        <v>9.74</v>
      </c>
      <c r="F20" s="53">
        <v>10.199999999999999</v>
      </c>
      <c r="G20" s="53">
        <v>106.47</v>
      </c>
      <c r="H20" s="53">
        <v>36.68</v>
      </c>
      <c r="I20" s="53">
        <v>11.05</v>
      </c>
      <c r="J20" s="53">
        <v>0.84</v>
      </c>
      <c r="K20" s="53">
        <v>55.11</v>
      </c>
      <c r="L20" s="53">
        <v>27.99</v>
      </c>
      <c r="M20" s="53">
        <v>34.67</v>
      </c>
      <c r="N20" s="53">
        <v>492.6</v>
      </c>
      <c r="O20" s="53">
        <v>0</v>
      </c>
      <c r="P20" s="53">
        <v>0.86</v>
      </c>
      <c r="Q20" s="53">
        <v>4.9800000000000004</v>
      </c>
    </row>
    <row r="21" spans="1:17" customFormat="1">
      <c r="A21" s="52">
        <v>45615.541666666664</v>
      </c>
      <c r="B21" s="53">
        <v>5.23</v>
      </c>
      <c r="C21" s="53">
        <v>8.08</v>
      </c>
      <c r="D21" s="53">
        <v>13.98</v>
      </c>
      <c r="E21" s="53">
        <v>10.53</v>
      </c>
      <c r="F21" s="53">
        <v>10.73</v>
      </c>
      <c r="G21" s="53">
        <v>93.77</v>
      </c>
      <c r="H21" s="53">
        <v>31.46</v>
      </c>
      <c r="I21" s="53">
        <v>9.99</v>
      </c>
      <c r="J21" s="53">
        <v>0.85</v>
      </c>
      <c r="K21" s="53">
        <v>53.06</v>
      </c>
      <c r="L21" s="53">
        <v>28.27</v>
      </c>
      <c r="M21" s="53">
        <v>32.630000000000003</v>
      </c>
      <c r="N21" s="53">
        <v>474.4</v>
      </c>
      <c r="O21" s="53">
        <v>0</v>
      </c>
      <c r="P21" s="53">
        <v>0.78</v>
      </c>
      <c r="Q21" s="53">
        <v>4.99</v>
      </c>
    </row>
    <row r="22" spans="1:17" customFormat="1">
      <c r="A22" s="52">
        <v>45615.583333333336</v>
      </c>
      <c r="B22" s="53">
        <v>5.23</v>
      </c>
      <c r="C22" s="53">
        <v>8.1</v>
      </c>
      <c r="D22" s="53">
        <v>13.99</v>
      </c>
      <c r="E22" s="53">
        <v>10.18</v>
      </c>
      <c r="F22" s="53">
        <v>13</v>
      </c>
      <c r="G22" s="53">
        <v>83.14</v>
      </c>
      <c r="H22" s="53">
        <v>31.15</v>
      </c>
      <c r="I22" s="53">
        <v>9.2799999999999994</v>
      </c>
      <c r="J22" s="53">
        <v>0.85</v>
      </c>
      <c r="K22" s="53">
        <v>44.39</v>
      </c>
      <c r="L22" s="53">
        <v>28.49</v>
      </c>
      <c r="M22" s="53">
        <v>30.64</v>
      </c>
      <c r="N22" s="53">
        <v>407.5</v>
      </c>
      <c r="O22" s="53">
        <v>0</v>
      </c>
      <c r="P22" s="53">
        <v>0.71</v>
      </c>
      <c r="Q22" s="53">
        <v>5</v>
      </c>
    </row>
    <row r="23" spans="1:17" customFormat="1">
      <c r="A23" s="52">
        <v>45615.625</v>
      </c>
      <c r="B23" s="53">
        <v>5.23</v>
      </c>
      <c r="C23" s="53">
        <v>8.1199999999999992</v>
      </c>
      <c r="D23" s="53">
        <v>13.99</v>
      </c>
      <c r="E23" s="53">
        <v>10.73</v>
      </c>
      <c r="F23" s="53">
        <v>15.7</v>
      </c>
      <c r="G23" s="53">
        <v>75.680000000000007</v>
      </c>
      <c r="H23" s="53">
        <v>29.37</v>
      </c>
      <c r="I23" s="53">
        <v>8.77</v>
      </c>
      <c r="J23" s="53">
        <v>0.97</v>
      </c>
      <c r="K23" s="53">
        <v>40.92</v>
      </c>
      <c r="L23" s="53">
        <v>28.03</v>
      </c>
      <c r="M23" s="53">
        <v>31.54</v>
      </c>
      <c r="N23" s="53">
        <v>107.8</v>
      </c>
      <c r="O23" s="53">
        <v>0</v>
      </c>
      <c r="P23" s="53">
        <v>0.71</v>
      </c>
      <c r="Q23" s="53">
        <v>4.99</v>
      </c>
    </row>
    <row r="24" spans="1:17" customFormat="1">
      <c r="A24" s="52">
        <v>45615.666666666664</v>
      </c>
      <c r="B24" s="53">
        <v>5.21</v>
      </c>
      <c r="C24" s="53">
        <v>8.08</v>
      </c>
      <c r="D24" s="53">
        <v>13.97</v>
      </c>
      <c r="E24" s="53">
        <v>10.97</v>
      </c>
      <c r="F24" s="53">
        <v>15.76</v>
      </c>
      <c r="G24" s="53">
        <v>64.98</v>
      </c>
      <c r="H24" s="53">
        <v>27.55</v>
      </c>
      <c r="I24" s="53">
        <v>8.27</v>
      </c>
      <c r="J24" s="53">
        <v>0.75</v>
      </c>
      <c r="K24" s="53">
        <v>31.75</v>
      </c>
      <c r="L24" s="53">
        <v>27.61</v>
      </c>
      <c r="M24" s="53">
        <v>32.549999999999997</v>
      </c>
      <c r="N24" s="53">
        <v>62.5</v>
      </c>
      <c r="O24" s="53">
        <v>0</v>
      </c>
      <c r="P24" s="53">
        <v>0.7</v>
      </c>
      <c r="Q24" s="53">
        <v>4.9800000000000004</v>
      </c>
    </row>
    <row r="25" spans="1:17" customFormat="1">
      <c r="A25" s="52">
        <v>45615.708333333336</v>
      </c>
      <c r="B25" s="53">
        <v>5.17</v>
      </c>
      <c r="C25" s="53">
        <v>8.08</v>
      </c>
      <c r="D25" s="53">
        <v>13.94</v>
      </c>
      <c r="E25" s="53">
        <v>10.87</v>
      </c>
      <c r="F25" s="53">
        <v>11.51</v>
      </c>
      <c r="G25" s="53">
        <v>69.540000000000006</v>
      </c>
      <c r="H25" s="53">
        <v>25.27</v>
      </c>
      <c r="I25" s="53">
        <v>8</v>
      </c>
      <c r="J25" s="53">
        <v>0.56000000000000005</v>
      </c>
      <c r="K25" s="53">
        <v>45.9</v>
      </c>
      <c r="L25" s="53">
        <v>26.89</v>
      </c>
      <c r="M25" s="53">
        <v>38.979999999999997</v>
      </c>
      <c r="N25" s="53">
        <v>30.2</v>
      </c>
      <c r="O25" s="53">
        <v>0</v>
      </c>
      <c r="P25" s="53">
        <v>0.73</v>
      </c>
      <c r="Q25" s="53">
        <v>4.99</v>
      </c>
    </row>
    <row r="26" spans="1:17" customFormat="1">
      <c r="A26" s="52">
        <v>45615.75</v>
      </c>
      <c r="B26" s="53">
        <v>5.57</v>
      </c>
      <c r="C26" s="53">
        <v>9.1300000000000008</v>
      </c>
      <c r="D26" s="53">
        <v>14.81</v>
      </c>
      <c r="E26" s="53">
        <v>19.25</v>
      </c>
      <c r="F26" s="53">
        <v>12.43</v>
      </c>
      <c r="G26" s="53">
        <v>86.49</v>
      </c>
      <c r="H26" s="53">
        <v>25.25</v>
      </c>
      <c r="I26" s="53">
        <v>8.08</v>
      </c>
      <c r="J26" s="53">
        <v>0.31</v>
      </c>
      <c r="K26" s="53">
        <v>160.18</v>
      </c>
      <c r="L26" s="53">
        <v>24.9</v>
      </c>
      <c r="M26" s="53">
        <v>56.58</v>
      </c>
      <c r="N26" s="53">
        <v>3.2</v>
      </c>
      <c r="O26" s="53">
        <v>0</v>
      </c>
      <c r="P26" s="53">
        <v>0.97</v>
      </c>
      <c r="Q26" s="53">
        <v>4.99</v>
      </c>
    </row>
    <row r="27" spans="1:17" customFormat="1">
      <c r="A27" s="52">
        <v>45615.791666666664</v>
      </c>
      <c r="B27" s="53">
        <v>54.16</v>
      </c>
      <c r="C27" s="53">
        <v>39.229999999999997</v>
      </c>
      <c r="D27" s="53">
        <v>35.29</v>
      </c>
      <c r="E27" s="53">
        <v>14.53</v>
      </c>
      <c r="F27" s="53">
        <v>7.19</v>
      </c>
      <c r="G27" s="53">
        <v>102.62</v>
      </c>
      <c r="H27" s="53">
        <v>26.6</v>
      </c>
      <c r="I27" s="53">
        <v>10.74</v>
      </c>
      <c r="J27" s="53">
        <v>0.24</v>
      </c>
      <c r="K27" s="53">
        <v>179.9</v>
      </c>
      <c r="L27" s="53">
        <v>22.65</v>
      </c>
      <c r="M27" s="53">
        <v>72.319999999999993</v>
      </c>
      <c r="N27" s="53">
        <v>1.7</v>
      </c>
      <c r="O27" s="53">
        <v>0</v>
      </c>
      <c r="P27" s="53">
        <v>1.07</v>
      </c>
      <c r="Q27" s="53">
        <v>5.76</v>
      </c>
    </row>
    <row r="28" spans="1:17" customFormat="1">
      <c r="A28" s="52">
        <v>45615.833333333336</v>
      </c>
      <c r="B28" s="53">
        <v>6.45</v>
      </c>
      <c r="C28" s="53">
        <v>32.840000000000003</v>
      </c>
      <c r="D28" s="53">
        <v>23.36</v>
      </c>
      <c r="E28" s="53">
        <v>6.73</v>
      </c>
      <c r="F28" s="53">
        <v>5.88</v>
      </c>
      <c r="G28" s="53">
        <v>115.99</v>
      </c>
      <c r="H28" s="53">
        <v>29.83</v>
      </c>
      <c r="I28" s="53">
        <v>11.59</v>
      </c>
      <c r="J28" s="53">
        <v>0.24</v>
      </c>
      <c r="K28" s="53">
        <v>210.12</v>
      </c>
      <c r="L28" s="53">
        <v>20.64</v>
      </c>
      <c r="M28" s="53">
        <v>73.760000000000005</v>
      </c>
      <c r="N28" s="53">
        <v>1.7</v>
      </c>
      <c r="O28" s="53">
        <v>0</v>
      </c>
      <c r="P28" s="53">
        <v>1.06</v>
      </c>
      <c r="Q28" s="53">
        <v>4.8099999999999996</v>
      </c>
    </row>
    <row r="29" spans="1:17" customFormat="1">
      <c r="A29" s="52">
        <v>45615.875</v>
      </c>
      <c r="B29" s="53">
        <v>7.21</v>
      </c>
      <c r="C29" s="53">
        <v>24.52</v>
      </c>
      <c r="D29" s="53">
        <v>19.46</v>
      </c>
      <c r="E29" s="53">
        <v>6.69</v>
      </c>
      <c r="F29" s="53">
        <v>5.73</v>
      </c>
      <c r="G29" s="53">
        <v>115.77</v>
      </c>
      <c r="H29" s="53">
        <v>29.83</v>
      </c>
      <c r="I29" s="53">
        <v>11.65</v>
      </c>
      <c r="J29" s="53">
        <v>0.23</v>
      </c>
      <c r="K29" s="53">
        <v>214.73</v>
      </c>
      <c r="L29" s="53">
        <v>19.95</v>
      </c>
      <c r="M29" s="53">
        <v>78.8</v>
      </c>
      <c r="N29" s="53">
        <v>1.5</v>
      </c>
      <c r="O29" s="53">
        <v>0</v>
      </c>
      <c r="P29" s="53">
        <v>1.05</v>
      </c>
      <c r="Q29" s="53">
        <v>4.74</v>
      </c>
    </row>
    <row r="30" spans="1:17" customFormat="1">
      <c r="A30" s="52">
        <v>45615.916666666664</v>
      </c>
      <c r="B30" s="53">
        <v>5.74</v>
      </c>
      <c r="C30" s="53">
        <v>22.26</v>
      </c>
      <c r="D30" s="53">
        <v>17.59</v>
      </c>
      <c r="E30" s="53">
        <v>6.71</v>
      </c>
      <c r="F30" s="53">
        <v>5.73</v>
      </c>
      <c r="G30" s="53">
        <v>107.47</v>
      </c>
      <c r="H30" s="53">
        <v>29.41</v>
      </c>
      <c r="I30" s="53">
        <v>11.7</v>
      </c>
      <c r="J30" s="53">
        <v>0.17</v>
      </c>
      <c r="K30" s="53">
        <v>203.28</v>
      </c>
      <c r="L30" s="53">
        <v>19.260000000000002</v>
      </c>
      <c r="M30" s="53">
        <v>80.489999999999995</v>
      </c>
      <c r="N30" s="53">
        <v>1.4</v>
      </c>
      <c r="O30" s="53">
        <v>0</v>
      </c>
      <c r="P30" s="53">
        <v>1.04</v>
      </c>
      <c r="Q30" s="53">
        <v>4.74</v>
      </c>
    </row>
    <row r="31" spans="1:17" customFormat="1">
      <c r="A31" s="52">
        <v>45615.958333333336</v>
      </c>
      <c r="B31" s="53">
        <v>5.88</v>
      </c>
      <c r="C31" s="53">
        <v>20.22</v>
      </c>
      <c r="D31" s="53">
        <v>16.510000000000002</v>
      </c>
      <c r="E31" s="53">
        <v>6.63</v>
      </c>
      <c r="F31" s="53">
        <v>5.77</v>
      </c>
      <c r="G31" s="53">
        <v>114.52</v>
      </c>
      <c r="H31" s="53">
        <v>27.74</v>
      </c>
      <c r="I31" s="53">
        <v>11.67</v>
      </c>
      <c r="J31" s="53">
        <v>0.14000000000000001</v>
      </c>
      <c r="K31" s="53">
        <v>189.49</v>
      </c>
      <c r="L31" s="53">
        <v>18.64</v>
      </c>
      <c r="M31" s="53">
        <v>80.73</v>
      </c>
      <c r="N31" s="53">
        <v>1.5</v>
      </c>
      <c r="O31" s="53">
        <v>0</v>
      </c>
      <c r="P31" s="53">
        <v>1.04</v>
      </c>
      <c r="Q31" s="53">
        <v>4.74</v>
      </c>
    </row>
    <row r="32" spans="1:17" customFormat="1">
      <c r="A32" s="52">
        <v>45616</v>
      </c>
      <c r="B32" s="53">
        <v>11.64</v>
      </c>
      <c r="C32" s="53">
        <v>21.79</v>
      </c>
      <c r="D32" s="53">
        <v>22.07</v>
      </c>
      <c r="E32" s="53">
        <v>7.14</v>
      </c>
      <c r="F32" s="53">
        <v>5.52</v>
      </c>
      <c r="G32" s="53">
        <v>128.12</v>
      </c>
      <c r="H32" s="53">
        <v>31.14</v>
      </c>
      <c r="I32" s="53">
        <v>11.52</v>
      </c>
      <c r="J32" s="53">
        <v>0.17</v>
      </c>
      <c r="K32" s="53">
        <v>223.37</v>
      </c>
      <c r="L32" s="53">
        <v>18.59</v>
      </c>
      <c r="M32" s="53">
        <v>84.34</v>
      </c>
      <c r="N32" s="53">
        <v>1.3</v>
      </c>
      <c r="O32" s="53">
        <v>0</v>
      </c>
      <c r="P32" s="53">
        <v>1.02</v>
      </c>
      <c r="Q32" s="53">
        <v>4.72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5.17</v>
      </c>
      <c r="C34" s="40">
        <f t="shared" si="0"/>
        <v>8.06</v>
      </c>
      <c r="D34" s="40">
        <f t="shared" si="0"/>
        <v>13.94</v>
      </c>
      <c r="E34" s="40">
        <f t="shared" si="0"/>
        <v>6.63</v>
      </c>
      <c r="F34" s="40">
        <f t="shared" si="0"/>
        <v>5.52</v>
      </c>
      <c r="G34" s="40">
        <f t="shared" si="0"/>
        <v>64.98</v>
      </c>
      <c r="H34" s="40">
        <f t="shared" si="0"/>
        <v>25.25</v>
      </c>
      <c r="I34" s="40">
        <f t="shared" si="0"/>
        <v>8</v>
      </c>
      <c r="J34" s="40">
        <f t="shared" si="0"/>
        <v>0.14000000000000001</v>
      </c>
      <c r="K34" s="40">
        <f t="shared" si="0"/>
        <v>31.75</v>
      </c>
      <c r="L34" s="40">
        <f t="shared" si="0"/>
        <v>16</v>
      </c>
      <c r="M34" s="40">
        <f t="shared" si="0"/>
        <v>30.64</v>
      </c>
      <c r="N34" s="40">
        <f t="shared" si="0"/>
        <v>1.3</v>
      </c>
      <c r="O34" s="40">
        <f t="shared" si="0"/>
        <v>0</v>
      </c>
      <c r="P34" s="40">
        <f t="shared" si="0"/>
        <v>0.7</v>
      </c>
      <c r="Q34" s="40">
        <f t="shared" si="0"/>
        <v>4.72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54.16</v>
      </c>
      <c r="C35" s="33">
        <f t="shared" si="1"/>
        <v>39.229999999999997</v>
      </c>
      <c r="D35" s="33">
        <f t="shared" si="1"/>
        <v>35.29</v>
      </c>
      <c r="E35" s="33">
        <f t="shared" si="1"/>
        <v>19.25</v>
      </c>
      <c r="F35" s="33">
        <f t="shared" si="1"/>
        <v>15.76</v>
      </c>
      <c r="G35" s="33">
        <f t="shared" si="1"/>
        <v>128.12</v>
      </c>
      <c r="H35" s="33">
        <f t="shared" si="1"/>
        <v>37.96</v>
      </c>
      <c r="I35" s="33">
        <f t="shared" si="1"/>
        <v>12.11</v>
      </c>
      <c r="J35" s="33">
        <f t="shared" si="1"/>
        <v>0.97</v>
      </c>
      <c r="K35" s="33">
        <f t="shared" si="1"/>
        <v>240.21</v>
      </c>
      <c r="L35" s="33">
        <f t="shared" si="1"/>
        <v>28.49</v>
      </c>
      <c r="M35" s="33">
        <f t="shared" si="1"/>
        <v>89.83</v>
      </c>
      <c r="N35" s="33">
        <f t="shared" si="1"/>
        <v>492.6</v>
      </c>
      <c r="O35" s="33">
        <f t="shared" si="1"/>
        <v>0</v>
      </c>
      <c r="P35" s="33">
        <f t="shared" si="1"/>
        <v>1.07</v>
      </c>
      <c r="Q35" s="33">
        <f t="shared" si="1"/>
        <v>5.76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7.7229166666666673</v>
      </c>
      <c r="C36" s="40">
        <f t="shared" si="2"/>
        <v>12.814166666666667</v>
      </c>
      <c r="D36" s="40">
        <f t="shared" si="2"/>
        <v>16.111249999999998</v>
      </c>
      <c r="E36" s="40">
        <f t="shared" si="2"/>
        <v>9.5054166666666653</v>
      </c>
      <c r="F36" s="40">
        <f t="shared" si="2"/>
        <v>7.9116666666666662</v>
      </c>
      <c r="G36" s="40">
        <f t="shared" si="2"/>
        <v>99.803749999999994</v>
      </c>
      <c r="H36" s="40">
        <f t="shared" si="2"/>
        <v>31.00708333333333</v>
      </c>
      <c r="I36" s="40">
        <f t="shared" si="2"/>
        <v>10.557500000000003</v>
      </c>
      <c r="J36" s="40">
        <f t="shared" si="2"/>
        <v>0.42416666666666675</v>
      </c>
      <c r="K36" s="40">
        <f t="shared" si="2"/>
        <v>145.82000000000002</v>
      </c>
      <c r="L36" s="40">
        <f t="shared" si="2"/>
        <v>21.994583333333328</v>
      </c>
      <c r="M36" s="40">
        <f t="shared" si="2"/>
        <v>64.620833333333323</v>
      </c>
      <c r="N36" s="40">
        <f t="shared" si="2"/>
        <v>121.38749999999999</v>
      </c>
      <c r="O36" s="40">
        <f t="shared" si="2"/>
        <v>0</v>
      </c>
      <c r="P36" s="40">
        <f t="shared" si="2"/>
        <v>0.88291666666666657</v>
      </c>
      <c r="Q36" s="40">
        <f t="shared" si="2"/>
        <v>4.9716666666666658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9.9832383345749847</v>
      </c>
      <c r="C37" s="40">
        <f t="shared" ref="C37:Q37" si="3">STDEV(C9:C32)</f>
        <v>8.9764958383676579</v>
      </c>
      <c r="D37" s="40">
        <f t="shared" si="3"/>
        <v>4.88427495620651</v>
      </c>
      <c r="E37" s="40">
        <f t="shared" si="3"/>
        <v>2.718496993891502</v>
      </c>
      <c r="F37" s="40">
        <f t="shared" si="3"/>
        <v>3.4238583202436184</v>
      </c>
      <c r="G37" s="40">
        <f t="shared" si="3"/>
        <v>16.41711615105984</v>
      </c>
      <c r="H37" s="40">
        <f t="shared" si="3"/>
        <v>3.737189689507677</v>
      </c>
      <c r="I37" s="40">
        <f t="shared" si="3"/>
        <v>1.2544156789725331</v>
      </c>
      <c r="J37" s="40">
        <f t="shared" si="3"/>
        <v>0.28221047752198775</v>
      </c>
      <c r="K37" s="40">
        <f t="shared" si="3"/>
        <v>81.87881787978688</v>
      </c>
      <c r="L37" s="40">
        <f t="shared" si="3"/>
        <v>4.5056408888015804</v>
      </c>
      <c r="M37" s="40">
        <f t="shared" si="3"/>
        <v>21.750274744225123</v>
      </c>
      <c r="N37" s="40">
        <f t="shared" si="3"/>
        <v>182.66520887297804</v>
      </c>
      <c r="O37" s="40">
        <f t="shared" si="3"/>
        <v>0</v>
      </c>
      <c r="P37" s="40">
        <f t="shared" si="3"/>
        <v>0.12309343099297883</v>
      </c>
      <c r="Q37" s="40">
        <f t="shared" si="3"/>
        <v>0.19544078757845781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45616.041666666664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45616.041666666664</v>
      </c>
      <c r="B9" s="53">
        <v>19.010000000000002</v>
      </c>
      <c r="C9" s="53">
        <v>22.47</v>
      </c>
      <c r="D9" s="53">
        <v>28.26</v>
      </c>
      <c r="E9" s="53">
        <v>7.74</v>
      </c>
      <c r="F9" s="53">
        <v>5.64</v>
      </c>
      <c r="G9" s="53">
        <v>128.08000000000001</v>
      </c>
      <c r="H9" s="53">
        <v>34.15</v>
      </c>
      <c r="I9" s="53">
        <v>11.56</v>
      </c>
      <c r="J9" s="53">
        <v>0.41</v>
      </c>
      <c r="K9" s="53">
        <v>268.52</v>
      </c>
      <c r="L9" s="53">
        <v>18.48</v>
      </c>
      <c r="M9" s="53">
        <v>81.459999999999994</v>
      </c>
      <c r="N9" s="53">
        <v>1.4</v>
      </c>
      <c r="O9" s="53">
        <v>0</v>
      </c>
      <c r="P9" s="53">
        <v>1.03</v>
      </c>
      <c r="Q9" s="53">
        <v>4.74</v>
      </c>
    </row>
    <row r="10" spans="1:21" customFormat="1">
      <c r="A10" s="52">
        <v>45616.083333333336</v>
      </c>
      <c r="B10" s="53">
        <v>18.86</v>
      </c>
      <c r="C10" s="53">
        <v>22.56</v>
      </c>
      <c r="D10" s="53">
        <v>28.16</v>
      </c>
      <c r="E10" s="53">
        <v>7.54</v>
      </c>
      <c r="F10" s="53">
        <v>5.7</v>
      </c>
      <c r="G10" s="53">
        <v>126.37</v>
      </c>
      <c r="H10" s="53">
        <v>34.47</v>
      </c>
      <c r="I10" s="53">
        <v>12.75</v>
      </c>
      <c r="J10" s="53">
        <v>0.21</v>
      </c>
      <c r="K10" s="53">
        <v>240.88</v>
      </c>
      <c r="L10" s="53">
        <v>18.510000000000002</v>
      </c>
      <c r="M10" s="53">
        <v>80.84</v>
      </c>
      <c r="N10" s="53">
        <v>1.8</v>
      </c>
      <c r="O10" s="53">
        <v>0</v>
      </c>
      <c r="P10" s="53">
        <v>1.04</v>
      </c>
      <c r="Q10" s="53">
        <v>4.74</v>
      </c>
    </row>
    <row r="11" spans="1:21" customFormat="1">
      <c r="A11" s="52">
        <v>45616.125</v>
      </c>
      <c r="B11" s="53">
        <v>17.03</v>
      </c>
      <c r="C11" s="53">
        <v>21.42</v>
      </c>
      <c r="D11" s="53">
        <v>26.2</v>
      </c>
      <c r="E11" s="53">
        <v>10.51</v>
      </c>
      <c r="F11" s="53">
        <v>5.61</v>
      </c>
      <c r="G11" s="53">
        <v>121.16</v>
      </c>
      <c r="H11" s="53">
        <v>36.33</v>
      </c>
      <c r="I11" s="53">
        <v>13.96</v>
      </c>
      <c r="J11" s="53">
        <v>0.14000000000000001</v>
      </c>
      <c r="K11" s="53">
        <v>203.98</v>
      </c>
      <c r="L11" s="53">
        <v>16.760000000000002</v>
      </c>
      <c r="M11" s="53">
        <v>87.47</v>
      </c>
      <c r="N11" s="53">
        <v>1.6</v>
      </c>
      <c r="O11" s="53">
        <v>0</v>
      </c>
      <c r="P11" s="53">
        <v>1.04</v>
      </c>
      <c r="Q11" s="53">
        <v>4.74</v>
      </c>
    </row>
    <row r="12" spans="1:21" customFormat="1">
      <c r="A12" s="52">
        <v>45616.166666666664</v>
      </c>
      <c r="B12" s="53">
        <v>18.89</v>
      </c>
      <c r="C12" s="53">
        <v>21.15</v>
      </c>
      <c r="D12" s="53">
        <v>27.47</v>
      </c>
      <c r="E12" s="53">
        <v>10.38</v>
      </c>
      <c r="F12" s="53">
        <v>5.42</v>
      </c>
      <c r="G12" s="53">
        <v>114.65</v>
      </c>
      <c r="H12" s="53">
        <v>36.28</v>
      </c>
      <c r="I12" s="53">
        <v>15.21</v>
      </c>
      <c r="J12" s="53">
        <v>0.16</v>
      </c>
      <c r="K12" s="53">
        <v>160.93</v>
      </c>
      <c r="L12" s="53">
        <v>16.73</v>
      </c>
      <c r="M12" s="53">
        <v>88.82</v>
      </c>
      <c r="N12" s="53">
        <v>1.3</v>
      </c>
      <c r="O12" s="53">
        <v>0</v>
      </c>
      <c r="P12" s="53">
        <v>1.05</v>
      </c>
      <c r="Q12" s="53">
        <v>4.75</v>
      </c>
    </row>
    <row r="13" spans="1:21" customFormat="1">
      <c r="A13" s="52">
        <v>45616.208333333336</v>
      </c>
      <c r="B13" s="53">
        <v>21.76</v>
      </c>
      <c r="C13" s="53">
        <v>21.75</v>
      </c>
      <c r="D13" s="53">
        <v>30.16</v>
      </c>
      <c r="E13" s="53">
        <v>10.47</v>
      </c>
      <c r="F13" s="53">
        <v>5.51</v>
      </c>
      <c r="G13" s="53">
        <v>105.02</v>
      </c>
      <c r="H13" s="53">
        <v>34.200000000000003</v>
      </c>
      <c r="I13" s="53">
        <v>15.39</v>
      </c>
      <c r="J13" s="53">
        <v>0.25</v>
      </c>
      <c r="K13" s="53">
        <v>153.30000000000001</v>
      </c>
      <c r="L13" s="53">
        <v>16.84</v>
      </c>
      <c r="M13" s="53">
        <v>83.09</v>
      </c>
      <c r="N13" s="53">
        <v>1.4</v>
      </c>
      <c r="O13" s="53">
        <v>0</v>
      </c>
      <c r="P13" s="53">
        <v>1.04</v>
      </c>
      <c r="Q13" s="53">
        <v>4.75</v>
      </c>
    </row>
    <row r="14" spans="1:21" customFormat="1">
      <c r="A14" s="52">
        <v>45616.25</v>
      </c>
      <c r="B14" s="53">
        <v>22.11</v>
      </c>
      <c r="C14" s="53">
        <v>21.87</v>
      </c>
      <c r="D14" s="53">
        <v>30.42</v>
      </c>
      <c r="E14" s="53">
        <v>10.68</v>
      </c>
      <c r="F14" s="53">
        <v>5.36</v>
      </c>
      <c r="G14" s="53">
        <v>106.22</v>
      </c>
      <c r="H14" s="53">
        <v>38.49</v>
      </c>
      <c r="I14" s="53">
        <v>15.19</v>
      </c>
      <c r="J14" s="53">
        <v>0.32</v>
      </c>
      <c r="K14" s="53">
        <v>39.21</v>
      </c>
      <c r="L14" s="53">
        <v>16.79</v>
      </c>
      <c r="M14" s="53">
        <v>82.59</v>
      </c>
      <c r="N14" s="53">
        <v>2</v>
      </c>
      <c r="O14" s="53">
        <v>0</v>
      </c>
      <c r="P14" s="53">
        <v>1.02</v>
      </c>
      <c r="Q14" s="53">
        <v>4.75</v>
      </c>
    </row>
    <row r="15" spans="1:21" customFormat="1">
      <c r="A15" s="52">
        <v>45616.291666666664</v>
      </c>
      <c r="B15" s="53">
        <v>21.75</v>
      </c>
      <c r="C15" s="53">
        <v>22.13</v>
      </c>
      <c r="D15" s="53">
        <v>30.33</v>
      </c>
      <c r="E15" s="53">
        <v>10.49</v>
      </c>
      <c r="F15" s="53">
        <v>5.49</v>
      </c>
      <c r="G15" s="53">
        <v>112.17</v>
      </c>
      <c r="H15" s="53">
        <v>38.479999999999997</v>
      </c>
      <c r="I15" s="53">
        <v>14.7</v>
      </c>
      <c r="J15" s="53">
        <v>0.33</v>
      </c>
      <c r="K15" s="53">
        <v>44.07</v>
      </c>
      <c r="L15" s="53">
        <v>17.02</v>
      </c>
      <c r="M15" s="53">
        <v>82.42</v>
      </c>
      <c r="N15" s="53">
        <v>32.700000000000003</v>
      </c>
      <c r="O15" s="53">
        <v>0</v>
      </c>
      <c r="P15" s="53">
        <v>1.02</v>
      </c>
      <c r="Q15" s="53">
        <v>4.75</v>
      </c>
    </row>
    <row r="16" spans="1:21" customFormat="1">
      <c r="A16" s="52">
        <v>45616.333333333336</v>
      </c>
      <c r="B16" s="53">
        <v>21.74</v>
      </c>
      <c r="C16" s="53">
        <v>22.4</v>
      </c>
      <c r="D16" s="53">
        <v>30.38</v>
      </c>
      <c r="E16" s="53">
        <v>10.199999999999999</v>
      </c>
      <c r="F16" s="53">
        <v>5.49</v>
      </c>
      <c r="G16" s="53">
        <v>115.16</v>
      </c>
      <c r="H16" s="53">
        <v>40.75</v>
      </c>
      <c r="I16" s="53">
        <v>14.13</v>
      </c>
      <c r="J16" s="53">
        <v>0.5</v>
      </c>
      <c r="K16" s="53">
        <v>43.58</v>
      </c>
      <c r="L16" s="53">
        <v>18.78</v>
      </c>
      <c r="M16" s="53">
        <v>78.97</v>
      </c>
      <c r="N16" s="53">
        <v>138.19999999999999</v>
      </c>
      <c r="O16" s="53">
        <v>0</v>
      </c>
      <c r="P16" s="53">
        <v>1.03</v>
      </c>
      <c r="Q16" s="53">
        <v>4.75</v>
      </c>
    </row>
    <row r="17" spans="1:17" customFormat="1">
      <c r="A17" s="52">
        <v>45616.375</v>
      </c>
      <c r="B17" s="53">
        <v>20.2</v>
      </c>
      <c r="C17" s="53">
        <v>21.8</v>
      </c>
      <c r="D17" s="53">
        <v>28.94</v>
      </c>
      <c r="E17" s="53">
        <v>10.64</v>
      </c>
      <c r="F17" s="53">
        <v>5.65</v>
      </c>
      <c r="G17" s="53">
        <v>115.15</v>
      </c>
      <c r="H17" s="53">
        <v>40.75</v>
      </c>
      <c r="I17" s="53">
        <v>13.77</v>
      </c>
      <c r="J17" s="53">
        <v>0.79</v>
      </c>
      <c r="K17" s="53">
        <v>53.24</v>
      </c>
      <c r="L17" s="53">
        <v>21.58</v>
      </c>
      <c r="M17" s="53">
        <v>71.010000000000005</v>
      </c>
      <c r="N17" s="53">
        <v>254.4</v>
      </c>
      <c r="O17" s="53">
        <v>0</v>
      </c>
      <c r="P17" s="53">
        <v>1</v>
      </c>
      <c r="Q17" s="53">
        <v>4.74</v>
      </c>
    </row>
    <row r="18" spans="1:17" customFormat="1">
      <c r="A18" s="52">
        <v>45616.416666666664</v>
      </c>
      <c r="B18" s="53">
        <v>17.34</v>
      </c>
      <c r="C18" s="53">
        <v>21.39</v>
      </c>
      <c r="D18" s="53">
        <v>26.4</v>
      </c>
      <c r="E18" s="53">
        <v>11.2</v>
      </c>
      <c r="F18" s="53">
        <v>6.13</v>
      </c>
      <c r="G18" s="53">
        <v>114.69</v>
      </c>
      <c r="H18" s="53">
        <v>40.68</v>
      </c>
      <c r="I18" s="53">
        <v>13.4</v>
      </c>
      <c r="J18" s="53">
        <v>0.43</v>
      </c>
      <c r="K18" s="53">
        <v>93.23</v>
      </c>
      <c r="L18" s="53">
        <v>24.81</v>
      </c>
      <c r="M18" s="53">
        <v>57.08</v>
      </c>
      <c r="N18" s="53">
        <v>382.9</v>
      </c>
      <c r="O18" s="53">
        <v>0</v>
      </c>
      <c r="P18" s="53">
        <v>1</v>
      </c>
      <c r="Q18" s="53">
        <v>4.74</v>
      </c>
    </row>
    <row r="19" spans="1:17" customFormat="1">
      <c r="A19" s="52">
        <v>45616.458333333336</v>
      </c>
      <c r="B19" s="53">
        <v>12.39</v>
      </c>
      <c r="C19" s="53">
        <v>21.45</v>
      </c>
      <c r="D19" s="53">
        <v>22.31</v>
      </c>
      <c r="E19" s="53">
        <v>8.82</v>
      </c>
      <c r="F19" s="53">
        <v>6.55</v>
      </c>
      <c r="G19" s="53">
        <v>112.02</v>
      </c>
      <c r="H19" s="53">
        <v>120.94</v>
      </c>
      <c r="I19" s="53">
        <v>13.04</v>
      </c>
      <c r="J19" s="53">
        <v>0.87</v>
      </c>
      <c r="K19" s="53">
        <v>82.8</v>
      </c>
      <c r="L19" s="53">
        <v>26.05</v>
      </c>
      <c r="M19" s="53">
        <v>42.79</v>
      </c>
      <c r="N19" s="53">
        <v>445</v>
      </c>
      <c r="O19" s="53">
        <v>0</v>
      </c>
      <c r="P19" s="53">
        <v>0.96</v>
      </c>
      <c r="Q19" s="53">
        <v>4.7300000000000004</v>
      </c>
    </row>
    <row r="20" spans="1:17" customFormat="1">
      <c r="A20" s="52">
        <v>45616.5</v>
      </c>
      <c r="B20" s="53">
        <v>7.38</v>
      </c>
      <c r="C20" s="53">
        <v>21.44</v>
      </c>
      <c r="D20" s="53">
        <v>18.47</v>
      </c>
      <c r="E20" s="53">
        <v>9.1</v>
      </c>
      <c r="F20" s="53">
        <v>8.64</v>
      </c>
      <c r="G20" s="53">
        <v>101.5</v>
      </c>
      <c r="H20" s="53">
        <v>119.1</v>
      </c>
      <c r="I20" s="53">
        <v>12.16</v>
      </c>
      <c r="J20" s="53">
        <v>0.8</v>
      </c>
      <c r="K20" s="53">
        <v>60.58</v>
      </c>
      <c r="L20" s="53">
        <v>26.9</v>
      </c>
      <c r="M20" s="53">
        <v>34.69</v>
      </c>
      <c r="N20" s="53">
        <v>469.1</v>
      </c>
      <c r="O20" s="53">
        <v>0</v>
      </c>
      <c r="P20" s="53">
        <v>0.89</v>
      </c>
      <c r="Q20" s="53">
        <v>4.75</v>
      </c>
    </row>
    <row r="21" spans="1:17" customFormat="1">
      <c r="A21" s="52">
        <v>45616.541666666664</v>
      </c>
      <c r="B21" s="53">
        <v>4.5</v>
      </c>
      <c r="C21" s="53">
        <v>20.399999999999999</v>
      </c>
      <c r="D21" s="53">
        <v>15.62</v>
      </c>
      <c r="E21" s="53">
        <v>9.1300000000000008</v>
      </c>
      <c r="F21" s="53">
        <v>10.31</v>
      </c>
      <c r="G21" s="53">
        <v>92.26</v>
      </c>
      <c r="H21" s="53">
        <v>14.36</v>
      </c>
      <c r="I21" s="53">
        <v>11.29</v>
      </c>
      <c r="J21" s="53">
        <v>0.91</v>
      </c>
      <c r="K21" s="53">
        <v>61.82</v>
      </c>
      <c r="L21" s="53">
        <v>27.46</v>
      </c>
      <c r="M21" s="53">
        <v>31.99</v>
      </c>
      <c r="N21" s="53">
        <v>462.9</v>
      </c>
      <c r="O21" s="53">
        <v>0</v>
      </c>
      <c r="P21" s="53">
        <v>0.86</v>
      </c>
      <c r="Q21" s="53">
        <v>4.76</v>
      </c>
    </row>
    <row r="22" spans="1:17" customFormat="1">
      <c r="A22" s="52">
        <v>45616.583333333336</v>
      </c>
      <c r="B22" s="53">
        <v>3.39</v>
      </c>
      <c r="C22" s="53">
        <v>20.57</v>
      </c>
      <c r="D22" s="53">
        <v>14.79</v>
      </c>
      <c r="E22" s="53">
        <v>9.08</v>
      </c>
      <c r="F22" s="53">
        <v>12.16</v>
      </c>
      <c r="G22" s="53">
        <v>82.13</v>
      </c>
      <c r="H22" s="53">
        <v>26.21</v>
      </c>
      <c r="I22" s="53">
        <v>10.46</v>
      </c>
      <c r="J22" s="53">
        <v>0.93</v>
      </c>
      <c r="K22" s="53">
        <v>41.08</v>
      </c>
      <c r="L22" s="53">
        <v>27.47</v>
      </c>
      <c r="M22" s="53">
        <v>31.19</v>
      </c>
      <c r="N22" s="53">
        <v>387.9</v>
      </c>
      <c r="O22" s="53">
        <v>0</v>
      </c>
      <c r="P22" s="53">
        <v>0.86</v>
      </c>
      <c r="Q22" s="53">
        <v>4.7699999999999996</v>
      </c>
    </row>
    <row r="23" spans="1:17" customFormat="1">
      <c r="A23" s="52">
        <v>45616.625</v>
      </c>
      <c r="B23" s="53">
        <v>3.3</v>
      </c>
      <c r="C23" s="53">
        <v>20.46</v>
      </c>
      <c r="D23" s="53">
        <v>14.69</v>
      </c>
      <c r="E23" s="53">
        <v>9.67</v>
      </c>
      <c r="F23" s="53">
        <v>14.63</v>
      </c>
      <c r="G23" s="53">
        <v>82.08</v>
      </c>
      <c r="H23" s="53">
        <v>38.24</v>
      </c>
      <c r="I23" s="53">
        <v>9.61</v>
      </c>
      <c r="J23" s="53">
        <v>0.9</v>
      </c>
      <c r="K23" s="53">
        <v>31.35</v>
      </c>
      <c r="L23" s="53">
        <v>27.15</v>
      </c>
      <c r="M23" s="53">
        <v>31.74</v>
      </c>
      <c r="N23" s="53">
        <v>115.7</v>
      </c>
      <c r="O23" s="53">
        <v>0</v>
      </c>
      <c r="P23" s="53">
        <v>0.69</v>
      </c>
      <c r="Q23" s="53">
        <v>4.7699999999999996</v>
      </c>
    </row>
    <row r="24" spans="1:17" customFormat="1">
      <c r="A24" s="52">
        <v>45616.666666666664</v>
      </c>
      <c r="B24" s="53">
        <v>3.34</v>
      </c>
      <c r="C24" s="53">
        <v>21.46</v>
      </c>
      <c r="D24" s="53">
        <v>15.23</v>
      </c>
      <c r="E24" s="53">
        <v>9.8699999999999992</v>
      </c>
      <c r="F24" s="53">
        <v>14.88</v>
      </c>
      <c r="G24" s="53">
        <v>79.95</v>
      </c>
      <c r="H24" s="53">
        <v>43.06</v>
      </c>
      <c r="I24" s="53">
        <v>8.83</v>
      </c>
      <c r="J24" s="53">
        <v>0.86</v>
      </c>
      <c r="K24" s="53">
        <v>42.89</v>
      </c>
      <c r="L24" s="53">
        <v>26.67</v>
      </c>
      <c r="M24" s="53">
        <v>33.340000000000003</v>
      </c>
      <c r="N24" s="53">
        <v>66.2</v>
      </c>
      <c r="O24" s="53">
        <v>0</v>
      </c>
      <c r="P24" s="53">
        <v>0.68</v>
      </c>
      <c r="Q24" s="53">
        <v>4.76</v>
      </c>
    </row>
    <row r="25" spans="1:17" customFormat="1">
      <c r="A25" s="52">
        <v>45616.708333333336</v>
      </c>
      <c r="B25" s="53">
        <v>3.57</v>
      </c>
      <c r="C25" s="53">
        <v>24.07</v>
      </c>
      <c r="D25" s="53">
        <v>16.79</v>
      </c>
      <c r="E25" s="53">
        <v>8.91</v>
      </c>
      <c r="F25" s="53">
        <v>11.55</v>
      </c>
      <c r="G25" s="53">
        <v>79.239999999999995</v>
      </c>
      <c r="H25" s="53">
        <v>42.86</v>
      </c>
      <c r="I25" s="53">
        <v>8.4499999999999993</v>
      </c>
      <c r="J25" s="53">
        <v>0.56000000000000005</v>
      </c>
      <c r="K25" s="53">
        <v>51.37</v>
      </c>
      <c r="L25" s="53">
        <v>26.02</v>
      </c>
      <c r="M25" s="53">
        <v>38.590000000000003</v>
      </c>
      <c r="N25" s="53">
        <v>29.3</v>
      </c>
      <c r="O25" s="53">
        <v>0</v>
      </c>
      <c r="P25" s="53">
        <v>0.71</v>
      </c>
      <c r="Q25" s="53">
        <v>4.75</v>
      </c>
    </row>
    <row r="26" spans="1:17" customFormat="1">
      <c r="A26" s="52">
        <v>45616.75</v>
      </c>
      <c r="B26" s="53">
        <v>4.74</v>
      </c>
      <c r="C26" s="53">
        <v>25.07</v>
      </c>
      <c r="D26" s="53">
        <v>18.04</v>
      </c>
      <c r="E26" s="53">
        <v>8.3000000000000007</v>
      </c>
      <c r="F26" s="53">
        <v>7.15</v>
      </c>
      <c r="G26" s="53">
        <v>84.92</v>
      </c>
      <c r="H26" s="53">
        <v>35.92</v>
      </c>
      <c r="I26" s="53">
        <v>8.58</v>
      </c>
      <c r="J26" s="53">
        <v>0.43</v>
      </c>
      <c r="K26" s="53">
        <v>135.88</v>
      </c>
      <c r="L26" s="53">
        <v>24.2</v>
      </c>
      <c r="M26" s="53">
        <v>49.71</v>
      </c>
      <c r="N26" s="53">
        <v>2.9</v>
      </c>
      <c r="O26" s="53">
        <v>0</v>
      </c>
      <c r="P26" s="53">
        <v>0.74</v>
      </c>
      <c r="Q26" s="53">
        <v>4.76</v>
      </c>
    </row>
    <row r="27" spans="1:17" customFormat="1">
      <c r="A27" s="52">
        <v>45616.791666666664</v>
      </c>
      <c r="B27" s="53">
        <v>6.45</v>
      </c>
      <c r="C27" s="53">
        <v>24.21</v>
      </c>
      <c r="D27" s="53">
        <v>18.760000000000002</v>
      </c>
      <c r="E27" s="53">
        <v>10.38</v>
      </c>
      <c r="F27" s="53">
        <v>6.04</v>
      </c>
      <c r="G27" s="53">
        <v>101.87</v>
      </c>
      <c r="H27" s="53">
        <v>38.69</v>
      </c>
      <c r="I27" s="53">
        <v>9.02</v>
      </c>
      <c r="J27" s="53">
        <v>0.41</v>
      </c>
      <c r="K27" s="53">
        <v>170.63</v>
      </c>
      <c r="L27" s="53">
        <v>22.76</v>
      </c>
      <c r="M27" s="53">
        <v>53.21</v>
      </c>
      <c r="N27" s="53">
        <v>2.1</v>
      </c>
      <c r="O27" s="53">
        <v>0</v>
      </c>
      <c r="P27" s="53">
        <v>0.79</v>
      </c>
      <c r="Q27" s="53">
        <v>4.74</v>
      </c>
    </row>
    <row r="28" spans="1:17" customFormat="1">
      <c r="A28" s="52">
        <v>45616.833333333336</v>
      </c>
      <c r="B28" s="53">
        <v>6.42</v>
      </c>
      <c r="C28" s="53">
        <v>23.24</v>
      </c>
      <c r="D28" s="53">
        <v>18.64</v>
      </c>
      <c r="E28" s="53">
        <v>10.29</v>
      </c>
      <c r="F28" s="53">
        <v>5.83</v>
      </c>
      <c r="G28" s="53">
        <v>114.47</v>
      </c>
      <c r="H28" s="53">
        <v>47.7</v>
      </c>
      <c r="I28" s="53">
        <v>9.44</v>
      </c>
      <c r="J28" s="53">
        <v>0.21</v>
      </c>
      <c r="K28" s="53">
        <v>202.48</v>
      </c>
      <c r="L28" s="53">
        <v>20.56</v>
      </c>
      <c r="M28" s="53">
        <v>74.59</v>
      </c>
      <c r="N28" s="53">
        <v>1.9</v>
      </c>
      <c r="O28" s="53">
        <v>0</v>
      </c>
      <c r="P28" s="53">
        <v>0.82</v>
      </c>
      <c r="Q28" s="53">
        <v>4.75</v>
      </c>
    </row>
    <row r="29" spans="1:17" customFormat="1">
      <c r="A29" s="52">
        <v>45616.875</v>
      </c>
      <c r="B29" s="53">
        <v>7.48</v>
      </c>
      <c r="C29" s="53">
        <v>21.29</v>
      </c>
      <c r="D29" s="53">
        <v>18.350000000000001</v>
      </c>
      <c r="E29" s="53">
        <v>10.27</v>
      </c>
      <c r="F29" s="53">
        <v>5.8</v>
      </c>
      <c r="G29" s="53">
        <v>114.11</v>
      </c>
      <c r="H29" s="53">
        <v>47.46</v>
      </c>
      <c r="I29" s="53">
        <v>9.99</v>
      </c>
      <c r="J29" s="53">
        <v>0.2</v>
      </c>
      <c r="K29" s="53">
        <v>205.22</v>
      </c>
      <c r="L29" s="53">
        <v>19.04</v>
      </c>
      <c r="M29" s="53">
        <v>81.05</v>
      </c>
      <c r="N29" s="53">
        <v>1.7</v>
      </c>
      <c r="O29" s="53">
        <v>0</v>
      </c>
      <c r="P29" s="53">
        <v>0.88</v>
      </c>
      <c r="Q29" s="53">
        <v>4.74</v>
      </c>
    </row>
    <row r="30" spans="1:17" customFormat="1">
      <c r="A30" s="52">
        <v>45616.916666666664</v>
      </c>
      <c r="B30" s="53">
        <v>7.57</v>
      </c>
      <c r="C30" s="53">
        <v>20.61</v>
      </c>
      <c r="D30" s="53">
        <v>18.190000000000001</v>
      </c>
      <c r="E30" s="53">
        <v>10.15</v>
      </c>
      <c r="F30" s="53">
        <v>5.57</v>
      </c>
      <c r="G30" s="53">
        <v>102.38</v>
      </c>
      <c r="H30" s="53">
        <v>31.43</v>
      </c>
      <c r="I30" s="53">
        <v>10.4</v>
      </c>
      <c r="J30" s="53">
        <v>0.19</v>
      </c>
      <c r="K30" s="53">
        <v>223.1</v>
      </c>
      <c r="L30" s="53">
        <v>18.03</v>
      </c>
      <c r="M30" s="53">
        <v>81.73</v>
      </c>
      <c r="N30" s="53">
        <v>1.5</v>
      </c>
      <c r="O30" s="53">
        <v>0</v>
      </c>
      <c r="P30" s="53">
        <v>0.91</v>
      </c>
      <c r="Q30" s="53">
        <v>4.74</v>
      </c>
    </row>
    <row r="31" spans="1:17" customFormat="1">
      <c r="A31" s="52">
        <v>45616.958333333336</v>
      </c>
      <c r="B31" s="53">
        <v>7.18</v>
      </c>
      <c r="C31" s="53">
        <v>19.100000000000001</v>
      </c>
      <c r="D31" s="53">
        <v>17.09</v>
      </c>
      <c r="E31" s="53">
        <v>10.34</v>
      </c>
      <c r="F31" s="53">
        <v>5.59</v>
      </c>
      <c r="G31" s="53">
        <v>102.32</v>
      </c>
      <c r="H31" s="53">
        <v>27.96</v>
      </c>
      <c r="I31" s="53">
        <v>10.61</v>
      </c>
      <c r="J31" s="53">
        <v>0.17</v>
      </c>
      <c r="K31" s="53">
        <v>231.96</v>
      </c>
      <c r="L31" s="53">
        <v>17.649999999999999</v>
      </c>
      <c r="M31" s="53">
        <v>83.63</v>
      </c>
      <c r="N31" s="53">
        <v>1.5</v>
      </c>
      <c r="O31" s="53">
        <v>0</v>
      </c>
      <c r="P31" s="53">
        <v>0.96</v>
      </c>
      <c r="Q31" s="53">
        <v>4.7699999999999996</v>
      </c>
    </row>
    <row r="32" spans="1:17" customFormat="1">
      <c r="A32" s="52">
        <v>45617</v>
      </c>
      <c r="B32" s="53">
        <v>6.51</v>
      </c>
      <c r="C32" s="53">
        <v>19.13</v>
      </c>
      <c r="D32" s="53">
        <v>16.48</v>
      </c>
      <c r="E32" s="53">
        <v>10.26</v>
      </c>
      <c r="F32" s="53">
        <v>5.77</v>
      </c>
      <c r="G32" s="53">
        <v>111.23</v>
      </c>
      <c r="H32" s="53">
        <v>60.13</v>
      </c>
      <c r="I32" s="53">
        <v>11.18</v>
      </c>
      <c r="J32" s="53">
        <v>0.2</v>
      </c>
      <c r="K32" s="53">
        <v>234.06</v>
      </c>
      <c r="L32" s="53">
        <v>17.309999999999999</v>
      </c>
      <c r="M32" s="53">
        <v>82.27</v>
      </c>
      <c r="N32" s="53">
        <v>1.4</v>
      </c>
      <c r="O32" s="53">
        <v>0</v>
      </c>
      <c r="P32" s="53">
        <v>0.96</v>
      </c>
      <c r="Q32" s="53">
        <v>4.75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3.3</v>
      </c>
      <c r="C34" s="40">
        <f t="shared" si="0"/>
        <v>19.100000000000001</v>
      </c>
      <c r="D34" s="40">
        <f t="shared" si="0"/>
        <v>14.69</v>
      </c>
      <c r="E34" s="40">
        <f t="shared" si="0"/>
        <v>7.54</v>
      </c>
      <c r="F34" s="40">
        <f t="shared" si="0"/>
        <v>5.36</v>
      </c>
      <c r="G34" s="40">
        <f t="shared" si="0"/>
        <v>79.239999999999995</v>
      </c>
      <c r="H34" s="40">
        <f t="shared" si="0"/>
        <v>14.36</v>
      </c>
      <c r="I34" s="40">
        <f t="shared" si="0"/>
        <v>8.4499999999999993</v>
      </c>
      <c r="J34" s="40">
        <f t="shared" si="0"/>
        <v>0.14000000000000001</v>
      </c>
      <c r="K34" s="40">
        <f t="shared" si="0"/>
        <v>31.35</v>
      </c>
      <c r="L34" s="40">
        <f t="shared" si="0"/>
        <v>16.73</v>
      </c>
      <c r="M34" s="40">
        <f t="shared" si="0"/>
        <v>31.19</v>
      </c>
      <c r="N34" s="40">
        <f t="shared" si="0"/>
        <v>1.3</v>
      </c>
      <c r="O34" s="40">
        <f t="shared" si="0"/>
        <v>0</v>
      </c>
      <c r="P34" s="40">
        <f t="shared" si="0"/>
        <v>0.68</v>
      </c>
      <c r="Q34" s="40">
        <f t="shared" si="0"/>
        <v>4.7300000000000004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22.11</v>
      </c>
      <c r="C35" s="33">
        <f t="shared" si="1"/>
        <v>25.07</v>
      </c>
      <c r="D35" s="33">
        <f t="shared" si="1"/>
        <v>30.42</v>
      </c>
      <c r="E35" s="33">
        <f t="shared" si="1"/>
        <v>11.2</v>
      </c>
      <c r="F35" s="33">
        <f t="shared" si="1"/>
        <v>14.88</v>
      </c>
      <c r="G35" s="33">
        <f t="shared" si="1"/>
        <v>128.08000000000001</v>
      </c>
      <c r="H35" s="33">
        <f t="shared" si="1"/>
        <v>120.94</v>
      </c>
      <c r="I35" s="33">
        <f t="shared" si="1"/>
        <v>15.39</v>
      </c>
      <c r="J35" s="33">
        <f t="shared" si="1"/>
        <v>0.93</v>
      </c>
      <c r="K35" s="33">
        <f t="shared" si="1"/>
        <v>268.52</v>
      </c>
      <c r="L35" s="33">
        <f t="shared" si="1"/>
        <v>27.47</v>
      </c>
      <c r="M35" s="33">
        <f t="shared" si="1"/>
        <v>88.82</v>
      </c>
      <c r="N35" s="33">
        <f t="shared" si="1"/>
        <v>469.1</v>
      </c>
      <c r="O35" s="33">
        <f t="shared" si="1"/>
        <v>0</v>
      </c>
      <c r="P35" s="33">
        <f t="shared" si="1"/>
        <v>1.05</v>
      </c>
      <c r="Q35" s="33">
        <f t="shared" si="1"/>
        <v>4.7699999999999996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11.787916666666668</v>
      </c>
      <c r="C36" s="40">
        <f t="shared" si="2"/>
        <v>21.726666666666663</v>
      </c>
      <c r="D36" s="40">
        <f t="shared" si="2"/>
        <v>22.09041666666667</v>
      </c>
      <c r="E36" s="40">
        <f t="shared" si="2"/>
        <v>9.7675000000000001</v>
      </c>
      <c r="F36" s="40">
        <f t="shared" si="2"/>
        <v>7.3529166666666681</v>
      </c>
      <c r="G36" s="40">
        <f t="shared" si="2"/>
        <v>104.96458333333334</v>
      </c>
      <c r="H36" s="40">
        <f t="shared" si="2"/>
        <v>44.526666666666671</v>
      </c>
      <c r="I36" s="40">
        <f t="shared" si="2"/>
        <v>11.796666666666669</v>
      </c>
      <c r="J36" s="40">
        <f t="shared" si="2"/>
        <v>0.46583333333333332</v>
      </c>
      <c r="K36" s="40">
        <f t="shared" si="2"/>
        <v>128.17333333333332</v>
      </c>
      <c r="L36" s="40">
        <f t="shared" si="2"/>
        <v>21.398749999999996</v>
      </c>
      <c r="M36" s="40">
        <f t="shared" si="2"/>
        <v>64.344583333333333</v>
      </c>
      <c r="N36" s="40">
        <f t="shared" si="2"/>
        <v>116.94999999999999</v>
      </c>
      <c r="O36" s="40">
        <f t="shared" si="2"/>
        <v>0</v>
      </c>
      <c r="P36" s="40">
        <f t="shared" si="2"/>
        <v>0.91583333333333317</v>
      </c>
      <c r="Q36" s="40">
        <f t="shared" si="2"/>
        <v>4.7495833333333328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7.3210595450603195</v>
      </c>
      <c r="C37" s="40">
        <f t="shared" ref="C37:Q37" si="3">STDEV(C9:C32)</f>
        <v>1.4381076535463349</v>
      </c>
      <c r="D37" s="40">
        <f t="shared" si="3"/>
        <v>5.9733513127721523</v>
      </c>
      <c r="E37" s="40">
        <f t="shared" si="3"/>
        <v>0.96899881096529661</v>
      </c>
      <c r="F37" s="40">
        <f t="shared" si="3"/>
        <v>3.0058977956628863</v>
      </c>
      <c r="G37" s="40">
        <f t="shared" si="3"/>
        <v>14.593716032763183</v>
      </c>
      <c r="H37" s="40">
        <f t="shared" si="3"/>
        <v>24.736337584643543</v>
      </c>
      <c r="I37" s="40">
        <f t="shared" si="3"/>
        <v>2.2953538453498257</v>
      </c>
      <c r="J37" s="40">
        <f t="shared" si="3"/>
        <v>0.28570152663022408</v>
      </c>
      <c r="K37" s="40">
        <f t="shared" si="3"/>
        <v>81.90865191157171</v>
      </c>
      <c r="L37" s="40">
        <f t="shared" si="3"/>
        <v>4.1999226830357523</v>
      </c>
      <c r="M37" s="40">
        <f t="shared" si="3"/>
        <v>21.785864978520316</v>
      </c>
      <c r="N37" s="40">
        <f t="shared" si="3"/>
        <v>175.04487374981008</v>
      </c>
      <c r="O37" s="40">
        <f t="shared" si="3"/>
        <v>0</v>
      </c>
      <c r="P37" s="40">
        <f t="shared" si="3"/>
        <v>0.12250702434755718</v>
      </c>
      <c r="Q37" s="40">
        <f t="shared" si="3"/>
        <v>1.082636342118309E-2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45617.041666666664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45617.041666666664</v>
      </c>
      <c r="B9" s="53">
        <v>9.83</v>
      </c>
      <c r="C9" s="53">
        <v>19.829999999999998</v>
      </c>
      <c r="D9" s="53">
        <v>19.600000000000001</v>
      </c>
      <c r="E9" s="53">
        <v>10.029999999999999</v>
      </c>
      <c r="F9" s="53">
        <v>5.47</v>
      </c>
      <c r="G9" s="53">
        <v>125.77</v>
      </c>
      <c r="H9" s="53">
        <v>59.59</v>
      </c>
      <c r="I9" s="53">
        <v>11.9</v>
      </c>
      <c r="J9" s="53">
        <v>0.16</v>
      </c>
      <c r="K9" s="53">
        <v>212.91</v>
      </c>
      <c r="L9" s="53">
        <v>17.09</v>
      </c>
      <c r="M9" s="53">
        <v>81.84</v>
      </c>
      <c r="N9" s="53">
        <v>1.4</v>
      </c>
      <c r="O9" s="53">
        <v>0</v>
      </c>
      <c r="P9" s="53">
        <v>0.99</v>
      </c>
      <c r="Q9" s="53">
        <v>4.7699999999999996</v>
      </c>
    </row>
    <row r="10" spans="1:21" customFormat="1">
      <c r="A10" s="52">
        <v>45617.083333333336</v>
      </c>
      <c r="B10" s="53">
        <v>16.329999999999998</v>
      </c>
      <c r="C10" s="53">
        <v>20.46</v>
      </c>
      <c r="D10" s="53">
        <v>25.13</v>
      </c>
      <c r="E10" s="53">
        <v>10.35</v>
      </c>
      <c r="F10" s="53">
        <v>5.6</v>
      </c>
      <c r="G10" s="53">
        <v>126.55</v>
      </c>
      <c r="H10" s="53">
        <v>40.5</v>
      </c>
      <c r="I10" s="53">
        <v>12.81</v>
      </c>
      <c r="J10" s="53">
        <v>0.17</v>
      </c>
      <c r="K10" s="53">
        <v>232.99</v>
      </c>
      <c r="L10" s="53">
        <v>16.91</v>
      </c>
      <c r="M10" s="53">
        <v>88.48</v>
      </c>
      <c r="N10" s="53">
        <v>1.4</v>
      </c>
      <c r="O10" s="53">
        <v>0</v>
      </c>
      <c r="P10" s="53">
        <v>1.04</v>
      </c>
      <c r="Q10" s="53">
        <v>4.7699999999999996</v>
      </c>
    </row>
    <row r="11" spans="1:21" customFormat="1">
      <c r="A11" s="52">
        <v>45617.125</v>
      </c>
      <c r="B11" s="53">
        <v>20.47</v>
      </c>
      <c r="C11" s="53">
        <v>20.97</v>
      </c>
      <c r="D11" s="53">
        <v>28.69</v>
      </c>
      <c r="E11" s="53">
        <v>10.16</v>
      </c>
      <c r="F11" s="53">
        <v>5.36</v>
      </c>
      <c r="G11" s="53">
        <v>126.39</v>
      </c>
      <c r="H11" s="53">
        <v>40.49</v>
      </c>
      <c r="I11" s="53">
        <v>13.64</v>
      </c>
      <c r="J11" s="53">
        <v>0.28000000000000003</v>
      </c>
      <c r="K11" s="53">
        <v>53.84</v>
      </c>
      <c r="L11" s="53">
        <v>16.98</v>
      </c>
      <c r="M11" s="53">
        <v>80.98</v>
      </c>
      <c r="N11" s="53">
        <v>1.4</v>
      </c>
      <c r="O11" s="53">
        <v>0</v>
      </c>
      <c r="P11" s="53">
        <v>1.07</v>
      </c>
      <c r="Q11" s="53">
        <v>4.7699999999999996</v>
      </c>
    </row>
    <row r="12" spans="1:21" customFormat="1">
      <c r="A12" s="52">
        <v>45617.166666666664</v>
      </c>
      <c r="B12" s="53">
        <v>19.71</v>
      </c>
      <c r="C12" s="53">
        <v>21.15</v>
      </c>
      <c r="D12" s="53">
        <v>28.15</v>
      </c>
      <c r="E12" s="53">
        <v>10.52</v>
      </c>
      <c r="F12" s="53">
        <v>5.69</v>
      </c>
      <c r="G12" s="53">
        <v>119.22</v>
      </c>
      <c r="H12" s="53">
        <v>39.43</v>
      </c>
      <c r="I12" s="53">
        <v>13.76</v>
      </c>
      <c r="J12" s="53">
        <v>0.23</v>
      </c>
      <c r="K12" s="53">
        <v>138.31</v>
      </c>
      <c r="L12" s="53">
        <v>16.600000000000001</v>
      </c>
      <c r="M12" s="53">
        <v>80</v>
      </c>
      <c r="N12" s="53">
        <v>1.5</v>
      </c>
      <c r="O12" s="53">
        <v>0</v>
      </c>
      <c r="P12" s="53">
        <v>1.07</v>
      </c>
      <c r="Q12" s="53">
        <v>4.7699999999999996</v>
      </c>
    </row>
    <row r="13" spans="1:21" customFormat="1">
      <c r="A13" s="52">
        <v>45617.208333333336</v>
      </c>
      <c r="B13" s="53">
        <v>17.75</v>
      </c>
      <c r="C13" s="53">
        <v>20.29</v>
      </c>
      <c r="D13" s="53">
        <v>26.03</v>
      </c>
      <c r="E13" s="53">
        <v>10.48</v>
      </c>
      <c r="F13" s="53">
        <v>5.56</v>
      </c>
      <c r="G13" s="53">
        <v>113.68</v>
      </c>
      <c r="H13" s="53">
        <v>39.17</v>
      </c>
      <c r="I13" s="53">
        <v>13.45</v>
      </c>
      <c r="J13" s="53">
        <v>0.19</v>
      </c>
      <c r="K13" s="53">
        <v>219.42</v>
      </c>
      <c r="L13" s="53">
        <v>16.010000000000002</v>
      </c>
      <c r="M13" s="53">
        <v>87.03</v>
      </c>
      <c r="N13" s="53">
        <v>1.6</v>
      </c>
      <c r="O13" s="53">
        <v>0</v>
      </c>
      <c r="P13" s="53">
        <v>0.99</v>
      </c>
      <c r="Q13" s="53">
        <v>4.76</v>
      </c>
    </row>
    <row r="14" spans="1:21" customFormat="1">
      <c r="A14" s="52">
        <v>45617.25</v>
      </c>
      <c r="B14" s="53">
        <v>22.24</v>
      </c>
      <c r="C14" s="53">
        <v>19.739999999999998</v>
      </c>
      <c r="D14" s="53">
        <v>29.21</v>
      </c>
      <c r="E14" s="53">
        <v>10.31</v>
      </c>
      <c r="F14" s="53">
        <v>5.57</v>
      </c>
      <c r="G14" s="53">
        <v>108.04</v>
      </c>
      <c r="H14" s="53">
        <v>38.659999999999997</v>
      </c>
      <c r="I14" s="53">
        <v>13.29</v>
      </c>
      <c r="J14" s="53">
        <v>0.13</v>
      </c>
      <c r="K14" s="53">
        <v>224.55</v>
      </c>
      <c r="L14" s="53">
        <v>15.2</v>
      </c>
      <c r="M14" s="53">
        <v>92.96</v>
      </c>
      <c r="N14" s="53">
        <v>1.9</v>
      </c>
      <c r="O14" s="53">
        <v>0</v>
      </c>
      <c r="P14" s="53">
        <v>0.95</v>
      </c>
      <c r="Q14" s="53">
        <v>4.75</v>
      </c>
    </row>
    <row r="15" spans="1:21" customFormat="1">
      <c r="A15" s="52">
        <v>45617.291666666664</v>
      </c>
      <c r="B15" s="53">
        <v>26.21</v>
      </c>
      <c r="C15" s="53">
        <v>18.88</v>
      </c>
      <c r="D15" s="53">
        <v>32.18</v>
      </c>
      <c r="E15" s="53">
        <v>10.4</v>
      </c>
      <c r="F15" s="53">
        <v>5.53</v>
      </c>
      <c r="G15" s="53">
        <v>103.19</v>
      </c>
      <c r="H15" s="53">
        <v>38.64</v>
      </c>
      <c r="I15" s="53">
        <v>13.02</v>
      </c>
      <c r="J15" s="53">
        <v>0.14000000000000001</v>
      </c>
      <c r="K15" s="53">
        <v>221.66</v>
      </c>
      <c r="L15" s="53">
        <v>15.85</v>
      </c>
      <c r="M15" s="53">
        <v>92.77</v>
      </c>
      <c r="N15" s="53">
        <v>32</v>
      </c>
      <c r="O15" s="53">
        <v>0</v>
      </c>
      <c r="P15" s="53">
        <v>0.95</v>
      </c>
      <c r="Q15" s="53">
        <v>4.75</v>
      </c>
    </row>
    <row r="16" spans="1:21" customFormat="1">
      <c r="A16" s="52">
        <v>45617.333333333336</v>
      </c>
      <c r="B16" s="53">
        <v>26.61</v>
      </c>
      <c r="C16" s="53">
        <v>19.3</v>
      </c>
      <c r="D16" s="53">
        <v>32.44</v>
      </c>
      <c r="E16" s="53">
        <v>10.050000000000001</v>
      </c>
      <c r="F16" s="53">
        <v>5.57</v>
      </c>
      <c r="G16" s="53">
        <v>99.83</v>
      </c>
      <c r="H16" s="53">
        <v>37.83</v>
      </c>
      <c r="I16" s="53">
        <v>12.99</v>
      </c>
      <c r="J16" s="53">
        <v>0.68</v>
      </c>
      <c r="K16" s="53">
        <v>52.13</v>
      </c>
      <c r="L16" s="53">
        <v>18.45</v>
      </c>
      <c r="M16" s="53">
        <v>82.14</v>
      </c>
      <c r="N16" s="53">
        <v>136.4</v>
      </c>
      <c r="O16" s="53">
        <v>0</v>
      </c>
      <c r="P16" s="53">
        <v>0.97</v>
      </c>
      <c r="Q16" s="53">
        <v>4.75</v>
      </c>
    </row>
    <row r="17" spans="1:17" customFormat="1">
      <c r="A17" s="52">
        <v>45617.375</v>
      </c>
      <c r="B17" s="53">
        <v>24.62</v>
      </c>
      <c r="C17" s="53">
        <v>21.44</v>
      </c>
      <c r="D17" s="53">
        <v>31.27</v>
      </c>
      <c r="E17" s="53">
        <v>10.01</v>
      </c>
      <c r="F17" s="53">
        <v>5.67</v>
      </c>
      <c r="G17" s="53">
        <v>106.22</v>
      </c>
      <c r="H17" s="53">
        <v>39.97</v>
      </c>
      <c r="I17" s="53">
        <v>13.4</v>
      </c>
      <c r="J17" s="53">
        <v>0.42</v>
      </c>
      <c r="K17" s="53">
        <v>71.010000000000005</v>
      </c>
      <c r="L17" s="53">
        <v>22.01</v>
      </c>
      <c r="M17" s="53">
        <v>67.08</v>
      </c>
      <c r="N17" s="53">
        <v>241</v>
      </c>
      <c r="O17" s="53">
        <v>0</v>
      </c>
      <c r="P17" s="53">
        <v>1.02</v>
      </c>
      <c r="Q17" s="53">
        <v>4.76</v>
      </c>
    </row>
    <row r="18" spans="1:17" customFormat="1">
      <c r="A18" s="52">
        <v>45617.416666666664</v>
      </c>
      <c r="B18" s="53">
        <v>18.829999999999998</v>
      </c>
      <c r="C18" s="53">
        <v>23.72</v>
      </c>
      <c r="D18" s="53">
        <v>27.99</v>
      </c>
      <c r="E18" s="53">
        <v>9.77</v>
      </c>
      <c r="F18" s="53">
        <v>6</v>
      </c>
      <c r="G18" s="53">
        <v>106.93</v>
      </c>
      <c r="H18" s="53">
        <v>41.36</v>
      </c>
      <c r="I18" s="53">
        <v>13.42</v>
      </c>
      <c r="J18" s="53">
        <v>0.43</v>
      </c>
      <c r="K18" s="53">
        <v>81.14</v>
      </c>
      <c r="L18" s="53">
        <v>24.43</v>
      </c>
      <c r="M18" s="53">
        <v>55.21</v>
      </c>
      <c r="N18" s="53">
        <v>355.9</v>
      </c>
      <c r="O18" s="53">
        <v>0</v>
      </c>
      <c r="P18" s="53">
        <v>1.02</v>
      </c>
      <c r="Q18" s="53">
        <v>4.76</v>
      </c>
    </row>
    <row r="19" spans="1:17" customFormat="1">
      <c r="A19" s="52">
        <v>45617.458333333336</v>
      </c>
      <c r="B19" s="53">
        <v>11.25</v>
      </c>
      <c r="C19" s="53">
        <v>24.81</v>
      </c>
      <c r="D19" s="53">
        <v>22.96</v>
      </c>
      <c r="E19" s="53">
        <v>8.2200000000000006</v>
      </c>
      <c r="F19" s="53">
        <v>6.87</v>
      </c>
      <c r="G19" s="53">
        <v>106.92</v>
      </c>
      <c r="H19" s="53">
        <v>48.27</v>
      </c>
      <c r="I19" s="53">
        <v>12.89</v>
      </c>
      <c r="J19" s="53">
        <v>0.56000000000000005</v>
      </c>
      <c r="K19" s="53">
        <v>58.82</v>
      </c>
      <c r="L19" s="53">
        <v>25.89</v>
      </c>
      <c r="M19" s="53">
        <v>48.06</v>
      </c>
      <c r="N19" s="53">
        <v>420.2</v>
      </c>
      <c r="O19" s="53">
        <v>0</v>
      </c>
      <c r="P19" s="53">
        <v>1</v>
      </c>
      <c r="Q19" s="53">
        <v>4.7699999999999996</v>
      </c>
    </row>
    <row r="20" spans="1:17" customFormat="1">
      <c r="A20" s="52">
        <v>45617.5</v>
      </c>
      <c r="B20" s="53">
        <v>5.85</v>
      </c>
      <c r="C20" s="53">
        <v>24.65</v>
      </c>
      <c r="D20" s="53">
        <v>18.91</v>
      </c>
      <c r="E20" s="53">
        <v>8.75</v>
      </c>
      <c r="F20" s="53">
        <v>8.8000000000000007</v>
      </c>
      <c r="G20" s="53">
        <v>106.26</v>
      </c>
      <c r="H20" s="53">
        <v>52.78</v>
      </c>
      <c r="I20" s="53">
        <v>12.84</v>
      </c>
      <c r="J20" s="53">
        <v>0.59</v>
      </c>
      <c r="K20" s="53">
        <v>97.98</v>
      </c>
      <c r="L20" s="53">
        <v>27.17</v>
      </c>
      <c r="M20" s="53">
        <v>41.55</v>
      </c>
      <c r="N20" s="53">
        <v>433.9</v>
      </c>
      <c r="O20" s="53">
        <v>0</v>
      </c>
      <c r="P20" s="53">
        <v>0.95</v>
      </c>
      <c r="Q20" s="53">
        <v>4.78</v>
      </c>
    </row>
    <row r="21" spans="1:17" customFormat="1">
      <c r="A21" s="52">
        <v>45617.541666666664</v>
      </c>
      <c r="B21" s="53">
        <v>4.05</v>
      </c>
      <c r="C21" s="53">
        <v>22.64</v>
      </c>
      <c r="D21" s="53">
        <v>16.43</v>
      </c>
      <c r="E21" s="53">
        <v>8.44</v>
      </c>
      <c r="F21" s="53">
        <v>9.9499999999999993</v>
      </c>
      <c r="G21" s="53">
        <v>96.05</v>
      </c>
      <c r="H21" s="53">
        <v>52.67</v>
      </c>
      <c r="I21" s="53">
        <v>12.77</v>
      </c>
      <c r="J21" s="53">
        <v>0.59</v>
      </c>
      <c r="K21" s="53">
        <v>95.87</v>
      </c>
      <c r="L21" s="53">
        <v>27.66</v>
      </c>
      <c r="M21" s="53">
        <v>35.65</v>
      </c>
      <c r="N21" s="53">
        <v>424.9</v>
      </c>
      <c r="O21" s="53">
        <v>0</v>
      </c>
      <c r="P21" s="53">
        <v>0.91</v>
      </c>
      <c r="Q21" s="53">
        <v>4.78</v>
      </c>
    </row>
    <row r="22" spans="1:17" customFormat="1">
      <c r="A22" s="52">
        <v>45617.583333333336</v>
      </c>
      <c r="B22" s="53">
        <v>4.08</v>
      </c>
      <c r="C22" s="53">
        <v>20.38</v>
      </c>
      <c r="D22" s="53">
        <v>15.12</v>
      </c>
      <c r="E22" s="53">
        <v>9.1300000000000008</v>
      </c>
      <c r="F22" s="53">
        <v>10.96</v>
      </c>
      <c r="G22" s="53">
        <v>92.01</v>
      </c>
      <c r="H22" s="53">
        <v>46.81</v>
      </c>
      <c r="I22" s="53">
        <v>11.59</v>
      </c>
      <c r="J22" s="53">
        <v>0.54</v>
      </c>
      <c r="K22" s="53">
        <v>71.89</v>
      </c>
      <c r="L22" s="53">
        <v>27.56</v>
      </c>
      <c r="M22" s="53">
        <v>35.6</v>
      </c>
      <c r="N22" s="53">
        <v>338.2</v>
      </c>
      <c r="O22" s="53">
        <v>0</v>
      </c>
      <c r="P22" s="53">
        <v>0.83</v>
      </c>
      <c r="Q22" s="53">
        <v>4.75</v>
      </c>
    </row>
    <row r="23" spans="1:17" customFormat="1">
      <c r="A23" s="52">
        <v>45617.625</v>
      </c>
      <c r="B23" s="53">
        <v>4.1399999999999997</v>
      </c>
      <c r="C23" s="53">
        <v>18.16</v>
      </c>
      <c r="D23" s="53">
        <v>14.14</v>
      </c>
      <c r="E23" s="53">
        <v>9.99</v>
      </c>
      <c r="F23" s="53">
        <v>12.49</v>
      </c>
      <c r="G23" s="53">
        <v>87.84</v>
      </c>
      <c r="H23" s="53">
        <v>46.75</v>
      </c>
      <c r="I23" s="53">
        <v>10.83</v>
      </c>
      <c r="J23" s="53">
        <v>0.43</v>
      </c>
      <c r="K23" s="53">
        <v>349.27</v>
      </c>
      <c r="L23" s="53">
        <v>27.04</v>
      </c>
      <c r="M23" s="53">
        <v>37.65</v>
      </c>
      <c r="N23" s="53">
        <v>128.30000000000001</v>
      </c>
      <c r="O23" s="53">
        <v>0</v>
      </c>
      <c r="P23" s="53">
        <v>0.84</v>
      </c>
      <c r="Q23" s="53">
        <v>4.75</v>
      </c>
    </row>
    <row r="24" spans="1:17" customFormat="1">
      <c r="A24" s="52">
        <v>45617.666666666664</v>
      </c>
      <c r="B24" s="53">
        <v>4.1100000000000003</v>
      </c>
      <c r="C24" s="53">
        <v>16.73</v>
      </c>
      <c r="D24" s="53">
        <v>13.32</v>
      </c>
      <c r="E24" s="53">
        <v>10.1</v>
      </c>
      <c r="F24" s="53">
        <v>11.38</v>
      </c>
      <c r="G24" s="53">
        <v>84.9</v>
      </c>
      <c r="H24" s="53">
        <v>42.98</v>
      </c>
      <c r="I24" s="53">
        <v>10.41</v>
      </c>
      <c r="J24" s="53">
        <v>0.64</v>
      </c>
      <c r="K24" s="53">
        <v>165.13</v>
      </c>
      <c r="L24" s="53">
        <v>26.49</v>
      </c>
      <c r="M24" s="53">
        <v>39.74</v>
      </c>
      <c r="N24" s="53">
        <v>74.2</v>
      </c>
      <c r="O24" s="53">
        <v>0</v>
      </c>
      <c r="P24" s="53">
        <v>0.82</v>
      </c>
      <c r="Q24" s="53">
        <v>4.75</v>
      </c>
    </row>
    <row r="25" spans="1:17" customFormat="1">
      <c r="A25" s="52">
        <v>45617.708333333336</v>
      </c>
      <c r="B25" s="53">
        <v>4.46</v>
      </c>
      <c r="C25" s="53">
        <v>17.54</v>
      </c>
      <c r="D25" s="53">
        <v>14.1</v>
      </c>
      <c r="E25" s="53">
        <v>9.74</v>
      </c>
      <c r="F25" s="53">
        <v>8.4499999999999993</v>
      </c>
      <c r="G25" s="53">
        <v>85.37</v>
      </c>
      <c r="H25" s="53">
        <v>44.53</v>
      </c>
      <c r="I25" s="53">
        <v>10.130000000000001</v>
      </c>
      <c r="J25" s="53">
        <v>0.55000000000000004</v>
      </c>
      <c r="K25" s="53">
        <v>58.5</v>
      </c>
      <c r="L25" s="53">
        <v>25.84</v>
      </c>
      <c r="M25" s="53">
        <v>45.12</v>
      </c>
      <c r="N25" s="53">
        <v>30.1</v>
      </c>
      <c r="O25" s="53">
        <v>0</v>
      </c>
      <c r="P25" s="53">
        <v>0.85</v>
      </c>
      <c r="Q25" s="53">
        <v>4.74</v>
      </c>
    </row>
    <row r="26" spans="1:17" customFormat="1">
      <c r="A26" s="52">
        <v>45617.75</v>
      </c>
      <c r="B26" s="53">
        <v>5.67</v>
      </c>
      <c r="C26" s="53">
        <v>19.87</v>
      </c>
      <c r="D26" s="53">
        <v>16.28</v>
      </c>
      <c r="E26" s="53">
        <v>9.89</v>
      </c>
      <c r="F26" s="53">
        <v>6.94</v>
      </c>
      <c r="G26" s="53">
        <v>100.62</v>
      </c>
      <c r="H26" s="53">
        <v>44.51</v>
      </c>
      <c r="I26" s="53">
        <v>11.57</v>
      </c>
      <c r="J26" s="53">
        <v>0.4</v>
      </c>
      <c r="K26" s="53">
        <v>159.06</v>
      </c>
      <c r="L26" s="53">
        <v>23.58</v>
      </c>
      <c r="M26" s="53">
        <v>55.77</v>
      </c>
      <c r="N26" s="53">
        <v>3.5</v>
      </c>
      <c r="O26" s="53">
        <v>0</v>
      </c>
      <c r="P26" s="53">
        <v>0.93</v>
      </c>
      <c r="Q26" s="53">
        <v>4.75</v>
      </c>
    </row>
    <row r="27" spans="1:17" customFormat="1">
      <c r="A27" s="52">
        <v>45617.791666666664</v>
      </c>
      <c r="B27" s="53">
        <v>5.98</v>
      </c>
      <c r="C27" s="53">
        <v>24.04</v>
      </c>
      <c r="D27" s="53">
        <v>18.53</v>
      </c>
      <c r="E27" s="53">
        <v>9.4499999999999993</v>
      </c>
      <c r="F27" s="53">
        <v>5.93</v>
      </c>
      <c r="G27" s="53">
        <v>134.1</v>
      </c>
      <c r="H27" s="53">
        <v>45.48</v>
      </c>
      <c r="I27" s="53">
        <v>12.06</v>
      </c>
      <c r="J27" s="53">
        <v>0.28999999999999998</v>
      </c>
      <c r="K27" s="53">
        <v>166.82</v>
      </c>
      <c r="L27" s="53">
        <v>22.48</v>
      </c>
      <c r="M27" s="53">
        <v>65.099999999999994</v>
      </c>
      <c r="N27" s="53">
        <v>2.4</v>
      </c>
      <c r="O27" s="53">
        <v>0</v>
      </c>
      <c r="P27" s="53">
        <v>1.06</v>
      </c>
      <c r="Q27" s="53">
        <v>4.76</v>
      </c>
    </row>
    <row r="28" spans="1:17" customFormat="1">
      <c r="A28" s="52">
        <v>45617.833333333336</v>
      </c>
      <c r="B28" s="53">
        <v>5.86</v>
      </c>
      <c r="C28" s="53">
        <v>24.96</v>
      </c>
      <c r="D28" s="53">
        <v>19.079999999999998</v>
      </c>
      <c r="E28" s="53">
        <v>9.07</v>
      </c>
      <c r="F28" s="53">
        <v>5.89</v>
      </c>
      <c r="G28" s="53">
        <v>141.99</v>
      </c>
      <c r="H28" s="53">
        <v>49.03</v>
      </c>
      <c r="I28" s="53">
        <v>12.95</v>
      </c>
      <c r="J28" s="53">
        <v>0.25</v>
      </c>
      <c r="K28" s="53">
        <v>203.32</v>
      </c>
      <c r="L28" s="53">
        <v>20.67</v>
      </c>
      <c r="M28" s="53">
        <v>78.56</v>
      </c>
      <c r="N28" s="53">
        <v>1.8</v>
      </c>
      <c r="O28" s="53">
        <v>0</v>
      </c>
      <c r="P28" s="53">
        <v>1.1399999999999999</v>
      </c>
      <c r="Q28" s="53">
        <v>4.75</v>
      </c>
    </row>
    <row r="29" spans="1:17" customFormat="1">
      <c r="A29" s="52">
        <v>45617.875</v>
      </c>
      <c r="B29" s="53">
        <v>5.51</v>
      </c>
      <c r="C29" s="53">
        <v>23.96</v>
      </c>
      <c r="D29" s="53">
        <v>18.29</v>
      </c>
      <c r="E29" s="53">
        <v>9.24</v>
      </c>
      <c r="F29" s="53">
        <v>5.84</v>
      </c>
      <c r="G29" s="53">
        <v>141.9</v>
      </c>
      <c r="H29" s="53">
        <v>50.8</v>
      </c>
      <c r="I29" s="53">
        <v>13.03</v>
      </c>
      <c r="J29" s="53">
        <v>0.2</v>
      </c>
      <c r="K29" s="53">
        <v>230.51</v>
      </c>
      <c r="L29" s="53">
        <v>19.21</v>
      </c>
      <c r="M29" s="53">
        <v>80.69</v>
      </c>
      <c r="N29" s="53">
        <v>1.5</v>
      </c>
      <c r="O29" s="53">
        <v>0</v>
      </c>
      <c r="P29" s="53">
        <v>1.1599999999999999</v>
      </c>
      <c r="Q29" s="53">
        <v>4.7699999999999996</v>
      </c>
    </row>
    <row r="30" spans="1:17" customFormat="1">
      <c r="A30" s="52">
        <v>45617.916666666664</v>
      </c>
      <c r="B30" s="53">
        <v>5.36</v>
      </c>
      <c r="C30" s="53">
        <v>22.48</v>
      </c>
      <c r="D30" s="53">
        <v>17.37</v>
      </c>
      <c r="E30" s="53">
        <v>9.2200000000000006</v>
      </c>
      <c r="F30" s="53">
        <v>6.03</v>
      </c>
      <c r="G30" s="53">
        <v>137.83000000000001</v>
      </c>
      <c r="H30" s="53">
        <v>50.76</v>
      </c>
      <c r="I30" s="53">
        <v>12.99</v>
      </c>
      <c r="J30" s="53">
        <v>0.16</v>
      </c>
      <c r="K30" s="53">
        <v>236.07</v>
      </c>
      <c r="L30" s="53">
        <v>18.649999999999999</v>
      </c>
      <c r="M30" s="53">
        <v>80.89</v>
      </c>
      <c r="N30" s="53">
        <v>1.5</v>
      </c>
      <c r="O30" s="53">
        <v>0</v>
      </c>
      <c r="P30" s="53">
        <v>1.1599999999999999</v>
      </c>
      <c r="Q30" s="53">
        <v>4.76</v>
      </c>
    </row>
    <row r="31" spans="1:17" customFormat="1">
      <c r="A31" s="52">
        <v>45617.958333333336</v>
      </c>
      <c r="B31" s="53">
        <v>7.04</v>
      </c>
      <c r="C31" s="53">
        <v>23.47</v>
      </c>
      <c r="D31" s="53">
        <v>19.260000000000002</v>
      </c>
      <c r="E31" s="53">
        <v>9.17</v>
      </c>
      <c r="F31" s="53">
        <v>5.61</v>
      </c>
      <c r="G31" s="53">
        <v>139.72</v>
      </c>
      <c r="H31" s="53">
        <v>48.19</v>
      </c>
      <c r="I31" s="53">
        <v>12.8</v>
      </c>
      <c r="J31" s="53">
        <v>0.17</v>
      </c>
      <c r="K31" s="53">
        <v>217.86</v>
      </c>
      <c r="L31" s="53">
        <v>18.55</v>
      </c>
      <c r="M31" s="53">
        <v>79.680000000000007</v>
      </c>
      <c r="N31" s="53">
        <v>1.4</v>
      </c>
      <c r="O31" s="53">
        <v>0</v>
      </c>
      <c r="P31" s="53">
        <v>1.1599999999999999</v>
      </c>
      <c r="Q31" s="53">
        <v>4.76</v>
      </c>
    </row>
    <row r="32" spans="1:17" customFormat="1">
      <c r="A32" s="52">
        <v>45618</v>
      </c>
      <c r="B32" s="53">
        <v>7.77</v>
      </c>
      <c r="C32" s="53">
        <v>23.75</v>
      </c>
      <c r="D32" s="53">
        <v>19.86</v>
      </c>
      <c r="E32" s="53">
        <v>9.5500000000000007</v>
      </c>
      <c r="F32" s="53">
        <v>5.62</v>
      </c>
      <c r="G32" s="53">
        <v>142.56</v>
      </c>
      <c r="H32" s="53">
        <v>49.36</v>
      </c>
      <c r="I32" s="53">
        <v>12.88</v>
      </c>
      <c r="J32" s="53">
        <v>0.25</v>
      </c>
      <c r="K32" s="53">
        <v>247.43</v>
      </c>
      <c r="L32" s="53">
        <v>18.07</v>
      </c>
      <c r="M32" s="53">
        <v>85.66</v>
      </c>
      <c r="N32" s="53">
        <v>1.7</v>
      </c>
      <c r="O32" s="53">
        <v>0</v>
      </c>
      <c r="P32" s="53">
        <v>1.1599999999999999</v>
      </c>
      <c r="Q32" s="53">
        <v>4.75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4.05</v>
      </c>
      <c r="C34" s="40">
        <f t="shared" si="0"/>
        <v>16.73</v>
      </c>
      <c r="D34" s="40">
        <f t="shared" si="0"/>
        <v>13.32</v>
      </c>
      <c r="E34" s="40">
        <f t="shared" si="0"/>
        <v>8.2200000000000006</v>
      </c>
      <c r="F34" s="40">
        <f t="shared" si="0"/>
        <v>5.36</v>
      </c>
      <c r="G34" s="40">
        <f t="shared" si="0"/>
        <v>84.9</v>
      </c>
      <c r="H34" s="40">
        <f t="shared" si="0"/>
        <v>37.83</v>
      </c>
      <c r="I34" s="40">
        <f t="shared" si="0"/>
        <v>10.130000000000001</v>
      </c>
      <c r="J34" s="40">
        <f t="shared" si="0"/>
        <v>0.13</v>
      </c>
      <c r="K34" s="40">
        <f t="shared" si="0"/>
        <v>52.13</v>
      </c>
      <c r="L34" s="40">
        <f t="shared" si="0"/>
        <v>15.2</v>
      </c>
      <c r="M34" s="40">
        <f t="shared" si="0"/>
        <v>35.6</v>
      </c>
      <c r="N34" s="40">
        <f t="shared" si="0"/>
        <v>1.4</v>
      </c>
      <c r="O34" s="40">
        <f t="shared" si="0"/>
        <v>0</v>
      </c>
      <c r="P34" s="40">
        <f t="shared" si="0"/>
        <v>0.82</v>
      </c>
      <c r="Q34" s="40">
        <f t="shared" si="0"/>
        <v>4.74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26.61</v>
      </c>
      <c r="C35" s="33">
        <f t="shared" si="1"/>
        <v>24.96</v>
      </c>
      <c r="D35" s="33">
        <f t="shared" si="1"/>
        <v>32.44</v>
      </c>
      <c r="E35" s="33">
        <f t="shared" si="1"/>
        <v>10.52</v>
      </c>
      <c r="F35" s="33">
        <f t="shared" si="1"/>
        <v>12.49</v>
      </c>
      <c r="G35" s="33">
        <f t="shared" si="1"/>
        <v>142.56</v>
      </c>
      <c r="H35" s="33">
        <f t="shared" si="1"/>
        <v>59.59</v>
      </c>
      <c r="I35" s="33">
        <f t="shared" si="1"/>
        <v>13.76</v>
      </c>
      <c r="J35" s="33">
        <f t="shared" si="1"/>
        <v>0.68</v>
      </c>
      <c r="K35" s="33">
        <f t="shared" si="1"/>
        <v>349.27</v>
      </c>
      <c r="L35" s="33">
        <f t="shared" si="1"/>
        <v>27.66</v>
      </c>
      <c r="M35" s="33">
        <f t="shared" si="1"/>
        <v>92.96</v>
      </c>
      <c r="N35" s="33">
        <f t="shared" si="1"/>
        <v>433.9</v>
      </c>
      <c r="O35" s="33">
        <f t="shared" si="1"/>
        <v>0</v>
      </c>
      <c r="P35" s="33">
        <f t="shared" si="1"/>
        <v>1.1599999999999999</v>
      </c>
      <c r="Q35" s="33">
        <f t="shared" si="1"/>
        <v>4.78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11.822083333333332</v>
      </c>
      <c r="C36" s="40">
        <f t="shared" si="2"/>
        <v>21.384166666666669</v>
      </c>
      <c r="D36" s="40">
        <f t="shared" si="2"/>
        <v>21.8475</v>
      </c>
      <c r="E36" s="40">
        <f t="shared" si="2"/>
        <v>9.6683333333333348</v>
      </c>
      <c r="F36" s="40">
        <f t="shared" si="2"/>
        <v>6.9491666666666667</v>
      </c>
      <c r="G36" s="40">
        <f t="shared" si="2"/>
        <v>113.91208333333333</v>
      </c>
      <c r="H36" s="40">
        <f t="shared" si="2"/>
        <v>45.356666666666655</v>
      </c>
      <c r="I36" s="40">
        <f t="shared" si="2"/>
        <v>12.559166666666668</v>
      </c>
      <c r="J36" s="40">
        <f t="shared" si="2"/>
        <v>0.3520833333333333</v>
      </c>
      <c r="K36" s="40">
        <f t="shared" si="2"/>
        <v>161.10375000000002</v>
      </c>
      <c r="L36" s="40">
        <f t="shared" si="2"/>
        <v>21.182916666666667</v>
      </c>
      <c r="M36" s="40">
        <f t="shared" si="2"/>
        <v>67.425416666666663</v>
      </c>
      <c r="N36" s="40">
        <f t="shared" si="2"/>
        <v>109.92083333333333</v>
      </c>
      <c r="O36" s="40">
        <f t="shared" si="2"/>
        <v>0</v>
      </c>
      <c r="P36" s="40">
        <f t="shared" si="2"/>
        <v>1.0016666666666667</v>
      </c>
      <c r="Q36" s="40">
        <f t="shared" si="2"/>
        <v>4.7595833333333335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8.0784280537020727</v>
      </c>
      <c r="C37" s="40">
        <f t="shared" ref="C37:Q37" si="3">STDEV(C9:C32)</f>
        <v>2.42458587529222</v>
      </c>
      <c r="D37" s="40">
        <f t="shared" si="3"/>
        <v>6.2177035114680086</v>
      </c>
      <c r="E37" s="40">
        <f t="shared" si="3"/>
        <v>0.64529512403352485</v>
      </c>
      <c r="F37" s="40">
        <f t="shared" si="3"/>
        <v>2.1600058708991616</v>
      </c>
      <c r="G37" s="40">
        <f t="shared" si="3"/>
        <v>19.10721147246834</v>
      </c>
      <c r="H37" s="40">
        <f t="shared" si="3"/>
        <v>5.6700139304075154</v>
      </c>
      <c r="I37" s="40">
        <f t="shared" si="3"/>
        <v>0.99808040395232123</v>
      </c>
      <c r="J37" s="40">
        <f t="shared" si="3"/>
        <v>0.18285130967339391</v>
      </c>
      <c r="K37" s="40">
        <f t="shared" si="3"/>
        <v>81.533490628218132</v>
      </c>
      <c r="L37" s="40">
        <f t="shared" si="3"/>
        <v>4.3875857273098093</v>
      </c>
      <c r="M37" s="40">
        <f t="shared" si="3"/>
        <v>20.173501987199348</v>
      </c>
      <c r="N37" s="40">
        <f t="shared" si="3"/>
        <v>161.11925904142549</v>
      </c>
      <c r="O37" s="40">
        <f t="shared" si="3"/>
        <v>0</v>
      </c>
      <c r="P37" s="40">
        <f t="shared" si="3"/>
        <v>0.10809282108916694</v>
      </c>
      <c r="Q37" s="40">
        <f t="shared" si="3"/>
        <v>1.0826363421183236E-2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45618.041666666664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45618.041666666664</v>
      </c>
      <c r="B9" s="53">
        <v>7.34</v>
      </c>
      <c r="C9" s="53">
        <v>21.97</v>
      </c>
      <c r="D9" s="53">
        <v>18.72</v>
      </c>
      <c r="E9" s="53">
        <v>9.3000000000000007</v>
      </c>
      <c r="F9" s="53">
        <v>5.72</v>
      </c>
      <c r="G9" s="53">
        <v>142.24</v>
      </c>
      <c r="H9" s="53">
        <v>49.32</v>
      </c>
      <c r="I9" s="53">
        <v>12.75</v>
      </c>
      <c r="J9" s="53">
        <v>0.21</v>
      </c>
      <c r="K9" s="53">
        <v>281.70999999999998</v>
      </c>
      <c r="L9" s="53">
        <v>16.97</v>
      </c>
      <c r="M9" s="53">
        <v>87.68</v>
      </c>
      <c r="N9" s="53">
        <v>1.7</v>
      </c>
      <c r="O9" s="53">
        <v>0</v>
      </c>
      <c r="P9" s="53">
        <v>1.1100000000000001</v>
      </c>
      <c r="Q9" s="53">
        <v>4.74</v>
      </c>
    </row>
    <row r="10" spans="1:21" customFormat="1">
      <c r="A10" s="52">
        <v>45618.083333333336</v>
      </c>
      <c r="B10" s="53">
        <v>8.82</v>
      </c>
      <c r="C10" s="53">
        <v>21.26</v>
      </c>
      <c r="D10" s="53">
        <v>19.53</v>
      </c>
      <c r="E10" s="53">
        <v>9.4600000000000009</v>
      </c>
      <c r="F10" s="53">
        <v>5.61</v>
      </c>
      <c r="G10" s="53">
        <v>128.16</v>
      </c>
      <c r="H10" s="53">
        <v>46.98</v>
      </c>
      <c r="I10" s="53">
        <v>12.59</v>
      </c>
      <c r="J10" s="53">
        <v>0.17</v>
      </c>
      <c r="K10" s="53">
        <v>195.64</v>
      </c>
      <c r="L10" s="53">
        <v>17.11</v>
      </c>
      <c r="M10" s="53">
        <v>87.89</v>
      </c>
      <c r="N10" s="53">
        <v>1.6</v>
      </c>
      <c r="O10" s="53">
        <v>0</v>
      </c>
      <c r="P10" s="53">
        <v>1.1100000000000001</v>
      </c>
      <c r="Q10" s="53">
        <v>4.74</v>
      </c>
    </row>
    <row r="11" spans="1:21" customFormat="1">
      <c r="A11" s="52">
        <v>45618.125</v>
      </c>
      <c r="B11" s="53">
        <v>10.52</v>
      </c>
      <c r="C11" s="53">
        <v>21.16</v>
      </c>
      <c r="D11" s="53">
        <v>20.85</v>
      </c>
      <c r="E11" s="53">
        <v>8.99</v>
      </c>
      <c r="F11" s="53">
        <v>5.72</v>
      </c>
      <c r="G11" s="53">
        <v>122.34</v>
      </c>
      <c r="H11" s="53">
        <v>46.19</v>
      </c>
      <c r="I11" s="53">
        <v>12.55</v>
      </c>
      <c r="J11" s="53">
        <v>0.18</v>
      </c>
      <c r="K11" s="53">
        <v>146.06</v>
      </c>
      <c r="L11" s="53">
        <v>16.850000000000001</v>
      </c>
      <c r="M11" s="53">
        <v>90.01</v>
      </c>
      <c r="N11" s="53">
        <v>1.5</v>
      </c>
      <c r="O11" s="53">
        <v>0</v>
      </c>
      <c r="P11" s="53">
        <v>1.1100000000000001</v>
      </c>
      <c r="Q11" s="53">
        <v>4.75</v>
      </c>
    </row>
    <row r="12" spans="1:21" customFormat="1">
      <c r="A12" s="52">
        <v>45618.166666666664</v>
      </c>
      <c r="B12" s="53">
        <v>12.21</v>
      </c>
      <c r="C12" s="53">
        <v>21.49</v>
      </c>
      <c r="D12" s="53">
        <v>22.37</v>
      </c>
      <c r="E12" s="53">
        <v>9.06</v>
      </c>
      <c r="F12" s="53">
        <v>5.68</v>
      </c>
      <c r="G12" s="53">
        <v>117.94</v>
      </c>
      <c r="H12" s="53">
        <v>44.59</v>
      </c>
      <c r="I12" s="53">
        <v>12.66</v>
      </c>
      <c r="J12" s="53">
        <v>0.31</v>
      </c>
      <c r="K12" s="53">
        <v>76.89</v>
      </c>
      <c r="L12" s="53">
        <v>17.079999999999998</v>
      </c>
      <c r="M12" s="53">
        <v>80.739999999999995</v>
      </c>
      <c r="N12" s="53">
        <v>1.4</v>
      </c>
      <c r="O12" s="53">
        <v>0</v>
      </c>
      <c r="P12" s="53">
        <v>1.1499999999999999</v>
      </c>
      <c r="Q12" s="53">
        <v>4.75</v>
      </c>
    </row>
    <row r="13" spans="1:21" customFormat="1">
      <c r="A13" s="52">
        <v>45618.208333333336</v>
      </c>
      <c r="B13" s="53">
        <v>12.21</v>
      </c>
      <c r="C13" s="53">
        <v>21.92</v>
      </c>
      <c r="D13" s="53">
        <v>22.58</v>
      </c>
      <c r="E13" s="53">
        <v>8.57</v>
      </c>
      <c r="F13" s="53">
        <v>5.57</v>
      </c>
      <c r="G13" s="53">
        <v>120.92</v>
      </c>
      <c r="H13" s="53">
        <v>44.24</v>
      </c>
      <c r="I13" s="53">
        <v>12.89</v>
      </c>
      <c r="J13" s="53">
        <v>0.28000000000000003</v>
      </c>
      <c r="K13" s="53">
        <v>49.54</v>
      </c>
      <c r="L13" s="53">
        <v>16.77</v>
      </c>
      <c r="M13" s="53">
        <v>80.5</v>
      </c>
      <c r="N13" s="53">
        <v>1.5</v>
      </c>
      <c r="O13" s="53">
        <v>0</v>
      </c>
      <c r="P13" s="53">
        <v>1.1499999999999999</v>
      </c>
      <c r="Q13" s="53">
        <v>4.76</v>
      </c>
    </row>
    <row r="14" spans="1:21" customFormat="1">
      <c r="A14" s="52">
        <v>45618.25</v>
      </c>
      <c r="B14" s="53">
        <v>13.74</v>
      </c>
      <c r="C14" s="53">
        <v>22.34</v>
      </c>
      <c r="D14" s="53">
        <v>24.04</v>
      </c>
      <c r="E14" s="53">
        <v>8.3699999999999992</v>
      </c>
      <c r="F14" s="53">
        <v>5.56</v>
      </c>
      <c r="G14" s="53">
        <v>125.93</v>
      </c>
      <c r="H14" s="53">
        <v>45.75</v>
      </c>
      <c r="I14" s="53">
        <v>12.85</v>
      </c>
      <c r="J14" s="53">
        <v>0.32</v>
      </c>
      <c r="K14" s="53">
        <v>51</v>
      </c>
      <c r="L14" s="53">
        <v>16.57</v>
      </c>
      <c r="M14" s="53">
        <v>79.099999999999994</v>
      </c>
      <c r="N14" s="53">
        <v>2</v>
      </c>
      <c r="O14" s="53">
        <v>0</v>
      </c>
      <c r="P14" s="53">
        <v>1.1299999999999999</v>
      </c>
      <c r="Q14" s="53">
        <v>4.75</v>
      </c>
    </row>
    <row r="15" spans="1:21" customFormat="1">
      <c r="A15" s="52">
        <v>45618.291666666664</v>
      </c>
      <c r="B15" s="53">
        <v>15.5</v>
      </c>
      <c r="C15" s="53">
        <v>22.86</v>
      </c>
      <c r="D15" s="53">
        <v>25.72</v>
      </c>
      <c r="E15" s="53">
        <v>8.4600000000000009</v>
      </c>
      <c r="F15" s="53">
        <v>5.46</v>
      </c>
      <c r="G15" s="53">
        <v>129.06</v>
      </c>
      <c r="H15" s="53">
        <v>46.22</v>
      </c>
      <c r="I15" s="53">
        <v>12.85</v>
      </c>
      <c r="J15" s="53">
        <v>0.44</v>
      </c>
      <c r="K15" s="53">
        <v>85.61</v>
      </c>
      <c r="L15" s="53">
        <v>16.7</v>
      </c>
      <c r="M15" s="53">
        <v>79.650000000000006</v>
      </c>
      <c r="N15" s="53">
        <v>30.8</v>
      </c>
      <c r="O15" s="53">
        <v>0</v>
      </c>
      <c r="P15" s="53">
        <v>1.1299999999999999</v>
      </c>
      <c r="Q15" s="53">
        <v>4.7699999999999996</v>
      </c>
    </row>
    <row r="16" spans="1:21" customFormat="1">
      <c r="A16" s="52">
        <v>45618.333333333336</v>
      </c>
      <c r="B16" s="53">
        <v>16.239999999999998</v>
      </c>
      <c r="C16" s="53">
        <v>23.52</v>
      </c>
      <c r="D16" s="53">
        <v>26.53</v>
      </c>
      <c r="E16" s="53">
        <v>8.7100000000000009</v>
      </c>
      <c r="F16" s="53">
        <v>5.5</v>
      </c>
      <c r="G16" s="53">
        <v>129.06</v>
      </c>
      <c r="H16" s="53">
        <v>46.21</v>
      </c>
      <c r="I16" s="53">
        <v>12.91</v>
      </c>
      <c r="J16" s="53">
        <v>0.57999999999999996</v>
      </c>
      <c r="K16" s="53">
        <v>53.04</v>
      </c>
      <c r="L16" s="53">
        <v>18.23</v>
      </c>
      <c r="M16" s="53">
        <v>74.459999999999994</v>
      </c>
      <c r="N16" s="53">
        <v>120.4</v>
      </c>
      <c r="O16" s="53">
        <v>0</v>
      </c>
      <c r="P16" s="53">
        <v>1.17</v>
      </c>
      <c r="Q16" s="53">
        <v>4.76</v>
      </c>
    </row>
    <row r="17" spans="1:17" customFormat="1">
      <c r="A17" s="52">
        <v>45618.375</v>
      </c>
      <c r="B17" s="53">
        <v>15.91</v>
      </c>
      <c r="C17" s="53">
        <v>24.38</v>
      </c>
      <c r="D17" s="53">
        <v>26.7</v>
      </c>
      <c r="E17" s="53">
        <v>8.59</v>
      </c>
      <c r="F17" s="53">
        <v>5.9</v>
      </c>
      <c r="G17" s="53">
        <v>130.46</v>
      </c>
      <c r="H17" s="53">
        <v>45.86</v>
      </c>
      <c r="I17" s="53">
        <v>13.26</v>
      </c>
      <c r="J17" s="53">
        <v>0.64</v>
      </c>
      <c r="K17" s="53">
        <v>57.36</v>
      </c>
      <c r="L17" s="53">
        <v>21.12</v>
      </c>
      <c r="M17" s="53">
        <v>68.67</v>
      </c>
      <c r="N17" s="53">
        <v>213.1</v>
      </c>
      <c r="O17" s="53">
        <v>0</v>
      </c>
      <c r="P17" s="53">
        <v>1.18</v>
      </c>
      <c r="Q17" s="53">
        <v>4.76</v>
      </c>
    </row>
    <row r="18" spans="1:17" customFormat="1">
      <c r="A18" s="52">
        <v>45618.416666666664</v>
      </c>
      <c r="B18" s="53">
        <v>13.47</v>
      </c>
      <c r="C18" s="53">
        <v>24.01</v>
      </c>
      <c r="D18" s="53">
        <v>24.7</v>
      </c>
      <c r="E18" s="53">
        <v>9.31</v>
      </c>
      <c r="F18" s="53">
        <v>6.05</v>
      </c>
      <c r="G18" s="53">
        <v>132.55000000000001</v>
      </c>
      <c r="H18" s="53">
        <v>47.38</v>
      </c>
      <c r="I18" s="53">
        <v>13.27</v>
      </c>
      <c r="J18" s="53">
        <v>0.57999999999999996</v>
      </c>
      <c r="K18" s="53">
        <v>127.15</v>
      </c>
      <c r="L18" s="53">
        <v>24.11</v>
      </c>
      <c r="M18" s="53">
        <v>54.37</v>
      </c>
      <c r="N18" s="53">
        <v>323.3</v>
      </c>
      <c r="O18" s="53">
        <v>0</v>
      </c>
      <c r="P18" s="53">
        <v>1.1499999999999999</v>
      </c>
      <c r="Q18" s="53">
        <v>4.75</v>
      </c>
    </row>
    <row r="19" spans="1:17" customFormat="1">
      <c r="A19" s="52">
        <v>45618.458333333336</v>
      </c>
      <c r="B19" s="53">
        <v>10.210000000000001</v>
      </c>
      <c r="C19" s="53">
        <v>23.05</v>
      </c>
      <c r="D19" s="53">
        <v>21.58</v>
      </c>
      <c r="E19" s="53">
        <v>9.52</v>
      </c>
      <c r="F19" s="53">
        <v>6.63</v>
      </c>
      <c r="G19" s="53">
        <v>132.47</v>
      </c>
      <c r="H19" s="53">
        <v>47.29</v>
      </c>
      <c r="I19" s="53">
        <v>13.17</v>
      </c>
      <c r="J19" s="53">
        <v>0.5</v>
      </c>
      <c r="K19" s="53">
        <v>127.53</v>
      </c>
      <c r="L19" s="53">
        <v>26.03</v>
      </c>
      <c r="M19" s="53">
        <v>45.56</v>
      </c>
      <c r="N19" s="53">
        <v>394.5</v>
      </c>
      <c r="O19" s="53">
        <v>0</v>
      </c>
      <c r="P19" s="53">
        <v>1.1299999999999999</v>
      </c>
      <c r="Q19" s="53">
        <v>4.75</v>
      </c>
    </row>
    <row r="20" spans="1:17" customFormat="1">
      <c r="A20" s="52">
        <v>45618.5</v>
      </c>
      <c r="B20" s="53">
        <v>6.9</v>
      </c>
      <c r="C20" s="53">
        <v>21.69</v>
      </c>
      <c r="D20" s="53">
        <v>18.22</v>
      </c>
      <c r="E20" s="53">
        <v>9.91</v>
      </c>
      <c r="F20" s="53">
        <v>7.97</v>
      </c>
      <c r="G20" s="53">
        <v>128.6</v>
      </c>
      <c r="H20" s="53">
        <v>47.98</v>
      </c>
      <c r="I20" s="53">
        <v>12.66</v>
      </c>
      <c r="J20" s="53">
        <v>0.53</v>
      </c>
      <c r="K20" s="53">
        <v>121.89</v>
      </c>
      <c r="L20" s="53">
        <v>27.05</v>
      </c>
      <c r="M20" s="53">
        <v>41.3</v>
      </c>
      <c r="N20" s="53">
        <v>413</v>
      </c>
      <c r="O20" s="53">
        <v>0</v>
      </c>
      <c r="P20" s="53">
        <v>1.07</v>
      </c>
      <c r="Q20" s="53">
        <v>4.7699999999999996</v>
      </c>
    </row>
    <row r="21" spans="1:17" customFormat="1">
      <c r="A21" s="52">
        <v>45618.541666666664</v>
      </c>
      <c r="B21" s="53">
        <v>5.03</v>
      </c>
      <c r="C21" s="53">
        <v>20.47</v>
      </c>
      <c r="D21" s="53">
        <v>16.079999999999998</v>
      </c>
      <c r="E21" s="53">
        <v>10.55</v>
      </c>
      <c r="F21" s="53">
        <v>9.2799999999999994</v>
      </c>
      <c r="G21" s="53">
        <v>114.39</v>
      </c>
      <c r="H21" s="53">
        <v>47.93</v>
      </c>
      <c r="I21" s="53">
        <v>12.04</v>
      </c>
      <c r="J21" s="53">
        <v>0.69</v>
      </c>
      <c r="K21" s="53">
        <v>341.13</v>
      </c>
      <c r="L21" s="53">
        <v>27.25</v>
      </c>
      <c r="M21" s="53">
        <v>36.9</v>
      </c>
      <c r="N21" s="53">
        <v>405.6</v>
      </c>
      <c r="O21" s="53">
        <v>0</v>
      </c>
      <c r="P21" s="53">
        <v>1.02</v>
      </c>
      <c r="Q21" s="53">
        <v>4.75</v>
      </c>
    </row>
    <row r="22" spans="1:17" customFormat="1">
      <c r="A22" s="52">
        <v>45618.583333333336</v>
      </c>
      <c r="B22" s="53">
        <v>4.3</v>
      </c>
      <c r="C22" s="53">
        <v>19.920000000000002</v>
      </c>
      <c r="D22" s="53">
        <v>14.92</v>
      </c>
      <c r="E22" s="53">
        <v>10.66</v>
      </c>
      <c r="F22" s="53">
        <v>9.51</v>
      </c>
      <c r="G22" s="53">
        <v>108.11</v>
      </c>
      <c r="H22" s="53">
        <v>46.37</v>
      </c>
      <c r="I22" s="53">
        <v>11.44</v>
      </c>
      <c r="J22" s="53">
        <v>0.37</v>
      </c>
      <c r="K22" s="53">
        <v>75.09</v>
      </c>
      <c r="L22" s="53">
        <v>27.38</v>
      </c>
      <c r="M22" s="53">
        <v>35.78</v>
      </c>
      <c r="N22" s="53">
        <v>327.9</v>
      </c>
      <c r="O22" s="53">
        <v>0</v>
      </c>
      <c r="P22" s="53">
        <v>1.01</v>
      </c>
      <c r="Q22" s="53">
        <v>4.76</v>
      </c>
    </row>
    <row r="23" spans="1:17" customFormat="1">
      <c r="A23" s="52">
        <v>45618.625</v>
      </c>
      <c r="B23" s="53">
        <v>3.94</v>
      </c>
      <c r="C23" s="53">
        <v>21.28</v>
      </c>
      <c r="D23" s="53">
        <v>15.63</v>
      </c>
      <c r="E23" s="53">
        <v>10.4</v>
      </c>
      <c r="F23" s="53">
        <v>12.07</v>
      </c>
      <c r="G23" s="53">
        <v>101.87</v>
      </c>
      <c r="H23" s="53">
        <v>46.2</v>
      </c>
      <c r="I23" s="53">
        <v>10.95</v>
      </c>
      <c r="J23" s="53">
        <v>0.65</v>
      </c>
      <c r="K23" s="53">
        <v>56.26</v>
      </c>
      <c r="L23" s="53">
        <v>27.19</v>
      </c>
      <c r="M23" s="53">
        <v>34.15</v>
      </c>
      <c r="N23" s="53">
        <v>121.5</v>
      </c>
      <c r="O23" s="53">
        <v>0</v>
      </c>
      <c r="P23" s="53">
        <v>0.88</v>
      </c>
      <c r="Q23" s="53">
        <v>4.76</v>
      </c>
    </row>
    <row r="24" spans="1:17" customFormat="1">
      <c r="A24" s="52">
        <v>45618.666666666664</v>
      </c>
      <c r="B24" s="53">
        <v>4.03</v>
      </c>
      <c r="C24" s="53">
        <v>22.85</v>
      </c>
      <c r="D24" s="53">
        <v>16.52</v>
      </c>
      <c r="E24" s="53">
        <v>9.9600000000000009</v>
      </c>
      <c r="F24" s="53">
        <v>11.1</v>
      </c>
      <c r="G24" s="53">
        <v>99.33</v>
      </c>
      <c r="H24" s="53">
        <v>41.45</v>
      </c>
      <c r="I24" s="53">
        <v>10.14</v>
      </c>
      <c r="J24" s="53">
        <v>0.56999999999999995</v>
      </c>
      <c r="K24" s="53">
        <v>53.85</v>
      </c>
      <c r="L24" s="53">
        <v>26.89</v>
      </c>
      <c r="M24" s="53">
        <v>35.159999999999997</v>
      </c>
      <c r="N24" s="53">
        <v>68.5</v>
      </c>
      <c r="O24" s="53">
        <v>0</v>
      </c>
      <c r="P24" s="53">
        <v>0.86</v>
      </c>
      <c r="Q24" s="53">
        <v>4.7699999999999996</v>
      </c>
    </row>
    <row r="25" spans="1:17" customFormat="1">
      <c r="A25" s="52">
        <v>45618.708333333336</v>
      </c>
      <c r="B25" s="53">
        <v>4.5</v>
      </c>
      <c r="C25" s="53">
        <v>25.61</v>
      </c>
      <c r="D25" s="53">
        <v>18.34</v>
      </c>
      <c r="E25" s="53">
        <v>9.33</v>
      </c>
      <c r="F25" s="53">
        <v>8.7200000000000006</v>
      </c>
      <c r="G25" s="53">
        <v>96.72</v>
      </c>
      <c r="H25" s="53">
        <v>40.85</v>
      </c>
      <c r="I25" s="53">
        <v>9.61</v>
      </c>
      <c r="J25" s="53">
        <v>0.49</v>
      </c>
      <c r="K25" s="53">
        <v>53.54</v>
      </c>
      <c r="L25" s="53">
        <v>26.05</v>
      </c>
      <c r="M25" s="53">
        <v>39.54</v>
      </c>
      <c r="N25" s="53">
        <v>29.4</v>
      </c>
      <c r="O25" s="53">
        <v>0</v>
      </c>
      <c r="P25" s="53">
        <v>0.87</v>
      </c>
      <c r="Q25" s="53">
        <v>4.76</v>
      </c>
    </row>
    <row r="26" spans="1:17" customFormat="1">
      <c r="A26" s="52">
        <v>45618.75</v>
      </c>
      <c r="B26" s="53">
        <v>5.9</v>
      </c>
      <c r="C26" s="53">
        <v>27.16</v>
      </c>
      <c r="D26" s="53">
        <v>20.27</v>
      </c>
      <c r="E26" s="53">
        <v>9.23</v>
      </c>
      <c r="F26" s="53">
        <v>6.82</v>
      </c>
      <c r="G26" s="53">
        <v>101.68</v>
      </c>
      <c r="H26" s="53">
        <v>40.83</v>
      </c>
      <c r="I26" s="53">
        <v>9.4700000000000006</v>
      </c>
      <c r="J26" s="53">
        <v>0.41</v>
      </c>
      <c r="K26" s="53">
        <v>135.51</v>
      </c>
      <c r="L26" s="53">
        <v>23.8</v>
      </c>
      <c r="M26" s="53">
        <v>51.33</v>
      </c>
      <c r="N26" s="53">
        <v>3.4</v>
      </c>
      <c r="O26" s="53">
        <v>0</v>
      </c>
      <c r="P26" s="53">
        <v>0.91</v>
      </c>
      <c r="Q26" s="53">
        <v>4.76</v>
      </c>
    </row>
    <row r="27" spans="1:17" customFormat="1">
      <c r="A27" s="52">
        <v>45618.791666666664</v>
      </c>
      <c r="B27" s="53">
        <v>6.53</v>
      </c>
      <c r="C27" s="53">
        <v>27.96</v>
      </c>
      <c r="D27" s="53">
        <v>21.13</v>
      </c>
      <c r="E27" s="53">
        <v>9.51</v>
      </c>
      <c r="F27" s="53">
        <v>5.82</v>
      </c>
      <c r="G27" s="53">
        <v>121.55</v>
      </c>
      <c r="H27" s="53">
        <v>41.04</v>
      </c>
      <c r="I27" s="53">
        <v>9.8699999999999992</v>
      </c>
      <c r="J27" s="53">
        <v>0.27</v>
      </c>
      <c r="K27" s="53">
        <v>203.16</v>
      </c>
      <c r="L27" s="53">
        <v>22.49</v>
      </c>
      <c r="M27" s="53">
        <v>70.45</v>
      </c>
      <c r="N27" s="53">
        <v>2.1</v>
      </c>
      <c r="O27" s="53">
        <v>0</v>
      </c>
      <c r="P27" s="53">
        <v>0.95</v>
      </c>
      <c r="Q27" s="53">
        <v>4.76</v>
      </c>
    </row>
    <row r="28" spans="1:17" customFormat="1">
      <c r="A28" s="52">
        <v>45618.833333333336</v>
      </c>
      <c r="B28" s="53">
        <v>6.51</v>
      </c>
      <c r="C28" s="53">
        <v>25.67</v>
      </c>
      <c r="D28" s="53">
        <v>19.98</v>
      </c>
      <c r="E28" s="53">
        <v>9.91</v>
      </c>
      <c r="F28" s="53">
        <v>6.37</v>
      </c>
      <c r="G28" s="53">
        <v>132.68</v>
      </c>
      <c r="H28" s="53">
        <v>45.77</v>
      </c>
      <c r="I28" s="53">
        <v>10.5</v>
      </c>
      <c r="J28" s="53">
        <v>0.2</v>
      </c>
      <c r="K28" s="53">
        <v>237.67</v>
      </c>
      <c r="L28" s="53">
        <v>19.350000000000001</v>
      </c>
      <c r="M28" s="53">
        <v>75.37</v>
      </c>
      <c r="N28" s="53">
        <v>2</v>
      </c>
      <c r="O28" s="53">
        <v>0</v>
      </c>
      <c r="P28" s="53">
        <v>0.94</v>
      </c>
      <c r="Q28" s="53">
        <v>4.75</v>
      </c>
    </row>
    <row r="29" spans="1:17" customFormat="1">
      <c r="A29" s="52">
        <v>45618.875</v>
      </c>
      <c r="B29" s="53">
        <v>6.33</v>
      </c>
      <c r="C29" s="53">
        <v>22.17</v>
      </c>
      <c r="D29" s="53">
        <v>17.96</v>
      </c>
      <c r="E29" s="53">
        <v>9.76</v>
      </c>
      <c r="F29" s="53">
        <v>6</v>
      </c>
      <c r="G29" s="53">
        <v>132.57</v>
      </c>
      <c r="H29" s="53">
        <v>45.72</v>
      </c>
      <c r="I29" s="53">
        <v>10.78</v>
      </c>
      <c r="J29" s="53">
        <v>0.17</v>
      </c>
      <c r="K29" s="53">
        <v>236.14</v>
      </c>
      <c r="L29" s="53">
        <v>18.34</v>
      </c>
      <c r="M29" s="53">
        <v>79.38</v>
      </c>
      <c r="N29" s="53">
        <v>1.4</v>
      </c>
      <c r="O29" s="53">
        <v>0</v>
      </c>
      <c r="P29" s="53">
        <v>0.97</v>
      </c>
      <c r="Q29" s="53">
        <v>4.75</v>
      </c>
    </row>
    <row r="30" spans="1:17" customFormat="1">
      <c r="A30" s="52">
        <v>45618.916666666664</v>
      </c>
      <c r="B30" s="53">
        <v>6.4</v>
      </c>
      <c r="C30" s="53">
        <v>20.2</v>
      </c>
      <c r="D30" s="53">
        <v>17</v>
      </c>
      <c r="E30" s="53">
        <v>9.5500000000000007</v>
      </c>
      <c r="F30" s="53">
        <v>5.88</v>
      </c>
      <c r="G30" s="53">
        <v>136.41</v>
      </c>
      <c r="H30" s="53">
        <v>44.11</v>
      </c>
      <c r="I30" s="53">
        <v>11.18</v>
      </c>
      <c r="J30" s="53">
        <v>0.14000000000000001</v>
      </c>
      <c r="K30" s="53">
        <v>257.08</v>
      </c>
      <c r="L30" s="53">
        <v>17.63</v>
      </c>
      <c r="M30" s="53">
        <v>81.400000000000006</v>
      </c>
      <c r="N30" s="53">
        <v>1.4</v>
      </c>
      <c r="O30" s="53">
        <v>0</v>
      </c>
      <c r="P30" s="53">
        <v>1</v>
      </c>
      <c r="Q30" s="53">
        <v>4.74</v>
      </c>
    </row>
    <row r="31" spans="1:17" customFormat="1">
      <c r="A31" s="52">
        <v>45618.958333333336</v>
      </c>
      <c r="B31" s="53">
        <v>6.23</v>
      </c>
      <c r="C31" s="53">
        <v>19.059999999999999</v>
      </c>
      <c r="D31" s="53">
        <v>16.3</v>
      </c>
      <c r="E31" s="53">
        <v>9.32</v>
      </c>
      <c r="F31" s="53">
        <v>6.18</v>
      </c>
      <c r="G31" s="53">
        <v>136.19999999999999</v>
      </c>
      <c r="H31" s="53">
        <v>47.21</v>
      </c>
      <c r="I31" s="53">
        <v>11.25</v>
      </c>
      <c r="J31" s="53">
        <v>0.18</v>
      </c>
      <c r="K31" s="53">
        <v>253.04</v>
      </c>
      <c r="L31" s="53">
        <v>17.440000000000001</v>
      </c>
      <c r="M31" s="53">
        <v>77.05</v>
      </c>
      <c r="N31" s="53">
        <v>1.4</v>
      </c>
      <c r="O31" s="53">
        <v>0</v>
      </c>
      <c r="P31" s="53">
        <v>0.99</v>
      </c>
      <c r="Q31" s="53">
        <v>4.75</v>
      </c>
    </row>
    <row r="32" spans="1:17" customFormat="1">
      <c r="A32" s="52">
        <v>45619</v>
      </c>
      <c r="B32" s="53">
        <v>5.86</v>
      </c>
      <c r="C32" s="53">
        <v>19.47</v>
      </c>
      <c r="D32" s="53">
        <v>16</v>
      </c>
      <c r="E32" s="53">
        <v>9.42</v>
      </c>
      <c r="F32" s="53">
        <v>6.25</v>
      </c>
      <c r="G32" s="53">
        <v>126.37</v>
      </c>
      <c r="H32" s="53">
        <v>47.06</v>
      </c>
      <c r="I32" s="53">
        <v>11.15</v>
      </c>
      <c r="J32" s="53">
        <v>0.14000000000000001</v>
      </c>
      <c r="K32" s="53">
        <v>186.66</v>
      </c>
      <c r="L32" s="53">
        <v>17.399999999999999</v>
      </c>
      <c r="M32" s="53">
        <v>80.61</v>
      </c>
      <c r="N32" s="53">
        <v>1.4</v>
      </c>
      <c r="O32" s="53">
        <v>0</v>
      </c>
      <c r="P32" s="53">
        <v>0.97</v>
      </c>
      <c r="Q32" s="53">
        <v>4.7699999999999996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3.94</v>
      </c>
      <c r="C34" s="40">
        <f t="shared" si="0"/>
        <v>19.059999999999999</v>
      </c>
      <c r="D34" s="40">
        <f t="shared" si="0"/>
        <v>14.92</v>
      </c>
      <c r="E34" s="40">
        <f t="shared" si="0"/>
        <v>8.3699999999999992</v>
      </c>
      <c r="F34" s="40">
        <f t="shared" si="0"/>
        <v>5.46</v>
      </c>
      <c r="G34" s="40">
        <f t="shared" si="0"/>
        <v>96.72</v>
      </c>
      <c r="H34" s="40">
        <f t="shared" si="0"/>
        <v>40.83</v>
      </c>
      <c r="I34" s="40">
        <f t="shared" si="0"/>
        <v>9.4700000000000006</v>
      </c>
      <c r="J34" s="40">
        <f t="shared" si="0"/>
        <v>0.14000000000000001</v>
      </c>
      <c r="K34" s="40">
        <f t="shared" si="0"/>
        <v>49.54</v>
      </c>
      <c r="L34" s="40">
        <f t="shared" si="0"/>
        <v>16.57</v>
      </c>
      <c r="M34" s="40">
        <f t="shared" si="0"/>
        <v>34.15</v>
      </c>
      <c r="N34" s="40">
        <f t="shared" si="0"/>
        <v>1.4</v>
      </c>
      <c r="O34" s="40">
        <f t="shared" si="0"/>
        <v>0</v>
      </c>
      <c r="P34" s="40">
        <f t="shared" si="0"/>
        <v>0.86</v>
      </c>
      <c r="Q34" s="40">
        <f t="shared" si="0"/>
        <v>4.74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16.239999999999998</v>
      </c>
      <c r="C35" s="33">
        <f t="shared" si="1"/>
        <v>27.96</v>
      </c>
      <c r="D35" s="33">
        <f t="shared" si="1"/>
        <v>26.7</v>
      </c>
      <c r="E35" s="33">
        <f t="shared" si="1"/>
        <v>10.66</v>
      </c>
      <c r="F35" s="33">
        <f t="shared" si="1"/>
        <v>12.07</v>
      </c>
      <c r="G35" s="33">
        <f t="shared" si="1"/>
        <v>142.24</v>
      </c>
      <c r="H35" s="33">
        <f t="shared" si="1"/>
        <v>49.32</v>
      </c>
      <c r="I35" s="33">
        <f t="shared" si="1"/>
        <v>13.27</v>
      </c>
      <c r="J35" s="33">
        <f t="shared" si="1"/>
        <v>0.69</v>
      </c>
      <c r="K35" s="33">
        <f t="shared" si="1"/>
        <v>341.13</v>
      </c>
      <c r="L35" s="33">
        <f t="shared" si="1"/>
        <v>27.38</v>
      </c>
      <c r="M35" s="33">
        <f t="shared" si="1"/>
        <v>90.01</v>
      </c>
      <c r="N35" s="33">
        <f t="shared" si="1"/>
        <v>413</v>
      </c>
      <c r="O35" s="33">
        <f t="shared" si="1"/>
        <v>0</v>
      </c>
      <c r="P35" s="33">
        <f t="shared" si="1"/>
        <v>1.18</v>
      </c>
      <c r="Q35" s="33">
        <f t="shared" si="1"/>
        <v>4.7699999999999996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8.6929166666666671</v>
      </c>
      <c r="C36" s="40">
        <f t="shared" si="2"/>
        <v>22.561250000000005</v>
      </c>
      <c r="D36" s="40">
        <f t="shared" si="2"/>
        <v>20.06958333333333</v>
      </c>
      <c r="E36" s="40">
        <f t="shared" si="2"/>
        <v>9.4104166666666664</v>
      </c>
      <c r="F36" s="40">
        <f t="shared" si="2"/>
        <v>6.8904166666666669</v>
      </c>
      <c r="G36" s="40">
        <f t="shared" si="2"/>
        <v>122.8170833333333</v>
      </c>
      <c r="H36" s="40">
        <f t="shared" si="2"/>
        <v>45.522916666666674</v>
      </c>
      <c r="I36" s="40">
        <f t="shared" si="2"/>
        <v>11.782916666666665</v>
      </c>
      <c r="J36" s="40">
        <f t="shared" si="2"/>
        <v>0.37583333333333346</v>
      </c>
      <c r="K36" s="40">
        <f t="shared" si="2"/>
        <v>144.27291666666665</v>
      </c>
      <c r="L36" s="40">
        <f t="shared" si="2"/>
        <v>21.074999999999999</v>
      </c>
      <c r="M36" s="40">
        <f t="shared" si="2"/>
        <v>65.293749999999989</v>
      </c>
      <c r="N36" s="40">
        <f t="shared" si="2"/>
        <v>102.95000000000003</v>
      </c>
      <c r="O36" s="40">
        <f t="shared" si="2"/>
        <v>0</v>
      </c>
      <c r="P36" s="40">
        <f t="shared" si="2"/>
        <v>1.0399999999999998</v>
      </c>
      <c r="Q36" s="40">
        <f t="shared" si="2"/>
        <v>4.7554166666666671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4.0428116337268412</v>
      </c>
      <c r="C37" s="40">
        <f t="shared" ref="C37:Q37" si="3">STDEV(C9:C32)</f>
        <v>2.3115876578662791</v>
      </c>
      <c r="D37" s="40">
        <f t="shared" si="3"/>
        <v>3.6019444979992254</v>
      </c>
      <c r="E37" s="40">
        <f t="shared" si="3"/>
        <v>0.62663684210559945</v>
      </c>
      <c r="F37" s="40">
        <f t="shared" si="3"/>
        <v>1.875196173312486</v>
      </c>
      <c r="G37" s="40">
        <f t="shared" si="3"/>
        <v>12.814527245064562</v>
      </c>
      <c r="H37" s="40">
        <f t="shared" si="3"/>
        <v>2.3595679029019734</v>
      </c>
      <c r="I37" s="40">
        <f t="shared" si="3"/>
        <v>1.2477962457927689</v>
      </c>
      <c r="J37" s="40">
        <f t="shared" si="3"/>
        <v>0.18429458145486272</v>
      </c>
      <c r="K37" s="40">
        <f t="shared" si="3"/>
        <v>88.192466575600449</v>
      </c>
      <c r="L37" s="40">
        <f t="shared" si="3"/>
        <v>4.3450311451327925</v>
      </c>
      <c r="M37" s="40">
        <f t="shared" si="3"/>
        <v>19.826705927480347</v>
      </c>
      <c r="N37" s="40">
        <f t="shared" si="3"/>
        <v>151.74378291110943</v>
      </c>
      <c r="O37" s="40">
        <f t="shared" si="3"/>
        <v>0</v>
      </c>
      <c r="P37" s="40">
        <f t="shared" si="3"/>
        <v>0.10421549580181234</v>
      </c>
      <c r="Q37" s="40">
        <f t="shared" si="3"/>
        <v>9.3153294262112319E-3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45619.041666666664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45619.041666666664</v>
      </c>
      <c r="B9" s="53">
        <v>7.62</v>
      </c>
      <c r="C9" s="53">
        <v>22.16</v>
      </c>
      <c r="D9" s="53">
        <v>19.04</v>
      </c>
      <c r="E9" s="53">
        <v>9.31</v>
      </c>
      <c r="F9" s="53">
        <v>6.44</v>
      </c>
      <c r="G9" s="53">
        <v>106.78</v>
      </c>
      <c r="H9" s="53">
        <v>42.37</v>
      </c>
      <c r="I9" s="53">
        <v>10.81</v>
      </c>
      <c r="J9" s="53">
        <v>0.15</v>
      </c>
      <c r="K9" s="53">
        <v>301.64999999999998</v>
      </c>
      <c r="L9" s="53">
        <v>17.34</v>
      </c>
      <c r="M9" s="53">
        <v>76.709999999999994</v>
      </c>
      <c r="N9" s="53">
        <v>1.4</v>
      </c>
      <c r="O9" s="53">
        <v>0</v>
      </c>
      <c r="P9" s="53">
        <v>0.96</v>
      </c>
      <c r="Q9" s="53">
        <v>4.7699999999999996</v>
      </c>
    </row>
    <row r="10" spans="1:21" customFormat="1">
      <c r="A10" s="52">
        <v>45619.083333333336</v>
      </c>
      <c r="B10" s="53">
        <v>12.55</v>
      </c>
      <c r="C10" s="53">
        <v>23.25</v>
      </c>
      <c r="D10" s="53">
        <v>23.56</v>
      </c>
      <c r="E10" s="53">
        <v>8.92</v>
      </c>
      <c r="F10" s="53">
        <v>5.48</v>
      </c>
      <c r="G10" s="53">
        <v>117.11</v>
      </c>
      <c r="H10" s="53">
        <v>42.35</v>
      </c>
      <c r="I10" s="53">
        <v>11.13</v>
      </c>
      <c r="J10" s="53">
        <v>0.16</v>
      </c>
      <c r="K10" s="53">
        <v>224.54</v>
      </c>
      <c r="L10" s="53">
        <v>17.149999999999999</v>
      </c>
      <c r="M10" s="53">
        <v>84.76</v>
      </c>
      <c r="N10" s="53">
        <v>1.7</v>
      </c>
      <c r="O10" s="53">
        <v>0</v>
      </c>
      <c r="P10" s="53">
        <v>1.02</v>
      </c>
      <c r="Q10" s="53">
        <v>4.7699999999999996</v>
      </c>
    </row>
    <row r="11" spans="1:21" customFormat="1">
      <c r="A11" s="52">
        <v>45619.125</v>
      </c>
      <c r="B11" s="53">
        <v>12.86</v>
      </c>
      <c r="C11" s="53">
        <v>23.22</v>
      </c>
      <c r="D11" s="53">
        <v>23.79</v>
      </c>
      <c r="E11" s="53">
        <v>9.08</v>
      </c>
      <c r="F11" s="53">
        <v>5.4</v>
      </c>
      <c r="G11" s="53">
        <v>120.29</v>
      </c>
      <c r="H11" s="53">
        <v>43.44</v>
      </c>
      <c r="I11" s="53">
        <v>11.74</v>
      </c>
      <c r="J11" s="53">
        <v>0.16</v>
      </c>
      <c r="K11" s="53">
        <v>201.23</v>
      </c>
      <c r="L11" s="53">
        <v>16.05</v>
      </c>
      <c r="M11" s="53">
        <v>89.78</v>
      </c>
      <c r="N11" s="53">
        <v>1.5</v>
      </c>
      <c r="O11" s="53">
        <v>0</v>
      </c>
      <c r="P11" s="53">
        <v>1.03</v>
      </c>
      <c r="Q11" s="53">
        <v>4.7699999999999996</v>
      </c>
    </row>
    <row r="12" spans="1:21" customFormat="1">
      <c r="A12" s="52">
        <v>45619.166666666664</v>
      </c>
      <c r="B12" s="53">
        <v>16.329999999999998</v>
      </c>
      <c r="C12" s="53">
        <v>22.3</v>
      </c>
      <c r="D12" s="53">
        <v>25.97</v>
      </c>
      <c r="E12" s="53">
        <v>8.76</v>
      </c>
      <c r="F12" s="53">
        <v>5.54</v>
      </c>
      <c r="G12" s="53">
        <v>120.22</v>
      </c>
      <c r="H12" s="53">
        <v>44.64</v>
      </c>
      <c r="I12" s="53">
        <v>12.47</v>
      </c>
      <c r="J12" s="53">
        <v>0.34</v>
      </c>
      <c r="K12" s="53">
        <v>66.72</v>
      </c>
      <c r="L12" s="53">
        <v>15.93</v>
      </c>
      <c r="M12" s="53">
        <v>86.43</v>
      </c>
      <c r="N12" s="53">
        <v>1.3</v>
      </c>
      <c r="O12" s="53">
        <v>0</v>
      </c>
      <c r="P12" s="53">
        <v>1.05</v>
      </c>
      <c r="Q12" s="53">
        <v>4.7699999999999996</v>
      </c>
    </row>
    <row r="13" spans="1:21" customFormat="1">
      <c r="A13" s="52">
        <v>45619.208333333336</v>
      </c>
      <c r="B13" s="53">
        <v>17.32</v>
      </c>
      <c r="C13" s="53">
        <v>21.96</v>
      </c>
      <c r="D13" s="53">
        <v>26.34</v>
      </c>
      <c r="E13" s="53">
        <v>8.86</v>
      </c>
      <c r="F13" s="53">
        <v>5.58</v>
      </c>
      <c r="G13" s="53">
        <v>118.6</v>
      </c>
      <c r="H13" s="53">
        <v>44.63</v>
      </c>
      <c r="I13" s="53">
        <v>12.55</v>
      </c>
      <c r="J13" s="53">
        <v>0.15</v>
      </c>
      <c r="K13" s="53">
        <v>140.04</v>
      </c>
      <c r="L13" s="53">
        <v>15.78</v>
      </c>
      <c r="M13" s="53">
        <v>85.02</v>
      </c>
      <c r="N13" s="53">
        <v>1.4</v>
      </c>
      <c r="O13" s="53">
        <v>0</v>
      </c>
      <c r="P13" s="53">
        <v>1.05</v>
      </c>
      <c r="Q13" s="53">
        <v>4.75</v>
      </c>
    </row>
    <row r="14" spans="1:21" customFormat="1">
      <c r="A14" s="52">
        <v>45619.25</v>
      </c>
      <c r="B14" s="53">
        <v>17.57</v>
      </c>
      <c r="C14" s="53">
        <v>20.97</v>
      </c>
      <c r="D14" s="53">
        <v>26.4</v>
      </c>
      <c r="E14" s="53">
        <v>8.7899999999999991</v>
      </c>
      <c r="F14" s="53">
        <v>5.62</v>
      </c>
      <c r="G14" s="53">
        <v>118.6</v>
      </c>
      <c r="H14" s="53">
        <v>44.27</v>
      </c>
      <c r="I14" s="53">
        <v>12.52</v>
      </c>
      <c r="J14" s="53">
        <v>0.24</v>
      </c>
      <c r="K14" s="53">
        <v>255.99</v>
      </c>
      <c r="L14" s="53">
        <v>15.2</v>
      </c>
      <c r="M14" s="53">
        <v>90.88</v>
      </c>
      <c r="N14" s="53">
        <v>1.9</v>
      </c>
      <c r="O14" s="53">
        <v>0</v>
      </c>
      <c r="P14" s="53">
        <v>1</v>
      </c>
      <c r="Q14" s="53">
        <v>4.75</v>
      </c>
    </row>
    <row r="15" spans="1:21" customFormat="1">
      <c r="A15" s="52">
        <v>45619.291666666664</v>
      </c>
      <c r="B15" s="53">
        <v>17.75</v>
      </c>
      <c r="C15" s="53">
        <v>19.98</v>
      </c>
      <c r="D15" s="53">
        <v>25.77</v>
      </c>
      <c r="E15" s="53">
        <v>8.58</v>
      </c>
      <c r="F15" s="53">
        <v>5.39</v>
      </c>
      <c r="G15" s="53">
        <v>118.32</v>
      </c>
      <c r="H15" s="53">
        <v>43.96</v>
      </c>
      <c r="I15" s="53">
        <v>12.68</v>
      </c>
      <c r="J15" s="53">
        <v>0.24</v>
      </c>
      <c r="K15" s="53">
        <v>254.54</v>
      </c>
      <c r="L15" s="53">
        <v>15.18</v>
      </c>
      <c r="M15" s="53">
        <v>92.19</v>
      </c>
      <c r="N15" s="53">
        <v>29.8</v>
      </c>
      <c r="O15" s="53">
        <v>0</v>
      </c>
      <c r="P15" s="53">
        <v>0.99</v>
      </c>
      <c r="Q15" s="53">
        <v>4.75</v>
      </c>
    </row>
    <row r="16" spans="1:21" customFormat="1">
      <c r="A16" s="52">
        <v>45619.333333333336</v>
      </c>
      <c r="B16" s="53">
        <v>19.190000000000001</v>
      </c>
      <c r="C16" s="53">
        <v>20.05</v>
      </c>
      <c r="D16" s="53">
        <v>27.21</v>
      </c>
      <c r="E16" s="53">
        <v>8.73</v>
      </c>
      <c r="F16" s="53">
        <v>5.52</v>
      </c>
      <c r="G16" s="53">
        <v>112.83</v>
      </c>
      <c r="H16" s="53">
        <v>43.42</v>
      </c>
      <c r="I16" s="53">
        <v>13.31</v>
      </c>
      <c r="J16" s="53">
        <v>0.53</v>
      </c>
      <c r="K16" s="53">
        <v>47.18</v>
      </c>
      <c r="L16" s="53">
        <v>17.55</v>
      </c>
      <c r="M16" s="53">
        <v>86.52</v>
      </c>
      <c r="N16" s="53">
        <v>129.30000000000001</v>
      </c>
      <c r="O16" s="53">
        <v>0</v>
      </c>
      <c r="P16" s="53">
        <v>1.03</v>
      </c>
      <c r="Q16" s="53">
        <v>4.76</v>
      </c>
    </row>
    <row r="17" spans="1:17" customFormat="1">
      <c r="A17" s="52">
        <v>45619.375</v>
      </c>
      <c r="B17" s="53">
        <v>18.809999999999999</v>
      </c>
      <c r="C17" s="53">
        <v>21.46</v>
      </c>
      <c r="D17" s="53">
        <v>27.07</v>
      </c>
      <c r="E17" s="53">
        <v>9.07</v>
      </c>
      <c r="F17" s="53">
        <v>5.65</v>
      </c>
      <c r="G17" s="53">
        <v>120.23</v>
      </c>
      <c r="H17" s="53">
        <v>45.23</v>
      </c>
      <c r="I17" s="53">
        <v>13.51</v>
      </c>
      <c r="J17" s="53">
        <v>0.75</v>
      </c>
      <c r="K17" s="53">
        <v>47.92</v>
      </c>
      <c r="L17" s="53">
        <v>20.54</v>
      </c>
      <c r="M17" s="53">
        <v>71.41</v>
      </c>
      <c r="N17" s="53">
        <v>232.6</v>
      </c>
      <c r="O17" s="53">
        <v>0</v>
      </c>
      <c r="P17" s="53">
        <v>1.04</v>
      </c>
      <c r="Q17" s="53">
        <v>4.75</v>
      </c>
    </row>
    <row r="18" spans="1:17" customFormat="1">
      <c r="A18" s="52">
        <v>45619.416666666664</v>
      </c>
      <c r="B18" s="53">
        <v>16.66</v>
      </c>
      <c r="C18" s="53">
        <v>24.75</v>
      </c>
      <c r="D18" s="53">
        <v>26.13</v>
      </c>
      <c r="E18" s="53">
        <v>9.2799999999999994</v>
      </c>
      <c r="F18" s="53">
        <v>6.22</v>
      </c>
      <c r="G18" s="53">
        <v>125.15</v>
      </c>
      <c r="H18" s="53">
        <v>45.18</v>
      </c>
      <c r="I18" s="53">
        <v>13.48</v>
      </c>
      <c r="J18" s="53">
        <v>0.66</v>
      </c>
      <c r="K18" s="53">
        <v>77.599999999999994</v>
      </c>
      <c r="L18" s="53">
        <v>23.64</v>
      </c>
      <c r="M18" s="53">
        <v>57.85</v>
      </c>
      <c r="N18" s="53">
        <v>363.5</v>
      </c>
      <c r="O18" s="53">
        <v>0</v>
      </c>
      <c r="P18" s="53">
        <v>1.06</v>
      </c>
      <c r="Q18" s="53">
        <v>4.76</v>
      </c>
    </row>
    <row r="19" spans="1:17" customFormat="1">
      <c r="A19" s="52">
        <v>45619.458333333336</v>
      </c>
      <c r="B19" s="53">
        <v>10.68</v>
      </c>
      <c r="C19" s="53">
        <v>26.69</v>
      </c>
      <c r="D19" s="53">
        <v>23.24</v>
      </c>
      <c r="E19" s="53">
        <v>9.2100000000000009</v>
      </c>
      <c r="F19" s="53">
        <v>7.61</v>
      </c>
      <c r="G19" s="53">
        <v>135.32</v>
      </c>
      <c r="H19" s="53">
        <v>46.18</v>
      </c>
      <c r="I19" s="53">
        <v>12.99</v>
      </c>
      <c r="J19" s="53">
        <v>0.56999999999999995</v>
      </c>
      <c r="K19" s="53">
        <v>288.2</v>
      </c>
      <c r="L19" s="53">
        <v>25.75</v>
      </c>
      <c r="M19" s="53">
        <v>46.44</v>
      </c>
      <c r="N19" s="53">
        <v>404</v>
      </c>
      <c r="O19" s="53">
        <v>0</v>
      </c>
      <c r="P19" s="53">
        <v>1.05</v>
      </c>
      <c r="Q19" s="53">
        <v>4.78</v>
      </c>
    </row>
    <row r="20" spans="1:17" customFormat="1">
      <c r="A20" s="52">
        <v>45619.5</v>
      </c>
      <c r="B20" s="53">
        <v>5.35</v>
      </c>
      <c r="C20" s="53">
        <v>26.6</v>
      </c>
      <c r="D20" s="53">
        <v>19.54</v>
      </c>
      <c r="E20" s="53">
        <v>9.14</v>
      </c>
      <c r="F20" s="53">
        <v>10.039999999999999</v>
      </c>
      <c r="G20" s="53">
        <v>135.31</v>
      </c>
      <c r="H20" s="53">
        <v>46.17</v>
      </c>
      <c r="I20" s="53">
        <v>12.38</v>
      </c>
      <c r="J20" s="53">
        <v>0.62</v>
      </c>
      <c r="K20" s="53">
        <v>307.32</v>
      </c>
      <c r="L20" s="53">
        <v>27.28</v>
      </c>
      <c r="M20" s="53">
        <v>39.5</v>
      </c>
      <c r="N20" s="53">
        <v>446.7</v>
      </c>
      <c r="O20" s="53">
        <v>0</v>
      </c>
      <c r="P20" s="53">
        <v>1.03</v>
      </c>
      <c r="Q20" s="53">
        <v>4.78</v>
      </c>
    </row>
    <row r="21" spans="1:17" customFormat="1">
      <c r="A21" s="52">
        <v>45619.541666666664</v>
      </c>
      <c r="B21" s="53">
        <v>4.05</v>
      </c>
      <c r="C21" s="53">
        <v>23.49</v>
      </c>
      <c r="D21" s="53">
        <v>16.87</v>
      </c>
      <c r="E21" s="53">
        <v>10.02</v>
      </c>
      <c r="F21" s="53">
        <v>11.32</v>
      </c>
      <c r="G21" s="53">
        <v>134.47</v>
      </c>
      <c r="H21" s="53">
        <v>45.45</v>
      </c>
      <c r="I21" s="53">
        <v>12.07</v>
      </c>
      <c r="J21" s="53">
        <v>0.52</v>
      </c>
      <c r="K21" s="53">
        <v>54.98</v>
      </c>
      <c r="L21" s="53">
        <v>27.44</v>
      </c>
      <c r="M21" s="53">
        <v>35.14</v>
      </c>
      <c r="N21" s="53">
        <v>416.6</v>
      </c>
      <c r="O21" s="53">
        <v>0</v>
      </c>
      <c r="P21" s="53">
        <v>0.98</v>
      </c>
      <c r="Q21" s="53">
        <v>4.79</v>
      </c>
    </row>
    <row r="22" spans="1:17" customFormat="1">
      <c r="A22" s="52">
        <v>45619.583333333336</v>
      </c>
      <c r="B22" s="53">
        <v>4.0199999999999996</v>
      </c>
      <c r="C22" s="53">
        <v>22.56</v>
      </c>
      <c r="D22" s="53">
        <v>16.36</v>
      </c>
      <c r="E22" s="53">
        <v>10.42</v>
      </c>
      <c r="F22" s="53">
        <v>12.42</v>
      </c>
      <c r="G22" s="53">
        <v>118.19</v>
      </c>
      <c r="H22" s="53">
        <v>43.75</v>
      </c>
      <c r="I22" s="53">
        <v>11.42</v>
      </c>
      <c r="J22" s="53">
        <v>0.49</v>
      </c>
      <c r="K22" s="53">
        <v>331.68</v>
      </c>
      <c r="L22" s="53">
        <v>27.72</v>
      </c>
      <c r="M22" s="53">
        <v>35.6</v>
      </c>
      <c r="N22" s="53">
        <v>324.89999999999998</v>
      </c>
      <c r="O22" s="53">
        <v>0</v>
      </c>
      <c r="P22" s="53">
        <v>0.96</v>
      </c>
      <c r="Q22" s="53">
        <v>4.76</v>
      </c>
    </row>
    <row r="23" spans="1:17" customFormat="1">
      <c r="A23" s="52">
        <v>45619.625</v>
      </c>
      <c r="B23" s="53">
        <v>4.3600000000000003</v>
      </c>
      <c r="C23" s="53">
        <v>22.48</v>
      </c>
      <c r="D23" s="53">
        <v>16.37</v>
      </c>
      <c r="E23" s="53">
        <v>15.6</v>
      </c>
      <c r="F23" s="53">
        <v>13.49</v>
      </c>
      <c r="G23" s="53">
        <v>108.61</v>
      </c>
      <c r="H23" s="53">
        <v>44.82</v>
      </c>
      <c r="I23" s="53">
        <v>11.09</v>
      </c>
      <c r="J23" s="53">
        <v>0.51</v>
      </c>
      <c r="K23" s="53">
        <v>309.42</v>
      </c>
      <c r="L23" s="53">
        <v>27.19</v>
      </c>
      <c r="M23" s="53">
        <v>35.49</v>
      </c>
      <c r="N23" s="53">
        <v>113.7</v>
      </c>
      <c r="O23" s="53">
        <v>0</v>
      </c>
      <c r="P23" s="53">
        <v>0.95</v>
      </c>
      <c r="Q23" s="53">
        <v>4.76</v>
      </c>
    </row>
    <row r="24" spans="1:17" customFormat="1">
      <c r="A24" s="52">
        <v>45619.666666666664</v>
      </c>
      <c r="B24" s="53">
        <v>4.6100000000000003</v>
      </c>
      <c r="C24" s="53">
        <v>21.32</v>
      </c>
      <c r="D24" s="53">
        <v>16.010000000000002</v>
      </c>
      <c r="E24" s="53">
        <v>14.39</v>
      </c>
      <c r="F24" s="53">
        <v>12.04</v>
      </c>
      <c r="G24" s="53">
        <v>108.48</v>
      </c>
      <c r="H24" s="53">
        <v>44.81</v>
      </c>
      <c r="I24" s="53">
        <v>10.84</v>
      </c>
      <c r="J24" s="53">
        <v>0.35</v>
      </c>
      <c r="K24" s="53">
        <v>350.75</v>
      </c>
      <c r="L24" s="53">
        <v>26.92</v>
      </c>
      <c r="M24" s="53">
        <v>34.56</v>
      </c>
      <c r="N24" s="53">
        <v>68.5</v>
      </c>
      <c r="O24" s="53">
        <v>0</v>
      </c>
      <c r="P24" s="53">
        <v>0.93</v>
      </c>
      <c r="Q24" s="53">
        <v>4.75</v>
      </c>
    </row>
    <row r="25" spans="1:17" customFormat="1">
      <c r="A25" s="52">
        <v>45619.708333333336</v>
      </c>
      <c r="B25" s="53">
        <v>5.97</v>
      </c>
      <c r="C25" s="53">
        <v>22.56</v>
      </c>
      <c r="D25" s="53">
        <v>17.920000000000002</v>
      </c>
      <c r="E25" s="53">
        <v>11.25</v>
      </c>
      <c r="F25" s="53">
        <v>7.99</v>
      </c>
      <c r="G25" s="53">
        <v>106.51</v>
      </c>
      <c r="H25" s="53">
        <v>45.43</v>
      </c>
      <c r="I25" s="53">
        <v>10.74</v>
      </c>
      <c r="J25" s="53">
        <v>0.3</v>
      </c>
      <c r="K25" s="53">
        <v>50.5</v>
      </c>
      <c r="L25" s="53">
        <v>26.24</v>
      </c>
      <c r="M25" s="53">
        <v>43.52</v>
      </c>
      <c r="N25" s="53">
        <v>29.3</v>
      </c>
      <c r="O25" s="53">
        <v>0</v>
      </c>
      <c r="P25" s="53">
        <v>0.94</v>
      </c>
      <c r="Q25" s="53">
        <v>4.75</v>
      </c>
    </row>
    <row r="26" spans="1:17" customFormat="1">
      <c r="A26" s="52">
        <v>45619.75</v>
      </c>
      <c r="B26" s="53">
        <v>6.48</v>
      </c>
      <c r="C26" s="53">
        <v>23.32</v>
      </c>
      <c r="D26" s="53">
        <v>18.68</v>
      </c>
      <c r="E26" s="53">
        <v>10.71</v>
      </c>
      <c r="F26" s="53">
        <v>6.18</v>
      </c>
      <c r="G26" s="53">
        <v>121.37</v>
      </c>
      <c r="H26" s="53">
        <v>45.42</v>
      </c>
      <c r="I26" s="53">
        <v>10.74</v>
      </c>
      <c r="J26" s="53">
        <v>0.36</v>
      </c>
      <c r="K26" s="53">
        <v>167.52</v>
      </c>
      <c r="L26" s="53">
        <v>23.51</v>
      </c>
      <c r="M26" s="53">
        <v>58.12</v>
      </c>
      <c r="N26" s="53">
        <v>3.3</v>
      </c>
      <c r="O26" s="53">
        <v>0</v>
      </c>
      <c r="P26" s="53">
        <v>0.98</v>
      </c>
      <c r="Q26" s="53">
        <v>4.7699999999999996</v>
      </c>
    </row>
    <row r="27" spans="1:17" customFormat="1">
      <c r="A27" s="52">
        <v>45619.791666666664</v>
      </c>
      <c r="B27" s="53">
        <v>6.43</v>
      </c>
      <c r="C27" s="53">
        <v>23.33</v>
      </c>
      <c r="D27" s="53">
        <v>18.68</v>
      </c>
      <c r="E27" s="53">
        <v>10.11</v>
      </c>
      <c r="F27" s="53">
        <v>5.97</v>
      </c>
      <c r="G27" s="53">
        <v>132.13999999999999</v>
      </c>
      <c r="H27" s="53">
        <v>44.86</v>
      </c>
      <c r="I27" s="53">
        <v>12.03</v>
      </c>
      <c r="J27" s="53">
        <v>0.23</v>
      </c>
      <c r="K27" s="53">
        <v>218.22</v>
      </c>
      <c r="L27" s="53">
        <v>20.76</v>
      </c>
      <c r="M27" s="53">
        <v>73.3</v>
      </c>
      <c r="N27" s="53">
        <v>1.8</v>
      </c>
      <c r="O27" s="53">
        <v>0</v>
      </c>
      <c r="P27" s="53">
        <v>1.03</v>
      </c>
      <c r="Q27" s="53">
        <v>4.74</v>
      </c>
    </row>
    <row r="28" spans="1:17" customFormat="1">
      <c r="A28" s="52">
        <v>45619.833333333336</v>
      </c>
      <c r="B28" s="53">
        <v>6.19</v>
      </c>
      <c r="C28" s="53">
        <v>23.06</v>
      </c>
      <c r="D28" s="53">
        <v>18.07</v>
      </c>
      <c r="E28" s="53">
        <v>8.9499999999999993</v>
      </c>
      <c r="F28" s="53">
        <v>5.89</v>
      </c>
      <c r="G28" s="53">
        <v>132.07</v>
      </c>
      <c r="H28" s="53">
        <v>45.3</v>
      </c>
      <c r="I28" s="53">
        <v>12.24</v>
      </c>
      <c r="J28" s="53">
        <v>0.17</v>
      </c>
      <c r="K28" s="53">
        <v>231.97</v>
      </c>
      <c r="L28" s="53">
        <v>19.37</v>
      </c>
      <c r="M28" s="53">
        <v>73.34</v>
      </c>
      <c r="N28" s="53">
        <v>1.4</v>
      </c>
      <c r="O28" s="53">
        <v>0</v>
      </c>
      <c r="P28" s="53">
        <v>1.07</v>
      </c>
      <c r="Q28" s="53">
        <v>4.7699999999999996</v>
      </c>
    </row>
    <row r="29" spans="1:17" customFormat="1">
      <c r="A29" s="52">
        <v>45619.875</v>
      </c>
      <c r="B29" s="53">
        <v>5.69</v>
      </c>
      <c r="C29" s="53">
        <v>23.12</v>
      </c>
      <c r="D29" s="53">
        <v>17.989999999999998</v>
      </c>
      <c r="E29" s="53">
        <v>8.92</v>
      </c>
      <c r="F29" s="53">
        <v>6.38</v>
      </c>
      <c r="G29" s="53">
        <v>158.91</v>
      </c>
      <c r="H29" s="53">
        <v>45.29</v>
      </c>
      <c r="I29" s="53">
        <v>12.13</v>
      </c>
      <c r="J29" s="53">
        <v>0.17</v>
      </c>
      <c r="K29" s="53">
        <v>223.19</v>
      </c>
      <c r="L29" s="53">
        <v>18.66</v>
      </c>
      <c r="M29" s="53">
        <v>77.319999999999993</v>
      </c>
      <c r="N29" s="53">
        <v>1.4</v>
      </c>
      <c r="O29" s="53">
        <v>0</v>
      </c>
      <c r="P29" s="53">
        <v>1.06</v>
      </c>
      <c r="Q29" s="53">
        <v>4.76</v>
      </c>
    </row>
    <row r="30" spans="1:17" customFormat="1">
      <c r="A30" s="52">
        <v>45619.916666666664</v>
      </c>
      <c r="B30" s="53">
        <v>5.09</v>
      </c>
      <c r="C30" s="53">
        <v>22.1</v>
      </c>
      <c r="D30" s="53">
        <v>16.98</v>
      </c>
      <c r="E30" s="53">
        <v>8.9600000000000009</v>
      </c>
      <c r="F30" s="53">
        <v>6.53</v>
      </c>
      <c r="G30" s="53">
        <v>158.44</v>
      </c>
      <c r="H30" s="53">
        <v>44.55</v>
      </c>
      <c r="I30" s="53">
        <v>11.8</v>
      </c>
      <c r="J30" s="53">
        <v>0.22</v>
      </c>
      <c r="K30" s="53">
        <v>223.98</v>
      </c>
      <c r="L30" s="53">
        <v>18.559999999999999</v>
      </c>
      <c r="M30" s="53">
        <v>79.33</v>
      </c>
      <c r="N30" s="53">
        <v>1.7</v>
      </c>
      <c r="O30" s="53">
        <v>0</v>
      </c>
      <c r="P30" s="53">
        <v>1.02</v>
      </c>
      <c r="Q30" s="53">
        <v>4.78</v>
      </c>
    </row>
    <row r="31" spans="1:17" customFormat="1">
      <c r="A31" s="52">
        <v>45619.958333333336</v>
      </c>
      <c r="B31" s="53">
        <v>9.7100000000000009</v>
      </c>
      <c r="C31" s="53">
        <v>23.74</v>
      </c>
      <c r="D31" s="53">
        <v>21.54</v>
      </c>
      <c r="E31" s="53">
        <v>8.73</v>
      </c>
      <c r="F31" s="53">
        <v>6.37</v>
      </c>
      <c r="G31" s="53">
        <v>137.05000000000001</v>
      </c>
      <c r="H31" s="53">
        <v>43.62</v>
      </c>
      <c r="I31" s="53">
        <v>11.53</v>
      </c>
      <c r="J31" s="53">
        <v>0.21</v>
      </c>
      <c r="K31" s="53">
        <v>218.99</v>
      </c>
      <c r="L31" s="53">
        <v>17.79</v>
      </c>
      <c r="M31" s="53">
        <v>82.72</v>
      </c>
      <c r="N31" s="53">
        <v>1.5</v>
      </c>
      <c r="O31" s="53">
        <v>0</v>
      </c>
      <c r="P31" s="53">
        <v>1.04</v>
      </c>
      <c r="Q31" s="53">
        <v>4.78</v>
      </c>
    </row>
    <row r="32" spans="1:17" customFormat="1">
      <c r="A32" s="52">
        <v>45620</v>
      </c>
      <c r="B32" s="53">
        <v>14.86</v>
      </c>
      <c r="C32" s="53">
        <v>24.81</v>
      </c>
      <c r="D32" s="53">
        <v>26.23</v>
      </c>
      <c r="E32" s="53">
        <v>8.9499999999999993</v>
      </c>
      <c r="F32" s="53">
        <v>5.54</v>
      </c>
      <c r="G32" s="53">
        <v>129.76</v>
      </c>
      <c r="H32" s="53">
        <v>43.04</v>
      </c>
      <c r="I32" s="53">
        <v>11.77</v>
      </c>
      <c r="J32" s="53">
        <v>0.16</v>
      </c>
      <c r="K32" s="53">
        <v>212.01</v>
      </c>
      <c r="L32" s="53">
        <v>17.190000000000001</v>
      </c>
      <c r="M32" s="53">
        <v>86.02</v>
      </c>
      <c r="N32" s="53">
        <v>1.5</v>
      </c>
      <c r="O32" s="53">
        <v>0</v>
      </c>
      <c r="P32" s="53">
        <v>1.0900000000000001</v>
      </c>
      <c r="Q32" s="53">
        <v>4.7699999999999996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4.0199999999999996</v>
      </c>
      <c r="C34" s="40">
        <f t="shared" si="0"/>
        <v>19.98</v>
      </c>
      <c r="D34" s="40">
        <f t="shared" si="0"/>
        <v>16.010000000000002</v>
      </c>
      <c r="E34" s="40">
        <f t="shared" si="0"/>
        <v>8.58</v>
      </c>
      <c r="F34" s="40">
        <f t="shared" si="0"/>
        <v>5.39</v>
      </c>
      <c r="G34" s="40">
        <f t="shared" si="0"/>
        <v>106.51</v>
      </c>
      <c r="H34" s="40">
        <f t="shared" si="0"/>
        <v>42.35</v>
      </c>
      <c r="I34" s="40">
        <f t="shared" si="0"/>
        <v>10.74</v>
      </c>
      <c r="J34" s="40">
        <f t="shared" si="0"/>
        <v>0.15</v>
      </c>
      <c r="K34" s="40">
        <f t="shared" si="0"/>
        <v>47.18</v>
      </c>
      <c r="L34" s="40">
        <f t="shared" si="0"/>
        <v>15.18</v>
      </c>
      <c r="M34" s="40">
        <f t="shared" si="0"/>
        <v>34.56</v>
      </c>
      <c r="N34" s="40">
        <f t="shared" si="0"/>
        <v>1.3</v>
      </c>
      <c r="O34" s="40">
        <f t="shared" si="0"/>
        <v>0</v>
      </c>
      <c r="P34" s="40">
        <f t="shared" si="0"/>
        <v>0.93</v>
      </c>
      <c r="Q34" s="40">
        <f t="shared" si="0"/>
        <v>4.74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19.190000000000001</v>
      </c>
      <c r="C35" s="33">
        <f t="shared" si="1"/>
        <v>26.69</v>
      </c>
      <c r="D35" s="33">
        <f t="shared" si="1"/>
        <v>27.21</v>
      </c>
      <c r="E35" s="33">
        <f t="shared" si="1"/>
        <v>15.6</v>
      </c>
      <c r="F35" s="33">
        <f t="shared" si="1"/>
        <v>13.49</v>
      </c>
      <c r="G35" s="33">
        <f t="shared" si="1"/>
        <v>158.91</v>
      </c>
      <c r="H35" s="33">
        <f t="shared" si="1"/>
        <v>46.18</v>
      </c>
      <c r="I35" s="33">
        <f t="shared" si="1"/>
        <v>13.51</v>
      </c>
      <c r="J35" s="33">
        <f t="shared" si="1"/>
        <v>0.75</v>
      </c>
      <c r="K35" s="33">
        <f t="shared" si="1"/>
        <v>350.75</v>
      </c>
      <c r="L35" s="33">
        <f t="shared" si="1"/>
        <v>27.72</v>
      </c>
      <c r="M35" s="33">
        <f t="shared" si="1"/>
        <v>92.19</v>
      </c>
      <c r="N35" s="33">
        <f t="shared" si="1"/>
        <v>446.7</v>
      </c>
      <c r="O35" s="33">
        <f t="shared" si="1"/>
        <v>0</v>
      </c>
      <c r="P35" s="33">
        <f t="shared" si="1"/>
        <v>1.0900000000000001</v>
      </c>
      <c r="Q35" s="33">
        <f t="shared" si="1"/>
        <v>4.79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10.422916666666667</v>
      </c>
      <c r="C36" s="40">
        <f t="shared" si="2"/>
        <v>22.886666666666667</v>
      </c>
      <c r="D36" s="40">
        <f t="shared" si="2"/>
        <v>21.490000000000006</v>
      </c>
      <c r="E36" s="40">
        <f t="shared" si="2"/>
        <v>9.7808333333333302</v>
      </c>
      <c r="F36" s="40">
        <f t="shared" si="2"/>
        <v>7.2754166666666658</v>
      </c>
      <c r="G36" s="40">
        <f t="shared" si="2"/>
        <v>124.78166666666668</v>
      </c>
      <c r="H36" s="40">
        <f t="shared" si="2"/>
        <v>44.507499999999993</v>
      </c>
      <c r="I36" s="40">
        <f t="shared" si="2"/>
        <v>11.998749999999999</v>
      </c>
      <c r="J36" s="40">
        <f t="shared" si="2"/>
        <v>0.34416666666666668</v>
      </c>
      <c r="K36" s="40">
        <f t="shared" si="2"/>
        <v>200.2558333333333</v>
      </c>
      <c r="L36" s="40">
        <f t="shared" si="2"/>
        <v>20.780833333333337</v>
      </c>
      <c r="M36" s="40">
        <f t="shared" si="2"/>
        <v>67.581249999999983</v>
      </c>
      <c r="N36" s="40">
        <f t="shared" si="2"/>
        <v>107.5291666666667</v>
      </c>
      <c r="O36" s="40">
        <f t="shared" si="2"/>
        <v>0</v>
      </c>
      <c r="P36" s="40">
        <f t="shared" si="2"/>
        <v>1.0149999999999999</v>
      </c>
      <c r="Q36" s="40">
        <f t="shared" si="2"/>
        <v>4.7641666666666662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5.5556085873072698</v>
      </c>
      <c r="C37" s="40">
        <f t="shared" ref="C37:Q37" si="3">STDEV(C9:C32)</f>
        <v>1.6761359980795429</v>
      </c>
      <c r="D37" s="40">
        <f t="shared" si="3"/>
        <v>4.1338791131017487</v>
      </c>
      <c r="E37" s="40">
        <f t="shared" si="3"/>
        <v>1.7565675933891587</v>
      </c>
      <c r="F37" s="40">
        <f t="shared" si="3"/>
        <v>2.5442415443962676</v>
      </c>
      <c r="G37" s="40">
        <f t="shared" si="3"/>
        <v>14.015421527007422</v>
      </c>
      <c r="H37" s="40">
        <f t="shared" si="3"/>
        <v>1.0655198771941199</v>
      </c>
      <c r="I37" s="40">
        <f t="shared" si="3"/>
        <v>0.85687152149423296</v>
      </c>
      <c r="J37" s="40">
        <f t="shared" si="3"/>
        <v>0.18812384141874453</v>
      </c>
      <c r="K37" s="40">
        <f t="shared" si="3"/>
        <v>97.492393724115587</v>
      </c>
      <c r="L37" s="40">
        <f t="shared" si="3"/>
        <v>4.596001018528904</v>
      </c>
      <c r="M37" s="40">
        <f t="shared" si="3"/>
        <v>20.970409652132762</v>
      </c>
      <c r="N37" s="40">
        <f t="shared" si="3"/>
        <v>159.71873506170195</v>
      </c>
      <c r="O37" s="40">
        <f t="shared" si="3"/>
        <v>0</v>
      </c>
      <c r="P37" s="40">
        <f t="shared" si="3"/>
        <v>4.4232586846471723E-2</v>
      </c>
      <c r="Q37" s="40">
        <f t="shared" si="3"/>
        <v>1.2825472842090006E-2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45620.041666666664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45620.041666666664</v>
      </c>
      <c r="B9" s="53">
        <v>27.79</v>
      </c>
      <c r="C9" s="53">
        <v>25.84</v>
      </c>
      <c r="D9" s="53">
        <v>36.82</v>
      </c>
      <c r="E9" s="53">
        <v>9.08</v>
      </c>
      <c r="F9" s="53">
        <v>5.57</v>
      </c>
      <c r="G9" s="53">
        <v>145.19</v>
      </c>
      <c r="H9" s="53">
        <v>45.6</v>
      </c>
      <c r="I9" s="53">
        <v>12.42</v>
      </c>
      <c r="J9" s="53">
        <v>0.18</v>
      </c>
      <c r="K9" s="53">
        <v>235.07</v>
      </c>
      <c r="L9" s="53">
        <v>16.690000000000001</v>
      </c>
      <c r="M9" s="53">
        <v>87.23</v>
      </c>
      <c r="N9" s="53">
        <v>1.4</v>
      </c>
      <c r="O9" s="53">
        <v>0</v>
      </c>
      <c r="P9" s="53">
        <v>1.1299999999999999</v>
      </c>
      <c r="Q9" s="53">
        <v>4.76</v>
      </c>
    </row>
    <row r="10" spans="1:21" customFormat="1">
      <c r="A10" s="52">
        <v>45620.083333333336</v>
      </c>
      <c r="B10" s="53">
        <v>35.92</v>
      </c>
      <c r="C10" s="53">
        <v>25.42</v>
      </c>
      <c r="D10" s="53">
        <v>43.06</v>
      </c>
      <c r="E10" s="53">
        <v>9.42</v>
      </c>
      <c r="F10" s="53">
        <v>5.82</v>
      </c>
      <c r="G10" s="53">
        <v>150.13</v>
      </c>
      <c r="H10" s="53">
        <v>46.8</v>
      </c>
      <c r="I10" s="53">
        <v>13.33</v>
      </c>
      <c r="J10" s="53">
        <v>0.24</v>
      </c>
      <c r="K10" s="53">
        <v>183.24</v>
      </c>
      <c r="L10" s="53">
        <v>16.55</v>
      </c>
      <c r="M10" s="53">
        <v>89.14</v>
      </c>
      <c r="N10" s="53">
        <v>1.4</v>
      </c>
      <c r="O10" s="53">
        <v>0</v>
      </c>
      <c r="P10" s="53">
        <v>1.2</v>
      </c>
      <c r="Q10" s="53">
        <v>4.74</v>
      </c>
    </row>
    <row r="11" spans="1:21" customFormat="1">
      <c r="A11" s="52">
        <v>45620.125</v>
      </c>
      <c r="B11" s="53">
        <v>35.44</v>
      </c>
      <c r="C11" s="53">
        <v>24.45</v>
      </c>
      <c r="D11" s="53">
        <v>42.55</v>
      </c>
      <c r="E11" s="53">
        <v>7.96</v>
      </c>
      <c r="F11" s="53">
        <v>5.8</v>
      </c>
      <c r="G11" s="53">
        <v>150.11000000000001</v>
      </c>
      <c r="H11" s="53">
        <v>47.98</v>
      </c>
      <c r="I11" s="53">
        <v>14.22</v>
      </c>
      <c r="J11" s="53">
        <v>0.34</v>
      </c>
      <c r="K11" s="53">
        <v>184.32</v>
      </c>
      <c r="L11" s="53">
        <v>16.510000000000002</v>
      </c>
      <c r="M11" s="53">
        <v>85.51</v>
      </c>
      <c r="N11" s="53">
        <v>1.6</v>
      </c>
      <c r="O11" s="53">
        <v>0</v>
      </c>
      <c r="P11" s="53">
        <v>1.21</v>
      </c>
      <c r="Q11" s="53">
        <v>4.75</v>
      </c>
    </row>
    <row r="12" spans="1:21" customFormat="1">
      <c r="A12" s="52">
        <v>45620.166666666664</v>
      </c>
      <c r="B12" s="53">
        <v>30.69</v>
      </c>
      <c r="C12" s="53">
        <v>23.47</v>
      </c>
      <c r="D12" s="53">
        <v>38.229999999999997</v>
      </c>
      <c r="E12" s="53">
        <v>8.26</v>
      </c>
      <c r="F12" s="53">
        <v>5.71</v>
      </c>
      <c r="G12" s="53">
        <v>149.07</v>
      </c>
      <c r="H12" s="53">
        <v>49.49</v>
      </c>
      <c r="I12" s="53">
        <v>14.46</v>
      </c>
      <c r="J12" s="53">
        <v>0.12</v>
      </c>
      <c r="K12" s="53">
        <v>222.75</v>
      </c>
      <c r="L12" s="53">
        <v>15.37</v>
      </c>
      <c r="M12" s="53">
        <v>91.26</v>
      </c>
      <c r="N12" s="53">
        <v>1.7</v>
      </c>
      <c r="O12" s="53">
        <v>0</v>
      </c>
      <c r="P12" s="53">
        <v>1.22</v>
      </c>
      <c r="Q12" s="53">
        <v>4.76</v>
      </c>
    </row>
    <row r="13" spans="1:21" customFormat="1">
      <c r="A13" s="52">
        <v>45620.208333333336</v>
      </c>
      <c r="B13" s="53">
        <v>29.69</v>
      </c>
      <c r="C13" s="53">
        <v>22.9</v>
      </c>
      <c r="D13" s="53">
        <v>37.119999999999997</v>
      </c>
      <c r="E13" s="53">
        <v>8.1300000000000008</v>
      </c>
      <c r="F13" s="53">
        <v>5.52</v>
      </c>
      <c r="G13" s="53">
        <v>139.62</v>
      </c>
      <c r="H13" s="53">
        <v>50.32</v>
      </c>
      <c r="I13" s="53">
        <v>14.86</v>
      </c>
      <c r="J13" s="53">
        <v>0.26</v>
      </c>
      <c r="K13" s="53">
        <v>216.88</v>
      </c>
      <c r="L13" s="53">
        <v>15.45</v>
      </c>
      <c r="M13" s="53">
        <v>88.93</v>
      </c>
      <c r="N13" s="53">
        <v>1.4</v>
      </c>
      <c r="O13" s="53">
        <v>0</v>
      </c>
      <c r="P13" s="53">
        <v>1.21</v>
      </c>
      <c r="Q13" s="53">
        <v>4.7699999999999996</v>
      </c>
    </row>
    <row r="14" spans="1:21" customFormat="1">
      <c r="A14" s="52">
        <v>45620.25</v>
      </c>
      <c r="B14" s="53">
        <v>28.74</v>
      </c>
      <c r="C14" s="53">
        <v>23.33</v>
      </c>
      <c r="D14" s="53">
        <v>36.42</v>
      </c>
      <c r="E14" s="53">
        <v>7.49</v>
      </c>
      <c r="F14" s="53">
        <v>5.55</v>
      </c>
      <c r="G14" s="53">
        <v>136.62</v>
      </c>
      <c r="H14" s="53">
        <v>50.27</v>
      </c>
      <c r="I14" s="53">
        <v>14.92</v>
      </c>
      <c r="J14" s="53">
        <v>0.15</v>
      </c>
      <c r="K14" s="53">
        <v>217.23</v>
      </c>
      <c r="L14" s="53">
        <v>15.68</v>
      </c>
      <c r="M14" s="53">
        <v>87.83</v>
      </c>
      <c r="N14" s="53">
        <v>1.6</v>
      </c>
      <c r="O14" s="53">
        <v>0</v>
      </c>
      <c r="P14" s="53">
        <v>1.21</v>
      </c>
      <c r="Q14" s="53">
        <v>4.78</v>
      </c>
    </row>
    <row r="15" spans="1:21" customFormat="1">
      <c r="A15" s="52">
        <v>45620.291666666664</v>
      </c>
      <c r="B15" s="53">
        <v>28.73</v>
      </c>
      <c r="C15" s="53">
        <v>23.72</v>
      </c>
      <c r="D15" s="53">
        <v>36.78</v>
      </c>
      <c r="E15" s="53">
        <v>7.2</v>
      </c>
      <c r="F15" s="53">
        <v>5.47</v>
      </c>
      <c r="G15" s="53">
        <v>122.39</v>
      </c>
      <c r="H15" s="53">
        <v>48.42</v>
      </c>
      <c r="I15" s="53">
        <v>14.62</v>
      </c>
      <c r="J15" s="53">
        <v>0.16</v>
      </c>
      <c r="K15" s="53">
        <v>189.58</v>
      </c>
      <c r="L15" s="53">
        <v>15.08</v>
      </c>
      <c r="M15" s="53">
        <v>90.85</v>
      </c>
      <c r="N15" s="53">
        <v>27.5</v>
      </c>
      <c r="O15" s="53">
        <v>0</v>
      </c>
      <c r="P15" s="53">
        <v>1.18</v>
      </c>
      <c r="Q15" s="53">
        <v>4.7699999999999996</v>
      </c>
    </row>
    <row r="16" spans="1:21" customFormat="1">
      <c r="A16" s="52">
        <v>45620.333333333336</v>
      </c>
      <c r="B16" s="53">
        <v>27.67</v>
      </c>
      <c r="C16" s="53">
        <v>23.62</v>
      </c>
      <c r="D16" s="53">
        <v>35.51</v>
      </c>
      <c r="E16" s="53">
        <v>7.21</v>
      </c>
      <c r="F16" s="53">
        <v>5.62</v>
      </c>
      <c r="G16" s="53">
        <v>117.58</v>
      </c>
      <c r="H16" s="53">
        <v>44.79</v>
      </c>
      <c r="I16" s="53">
        <v>14.41</v>
      </c>
      <c r="J16" s="53">
        <v>0.5</v>
      </c>
      <c r="K16" s="53">
        <v>51.81</v>
      </c>
      <c r="L16" s="53">
        <v>17.7</v>
      </c>
      <c r="M16" s="53">
        <v>81.73</v>
      </c>
      <c r="N16" s="53">
        <v>146.19999999999999</v>
      </c>
      <c r="O16" s="53">
        <v>0</v>
      </c>
      <c r="P16" s="53">
        <v>1.1599999999999999</v>
      </c>
      <c r="Q16" s="53">
        <v>4.7699999999999996</v>
      </c>
    </row>
    <row r="17" spans="1:17" customFormat="1">
      <c r="A17" s="52">
        <v>45620.375</v>
      </c>
      <c r="B17" s="53">
        <v>24.16</v>
      </c>
      <c r="C17" s="53">
        <v>25.23</v>
      </c>
      <c r="D17" s="53">
        <v>33.22</v>
      </c>
      <c r="E17" s="53">
        <v>7.74</v>
      </c>
      <c r="F17" s="53">
        <v>5.69</v>
      </c>
      <c r="G17" s="53">
        <v>112.17</v>
      </c>
      <c r="H17" s="53">
        <v>45.84</v>
      </c>
      <c r="I17" s="53">
        <v>14.3</v>
      </c>
      <c r="J17" s="53">
        <v>0.56000000000000005</v>
      </c>
      <c r="K17" s="53">
        <v>58.39</v>
      </c>
      <c r="L17" s="53">
        <v>21.2</v>
      </c>
      <c r="M17" s="53">
        <v>68.73</v>
      </c>
      <c r="N17" s="53">
        <v>233.3</v>
      </c>
      <c r="O17" s="53">
        <v>0</v>
      </c>
      <c r="P17" s="53">
        <v>1.1599999999999999</v>
      </c>
      <c r="Q17" s="53">
        <v>4.76</v>
      </c>
    </row>
    <row r="18" spans="1:17" customFormat="1">
      <c r="A18" s="52">
        <v>45620.416666666664</v>
      </c>
      <c r="B18" s="53">
        <v>17.16</v>
      </c>
      <c r="C18" s="53">
        <v>26.92</v>
      </c>
      <c r="D18" s="53">
        <v>28.51</v>
      </c>
      <c r="E18" s="53">
        <v>7.6</v>
      </c>
      <c r="F18" s="53">
        <v>6.38</v>
      </c>
      <c r="G18" s="53">
        <v>112.14</v>
      </c>
      <c r="H18" s="53">
        <v>45.74</v>
      </c>
      <c r="I18" s="53">
        <v>14.06</v>
      </c>
      <c r="J18" s="53">
        <v>0.64</v>
      </c>
      <c r="K18" s="53">
        <v>80.95</v>
      </c>
      <c r="L18" s="53">
        <v>23.77</v>
      </c>
      <c r="M18" s="53">
        <v>55.04</v>
      </c>
      <c r="N18" s="53">
        <v>384.6</v>
      </c>
      <c r="O18" s="53">
        <v>0</v>
      </c>
      <c r="P18" s="53">
        <v>1.1100000000000001</v>
      </c>
      <c r="Q18" s="53">
        <v>4.7699999999999996</v>
      </c>
    </row>
    <row r="19" spans="1:17" customFormat="1">
      <c r="A19" s="52">
        <v>45620.458333333336</v>
      </c>
      <c r="B19" s="53">
        <v>10.65</v>
      </c>
      <c r="C19" s="53">
        <v>26.33</v>
      </c>
      <c r="D19" s="53">
        <v>23.65</v>
      </c>
      <c r="E19" s="53">
        <v>8.82</v>
      </c>
      <c r="F19" s="53">
        <v>6.64</v>
      </c>
      <c r="G19" s="53">
        <v>110.85</v>
      </c>
      <c r="H19" s="53">
        <v>43.4</v>
      </c>
      <c r="I19" s="53">
        <v>13.62</v>
      </c>
      <c r="J19" s="53">
        <v>0.56000000000000005</v>
      </c>
      <c r="K19" s="53">
        <v>52.65</v>
      </c>
      <c r="L19" s="53">
        <v>25.37</v>
      </c>
      <c r="M19" s="53">
        <v>46.42</v>
      </c>
      <c r="N19" s="53">
        <v>422</v>
      </c>
      <c r="O19" s="53">
        <v>0</v>
      </c>
      <c r="P19" s="53">
        <v>1.03</v>
      </c>
      <c r="Q19" s="53">
        <v>4.75</v>
      </c>
    </row>
    <row r="20" spans="1:17" customFormat="1">
      <c r="A20" s="52">
        <v>45620.5</v>
      </c>
      <c r="B20" s="53">
        <v>7.57</v>
      </c>
      <c r="C20" s="53">
        <v>23.92</v>
      </c>
      <c r="D20" s="53">
        <v>19.920000000000002</v>
      </c>
      <c r="E20" s="53">
        <v>9.4600000000000009</v>
      </c>
      <c r="F20" s="53">
        <v>7.21</v>
      </c>
      <c r="G20" s="53">
        <v>102.22</v>
      </c>
      <c r="H20" s="53">
        <v>44.27</v>
      </c>
      <c r="I20" s="53">
        <v>13.1</v>
      </c>
      <c r="J20" s="53">
        <v>0.65</v>
      </c>
      <c r="K20" s="53">
        <v>128.13</v>
      </c>
      <c r="L20" s="53">
        <v>26.82</v>
      </c>
      <c r="M20" s="53">
        <v>38.69</v>
      </c>
      <c r="N20" s="53">
        <v>469.5</v>
      </c>
      <c r="O20" s="53">
        <v>0</v>
      </c>
      <c r="P20" s="53">
        <v>0.98</v>
      </c>
      <c r="Q20" s="53">
        <v>4.76</v>
      </c>
    </row>
    <row r="21" spans="1:17" customFormat="1">
      <c r="A21" s="52">
        <v>45620.541666666664</v>
      </c>
      <c r="B21" s="53">
        <v>5.45</v>
      </c>
      <c r="C21" s="53">
        <v>22.35</v>
      </c>
      <c r="D21" s="53">
        <v>17.399999999999999</v>
      </c>
      <c r="E21" s="53">
        <v>10.08</v>
      </c>
      <c r="F21" s="53">
        <v>8.2100000000000009</v>
      </c>
      <c r="G21" s="53">
        <v>99.81</v>
      </c>
      <c r="H21" s="53">
        <v>44.21</v>
      </c>
      <c r="I21" s="53">
        <v>12.4</v>
      </c>
      <c r="J21" s="53">
        <v>0.86</v>
      </c>
      <c r="K21" s="53">
        <v>109.02</v>
      </c>
      <c r="L21" s="53">
        <v>27.37</v>
      </c>
      <c r="M21" s="53">
        <v>37.659999999999997</v>
      </c>
      <c r="N21" s="53">
        <v>410.6</v>
      </c>
      <c r="O21" s="53">
        <v>0</v>
      </c>
      <c r="P21" s="53">
        <v>0.92</v>
      </c>
      <c r="Q21" s="53">
        <v>4.76</v>
      </c>
    </row>
    <row r="22" spans="1:17" customFormat="1">
      <c r="A22" s="52">
        <v>45620.583333333336</v>
      </c>
      <c r="B22" s="53">
        <v>4.6500000000000004</v>
      </c>
      <c r="C22" s="53">
        <v>20.89</v>
      </c>
      <c r="D22" s="53">
        <v>15.99</v>
      </c>
      <c r="E22" s="53">
        <v>10.32</v>
      </c>
      <c r="F22" s="53">
        <v>11.65</v>
      </c>
      <c r="G22" s="53">
        <v>95.42</v>
      </c>
      <c r="H22" s="53">
        <v>42.14</v>
      </c>
      <c r="I22" s="53">
        <v>11.73</v>
      </c>
      <c r="J22" s="53">
        <v>0.63</v>
      </c>
      <c r="K22" s="53">
        <v>33.49</v>
      </c>
      <c r="L22" s="53">
        <v>27.59</v>
      </c>
      <c r="M22" s="53">
        <v>33.17</v>
      </c>
      <c r="N22" s="53">
        <v>397.8</v>
      </c>
      <c r="O22" s="53">
        <v>0</v>
      </c>
      <c r="P22" s="53">
        <v>0.88</v>
      </c>
      <c r="Q22" s="53">
        <v>4.75</v>
      </c>
    </row>
    <row r="23" spans="1:17" customFormat="1">
      <c r="A23" s="52">
        <v>45620.625</v>
      </c>
      <c r="B23" s="53">
        <v>4.45</v>
      </c>
      <c r="C23" s="53">
        <v>19.62</v>
      </c>
      <c r="D23" s="53">
        <v>15.11</v>
      </c>
      <c r="E23" s="53">
        <v>10.48</v>
      </c>
      <c r="F23" s="53">
        <v>11.43</v>
      </c>
      <c r="G23" s="53">
        <v>90.56</v>
      </c>
      <c r="H23" s="53">
        <v>40</v>
      </c>
      <c r="I23" s="53">
        <v>10.85</v>
      </c>
      <c r="J23" s="53">
        <v>0.77</v>
      </c>
      <c r="K23" s="53">
        <v>52.7</v>
      </c>
      <c r="L23" s="53">
        <v>27.2</v>
      </c>
      <c r="M23" s="53">
        <v>31.31</v>
      </c>
      <c r="N23" s="53">
        <v>106</v>
      </c>
      <c r="O23" s="53">
        <v>0</v>
      </c>
      <c r="P23" s="53">
        <v>0.89</v>
      </c>
      <c r="Q23" s="53">
        <v>4.76</v>
      </c>
    </row>
    <row r="24" spans="1:17" customFormat="1">
      <c r="A24" s="52">
        <v>45620.666666666664</v>
      </c>
      <c r="B24" s="53">
        <v>4.07</v>
      </c>
      <c r="C24" s="53">
        <v>20.48</v>
      </c>
      <c r="D24" s="53">
        <v>15.29</v>
      </c>
      <c r="E24" s="53">
        <v>9.64</v>
      </c>
      <c r="F24" s="53">
        <v>12.51</v>
      </c>
      <c r="G24" s="53">
        <v>79.930000000000007</v>
      </c>
      <c r="H24" s="53">
        <v>35.69</v>
      </c>
      <c r="I24" s="53">
        <v>10.38</v>
      </c>
      <c r="J24" s="53">
        <v>0.67</v>
      </c>
      <c r="K24" s="53">
        <v>44.04</v>
      </c>
      <c r="L24" s="53">
        <v>26.8</v>
      </c>
      <c r="M24" s="53">
        <v>30.99</v>
      </c>
      <c r="N24" s="53">
        <v>59</v>
      </c>
      <c r="O24" s="53">
        <v>0</v>
      </c>
      <c r="P24" s="53">
        <v>0.87</v>
      </c>
      <c r="Q24" s="53">
        <v>4.78</v>
      </c>
    </row>
    <row r="25" spans="1:17" customFormat="1">
      <c r="A25" s="52">
        <v>45620.708333333336</v>
      </c>
      <c r="B25" s="53">
        <v>4.59</v>
      </c>
      <c r="C25" s="53">
        <v>23.46</v>
      </c>
      <c r="D25" s="53">
        <v>17.29</v>
      </c>
      <c r="E25" s="53">
        <v>9.44</v>
      </c>
      <c r="F25" s="53">
        <v>9.19</v>
      </c>
      <c r="G25" s="53">
        <v>70.819999999999993</v>
      </c>
      <c r="H25" s="53">
        <v>34.24</v>
      </c>
      <c r="I25" s="53">
        <v>9.4499999999999993</v>
      </c>
      <c r="J25" s="53">
        <v>0.54</v>
      </c>
      <c r="K25" s="53">
        <v>54.05</v>
      </c>
      <c r="L25" s="53">
        <v>26.12</v>
      </c>
      <c r="M25" s="53">
        <v>38.19</v>
      </c>
      <c r="N25" s="53">
        <v>27.3</v>
      </c>
      <c r="O25" s="53">
        <v>0</v>
      </c>
      <c r="P25" s="53">
        <v>0.84</v>
      </c>
      <c r="Q25" s="53">
        <v>4.76</v>
      </c>
    </row>
    <row r="26" spans="1:17" customFormat="1">
      <c r="A26" s="52">
        <v>45620.75</v>
      </c>
      <c r="B26" s="53">
        <v>4.95</v>
      </c>
      <c r="C26" s="53">
        <v>24.15</v>
      </c>
      <c r="D26" s="53">
        <v>17.940000000000001</v>
      </c>
      <c r="E26" s="53">
        <v>8.8000000000000007</v>
      </c>
      <c r="F26" s="53">
        <v>6.69</v>
      </c>
      <c r="G26" s="53">
        <v>85.35</v>
      </c>
      <c r="H26" s="53">
        <v>34.18</v>
      </c>
      <c r="I26" s="53">
        <v>9.07</v>
      </c>
      <c r="J26" s="53">
        <v>0.33</v>
      </c>
      <c r="K26" s="53">
        <v>165.79</v>
      </c>
      <c r="L26" s="53">
        <v>23.75</v>
      </c>
      <c r="M26" s="53">
        <v>56.51</v>
      </c>
      <c r="N26" s="53">
        <v>3</v>
      </c>
      <c r="O26" s="53">
        <v>0</v>
      </c>
      <c r="P26" s="53">
        <v>0.88</v>
      </c>
      <c r="Q26" s="53">
        <v>4.76</v>
      </c>
    </row>
    <row r="27" spans="1:17" customFormat="1">
      <c r="A27" s="52">
        <v>45620.791666666664</v>
      </c>
      <c r="B27" s="53">
        <v>5.29</v>
      </c>
      <c r="C27" s="53">
        <v>24.02</v>
      </c>
      <c r="D27" s="53">
        <v>18.05</v>
      </c>
      <c r="E27" s="53">
        <v>8.6199999999999992</v>
      </c>
      <c r="F27" s="53">
        <v>6.07</v>
      </c>
      <c r="G27" s="53">
        <v>91.25</v>
      </c>
      <c r="H27" s="53">
        <v>32.090000000000003</v>
      </c>
      <c r="I27" s="53">
        <v>9.5500000000000007</v>
      </c>
      <c r="J27" s="53">
        <v>0.31</v>
      </c>
      <c r="K27" s="53">
        <v>202.11</v>
      </c>
      <c r="L27" s="53">
        <v>20.93</v>
      </c>
      <c r="M27" s="53">
        <v>72.77</v>
      </c>
      <c r="N27" s="53">
        <v>1.8</v>
      </c>
      <c r="O27" s="53">
        <v>0</v>
      </c>
      <c r="P27" s="53">
        <v>0.95</v>
      </c>
      <c r="Q27" s="53">
        <v>4.76</v>
      </c>
    </row>
    <row r="28" spans="1:17" customFormat="1">
      <c r="A28" s="52">
        <v>45620.833333333336</v>
      </c>
      <c r="B28" s="53">
        <v>7.38</v>
      </c>
      <c r="C28" s="53">
        <v>24.11</v>
      </c>
      <c r="D28" s="53">
        <v>19.809999999999999</v>
      </c>
      <c r="E28" s="53">
        <v>8.67</v>
      </c>
      <c r="F28" s="53">
        <v>5.78</v>
      </c>
      <c r="G28" s="53">
        <v>92.7</v>
      </c>
      <c r="H28" s="53">
        <v>32.130000000000003</v>
      </c>
      <c r="I28" s="53">
        <v>10.29</v>
      </c>
      <c r="J28" s="53">
        <v>0.23</v>
      </c>
      <c r="K28" s="53">
        <v>204.03</v>
      </c>
      <c r="L28" s="53">
        <v>18.91</v>
      </c>
      <c r="M28" s="53">
        <v>77.92</v>
      </c>
      <c r="N28" s="53">
        <v>1.7</v>
      </c>
      <c r="O28" s="53">
        <v>0</v>
      </c>
      <c r="P28" s="53">
        <v>0.99</v>
      </c>
      <c r="Q28" s="53">
        <v>4.78</v>
      </c>
    </row>
    <row r="29" spans="1:17" customFormat="1">
      <c r="A29" s="52">
        <v>45620.875</v>
      </c>
      <c r="B29" s="53">
        <v>7.44</v>
      </c>
      <c r="C29" s="53">
        <v>23.33</v>
      </c>
      <c r="D29" s="53">
        <v>19.510000000000002</v>
      </c>
      <c r="E29" s="53">
        <v>8.9</v>
      </c>
      <c r="F29" s="53">
        <v>6.01</v>
      </c>
      <c r="G29" s="53">
        <v>98.91</v>
      </c>
      <c r="H29" s="53">
        <v>35.159999999999997</v>
      </c>
      <c r="I29" s="53">
        <v>10.69</v>
      </c>
      <c r="J29" s="53">
        <v>0.17</v>
      </c>
      <c r="K29" s="53">
        <v>230.46</v>
      </c>
      <c r="L29" s="53">
        <v>17.760000000000002</v>
      </c>
      <c r="M29" s="53">
        <v>80.81</v>
      </c>
      <c r="N29" s="53">
        <v>1.4</v>
      </c>
      <c r="O29" s="53">
        <v>0</v>
      </c>
      <c r="P29" s="53">
        <v>0.98</v>
      </c>
      <c r="Q29" s="53">
        <v>4.76</v>
      </c>
    </row>
    <row r="30" spans="1:17" customFormat="1">
      <c r="A30" s="52">
        <v>45620.916666666664</v>
      </c>
      <c r="B30" s="53">
        <v>7.24</v>
      </c>
      <c r="C30" s="53">
        <v>21.17</v>
      </c>
      <c r="D30" s="53">
        <v>18.22</v>
      </c>
      <c r="E30" s="53">
        <v>8.7100000000000009</v>
      </c>
      <c r="F30" s="53">
        <v>5.98</v>
      </c>
      <c r="G30" s="53">
        <v>103.16</v>
      </c>
      <c r="H30" s="53">
        <v>35.06</v>
      </c>
      <c r="I30" s="53">
        <v>10.96</v>
      </c>
      <c r="J30" s="53">
        <v>0.16</v>
      </c>
      <c r="K30" s="53">
        <v>232.09</v>
      </c>
      <c r="L30" s="53">
        <v>17.100000000000001</v>
      </c>
      <c r="M30" s="53">
        <v>82.33</v>
      </c>
      <c r="N30" s="53">
        <v>1.3</v>
      </c>
      <c r="O30" s="53">
        <v>0</v>
      </c>
      <c r="P30" s="53">
        <v>1.01</v>
      </c>
      <c r="Q30" s="53">
        <v>4.76</v>
      </c>
    </row>
    <row r="31" spans="1:17" customFormat="1">
      <c r="A31" s="52">
        <v>45620.958333333336</v>
      </c>
      <c r="B31" s="53">
        <v>7.04</v>
      </c>
      <c r="C31" s="53">
        <v>19.920000000000002</v>
      </c>
      <c r="D31" s="53">
        <v>17.399999999999999</v>
      </c>
      <c r="E31" s="53">
        <v>8.6300000000000008</v>
      </c>
      <c r="F31" s="53">
        <v>5.71</v>
      </c>
      <c r="G31" s="53">
        <v>103.33</v>
      </c>
      <c r="H31" s="53">
        <v>35.44</v>
      </c>
      <c r="I31" s="53">
        <v>11.21</v>
      </c>
      <c r="J31" s="53">
        <v>0.14000000000000001</v>
      </c>
      <c r="K31" s="53">
        <v>231.94</v>
      </c>
      <c r="L31" s="53">
        <v>16.809999999999999</v>
      </c>
      <c r="M31" s="53">
        <v>84.84</v>
      </c>
      <c r="N31" s="53">
        <v>1.3</v>
      </c>
      <c r="O31" s="53">
        <v>0</v>
      </c>
      <c r="P31" s="53">
        <v>1.02</v>
      </c>
      <c r="Q31" s="53">
        <v>4.75</v>
      </c>
    </row>
    <row r="32" spans="1:17" customFormat="1">
      <c r="A32" s="52">
        <v>45621</v>
      </c>
      <c r="B32" s="53">
        <v>7.41</v>
      </c>
      <c r="C32" s="53">
        <v>18.82</v>
      </c>
      <c r="D32" s="53">
        <v>17.13</v>
      </c>
      <c r="E32" s="53">
        <v>8.66</v>
      </c>
      <c r="F32" s="53">
        <v>5.65</v>
      </c>
      <c r="G32" s="53">
        <v>103.19</v>
      </c>
      <c r="H32" s="53">
        <v>36.06</v>
      </c>
      <c r="I32" s="53">
        <v>11.36</v>
      </c>
      <c r="J32" s="53">
        <v>0.13</v>
      </c>
      <c r="K32" s="53">
        <v>228.64</v>
      </c>
      <c r="L32" s="53">
        <v>16.190000000000001</v>
      </c>
      <c r="M32" s="53">
        <v>85.03</v>
      </c>
      <c r="N32" s="53">
        <v>1.4</v>
      </c>
      <c r="O32" s="53">
        <v>0</v>
      </c>
      <c r="P32" s="53">
        <v>1.04</v>
      </c>
      <c r="Q32" s="53">
        <v>4.76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4.07</v>
      </c>
      <c r="C34" s="40">
        <f t="shared" si="0"/>
        <v>18.82</v>
      </c>
      <c r="D34" s="40">
        <f t="shared" si="0"/>
        <v>15.11</v>
      </c>
      <c r="E34" s="40">
        <f t="shared" si="0"/>
        <v>7.2</v>
      </c>
      <c r="F34" s="40">
        <f t="shared" si="0"/>
        <v>5.47</v>
      </c>
      <c r="G34" s="40">
        <f t="shared" si="0"/>
        <v>70.819999999999993</v>
      </c>
      <c r="H34" s="40">
        <f t="shared" si="0"/>
        <v>32.090000000000003</v>
      </c>
      <c r="I34" s="40">
        <f t="shared" si="0"/>
        <v>9.07</v>
      </c>
      <c r="J34" s="40">
        <f t="shared" si="0"/>
        <v>0.12</v>
      </c>
      <c r="K34" s="40">
        <f t="shared" si="0"/>
        <v>33.49</v>
      </c>
      <c r="L34" s="40">
        <f t="shared" si="0"/>
        <v>15.08</v>
      </c>
      <c r="M34" s="40">
        <f t="shared" si="0"/>
        <v>30.99</v>
      </c>
      <c r="N34" s="40">
        <f t="shared" si="0"/>
        <v>1.3</v>
      </c>
      <c r="O34" s="40">
        <f t="shared" si="0"/>
        <v>0</v>
      </c>
      <c r="P34" s="40">
        <f t="shared" si="0"/>
        <v>0.84</v>
      </c>
      <c r="Q34" s="40">
        <f t="shared" si="0"/>
        <v>4.74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35.92</v>
      </c>
      <c r="C35" s="33">
        <f t="shared" si="1"/>
        <v>26.92</v>
      </c>
      <c r="D35" s="33">
        <f t="shared" si="1"/>
        <v>43.06</v>
      </c>
      <c r="E35" s="33">
        <f t="shared" si="1"/>
        <v>10.48</v>
      </c>
      <c r="F35" s="33">
        <f t="shared" si="1"/>
        <v>12.51</v>
      </c>
      <c r="G35" s="33">
        <f t="shared" si="1"/>
        <v>150.13</v>
      </c>
      <c r="H35" s="33">
        <f t="shared" si="1"/>
        <v>50.32</v>
      </c>
      <c r="I35" s="33">
        <f t="shared" si="1"/>
        <v>14.92</v>
      </c>
      <c r="J35" s="33">
        <f t="shared" si="1"/>
        <v>0.86</v>
      </c>
      <c r="K35" s="33">
        <f t="shared" si="1"/>
        <v>235.07</v>
      </c>
      <c r="L35" s="33">
        <f t="shared" si="1"/>
        <v>27.59</v>
      </c>
      <c r="M35" s="33">
        <f t="shared" si="1"/>
        <v>91.26</v>
      </c>
      <c r="N35" s="33">
        <f t="shared" si="1"/>
        <v>469.5</v>
      </c>
      <c r="O35" s="33">
        <f t="shared" si="1"/>
        <v>0</v>
      </c>
      <c r="P35" s="33">
        <f t="shared" si="1"/>
        <v>1.22</v>
      </c>
      <c r="Q35" s="33">
        <f t="shared" si="1"/>
        <v>4.78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15.590416666666668</v>
      </c>
      <c r="C36" s="40">
        <f t="shared" si="2"/>
        <v>23.227916666666669</v>
      </c>
      <c r="D36" s="40">
        <f t="shared" si="2"/>
        <v>25.872083333333332</v>
      </c>
      <c r="E36" s="40">
        <f t="shared" si="2"/>
        <v>8.7216666666666658</v>
      </c>
      <c r="F36" s="40">
        <f t="shared" si="2"/>
        <v>6.9108333333333336</v>
      </c>
      <c r="G36" s="40">
        <f t="shared" si="2"/>
        <v>110.93833333333332</v>
      </c>
      <c r="H36" s="40">
        <f t="shared" si="2"/>
        <v>41.638333333333328</v>
      </c>
      <c r="I36" s="40">
        <f t="shared" si="2"/>
        <v>12.344166666666665</v>
      </c>
      <c r="J36" s="40">
        <f t="shared" si="2"/>
        <v>0.38750000000000012</v>
      </c>
      <c r="K36" s="40">
        <f t="shared" si="2"/>
        <v>150.39000000000001</v>
      </c>
      <c r="L36" s="40">
        <f t="shared" si="2"/>
        <v>20.53</v>
      </c>
      <c r="M36" s="40">
        <f t="shared" si="2"/>
        <v>67.620416666666657</v>
      </c>
      <c r="N36" s="40">
        <f t="shared" si="2"/>
        <v>112.70000000000005</v>
      </c>
      <c r="O36" s="40">
        <f t="shared" si="2"/>
        <v>0</v>
      </c>
      <c r="P36" s="40">
        <f t="shared" si="2"/>
        <v>1.0445833333333332</v>
      </c>
      <c r="Q36" s="40">
        <f t="shared" si="2"/>
        <v>4.7616666666666676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11.799614024330985</v>
      </c>
      <c r="C37" s="40">
        <f t="shared" ref="C37:Q37" si="3">STDEV(C9:C32)</f>
        <v>2.1383414523098399</v>
      </c>
      <c r="D37" s="40">
        <f t="shared" si="3"/>
        <v>9.9478715132900586</v>
      </c>
      <c r="E37" s="40">
        <f t="shared" si="3"/>
        <v>0.92237249226803841</v>
      </c>
      <c r="F37" s="40">
        <f t="shared" si="3"/>
        <v>2.1160585112865853</v>
      </c>
      <c r="G37" s="40">
        <f t="shared" si="3"/>
        <v>23.296848577075696</v>
      </c>
      <c r="H37" s="40">
        <f t="shared" si="3"/>
        <v>6.2071639303285426</v>
      </c>
      <c r="I37" s="40">
        <f t="shared" si="3"/>
        <v>1.9207582666334253</v>
      </c>
      <c r="J37" s="40">
        <f t="shared" si="3"/>
        <v>0.23406149322068237</v>
      </c>
      <c r="K37" s="40">
        <f t="shared" si="3"/>
        <v>76.691084284261123</v>
      </c>
      <c r="L37" s="40">
        <f t="shared" si="3"/>
        <v>4.7148802373097265</v>
      </c>
      <c r="M37" s="40">
        <f t="shared" si="3"/>
        <v>22.487161647243887</v>
      </c>
      <c r="N37" s="40">
        <f t="shared" si="3"/>
        <v>169.46153084043172</v>
      </c>
      <c r="O37" s="40">
        <f t="shared" si="3"/>
        <v>0</v>
      </c>
      <c r="P37" s="40">
        <f t="shared" si="3"/>
        <v>0.12884028423043878</v>
      </c>
      <c r="Q37" s="40">
        <f t="shared" si="3"/>
        <v>1.0072203103706694E-2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45621.041666666664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45621.041666666664</v>
      </c>
      <c r="B9" s="53">
        <v>9.08</v>
      </c>
      <c r="C9" s="53">
        <v>20.13</v>
      </c>
      <c r="D9" s="53">
        <v>19.149999999999999</v>
      </c>
      <c r="E9" s="53">
        <v>8.44</v>
      </c>
      <c r="F9" s="53">
        <v>5.65</v>
      </c>
      <c r="G9" s="53">
        <v>96.84</v>
      </c>
      <c r="H9" s="53">
        <v>36.74</v>
      </c>
      <c r="I9" s="53">
        <v>11.35</v>
      </c>
      <c r="J9" s="53">
        <v>0.2</v>
      </c>
      <c r="K9" s="53">
        <v>220.78</v>
      </c>
      <c r="L9" s="53">
        <v>16.059999999999999</v>
      </c>
      <c r="M9" s="53">
        <v>85.37</v>
      </c>
      <c r="N9" s="53">
        <v>1.4</v>
      </c>
      <c r="O9" s="53">
        <v>0</v>
      </c>
      <c r="P9" s="53">
        <v>1.07</v>
      </c>
      <c r="Q9" s="53">
        <v>4.78</v>
      </c>
    </row>
    <row r="10" spans="1:21" customFormat="1">
      <c r="A10" s="52">
        <v>45621.083333333336</v>
      </c>
      <c r="B10" s="53">
        <v>20.58</v>
      </c>
      <c r="C10" s="53">
        <v>22.73</v>
      </c>
      <c r="D10" s="53">
        <v>29.73</v>
      </c>
      <c r="E10" s="53">
        <v>7.97</v>
      </c>
      <c r="F10" s="53">
        <v>5.41</v>
      </c>
      <c r="G10" s="53">
        <v>97</v>
      </c>
      <c r="H10" s="53">
        <v>36.72</v>
      </c>
      <c r="I10" s="53">
        <v>11.58</v>
      </c>
      <c r="J10" s="53">
        <v>0.26</v>
      </c>
      <c r="K10" s="53">
        <v>237.71</v>
      </c>
      <c r="L10" s="53">
        <v>16.38</v>
      </c>
      <c r="M10" s="53">
        <v>83.4</v>
      </c>
      <c r="N10" s="53">
        <v>1.3</v>
      </c>
      <c r="O10" s="53">
        <v>0</v>
      </c>
      <c r="P10" s="53">
        <v>1.1399999999999999</v>
      </c>
      <c r="Q10" s="53">
        <v>4.7699999999999996</v>
      </c>
    </row>
    <row r="11" spans="1:21" customFormat="1">
      <c r="A11" s="52">
        <v>45621.125</v>
      </c>
      <c r="B11" s="53">
        <v>21.04</v>
      </c>
      <c r="C11" s="53">
        <v>22.91</v>
      </c>
      <c r="D11" s="53">
        <v>30</v>
      </c>
      <c r="E11" s="53">
        <v>7.95</v>
      </c>
      <c r="F11" s="53">
        <v>5.84</v>
      </c>
      <c r="G11" s="53">
        <v>106.82</v>
      </c>
      <c r="H11" s="53">
        <v>36.020000000000003</v>
      </c>
      <c r="I11" s="53">
        <v>12.94</v>
      </c>
      <c r="J11" s="53">
        <v>0.23</v>
      </c>
      <c r="K11" s="53">
        <v>356.37</v>
      </c>
      <c r="L11" s="53">
        <v>16.04</v>
      </c>
      <c r="M11" s="53">
        <v>77.819999999999993</v>
      </c>
      <c r="N11" s="53">
        <v>1.4</v>
      </c>
      <c r="O11" s="53">
        <v>0</v>
      </c>
      <c r="P11" s="53">
        <v>1.22</v>
      </c>
      <c r="Q11" s="53">
        <v>4.7699999999999996</v>
      </c>
    </row>
    <row r="12" spans="1:21" customFormat="1">
      <c r="A12" s="52">
        <v>45621.166666666664</v>
      </c>
      <c r="B12" s="53">
        <v>21.22</v>
      </c>
      <c r="C12" s="53">
        <v>22.48</v>
      </c>
      <c r="D12" s="53">
        <v>30.11</v>
      </c>
      <c r="E12" s="53">
        <v>8.76</v>
      </c>
      <c r="F12" s="53">
        <v>5.5</v>
      </c>
      <c r="G12" s="53">
        <v>136.09</v>
      </c>
      <c r="H12" s="53">
        <v>37.4</v>
      </c>
      <c r="I12" s="53">
        <v>13.44</v>
      </c>
      <c r="J12" s="53">
        <v>0.28000000000000003</v>
      </c>
      <c r="K12" s="53">
        <v>162.38</v>
      </c>
      <c r="L12" s="53">
        <v>15.64</v>
      </c>
      <c r="M12" s="53">
        <v>79.349999999999994</v>
      </c>
      <c r="N12" s="53">
        <v>1.5</v>
      </c>
      <c r="O12" s="53">
        <v>0</v>
      </c>
      <c r="P12" s="53">
        <v>1.21</v>
      </c>
      <c r="Q12" s="53">
        <v>4.7699999999999996</v>
      </c>
    </row>
    <row r="13" spans="1:21" customFormat="1">
      <c r="A13" s="52">
        <v>45621.208333333336</v>
      </c>
      <c r="B13" s="53">
        <v>19.28</v>
      </c>
      <c r="C13" s="53">
        <v>21.64</v>
      </c>
      <c r="D13" s="53">
        <v>28.12</v>
      </c>
      <c r="E13" s="53">
        <v>8.24</v>
      </c>
      <c r="F13" s="53">
        <v>5.43</v>
      </c>
      <c r="G13" s="53">
        <v>135.57</v>
      </c>
      <c r="H13" s="53">
        <v>37.380000000000003</v>
      </c>
      <c r="I13" s="53">
        <v>13.3</v>
      </c>
      <c r="J13" s="53">
        <v>0.15</v>
      </c>
      <c r="K13" s="53">
        <v>228.62</v>
      </c>
      <c r="L13" s="53">
        <v>14.89</v>
      </c>
      <c r="M13" s="53">
        <v>90.48</v>
      </c>
      <c r="N13" s="53">
        <v>1.4</v>
      </c>
      <c r="O13" s="53">
        <v>0</v>
      </c>
      <c r="P13" s="53">
        <v>1.17</v>
      </c>
      <c r="Q13" s="53">
        <v>4.7699999999999996</v>
      </c>
    </row>
    <row r="14" spans="1:21" customFormat="1">
      <c r="A14" s="52">
        <v>45621.25</v>
      </c>
      <c r="B14" s="53">
        <v>24.85</v>
      </c>
      <c r="C14" s="53">
        <v>20.52</v>
      </c>
      <c r="D14" s="53">
        <v>31.9</v>
      </c>
      <c r="E14" s="53">
        <v>8.34</v>
      </c>
      <c r="F14" s="53">
        <v>5.37</v>
      </c>
      <c r="G14" s="53">
        <v>112.33</v>
      </c>
      <c r="H14" s="53">
        <v>36.549999999999997</v>
      </c>
      <c r="I14" s="53">
        <v>12.86</v>
      </c>
      <c r="J14" s="53">
        <v>0.16</v>
      </c>
      <c r="K14" s="53">
        <v>219.97</v>
      </c>
      <c r="L14" s="53">
        <v>14.15</v>
      </c>
      <c r="M14" s="53">
        <v>91.11</v>
      </c>
      <c r="N14" s="53">
        <v>1.8</v>
      </c>
      <c r="O14" s="53">
        <v>0</v>
      </c>
      <c r="P14" s="53">
        <v>1.1299999999999999</v>
      </c>
      <c r="Q14" s="53">
        <v>4.7699999999999996</v>
      </c>
    </row>
    <row r="15" spans="1:21" customFormat="1">
      <c r="A15" s="52">
        <v>45621.291666666664</v>
      </c>
      <c r="B15" s="53">
        <v>27.97</v>
      </c>
      <c r="C15" s="53">
        <v>19.95</v>
      </c>
      <c r="D15" s="53">
        <v>33.83</v>
      </c>
      <c r="E15" s="53">
        <v>8.5</v>
      </c>
      <c r="F15" s="53">
        <v>5.57</v>
      </c>
      <c r="G15" s="53">
        <v>103.68</v>
      </c>
      <c r="H15" s="53">
        <v>36.53</v>
      </c>
      <c r="I15" s="53">
        <v>12.63</v>
      </c>
      <c r="J15" s="53">
        <v>0.13</v>
      </c>
      <c r="K15" s="53">
        <v>223.86</v>
      </c>
      <c r="L15" s="53">
        <v>14.84</v>
      </c>
      <c r="M15" s="53">
        <v>93.07</v>
      </c>
      <c r="N15" s="53">
        <v>39.200000000000003</v>
      </c>
      <c r="O15" s="53">
        <v>0</v>
      </c>
      <c r="P15" s="53">
        <v>1.07</v>
      </c>
      <c r="Q15" s="53">
        <v>4.74</v>
      </c>
    </row>
    <row r="16" spans="1:21" customFormat="1">
      <c r="A16" s="52">
        <v>45621.333333333336</v>
      </c>
      <c r="B16" s="53">
        <v>32.83</v>
      </c>
      <c r="C16" s="53">
        <v>20.309999999999999</v>
      </c>
      <c r="D16" s="53">
        <v>38.08</v>
      </c>
      <c r="E16" s="53">
        <v>8.91</v>
      </c>
      <c r="F16" s="53">
        <v>5.38</v>
      </c>
      <c r="G16" s="53">
        <v>108.44</v>
      </c>
      <c r="H16" s="53">
        <v>36.75</v>
      </c>
      <c r="I16" s="53">
        <v>13.07</v>
      </c>
      <c r="J16" s="53">
        <v>0.78</v>
      </c>
      <c r="K16" s="53">
        <v>58.98</v>
      </c>
      <c r="L16" s="53">
        <v>17.989999999999998</v>
      </c>
      <c r="M16" s="53">
        <v>78.36</v>
      </c>
      <c r="N16" s="53">
        <v>150.6</v>
      </c>
      <c r="O16" s="53">
        <v>0</v>
      </c>
      <c r="P16" s="53">
        <v>1.1000000000000001</v>
      </c>
      <c r="Q16" s="53">
        <v>4.75</v>
      </c>
    </row>
    <row r="17" spans="1:17" customFormat="1">
      <c r="A17" s="52">
        <v>45621.375</v>
      </c>
      <c r="B17" s="53">
        <v>30.38</v>
      </c>
      <c r="C17" s="53">
        <v>21.41</v>
      </c>
      <c r="D17" s="53">
        <v>36.51</v>
      </c>
      <c r="E17" s="53">
        <v>8.94</v>
      </c>
      <c r="F17" s="53">
        <v>5.91</v>
      </c>
      <c r="G17" s="53">
        <v>108.27</v>
      </c>
      <c r="H17" s="53">
        <v>36.74</v>
      </c>
      <c r="I17" s="53">
        <v>13.14</v>
      </c>
      <c r="J17" s="53">
        <v>0.74</v>
      </c>
      <c r="K17" s="53">
        <v>52.31</v>
      </c>
      <c r="L17" s="53">
        <v>21.57</v>
      </c>
      <c r="M17" s="53">
        <v>65.97</v>
      </c>
      <c r="N17" s="53">
        <v>231.7</v>
      </c>
      <c r="O17" s="53">
        <v>0</v>
      </c>
      <c r="P17" s="53">
        <v>1.0900000000000001</v>
      </c>
      <c r="Q17" s="53">
        <v>4.75</v>
      </c>
    </row>
    <row r="18" spans="1:17" customFormat="1">
      <c r="A18" s="52">
        <v>45621.416666666664</v>
      </c>
      <c r="B18" s="53">
        <v>25.36</v>
      </c>
      <c r="C18" s="53">
        <v>22.44</v>
      </c>
      <c r="D18" s="53">
        <v>32.97</v>
      </c>
      <c r="E18" s="53">
        <v>9.2799999999999994</v>
      </c>
      <c r="F18" s="53">
        <v>6</v>
      </c>
      <c r="G18" s="53">
        <v>101.54</v>
      </c>
      <c r="H18" s="53">
        <v>35.659999999999997</v>
      </c>
      <c r="I18" s="53">
        <v>13.11</v>
      </c>
      <c r="J18" s="53">
        <v>1.1000000000000001</v>
      </c>
      <c r="K18" s="53">
        <v>70.17</v>
      </c>
      <c r="L18" s="53">
        <v>24.24</v>
      </c>
      <c r="M18" s="53">
        <v>53.28</v>
      </c>
      <c r="N18" s="53">
        <v>403.7</v>
      </c>
      <c r="O18" s="53">
        <v>0</v>
      </c>
      <c r="P18" s="53">
        <v>1.07</v>
      </c>
      <c r="Q18" s="53">
        <v>4.76</v>
      </c>
    </row>
    <row r="19" spans="1:17" customFormat="1">
      <c r="A19" s="52">
        <v>45621.458333333336</v>
      </c>
      <c r="B19" s="53">
        <v>18.149999999999999</v>
      </c>
      <c r="C19" s="53">
        <v>25.41</v>
      </c>
      <c r="D19" s="53">
        <v>27.87</v>
      </c>
      <c r="E19" s="53">
        <v>9.48</v>
      </c>
      <c r="F19" s="53">
        <v>7.25</v>
      </c>
      <c r="G19" s="53">
        <v>101.53</v>
      </c>
      <c r="H19" s="53">
        <v>34.1</v>
      </c>
      <c r="I19" s="53">
        <v>12.79</v>
      </c>
      <c r="J19" s="53">
        <v>0.9</v>
      </c>
      <c r="K19" s="53">
        <v>79.55</v>
      </c>
      <c r="L19" s="53">
        <v>26.25</v>
      </c>
      <c r="M19" s="53">
        <v>44.07</v>
      </c>
      <c r="N19" s="53">
        <v>464.5</v>
      </c>
      <c r="O19" s="53">
        <v>0</v>
      </c>
      <c r="P19" s="53">
        <v>1.04</v>
      </c>
      <c r="Q19" s="53">
        <v>4.78</v>
      </c>
    </row>
    <row r="20" spans="1:17" customFormat="1">
      <c r="A20" s="52">
        <v>45621.5</v>
      </c>
      <c r="B20" s="53">
        <v>8.14</v>
      </c>
      <c r="C20" s="53">
        <v>25.91</v>
      </c>
      <c r="D20" s="53">
        <v>21.42</v>
      </c>
      <c r="E20" s="53">
        <v>10.68</v>
      </c>
      <c r="F20" s="53">
        <v>10.31</v>
      </c>
      <c r="G20" s="53">
        <v>100.75</v>
      </c>
      <c r="H20" s="53">
        <v>32.01</v>
      </c>
      <c r="I20" s="53">
        <v>11.77</v>
      </c>
      <c r="J20" s="53">
        <v>1.1499999999999999</v>
      </c>
      <c r="K20" s="53">
        <v>59.95</v>
      </c>
      <c r="L20" s="53">
        <v>27.18</v>
      </c>
      <c r="M20" s="53">
        <v>35.11</v>
      </c>
      <c r="N20" s="53">
        <v>497.9</v>
      </c>
      <c r="O20" s="53">
        <v>0</v>
      </c>
      <c r="P20" s="53">
        <v>0.96</v>
      </c>
      <c r="Q20" s="53">
        <v>4.78</v>
      </c>
    </row>
    <row r="21" spans="1:17" customFormat="1">
      <c r="A21" s="52">
        <v>45621.541666666664</v>
      </c>
      <c r="B21" s="53">
        <v>4.6399999999999997</v>
      </c>
      <c r="C21" s="53">
        <v>25.47</v>
      </c>
      <c r="D21" s="53">
        <v>18.38</v>
      </c>
      <c r="E21" s="53">
        <v>11.15</v>
      </c>
      <c r="F21" s="53">
        <v>10.17</v>
      </c>
      <c r="G21" s="53">
        <v>86.64</v>
      </c>
      <c r="H21" s="53">
        <v>34.130000000000003</v>
      </c>
      <c r="I21" s="53">
        <v>10.32</v>
      </c>
      <c r="J21" s="53">
        <v>1.1200000000000001</v>
      </c>
      <c r="K21" s="53">
        <v>56.9</v>
      </c>
      <c r="L21" s="53">
        <v>27.45</v>
      </c>
      <c r="M21" s="53">
        <v>33.229999999999997</v>
      </c>
      <c r="N21" s="53">
        <v>469.9</v>
      </c>
      <c r="O21" s="53">
        <v>0</v>
      </c>
      <c r="P21" s="53">
        <v>0.88</v>
      </c>
      <c r="Q21" s="53">
        <v>4.78</v>
      </c>
    </row>
    <row r="22" spans="1:17" customFormat="1">
      <c r="A22" s="52">
        <v>45621.583333333336</v>
      </c>
      <c r="B22" s="53">
        <v>4.3899999999999997</v>
      </c>
      <c r="C22" s="53">
        <v>24.1</v>
      </c>
      <c r="D22" s="53">
        <v>17.46</v>
      </c>
      <c r="E22" s="53">
        <v>9.16</v>
      </c>
      <c r="F22" s="53">
        <v>9.73</v>
      </c>
      <c r="G22" s="53">
        <v>84.99</v>
      </c>
      <c r="H22" s="53">
        <v>34.119999999999997</v>
      </c>
      <c r="I22" s="53">
        <v>9.31</v>
      </c>
      <c r="J22" s="53">
        <v>0.74</v>
      </c>
      <c r="K22" s="53">
        <v>104.85</v>
      </c>
      <c r="L22" s="53">
        <v>28.22</v>
      </c>
      <c r="M22" s="53">
        <v>28.71</v>
      </c>
      <c r="N22" s="53">
        <v>466.6</v>
      </c>
      <c r="O22" s="53">
        <v>0</v>
      </c>
      <c r="P22" s="53">
        <v>0.81</v>
      </c>
      <c r="Q22" s="53">
        <v>4.78</v>
      </c>
    </row>
    <row r="23" spans="1:17" customFormat="1">
      <c r="A23" s="52">
        <v>45621.625</v>
      </c>
      <c r="B23" s="53">
        <v>4.03</v>
      </c>
      <c r="C23" s="53">
        <v>20.89</v>
      </c>
      <c r="D23" s="53">
        <v>15.49</v>
      </c>
      <c r="E23" s="53">
        <v>8.91</v>
      </c>
      <c r="F23" s="53">
        <v>10.67</v>
      </c>
      <c r="G23" s="53">
        <v>71.14</v>
      </c>
      <c r="H23" s="53">
        <v>33.44</v>
      </c>
      <c r="I23" s="53">
        <v>8.3699999999999992</v>
      </c>
      <c r="J23" s="53">
        <v>0.69</v>
      </c>
      <c r="K23" s="53">
        <v>77.88</v>
      </c>
      <c r="L23" s="53">
        <v>27.63</v>
      </c>
      <c r="M23" s="53">
        <v>29.79</v>
      </c>
      <c r="N23" s="53">
        <v>92.6</v>
      </c>
      <c r="O23" s="53">
        <v>0</v>
      </c>
      <c r="P23" s="53">
        <v>0.71</v>
      </c>
      <c r="Q23" s="53">
        <v>4.79</v>
      </c>
    </row>
    <row r="24" spans="1:17" customFormat="1">
      <c r="A24" s="52">
        <v>45621.666666666664</v>
      </c>
      <c r="B24" s="53">
        <v>4.4400000000000004</v>
      </c>
      <c r="C24" s="53">
        <v>19.23</v>
      </c>
      <c r="D24" s="53">
        <v>14.63</v>
      </c>
      <c r="E24" s="53">
        <v>10.33</v>
      </c>
      <c r="F24" s="53">
        <v>10.79</v>
      </c>
      <c r="G24" s="53">
        <v>65.48</v>
      </c>
      <c r="H24" s="53">
        <v>32.22</v>
      </c>
      <c r="I24" s="53">
        <v>7.4</v>
      </c>
      <c r="J24" s="53">
        <v>0.81</v>
      </c>
      <c r="K24" s="53">
        <v>74.239999999999995</v>
      </c>
      <c r="L24" s="53">
        <v>27.16</v>
      </c>
      <c r="M24" s="53">
        <v>28.59</v>
      </c>
      <c r="N24" s="53">
        <v>54.5</v>
      </c>
      <c r="O24" s="53">
        <v>0</v>
      </c>
      <c r="P24" s="53">
        <v>0.67</v>
      </c>
      <c r="Q24" s="53">
        <v>4.76</v>
      </c>
    </row>
    <row r="25" spans="1:17" customFormat="1">
      <c r="A25" s="52">
        <v>45621.708333333336</v>
      </c>
      <c r="B25" s="53">
        <v>5.0599999999999996</v>
      </c>
      <c r="C25" s="53">
        <v>18.350000000000001</v>
      </c>
      <c r="D25" s="53">
        <v>14.88</v>
      </c>
      <c r="E25" s="53">
        <v>10.52</v>
      </c>
      <c r="F25" s="53">
        <v>9.24</v>
      </c>
      <c r="G25" s="53">
        <v>60.52</v>
      </c>
      <c r="H25" s="53">
        <v>32.21</v>
      </c>
      <c r="I25" s="53">
        <v>6.93</v>
      </c>
      <c r="J25" s="53">
        <v>0.56000000000000005</v>
      </c>
      <c r="K25" s="53">
        <v>148.44999999999999</v>
      </c>
      <c r="L25" s="53">
        <v>26.36</v>
      </c>
      <c r="M25" s="53">
        <v>36.67</v>
      </c>
      <c r="N25" s="53">
        <v>26.5</v>
      </c>
      <c r="O25" s="53">
        <v>0</v>
      </c>
      <c r="P25" s="53">
        <v>0.65</v>
      </c>
      <c r="Q25" s="53">
        <v>4.76</v>
      </c>
    </row>
    <row r="26" spans="1:17" customFormat="1">
      <c r="A26" s="52">
        <v>45621.75</v>
      </c>
      <c r="B26" s="53">
        <v>5.94</v>
      </c>
      <c r="C26" s="53">
        <v>18.920000000000002</v>
      </c>
      <c r="D26" s="53">
        <v>16</v>
      </c>
      <c r="E26" s="53">
        <v>9.7899999999999991</v>
      </c>
      <c r="F26" s="53">
        <v>6.45</v>
      </c>
      <c r="G26" s="53">
        <v>72.12</v>
      </c>
      <c r="H26" s="53">
        <v>32.04</v>
      </c>
      <c r="I26" s="53">
        <v>7.13</v>
      </c>
      <c r="J26" s="53">
        <v>0.2</v>
      </c>
      <c r="K26" s="53">
        <v>162.82</v>
      </c>
      <c r="L26" s="53">
        <v>23.52</v>
      </c>
      <c r="M26" s="53">
        <v>52.07</v>
      </c>
      <c r="N26" s="53">
        <v>3.3</v>
      </c>
      <c r="O26" s="53">
        <v>0</v>
      </c>
      <c r="P26" s="53">
        <v>0.7</v>
      </c>
      <c r="Q26" s="53">
        <v>4.76</v>
      </c>
    </row>
    <row r="27" spans="1:17" customFormat="1">
      <c r="A27" s="52">
        <v>45621.791666666664</v>
      </c>
      <c r="B27" s="53">
        <v>6.76</v>
      </c>
      <c r="C27" s="53">
        <v>19.829999999999998</v>
      </c>
      <c r="D27" s="53">
        <v>17.079999999999998</v>
      </c>
      <c r="E27" s="53">
        <v>9.44</v>
      </c>
      <c r="F27" s="53">
        <v>5.87</v>
      </c>
      <c r="G27" s="53">
        <v>93.01</v>
      </c>
      <c r="H27" s="53">
        <v>33.299999999999997</v>
      </c>
      <c r="I27" s="53">
        <v>8.06</v>
      </c>
      <c r="J27" s="53">
        <v>0.25</v>
      </c>
      <c r="K27" s="53">
        <v>186.68</v>
      </c>
      <c r="L27" s="53">
        <v>21.31</v>
      </c>
      <c r="M27" s="53">
        <v>65.010000000000005</v>
      </c>
      <c r="N27" s="53">
        <v>2</v>
      </c>
      <c r="O27" s="53">
        <v>0</v>
      </c>
      <c r="P27" s="53">
        <v>0.75</v>
      </c>
      <c r="Q27" s="53">
        <v>4.76</v>
      </c>
    </row>
    <row r="28" spans="1:17" customFormat="1">
      <c r="A28" s="52">
        <v>45621.833333333336</v>
      </c>
      <c r="B28" s="53">
        <v>6.79</v>
      </c>
      <c r="C28" s="53">
        <v>19.579999999999998</v>
      </c>
      <c r="D28" s="53">
        <v>17.010000000000002</v>
      </c>
      <c r="E28" s="53">
        <v>9.3800000000000008</v>
      </c>
      <c r="F28" s="53">
        <v>5.96</v>
      </c>
      <c r="G28" s="53">
        <v>96.12</v>
      </c>
      <c r="H28" s="53">
        <v>34.6</v>
      </c>
      <c r="I28" s="53">
        <v>8.1999999999999993</v>
      </c>
      <c r="J28" s="53">
        <v>0.21</v>
      </c>
      <c r="K28" s="53">
        <v>230.18</v>
      </c>
      <c r="L28" s="53">
        <v>19.45</v>
      </c>
      <c r="M28" s="53">
        <v>71.209999999999994</v>
      </c>
      <c r="N28" s="53">
        <v>1.7</v>
      </c>
      <c r="O28" s="53">
        <v>0</v>
      </c>
      <c r="P28" s="53">
        <v>0.77</v>
      </c>
      <c r="Q28" s="53">
        <v>4.76</v>
      </c>
    </row>
    <row r="29" spans="1:17" customFormat="1">
      <c r="A29" s="52">
        <v>45621.875</v>
      </c>
      <c r="B29" s="53">
        <v>7</v>
      </c>
      <c r="C29" s="53">
        <v>20.29</v>
      </c>
      <c r="D29" s="53">
        <v>17.559999999999999</v>
      </c>
      <c r="E29" s="53">
        <v>9.01</v>
      </c>
      <c r="F29" s="53">
        <v>5.94</v>
      </c>
      <c r="G29" s="53">
        <v>96.01</v>
      </c>
      <c r="H29" s="53">
        <v>34.54</v>
      </c>
      <c r="I29" s="53">
        <v>8.86</v>
      </c>
      <c r="J29" s="53">
        <v>0.15</v>
      </c>
      <c r="K29" s="53">
        <v>203.08</v>
      </c>
      <c r="L29" s="53">
        <v>18.53</v>
      </c>
      <c r="M29" s="53">
        <v>68.67</v>
      </c>
      <c r="N29" s="53">
        <v>1.3</v>
      </c>
      <c r="O29" s="53">
        <v>0</v>
      </c>
      <c r="P29" s="53">
        <v>0.81</v>
      </c>
      <c r="Q29" s="53">
        <v>4.76</v>
      </c>
    </row>
    <row r="30" spans="1:17" customFormat="1">
      <c r="A30" s="52">
        <v>45621.916666666664</v>
      </c>
      <c r="B30" s="53">
        <v>7.36</v>
      </c>
      <c r="C30" s="53">
        <v>20.62</v>
      </c>
      <c r="D30" s="53">
        <v>18.010000000000002</v>
      </c>
      <c r="E30" s="53">
        <v>9.0399999999999991</v>
      </c>
      <c r="F30" s="53">
        <v>5.77</v>
      </c>
      <c r="G30" s="53">
        <v>91.15</v>
      </c>
      <c r="H30" s="53">
        <v>30.51</v>
      </c>
      <c r="I30" s="53">
        <v>8.8699999999999992</v>
      </c>
      <c r="J30" s="53">
        <v>0.17</v>
      </c>
      <c r="K30" s="53">
        <v>213.12</v>
      </c>
      <c r="L30" s="53">
        <v>17.940000000000001</v>
      </c>
      <c r="M30" s="53">
        <v>78.28</v>
      </c>
      <c r="N30" s="53">
        <v>1.4</v>
      </c>
      <c r="O30" s="53">
        <v>0</v>
      </c>
      <c r="P30" s="53">
        <v>0.82</v>
      </c>
      <c r="Q30" s="53">
        <v>4.7699999999999996</v>
      </c>
    </row>
    <row r="31" spans="1:17" customFormat="1">
      <c r="A31" s="52">
        <v>45621.958333333336</v>
      </c>
      <c r="B31" s="53">
        <v>8.3699999999999992</v>
      </c>
      <c r="C31" s="53">
        <v>20.99</v>
      </c>
      <c r="D31" s="53">
        <v>19.03</v>
      </c>
      <c r="E31" s="53">
        <v>8.75</v>
      </c>
      <c r="F31" s="53">
        <v>5.63</v>
      </c>
      <c r="G31" s="53">
        <v>90.48</v>
      </c>
      <c r="H31" s="53">
        <v>28.19</v>
      </c>
      <c r="I31" s="53">
        <v>8.9700000000000006</v>
      </c>
      <c r="J31" s="53">
        <v>0.19</v>
      </c>
      <c r="K31" s="53">
        <v>199.11</v>
      </c>
      <c r="L31" s="53">
        <v>17.190000000000001</v>
      </c>
      <c r="M31" s="53">
        <v>77.7</v>
      </c>
      <c r="N31" s="53">
        <v>1.4</v>
      </c>
      <c r="O31" s="53">
        <v>0</v>
      </c>
      <c r="P31" s="53">
        <v>0.83</v>
      </c>
      <c r="Q31" s="53">
        <v>4.76</v>
      </c>
    </row>
    <row r="32" spans="1:17" customFormat="1">
      <c r="A32" s="52">
        <v>45622</v>
      </c>
      <c r="B32" s="53">
        <v>18.27</v>
      </c>
      <c r="C32" s="53">
        <v>22.76</v>
      </c>
      <c r="D32" s="53">
        <v>27.9</v>
      </c>
      <c r="E32" s="53">
        <v>8.94</v>
      </c>
      <c r="F32" s="53">
        <v>5.32</v>
      </c>
      <c r="G32" s="53">
        <v>86.3</v>
      </c>
      <c r="H32" s="53">
        <v>28.03</v>
      </c>
      <c r="I32" s="53">
        <v>9.2899999999999991</v>
      </c>
      <c r="J32" s="53">
        <v>0.18</v>
      </c>
      <c r="K32" s="53">
        <v>199.31</v>
      </c>
      <c r="L32" s="53">
        <v>16.93</v>
      </c>
      <c r="M32" s="53">
        <v>86</v>
      </c>
      <c r="N32" s="53">
        <v>1.4</v>
      </c>
      <c r="O32" s="53">
        <v>0</v>
      </c>
      <c r="P32" s="53">
        <v>0.88</v>
      </c>
      <c r="Q32" s="53">
        <v>4.7699999999999996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4.03</v>
      </c>
      <c r="C34" s="40">
        <f t="shared" si="0"/>
        <v>18.350000000000001</v>
      </c>
      <c r="D34" s="40">
        <f t="shared" si="0"/>
        <v>14.63</v>
      </c>
      <c r="E34" s="40">
        <f t="shared" si="0"/>
        <v>7.95</v>
      </c>
      <c r="F34" s="40">
        <f t="shared" si="0"/>
        <v>5.32</v>
      </c>
      <c r="G34" s="40">
        <f t="shared" si="0"/>
        <v>60.52</v>
      </c>
      <c r="H34" s="40">
        <f t="shared" si="0"/>
        <v>28.03</v>
      </c>
      <c r="I34" s="40">
        <f t="shared" si="0"/>
        <v>6.93</v>
      </c>
      <c r="J34" s="40">
        <f t="shared" si="0"/>
        <v>0.13</v>
      </c>
      <c r="K34" s="40">
        <f t="shared" si="0"/>
        <v>52.31</v>
      </c>
      <c r="L34" s="40">
        <f t="shared" si="0"/>
        <v>14.15</v>
      </c>
      <c r="M34" s="40">
        <f t="shared" si="0"/>
        <v>28.59</v>
      </c>
      <c r="N34" s="40">
        <f t="shared" si="0"/>
        <v>1.3</v>
      </c>
      <c r="O34" s="40">
        <f t="shared" si="0"/>
        <v>0</v>
      </c>
      <c r="P34" s="40">
        <f t="shared" si="0"/>
        <v>0.65</v>
      </c>
      <c r="Q34" s="40">
        <f t="shared" si="0"/>
        <v>4.74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32.83</v>
      </c>
      <c r="C35" s="33">
        <f t="shared" si="1"/>
        <v>25.91</v>
      </c>
      <c r="D35" s="33">
        <f t="shared" si="1"/>
        <v>38.08</v>
      </c>
      <c r="E35" s="33">
        <f t="shared" si="1"/>
        <v>11.15</v>
      </c>
      <c r="F35" s="33">
        <f t="shared" si="1"/>
        <v>10.79</v>
      </c>
      <c r="G35" s="33">
        <f t="shared" si="1"/>
        <v>136.09</v>
      </c>
      <c r="H35" s="33">
        <f t="shared" si="1"/>
        <v>37.4</v>
      </c>
      <c r="I35" s="33">
        <f t="shared" si="1"/>
        <v>13.44</v>
      </c>
      <c r="J35" s="33">
        <f t="shared" si="1"/>
        <v>1.1499999999999999</v>
      </c>
      <c r="K35" s="33">
        <f t="shared" si="1"/>
        <v>356.37</v>
      </c>
      <c r="L35" s="33">
        <f t="shared" si="1"/>
        <v>28.22</v>
      </c>
      <c r="M35" s="33">
        <f t="shared" si="1"/>
        <v>93.07</v>
      </c>
      <c r="N35" s="33">
        <f t="shared" si="1"/>
        <v>497.9</v>
      </c>
      <c r="O35" s="33">
        <f t="shared" si="1"/>
        <v>0</v>
      </c>
      <c r="P35" s="33">
        <f t="shared" si="1"/>
        <v>1.22</v>
      </c>
      <c r="Q35" s="33">
        <f t="shared" si="1"/>
        <v>4.79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14.247083333333331</v>
      </c>
      <c r="C36" s="40">
        <f t="shared" si="2"/>
        <v>21.536249999999999</v>
      </c>
      <c r="D36" s="40">
        <f t="shared" si="2"/>
        <v>23.879999999999995</v>
      </c>
      <c r="E36" s="40">
        <f t="shared" si="2"/>
        <v>9.1629166666666659</v>
      </c>
      <c r="F36" s="40">
        <f t="shared" si="2"/>
        <v>6.8816666666666677</v>
      </c>
      <c r="G36" s="40">
        <f t="shared" si="2"/>
        <v>95.950833333333335</v>
      </c>
      <c r="H36" s="40">
        <f t="shared" si="2"/>
        <v>34.16375</v>
      </c>
      <c r="I36" s="40">
        <f t="shared" si="2"/>
        <v>10.570416666666667</v>
      </c>
      <c r="J36" s="40">
        <f t="shared" si="2"/>
        <v>0.47291666666666682</v>
      </c>
      <c r="K36" s="40">
        <f t="shared" si="2"/>
        <v>159.4695833333333</v>
      </c>
      <c r="L36" s="40">
        <f t="shared" si="2"/>
        <v>20.705000000000002</v>
      </c>
      <c r="M36" s="40">
        <f t="shared" si="2"/>
        <v>63.888333333333343</v>
      </c>
      <c r="N36" s="40">
        <f t="shared" si="2"/>
        <v>121.62500000000001</v>
      </c>
      <c r="O36" s="40">
        <f t="shared" si="2"/>
        <v>0</v>
      </c>
      <c r="P36" s="40">
        <f t="shared" si="2"/>
        <v>0.93958333333333321</v>
      </c>
      <c r="Q36" s="40">
        <f t="shared" si="2"/>
        <v>4.7666666666666684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9.4983726199563421</v>
      </c>
      <c r="C37" s="40">
        <f t="shared" ref="C37:Q37" si="3">STDEV(C9:C32)</f>
        <v>2.1050618342668339</v>
      </c>
      <c r="D37" s="40">
        <f t="shared" si="3"/>
        <v>7.6838464099807418</v>
      </c>
      <c r="E37" s="40">
        <f t="shared" si="3"/>
        <v>0.83585665073607274</v>
      </c>
      <c r="F37" s="40">
        <f t="shared" si="3"/>
        <v>1.9886321859545755</v>
      </c>
      <c r="G37" s="40">
        <f t="shared" si="3"/>
        <v>18.357497915297241</v>
      </c>
      <c r="H37" s="40">
        <f t="shared" si="3"/>
        <v>2.7131256040734195</v>
      </c>
      <c r="I37" s="40">
        <f t="shared" si="3"/>
        <v>2.299806190637105</v>
      </c>
      <c r="J37" s="40">
        <f t="shared" si="3"/>
        <v>0.35808037920418706</v>
      </c>
      <c r="K37" s="40">
        <f t="shared" si="3"/>
        <v>80.306656851107036</v>
      </c>
      <c r="L37" s="40">
        <f t="shared" si="3"/>
        <v>4.9545139716880531</v>
      </c>
      <c r="M37" s="40">
        <f t="shared" si="3"/>
        <v>22.412584133388805</v>
      </c>
      <c r="N37" s="40">
        <f t="shared" si="3"/>
        <v>186.53873650636558</v>
      </c>
      <c r="O37" s="40">
        <f t="shared" si="3"/>
        <v>0</v>
      </c>
      <c r="P37" s="40">
        <f t="shared" si="3"/>
        <v>0.18527251765197561</v>
      </c>
      <c r="Q37" s="40">
        <f t="shared" si="3"/>
        <v>1.1671841502435344E-2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45622.041666666664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45622.041666666664</v>
      </c>
      <c r="B9" s="53">
        <v>31.68</v>
      </c>
      <c r="C9" s="53">
        <v>23.89</v>
      </c>
      <c r="D9" s="53">
        <v>39.24</v>
      </c>
      <c r="E9" s="53">
        <v>8.91</v>
      </c>
      <c r="F9" s="53">
        <v>5.52</v>
      </c>
      <c r="G9" s="53">
        <v>92.15</v>
      </c>
      <c r="H9" s="53">
        <v>28.01</v>
      </c>
      <c r="I9" s="53">
        <v>9.8800000000000008</v>
      </c>
      <c r="J9" s="53">
        <v>0.15</v>
      </c>
      <c r="K9" s="53">
        <v>214.15</v>
      </c>
      <c r="L9" s="53">
        <v>16.170000000000002</v>
      </c>
      <c r="M9" s="53">
        <v>88</v>
      </c>
      <c r="N9" s="53">
        <v>1.4</v>
      </c>
      <c r="O9" s="53">
        <v>0</v>
      </c>
      <c r="P9" s="53">
        <v>0.93</v>
      </c>
      <c r="Q9" s="53">
        <v>4.75</v>
      </c>
    </row>
    <row r="10" spans="1:21" customFormat="1">
      <c r="A10" s="52">
        <v>45622.083333333336</v>
      </c>
      <c r="B10" s="53">
        <v>41.56</v>
      </c>
      <c r="C10" s="53">
        <v>23.99</v>
      </c>
      <c r="D10" s="53">
        <v>46.84</v>
      </c>
      <c r="E10" s="53">
        <v>9.6199999999999992</v>
      </c>
      <c r="F10" s="53">
        <v>5.57</v>
      </c>
      <c r="G10" s="53">
        <v>94.89</v>
      </c>
      <c r="H10" s="53">
        <v>29.93</v>
      </c>
      <c r="I10" s="53">
        <v>10.5</v>
      </c>
      <c r="J10" s="53">
        <v>0.24</v>
      </c>
      <c r="K10" s="53">
        <v>206.15</v>
      </c>
      <c r="L10" s="53">
        <v>15.78</v>
      </c>
      <c r="M10" s="53">
        <v>85.53</v>
      </c>
      <c r="N10" s="53">
        <v>1.3</v>
      </c>
      <c r="O10" s="53">
        <v>0</v>
      </c>
      <c r="P10" s="53">
        <v>0.94</v>
      </c>
      <c r="Q10" s="53">
        <v>4.76</v>
      </c>
    </row>
    <row r="11" spans="1:21" customFormat="1">
      <c r="A11" s="52">
        <v>45622.125</v>
      </c>
      <c r="B11" s="53">
        <v>41.99</v>
      </c>
      <c r="C11" s="53">
        <v>23.12</v>
      </c>
      <c r="D11" s="53">
        <v>47.11</v>
      </c>
      <c r="E11" s="53">
        <v>10.56</v>
      </c>
      <c r="F11" s="53">
        <v>5.74</v>
      </c>
      <c r="G11" s="53">
        <v>94.82</v>
      </c>
      <c r="H11" s="53">
        <v>29.91</v>
      </c>
      <c r="I11" s="53">
        <v>10.87</v>
      </c>
      <c r="J11" s="53">
        <v>0.31</v>
      </c>
      <c r="K11" s="53">
        <v>213.3</v>
      </c>
      <c r="L11" s="53">
        <v>15.9</v>
      </c>
      <c r="M11" s="53">
        <v>87.2</v>
      </c>
      <c r="N11" s="53">
        <v>1.6</v>
      </c>
      <c r="O11" s="53">
        <v>0</v>
      </c>
      <c r="P11" s="53">
        <v>0.96</v>
      </c>
      <c r="Q11" s="53">
        <v>4.76</v>
      </c>
    </row>
    <row r="12" spans="1:21" customFormat="1">
      <c r="A12" s="52">
        <v>45622.166666666664</v>
      </c>
      <c r="B12" s="53">
        <v>36.869999999999997</v>
      </c>
      <c r="C12" s="53">
        <v>21.74</v>
      </c>
      <c r="D12" s="53">
        <v>42.28</v>
      </c>
      <c r="E12" s="53">
        <v>10.34</v>
      </c>
      <c r="F12" s="53">
        <v>5.6</v>
      </c>
      <c r="G12" s="53">
        <v>97.4</v>
      </c>
      <c r="H12" s="53">
        <v>31.21</v>
      </c>
      <c r="I12" s="53">
        <v>11.48</v>
      </c>
      <c r="J12" s="53">
        <v>0.15</v>
      </c>
      <c r="K12" s="53">
        <v>233.18</v>
      </c>
      <c r="L12" s="53">
        <v>14.87</v>
      </c>
      <c r="M12" s="53">
        <v>89.09</v>
      </c>
      <c r="N12" s="53">
        <v>1.6</v>
      </c>
      <c r="O12" s="53">
        <v>0</v>
      </c>
      <c r="P12" s="53">
        <v>0.99</v>
      </c>
      <c r="Q12" s="53">
        <v>4.7699999999999996</v>
      </c>
    </row>
    <row r="13" spans="1:21" customFormat="1">
      <c r="A13" s="52">
        <v>45622.208333333336</v>
      </c>
      <c r="B13" s="53">
        <v>33.15</v>
      </c>
      <c r="C13" s="53">
        <v>20.350000000000001</v>
      </c>
      <c r="D13" s="53">
        <v>38.520000000000003</v>
      </c>
      <c r="E13" s="53">
        <v>10.34</v>
      </c>
      <c r="F13" s="53">
        <v>5.61</v>
      </c>
      <c r="G13" s="53">
        <v>97.32</v>
      </c>
      <c r="H13" s="53">
        <v>31.17</v>
      </c>
      <c r="I13" s="53">
        <v>11.95</v>
      </c>
      <c r="J13" s="53">
        <v>0.22</v>
      </c>
      <c r="K13" s="53">
        <v>203.71</v>
      </c>
      <c r="L13" s="53">
        <v>14.74</v>
      </c>
      <c r="M13" s="53">
        <v>90.98</v>
      </c>
      <c r="N13" s="53">
        <v>1.6</v>
      </c>
      <c r="O13" s="53">
        <v>0</v>
      </c>
      <c r="P13" s="53">
        <v>1.02</v>
      </c>
      <c r="Q13" s="53">
        <v>4.74</v>
      </c>
    </row>
    <row r="14" spans="1:21" customFormat="1">
      <c r="A14" s="52">
        <v>45622.25</v>
      </c>
      <c r="B14" s="53">
        <v>31.27</v>
      </c>
      <c r="C14" s="53">
        <v>19.760000000000002</v>
      </c>
      <c r="D14" s="53">
        <v>36.75</v>
      </c>
      <c r="E14" s="53">
        <v>9.81</v>
      </c>
      <c r="F14" s="53">
        <v>5.49</v>
      </c>
      <c r="G14" s="53">
        <v>93.87</v>
      </c>
      <c r="H14" s="53">
        <v>30.63</v>
      </c>
      <c r="I14" s="53">
        <v>12.03</v>
      </c>
      <c r="J14" s="53">
        <v>0.14000000000000001</v>
      </c>
      <c r="K14" s="53">
        <v>245.15</v>
      </c>
      <c r="L14" s="53">
        <v>13.79</v>
      </c>
      <c r="M14" s="53">
        <v>92.98</v>
      </c>
      <c r="N14" s="53">
        <v>1.6</v>
      </c>
      <c r="O14" s="53">
        <v>0</v>
      </c>
      <c r="P14" s="53">
        <v>1.02</v>
      </c>
      <c r="Q14" s="53">
        <v>4.76</v>
      </c>
    </row>
    <row r="15" spans="1:21" customFormat="1">
      <c r="A15" s="52">
        <v>45622.291666666664</v>
      </c>
      <c r="B15" s="53">
        <v>25.96</v>
      </c>
      <c r="C15" s="53">
        <v>18.89</v>
      </c>
      <c r="D15" s="53">
        <v>32.04</v>
      </c>
      <c r="E15" s="53">
        <v>9.3800000000000008</v>
      </c>
      <c r="F15" s="53">
        <v>5.42</v>
      </c>
      <c r="G15" s="53">
        <v>91.97</v>
      </c>
      <c r="H15" s="53">
        <v>30.59</v>
      </c>
      <c r="I15" s="53">
        <v>11.95</v>
      </c>
      <c r="J15" s="53">
        <v>0.16</v>
      </c>
      <c r="K15" s="53">
        <v>244.22</v>
      </c>
      <c r="L15" s="53">
        <v>14.41</v>
      </c>
      <c r="M15" s="53">
        <v>93.3</v>
      </c>
      <c r="N15" s="53">
        <v>24.8</v>
      </c>
      <c r="O15" s="53">
        <v>0</v>
      </c>
      <c r="P15" s="53">
        <v>1.03</v>
      </c>
      <c r="Q15" s="53">
        <v>4.78</v>
      </c>
    </row>
    <row r="16" spans="1:21" customFormat="1">
      <c r="A16" s="52">
        <v>45622.333333333336</v>
      </c>
      <c r="B16" s="53">
        <v>21.93</v>
      </c>
      <c r="C16" s="53">
        <v>18.39</v>
      </c>
      <c r="D16" s="53">
        <v>28.43</v>
      </c>
      <c r="E16" s="53">
        <v>9.3000000000000007</v>
      </c>
      <c r="F16" s="53">
        <v>5.5</v>
      </c>
      <c r="G16" s="53">
        <v>83.92</v>
      </c>
      <c r="H16" s="53">
        <v>27.94</v>
      </c>
      <c r="I16" s="53">
        <v>11.72</v>
      </c>
      <c r="J16" s="53">
        <v>0.19</v>
      </c>
      <c r="K16" s="53">
        <v>231.82</v>
      </c>
      <c r="L16" s="53">
        <v>17.489999999999998</v>
      </c>
      <c r="M16" s="53">
        <v>88.47</v>
      </c>
      <c r="N16" s="53">
        <v>149.30000000000001</v>
      </c>
      <c r="O16" s="53">
        <v>0</v>
      </c>
      <c r="P16" s="53">
        <v>1.02</v>
      </c>
      <c r="Q16" s="53">
        <v>4.78</v>
      </c>
    </row>
    <row r="17" spans="1:17" customFormat="1">
      <c r="A17" s="52">
        <v>45622.375</v>
      </c>
      <c r="B17" s="53">
        <v>19.73</v>
      </c>
      <c r="C17" s="53">
        <v>20.97</v>
      </c>
      <c r="D17" s="53">
        <v>26.99</v>
      </c>
      <c r="E17" s="53">
        <v>9.84</v>
      </c>
      <c r="F17" s="53">
        <v>5.54</v>
      </c>
      <c r="G17" s="53">
        <v>84.16</v>
      </c>
      <c r="H17" s="53">
        <v>32.6</v>
      </c>
      <c r="I17" s="53">
        <v>11.87</v>
      </c>
      <c r="J17" s="53">
        <v>0.62</v>
      </c>
      <c r="K17" s="53">
        <v>102.23</v>
      </c>
      <c r="L17" s="53">
        <v>21.84</v>
      </c>
      <c r="M17" s="53">
        <v>70.739999999999995</v>
      </c>
      <c r="N17" s="53">
        <v>222</v>
      </c>
      <c r="O17" s="53">
        <v>0</v>
      </c>
      <c r="P17" s="53">
        <v>1.03</v>
      </c>
      <c r="Q17" s="53">
        <v>4.7699999999999996</v>
      </c>
    </row>
    <row r="18" spans="1:17" customFormat="1">
      <c r="A18" s="52">
        <v>45622.416666666664</v>
      </c>
      <c r="B18" s="53">
        <v>15.47</v>
      </c>
      <c r="C18" s="53">
        <v>24.26</v>
      </c>
      <c r="D18" s="53">
        <v>25.17</v>
      </c>
      <c r="E18" s="53">
        <v>9.94</v>
      </c>
      <c r="F18" s="53">
        <v>6.06</v>
      </c>
      <c r="G18" s="53">
        <v>84.38</v>
      </c>
      <c r="H18" s="53">
        <v>32.6</v>
      </c>
      <c r="I18" s="53">
        <v>11.85</v>
      </c>
      <c r="J18" s="53">
        <v>0.45</v>
      </c>
      <c r="K18" s="53">
        <v>61.26</v>
      </c>
      <c r="L18" s="53">
        <v>24.59</v>
      </c>
      <c r="M18" s="53">
        <v>53.2</v>
      </c>
      <c r="N18" s="53">
        <v>416.8</v>
      </c>
      <c r="O18" s="53">
        <v>0</v>
      </c>
      <c r="P18" s="53">
        <v>1.01</v>
      </c>
      <c r="Q18" s="53">
        <v>4.7699999999999996</v>
      </c>
    </row>
    <row r="19" spans="1:17" customFormat="1">
      <c r="A19" s="52">
        <v>45622.458333333336</v>
      </c>
      <c r="B19" s="53">
        <v>9.61</v>
      </c>
      <c r="C19" s="53">
        <v>25.75</v>
      </c>
      <c r="D19" s="53">
        <v>22.1</v>
      </c>
      <c r="E19" s="53">
        <v>9.1300000000000008</v>
      </c>
      <c r="F19" s="53">
        <v>7.33</v>
      </c>
      <c r="G19" s="53">
        <v>90.59</v>
      </c>
      <c r="H19" s="53">
        <v>35.520000000000003</v>
      </c>
      <c r="I19" s="53">
        <v>11.35</v>
      </c>
      <c r="J19" s="53">
        <v>0.83</v>
      </c>
      <c r="K19" s="53">
        <v>83.06</v>
      </c>
      <c r="L19" s="53">
        <v>26.87</v>
      </c>
      <c r="M19" s="53">
        <v>42.14</v>
      </c>
      <c r="N19" s="53">
        <v>481.8</v>
      </c>
      <c r="O19" s="53">
        <v>0</v>
      </c>
      <c r="P19" s="53">
        <v>0.98</v>
      </c>
      <c r="Q19" s="53">
        <v>4.7699999999999996</v>
      </c>
    </row>
    <row r="20" spans="1:17" customFormat="1">
      <c r="A20" s="52">
        <v>45622.5</v>
      </c>
      <c r="B20" s="53">
        <v>5.71</v>
      </c>
      <c r="C20" s="53">
        <v>25.22</v>
      </c>
      <c r="D20" s="53">
        <v>19.11</v>
      </c>
      <c r="E20" s="53">
        <v>10.220000000000001</v>
      </c>
      <c r="F20" s="53">
        <v>8.5299999999999994</v>
      </c>
      <c r="G20" s="53">
        <v>90.33</v>
      </c>
      <c r="H20" s="53">
        <v>35.450000000000003</v>
      </c>
      <c r="I20" s="53">
        <v>10.75</v>
      </c>
      <c r="J20" s="53">
        <v>0.78</v>
      </c>
      <c r="K20" s="53">
        <v>63.62</v>
      </c>
      <c r="L20" s="53">
        <v>27.69</v>
      </c>
      <c r="M20" s="53">
        <v>35.01</v>
      </c>
      <c r="N20" s="53">
        <v>518.1</v>
      </c>
      <c r="O20" s="53">
        <v>0</v>
      </c>
      <c r="P20" s="53">
        <v>0.89</v>
      </c>
      <c r="Q20" s="53">
        <v>4.76</v>
      </c>
    </row>
    <row r="21" spans="1:17" customFormat="1">
      <c r="A21" s="52">
        <v>45622.541666666664</v>
      </c>
      <c r="B21" s="53">
        <v>5.19</v>
      </c>
      <c r="C21" s="53">
        <v>22.04</v>
      </c>
      <c r="D21" s="53">
        <v>17.03</v>
      </c>
      <c r="E21" s="53">
        <v>9.91</v>
      </c>
      <c r="F21" s="53">
        <v>8.7799999999999994</v>
      </c>
      <c r="G21" s="53">
        <v>78.64</v>
      </c>
      <c r="H21" s="53">
        <v>32.99</v>
      </c>
      <c r="I21" s="53">
        <v>10.07</v>
      </c>
      <c r="J21" s="53">
        <v>0.57999999999999996</v>
      </c>
      <c r="K21" s="53">
        <v>141.08000000000001</v>
      </c>
      <c r="L21" s="53">
        <v>28.48</v>
      </c>
      <c r="M21" s="53">
        <v>29.5</v>
      </c>
      <c r="N21" s="53">
        <v>491.6</v>
      </c>
      <c r="O21" s="53">
        <v>0</v>
      </c>
      <c r="P21" s="53">
        <v>0.82</v>
      </c>
      <c r="Q21" s="53">
        <v>4.75</v>
      </c>
    </row>
    <row r="22" spans="1:17" customFormat="1">
      <c r="A22" s="52">
        <v>45622.583333333336</v>
      </c>
      <c r="B22" s="53">
        <v>4.66</v>
      </c>
      <c r="C22" s="53">
        <v>19.059999999999999</v>
      </c>
      <c r="D22" s="53">
        <v>15.04</v>
      </c>
      <c r="E22" s="53">
        <v>10.31</v>
      </c>
      <c r="F22" s="53">
        <v>10.55</v>
      </c>
      <c r="G22" s="53">
        <v>74.92</v>
      </c>
      <c r="H22" s="53">
        <v>32.94</v>
      </c>
      <c r="I22" s="53">
        <v>9.4600000000000009</v>
      </c>
      <c r="J22" s="53">
        <v>0.97</v>
      </c>
      <c r="K22" s="53">
        <v>49.07</v>
      </c>
      <c r="L22" s="53">
        <v>28.26</v>
      </c>
      <c r="M22" s="53">
        <v>25.75</v>
      </c>
      <c r="N22" s="53">
        <v>427.2</v>
      </c>
      <c r="O22" s="53">
        <v>0</v>
      </c>
      <c r="P22" s="53">
        <v>0.77</v>
      </c>
      <c r="Q22" s="53">
        <v>4.7699999999999996</v>
      </c>
    </row>
    <row r="23" spans="1:17" customFormat="1">
      <c r="A23" s="52">
        <v>45622.625</v>
      </c>
      <c r="B23" s="53">
        <v>4.67</v>
      </c>
      <c r="C23" s="53">
        <v>17.86</v>
      </c>
      <c r="D23" s="53">
        <v>14.43</v>
      </c>
      <c r="E23" s="53">
        <v>11.28</v>
      </c>
      <c r="F23" s="53">
        <v>11.84</v>
      </c>
      <c r="G23" s="53">
        <v>65.08</v>
      </c>
      <c r="H23" s="53">
        <v>31.08</v>
      </c>
      <c r="I23" s="53">
        <v>8.73</v>
      </c>
      <c r="J23" s="53">
        <v>1.1499999999999999</v>
      </c>
      <c r="K23" s="53">
        <v>67.209999999999994</v>
      </c>
      <c r="L23" s="53">
        <v>27.39</v>
      </c>
      <c r="M23" s="53">
        <v>27.45</v>
      </c>
      <c r="N23" s="53">
        <v>92.5</v>
      </c>
      <c r="O23" s="53">
        <v>0</v>
      </c>
      <c r="P23" s="53">
        <v>0.66</v>
      </c>
      <c r="Q23" s="53">
        <v>4.7699999999999996</v>
      </c>
    </row>
    <row r="24" spans="1:17" customFormat="1">
      <c r="A24" s="52">
        <v>45622.666666666664</v>
      </c>
      <c r="B24" s="53">
        <v>4.58</v>
      </c>
      <c r="C24" s="53">
        <v>17.91</v>
      </c>
      <c r="D24" s="53">
        <v>14.33</v>
      </c>
      <c r="E24" s="53">
        <v>10.31</v>
      </c>
      <c r="F24" s="53">
        <v>9.3800000000000008</v>
      </c>
      <c r="G24" s="53">
        <v>62.58</v>
      </c>
      <c r="H24" s="53">
        <v>28.12</v>
      </c>
      <c r="I24" s="53">
        <v>8.1</v>
      </c>
      <c r="J24" s="53">
        <v>0.91</v>
      </c>
      <c r="K24" s="53">
        <v>69.83</v>
      </c>
      <c r="L24" s="53">
        <v>27.06</v>
      </c>
      <c r="M24" s="53">
        <v>27.34</v>
      </c>
      <c r="N24" s="53">
        <v>60.1</v>
      </c>
      <c r="O24" s="53">
        <v>0</v>
      </c>
      <c r="P24" s="53">
        <v>0.68</v>
      </c>
      <c r="Q24" s="53">
        <v>4.78</v>
      </c>
    </row>
    <row r="25" spans="1:17" customFormat="1">
      <c r="A25" s="52">
        <v>45622.708333333336</v>
      </c>
      <c r="B25" s="53">
        <v>4.4800000000000004</v>
      </c>
      <c r="C25" s="53">
        <v>20.98</v>
      </c>
      <c r="D25" s="53">
        <v>15.85</v>
      </c>
      <c r="E25" s="53">
        <v>9.4600000000000009</v>
      </c>
      <c r="F25" s="53">
        <v>8.24</v>
      </c>
      <c r="G25" s="53">
        <v>55.3</v>
      </c>
      <c r="H25" s="53">
        <v>28.21</v>
      </c>
      <c r="I25" s="53">
        <v>7.84</v>
      </c>
      <c r="J25" s="53">
        <v>0.54</v>
      </c>
      <c r="K25" s="53">
        <v>157.47</v>
      </c>
      <c r="L25" s="53">
        <v>26.57</v>
      </c>
      <c r="M25" s="53">
        <v>36.81</v>
      </c>
      <c r="N25" s="53">
        <v>27.4</v>
      </c>
      <c r="O25" s="53">
        <v>0</v>
      </c>
      <c r="P25" s="53">
        <v>0.69</v>
      </c>
      <c r="Q25" s="53">
        <v>4.7699999999999996</v>
      </c>
    </row>
    <row r="26" spans="1:17" customFormat="1">
      <c r="A26" s="52">
        <v>45622.75</v>
      </c>
      <c r="B26" s="53">
        <v>5.09</v>
      </c>
      <c r="C26" s="53">
        <v>22.86</v>
      </c>
      <c r="D26" s="53">
        <v>17.37</v>
      </c>
      <c r="E26" s="53">
        <v>8.94</v>
      </c>
      <c r="F26" s="53">
        <v>6.49</v>
      </c>
      <c r="G26" s="53">
        <v>70.91</v>
      </c>
      <c r="H26" s="53">
        <v>28.16</v>
      </c>
      <c r="I26" s="53">
        <v>7.52</v>
      </c>
      <c r="J26" s="53">
        <v>0.28999999999999998</v>
      </c>
      <c r="K26" s="53">
        <v>165.32</v>
      </c>
      <c r="L26" s="53">
        <v>23.51</v>
      </c>
      <c r="M26" s="53">
        <v>46.15</v>
      </c>
      <c r="N26" s="53">
        <v>3.4</v>
      </c>
      <c r="O26" s="53">
        <v>0</v>
      </c>
      <c r="P26" s="53">
        <v>0.74</v>
      </c>
      <c r="Q26" s="53">
        <v>4.76</v>
      </c>
    </row>
    <row r="27" spans="1:17" customFormat="1">
      <c r="A27" s="52">
        <v>45622.791666666664</v>
      </c>
      <c r="B27" s="53">
        <v>5.47</v>
      </c>
      <c r="C27" s="53">
        <v>23.49</v>
      </c>
      <c r="D27" s="53">
        <v>17.95</v>
      </c>
      <c r="E27" s="53">
        <v>9.86</v>
      </c>
      <c r="F27" s="53">
        <v>5.87</v>
      </c>
      <c r="G27" s="53">
        <v>103.23</v>
      </c>
      <c r="H27" s="53">
        <v>33.049999999999997</v>
      </c>
      <c r="I27" s="53">
        <v>8.17</v>
      </c>
      <c r="J27" s="53">
        <v>0.22</v>
      </c>
      <c r="K27" s="53">
        <v>192.8</v>
      </c>
      <c r="L27" s="53">
        <v>21.17</v>
      </c>
      <c r="M27" s="53">
        <v>65.400000000000006</v>
      </c>
      <c r="N27" s="53">
        <v>2</v>
      </c>
      <c r="O27" s="53">
        <v>0</v>
      </c>
      <c r="P27" s="53">
        <v>0.78</v>
      </c>
      <c r="Q27" s="53">
        <v>4.7699999999999996</v>
      </c>
    </row>
    <row r="28" spans="1:17" customFormat="1">
      <c r="A28" s="52">
        <v>45622.833333333336</v>
      </c>
      <c r="B28" s="53">
        <v>5.32</v>
      </c>
      <c r="C28" s="53">
        <v>22.79</v>
      </c>
      <c r="D28" s="53">
        <v>17.52</v>
      </c>
      <c r="E28" s="53">
        <v>9.2799999999999994</v>
      </c>
      <c r="F28" s="53">
        <v>5.87</v>
      </c>
      <c r="G28" s="53">
        <v>102.93</v>
      </c>
      <c r="H28" s="53">
        <v>32.93</v>
      </c>
      <c r="I28" s="53">
        <v>8.4700000000000006</v>
      </c>
      <c r="J28" s="53">
        <v>0.19</v>
      </c>
      <c r="K28" s="53">
        <v>218.26</v>
      </c>
      <c r="L28" s="53">
        <v>19.079999999999998</v>
      </c>
      <c r="M28" s="53">
        <v>70.430000000000007</v>
      </c>
      <c r="N28" s="53">
        <v>1.5</v>
      </c>
      <c r="O28" s="53">
        <v>0</v>
      </c>
      <c r="P28" s="53">
        <v>0.8</v>
      </c>
      <c r="Q28" s="53">
        <v>4.7699999999999996</v>
      </c>
    </row>
    <row r="29" spans="1:17" customFormat="1">
      <c r="A29" s="52">
        <v>45622.875</v>
      </c>
      <c r="B29" s="53">
        <v>5.43</v>
      </c>
      <c r="C29" s="53">
        <v>22.2</v>
      </c>
      <c r="D29" s="53">
        <v>17.25</v>
      </c>
      <c r="E29" s="53">
        <v>9.1999999999999993</v>
      </c>
      <c r="F29" s="53">
        <v>5.86</v>
      </c>
      <c r="G29" s="53">
        <v>97.52</v>
      </c>
      <c r="H29" s="53">
        <v>25.77</v>
      </c>
      <c r="I29" s="53">
        <v>8.76</v>
      </c>
      <c r="J29" s="53">
        <v>0.16</v>
      </c>
      <c r="K29" s="53">
        <v>219.25</v>
      </c>
      <c r="L29" s="53">
        <v>18.29</v>
      </c>
      <c r="M29" s="53">
        <v>72.25</v>
      </c>
      <c r="N29" s="53">
        <v>1.4</v>
      </c>
      <c r="O29" s="53">
        <v>0</v>
      </c>
      <c r="P29" s="53">
        <v>0.82</v>
      </c>
      <c r="Q29" s="53">
        <v>4.7699999999999996</v>
      </c>
    </row>
    <row r="30" spans="1:17" customFormat="1">
      <c r="A30" s="52">
        <v>45622.916666666664</v>
      </c>
      <c r="B30" s="53">
        <v>5.76</v>
      </c>
      <c r="C30" s="53">
        <v>20.75</v>
      </c>
      <c r="D30" s="53">
        <v>16.649999999999999</v>
      </c>
      <c r="E30" s="53">
        <v>9.42</v>
      </c>
      <c r="F30" s="53">
        <v>5.89</v>
      </c>
      <c r="G30" s="53">
        <v>104.12</v>
      </c>
      <c r="H30" s="53">
        <v>25.74</v>
      </c>
      <c r="I30" s="53">
        <v>8.9499999999999993</v>
      </c>
      <c r="J30" s="53">
        <v>0.2</v>
      </c>
      <c r="K30" s="53">
        <v>220.17</v>
      </c>
      <c r="L30" s="53">
        <v>17.760000000000002</v>
      </c>
      <c r="M30" s="53">
        <v>76.84</v>
      </c>
      <c r="N30" s="53">
        <v>1.4</v>
      </c>
      <c r="O30" s="53">
        <v>0</v>
      </c>
      <c r="P30" s="53">
        <v>0.79</v>
      </c>
      <c r="Q30" s="53">
        <v>4.75</v>
      </c>
    </row>
    <row r="31" spans="1:17" customFormat="1">
      <c r="A31" s="52">
        <v>45622.958333333336</v>
      </c>
      <c r="B31" s="53">
        <v>5.98</v>
      </c>
      <c r="C31" s="53">
        <v>19.5</v>
      </c>
      <c r="D31" s="53">
        <v>16.21</v>
      </c>
      <c r="E31" s="53">
        <v>9.94</v>
      </c>
      <c r="F31" s="53">
        <v>5.83</v>
      </c>
      <c r="G31" s="53">
        <v>103.96</v>
      </c>
      <c r="H31" s="53">
        <v>25.75</v>
      </c>
      <c r="I31" s="53">
        <v>9.06</v>
      </c>
      <c r="J31" s="53">
        <v>0.16</v>
      </c>
      <c r="K31" s="53">
        <v>224.28</v>
      </c>
      <c r="L31" s="53">
        <v>17.079999999999998</v>
      </c>
      <c r="M31" s="53">
        <v>78.22</v>
      </c>
      <c r="N31" s="53">
        <v>1.4</v>
      </c>
      <c r="O31" s="53">
        <v>0</v>
      </c>
      <c r="P31" s="53">
        <v>0.8</v>
      </c>
      <c r="Q31" s="53">
        <v>4.76</v>
      </c>
    </row>
    <row r="32" spans="1:17" customFormat="1">
      <c r="A32" s="52">
        <v>45623</v>
      </c>
      <c r="B32" s="53">
        <v>5.98</v>
      </c>
      <c r="C32" s="53">
        <v>18.7</v>
      </c>
      <c r="D32" s="53">
        <v>15.92</v>
      </c>
      <c r="E32" s="53">
        <v>9.52</v>
      </c>
      <c r="F32" s="53">
        <v>5.8</v>
      </c>
      <c r="G32" s="53">
        <v>96.89</v>
      </c>
      <c r="H32" s="53">
        <v>27.68</v>
      </c>
      <c r="I32" s="53">
        <v>9.08</v>
      </c>
      <c r="J32" s="53">
        <v>0.11</v>
      </c>
      <c r="K32" s="53">
        <v>208.61</v>
      </c>
      <c r="L32" s="53">
        <v>16.690000000000001</v>
      </c>
      <c r="M32" s="53">
        <v>77.92</v>
      </c>
      <c r="N32" s="53">
        <v>1.3</v>
      </c>
      <c r="O32" s="53">
        <v>0</v>
      </c>
      <c r="P32" s="53">
        <v>0.79</v>
      </c>
      <c r="Q32" s="53">
        <v>4.78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4.4800000000000004</v>
      </c>
      <c r="C34" s="40">
        <f t="shared" si="0"/>
        <v>17.86</v>
      </c>
      <c r="D34" s="40">
        <f t="shared" si="0"/>
        <v>14.33</v>
      </c>
      <c r="E34" s="40">
        <f t="shared" si="0"/>
        <v>8.91</v>
      </c>
      <c r="F34" s="40">
        <f t="shared" si="0"/>
        <v>5.42</v>
      </c>
      <c r="G34" s="40">
        <f t="shared" si="0"/>
        <v>55.3</v>
      </c>
      <c r="H34" s="40">
        <f t="shared" si="0"/>
        <v>25.74</v>
      </c>
      <c r="I34" s="40">
        <f t="shared" si="0"/>
        <v>7.52</v>
      </c>
      <c r="J34" s="40">
        <f t="shared" si="0"/>
        <v>0.11</v>
      </c>
      <c r="K34" s="40">
        <f t="shared" si="0"/>
        <v>49.07</v>
      </c>
      <c r="L34" s="40">
        <f t="shared" si="0"/>
        <v>13.79</v>
      </c>
      <c r="M34" s="40">
        <f t="shared" si="0"/>
        <v>25.75</v>
      </c>
      <c r="N34" s="40">
        <f t="shared" si="0"/>
        <v>1.3</v>
      </c>
      <c r="O34" s="40">
        <f t="shared" si="0"/>
        <v>0</v>
      </c>
      <c r="P34" s="40">
        <f t="shared" si="0"/>
        <v>0.66</v>
      </c>
      <c r="Q34" s="40">
        <f t="shared" si="0"/>
        <v>4.74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41.99</v>
      </c>
      <c r="C35" s="33">
        <f t="shared" si="1"/>
        <v>25.75</v>
      </c>
      <c r="D35" s="33">
        <f t="shared" si="1"/>
        <v>47.11</v>
      </c>
      <c r="E35" s="33">
        <f t="shared" si="1"/>
        <v>11.28</v>
      </c>
      <c r="F35" s="33">
        <f t="shared" si="1"/>
        <v>11.84</v>
      </c>
      <c r="G35" s="33">
        <f t="shared" si="1"/>
        <v>104.12</v>
      </c>
      <c r="H35" s="33">
        <f t="shared" si="1"/>
        <v>35.520000000000003</v>
      </c>
      <c r="I35" s="33">
        <f t="shared" si="1"/>
        <v>12.03</v>
      </c>
      <c r="J35" s="33">
        <f t="shared" si="1"/>
        <v>1.1499999999999999</v>
      </c>
      <c r="K35" s="33">
        <f t="shared" si="1"/>
        <v>245.15</v>
      </c>
      <c r="L35" s="33">
        <f t="shared" si="1"/>
        <v>28.48</v>
      </c>
      <c r="M35" s="33">
        <f t="shared" si="1"/>
        <v>93.3</v>
      </c>
      <c r="N35" s="33">
        <f t="shared" si="1"/>
        <v>518.1</v>
      </c>
      <c r="O35" s="33">
        <f t="shared" si="1"/>
        <v>0</v>
      </c>
      <c r="P35" s="33">
        <f t="shared" si="1"/>
        <v>1.03</v>
      </c>
      <c r="Q35" s="33">
        <f t="shared" si="1"/>
        <v>4.78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15.730833333333338</v>
      </c>
      <c r="C36" s="40">
        <f t="shared" si="2"/>
        <v>21.436250000000005</v>
      </c>
      <c r="D36" s="40">
        <f t="shared" si="2"/>
        <v>25.005416666666672</v>
      </c>
      <c r="E36" s="40">
        <f t="shared" si="2"/>
        <v>9.7841666666666658</v>
      </c>
      <c r="F36" s="40">
        <f t="shared" si="2"/>
        <v>6.7629166666666665</v>
      </c>
      <c r="G36" s="40">
        <f t="shared" si="2"/>
        <v>87.995000000000005</v>
      </c>
      <c r="H36" s="40">
        <f t="shared" si="2"/>
        <v>30.332499999999992</v>
      </c>
      <c r="I36" s="40">
        <f t="shared" si="2"/>
        <v>10.017083333333332</v>
      </c>
      <c r="J36" s="40">
        <f t="shared" si="2"/>
        <v>0.40499999999999997</v>
      </c>
      <c r="K36" s="40">
        <f t="shared" si="2"/>
        <v>168.13333333333335</v>
      </c>
      <c r="L36" s="40">
        <f t="shared" si="2"/>
        <v>20.645</v>
      </c>
      <c r="M36" s="40">
        <f t="shared" si="2"/>
        <v>64.612500000000011</v>
      </c>
      <c r="N36" s="40">
        <f t="shared" si="2"/>
        <v>122.21250000000002</v>
      </c>
      <c r="O36" s="40">
        <f t="shared" si="2"/>
        <v>0</v>
      </c>
      <c r="P36" s="40">
        <f t="shared" si="2"/>
        <v>0.87333333333333341</v>
      </c>
      <c r="Q36" s="40">
        <f t="shared" si="2"/>
        <v>4.765416666666666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13.560409419452949</v>
      </c>
      <c r="C37" s="40">
        <f t="shared" ref="C37:Q37" si="3">STDEV(C9:C32)</f>
        <v>2.3604528167281105</v>
      </c>
      <c r="D37" s="40">
        <f t="shared" si="3"/>
        <v>11.076547091535991</v>
      </c>
      <c r="E37" s="40">
        <f t="shared" si="3"/>
        <v>0.57129080896322448</v>
      </c>
      <c r="F37" s="40">
        <f t="shared" si="3"/>
        <v>1.8107228418907553</v>
      </c>
      <c r="G37" s="40">
        <f t="shared" si="3"/>
        <v>13.711203289725209</v>
      </c>
      <c r="H37" s="40">
        <f t="shared" si="3"/>
        <v>2.8672153586788558</v>
      </c>
      <c r="I37" s="40">
        <f t="shared" si="3"/>
        <v>1.5264151784823938</v>
      </c>
      <c r="J37" s="40">
        <f t="shared" si="3"/>
        <v>0.3139786755428659</v>
      </c>
      <c r="K37" s="40">
        <f t="shared" si="3"/>
        <v>68.813962730441943</v>
      </c>
      <c r="L37" s="40">
        <f t="shared" si="3"/>
        <v>5.2332731465199682</v>
      </c>
      <c r="M37" s="40">
        <f t="shared" si="3"/>
        <v>24.465558089050301</v>
      </c>
      <c r="N37" s="40">
        <f t="shared" si="3"/>
        <v>189.40844137219301</v>
      </c>
      <c r="O37" s="40">
        <f t="shared" si="3"/>
        <v>0</v>
      </c>
      <c r="P37" s="40">
        <f t="shared" si="3"/>
        <v>0.12453973232481259</v>
      </c>
      <c r="Q37" s="40">
        <f t="shared" si="3"/>
        <v>1.0623667861928827E-2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45623.041666666664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45623.041666666664</v>
      </c>
      <c r="B9" s="53">
        <v>10.71</v>
      </c>
      <c r="C9" s="53">
        <v>19.079999999999998</v>
      </c>
      <c r="D9" s="53">
        <v>19.899999999999999</v>
      </c>
      <c r="E9" s="53">
        <v>9.6300000000000008</v>
      </c>
      <c r="F9" s="53">
        <v>5.68</v>
      </c>
      <c r="G9" s="53">
        <v>91.26</v>
      </c>
      <c r="H9" s="53">
        <v>27.64</v>
      </c>
      <c r="I9" s="53">
        <v>8.9600000000000009</v>
      </c>
      <c r="J9" s="53">
        <v>0.34</v>
      </c>
      <c r="K9" s="53">
        <v>355.09</v>
      </c>
      <c r="L9" s="53">
        <v>16.809999999999999</v>
      </c>
      <c r="M9" s="53">
        <v>81.25</v>
      </c>
      <c r="N9" s="53">
        <v>1.3</v>
      </c>
      <c r="O9" s="53">
        <v>0</v>
      </c>
      <c r="P9" s="53">
        <v>0.81</v>
      </c>
      <c r="Q9" s="53">
        <v>4.7699999999999996</v>
      </c>
    </row>
    <row r="10" spans="1:21" customFormat="1">
      <c r="A10" s="52">
        <v>45623.083333333336</v>
      </c>
      <c r="B10" s="53">
        <v>14.97</v>
      </c>
      <c r="C10" s="53">
        <v>20.5</v>
      </c>
      <c r="D10" s="53">
        <v>24.06</v>
      </c>
      <c r="E10" s="53">
        <v>9.77</v>
      </c>
      <c r="F10" s="53">
        <v>5.51</v>
      </c>
      <c r="G10" s="53">
        <v>91.3</v>
      </c>
      <c r="H10" s="53">
        <v>27.17</v>
      </c>
      <c r="I10" s="53">
        <v>9.81</v>
      </c>
      <c r="J10" s="53">
        <v>0.3</v>
      </c>
      <c r="K10" s="53">
        <v>164.22</v>
      </c>
      <c r="L10" s="53">
        <v>16.57</v>
      </c>
      <c r="M10" s="53">
        <v>72.42</v>
      </c>
      <c r="N10" s="53">
        <v>1.7</v>
      </c>
      <c r="O10" s="53">
        <v>0</v>
      </c>
      <c r="P10" s="53">
        <v>0.9</v>
      </c>
      <c r="Q10" s="53">
        <v>4.7699999999999996</v>
      </c>
    </row>
    <row r="11" spans="1:21" customFormat="1">
      <c r="A11" s="52">
        <v>45623.125</v>
      </c>
      <c r="B11" s="53">
        <v>15.49</v>
      </c>
      <c r="C11" s="53">
        <v>20.99</v>
      </c>
      <c r="D11" s="53">
        <v>24.74</v>
      </c>
      <c r="E11" s="53">
        <v>8.9499999999999993</v>
      </c>
      <c r="F11" s="53">
        <v>5.46</v>
      </c>
      <c r="G11" s="53">
        <v>103.56</v>
      </c>
      <c r="H11" s="53">
        <v>28.78</v>
      </c>
      <c r="I11" s="53">
        <v>10.69</v>
      </c>
      <c r="J11" s="53">
        <v>0.19</v>
      </c>
      <c r="K11" s="53">
        <v>242.41</v>
      </c>
      <c r="L11" s="53">
        <v>16.329999999999998</v>
      </c>
      <c r="M11" s="53">
        <v>80.569999999999993</v>
      </c>
      <c r="N11" s="53">
        <v>1.7</v>
      </c>
      <c r="O11" s="53">
        <v>0</v>
      </c>
      <c r="P11" s="53">
        <v>0.91</v>
      </c>
      <c r="Q11" s="53">
        <v>4.78</v>
      </c>
    </row>
    <row r="12" spans="1:21" customFormat="1">
      <c r="A12" s="52">
        <v>45623.166666666664</v>
      </c>
      <c r="B12" s="53">
        <v>14.91</v>
      </c>
      <c r="C12" s="53">
        <v>20.86</v>
      </c>
      <c r="D12" s="53">
        <v>24.21</v>
      </c>
      <c r="E12" s="53">
        <v>8.8000000000000007</v>
      </c>
      <c r="F12" s="53">
        <v>5.56</v>
      </c>
      <c r="G12" s="53">
        <v>103.44</v>
      </c>
      <c r="H12" s="53">
        <v>29.01</v>
      </c>
      <c r="I12" s="53">
        <v>10.87</v>
      </c>
      <c r="J12" s="53">
        <v>0.15</v>
      </c>
      <c r="K12" s="53">
        <v>230.33</v>
      </c>
      <c r="L12" s="53">
        <v>15</v>
      </c>
      <c r="M12" s="53">
        <v>86.73</v>
      </c>
      <c r="N12" s="53">
        <v>1.5</v>
      </c>
      <c r="O12" s="53">
        <v>0</v>
      </c>
      <c r="P12" s="53">
        <v>0.9</v>
      </c>
      <c r="Q12" s="53">
        <v>4.7699999999999996</v>
      </c>
    </row>
    <row r="13" spans="1:21" customFormat="1">
      <c r="A13" s="52">
        <v>45623.208333333336</v>
      </c>
      <c r="B13" s="53">
        <v>16.829999999999998</v>
      </c>
      <c r="C13" s="53">
        <v>19.920000000000002</v>
      </c>
      <c r="D13" s="53">
        <v>25.23</v>
      </c>
      <c r="E13" s="53">
        <v>8.43</v>
      </c>
      <c r="F13" s="53">
        <v>5.54</v>
      </c>
      <c r="G13" s="53">
        <v>98.32</v>
      </c>
      <c r="H13" s="53">
        <v>30.94</v>
      </c>
      <c r="I13" s="53">
        <v>11</v>
      </c>
      <c r="J13" s="53">
        <v>0.14000000000000001</v>
      </c>
      <c r="K13" s="53">
        <v>236.99</v>
      </c>
      <c r="L13" s="53">
        <v>14.67</v>
      </c>
      <c r="M13" s="53">
        <v>88.44</v>
      </c>
      <c r="N13" s="53">
        <v>1.4</v>
      </c>
      <c r="O13" s="53">
        <v>0</v>
      </c>
      <c r="P13" s="53">
        <v>0.89</v>
      </c>
      <c r="Q13" s="53">
        <v>4.7699999999999996</v>
      </c>
    </row>
    <row r="14" spans="1:21" customFormat="1">
      <c r="A14" s="52">
        <v>45623.25</v>
      </c>
      <c r="B14" s="53">
        <v>24.38</v>
      </c>
      <c r="C14" s="53">
        <v>20.14</v>
      </c>
      <c r="D14" s="53">
        <v>31.42</v>
      </c>
      <c r="E14" s="53">
        <v>8.6999999999999993</v>
      </c>
      <c r="F14" s="53">
        <v>5.32</v>
      </c>
      <c r="G14" s="53">
        <v>95.3</v>
      </c>
      <c r="H14" s="53">
        <v>30.94</v>
      </c>
      <c r="I14" s="53">
        <v>11.31</v>
      </c>
      <c r="J14" s="53">
        <v>0.14000000000000001</v>
      </c>
      <c r="K14" s="53">
        <v>176.34</v>
      </c>
      <c r="L14" s="53">
        <v>14.6</v>
      </c>
      <c r="M14" s="53">
        <v>87.61</v>
      </c>
      <c r="N14" s="53">
        <v>1.4</v>
      </c>
      <c r="O14" s="53">
        <v>0</v>
      </c>
      <c r="P14" s="53">
        <v>0.9</v>
      </c>
      <c r="Q14" s="53">
        <v>4.79</v>
      </c>
    </row>
    <row r="15" spans="1:21" customFormat="1">
      <c r="A15" s="52">
        <v>45623.291666666664</v>
      </c>
      <c r="B15" s="53">
        <v>26.33</v>
      </c>
      <c r="C15" s="53">
        <v>20.14</v>
      </c>
      <c r="D15" s="53">
        <v>32.89</v>
      </c>
      <c r="E15" s="53">
        <v>8.64</v>
      </c>
      <c r="F15" s="53">
        <v>5.48</v>
      </c>
      <c r="G15" s="53">
        <v>98.79</v>
      </c>
      <c r="H15" s="53">
        <v>31.53</v>
      </c>
      <c r="I15" s="53">
        <v>12.01</v>
      </c>
      <c r="J15" s="53">
        <v>0.17</v>
      </c>
      <c r="K15" s="53">
        <v>209.72</v>
      </c>
      <c r="L15" s="53">
        <v>14.91</v>
      </c>
      <c r="M15" s="53">
        <v>88.53</v>
      </c>
      <c r="N15" s="53">
        <v>26.5</v>
      </c>
      <c r="O15" s="53">
        <v>0</v>
      </c>
      <c r="P15" s="53">
        <v>0.92</v>
      </c>
      <c r="Q15" s="53">
        <v>4.7699999999999996</v>
      </c>
    </row>
    <row r="16" spans="1:21" customFormat="1">
      <c r="A16" s="52">
        <v>45623.333333333336</v>
      </c>
      <c r="B16" s="53">
        <v>27.27</v>
      </c>
      <c r="C16" s="53">
        <v>20.54</v>
      </c>
      <c r="D16" s="53">
        <v>33.630000000000003</v>
      </c>
      <c r="E16" s="53">
        <v>8.85</v>
      </c>
      <c r="F16" s="53">
        <v>5.76</v>
      </c>
      <c r="G16" s="53">
        <v>98.79</v>
      </c>
      <c r="H16" s="53">
        <v>31.52</v>
      </c>
      <c r="I16" s="53">
        <v>12.68</v>
      </c>
      <c r="J16" s="53">
        <v>0.63</v>
      </c>
      <c r="K16" s="53">
        <v>43.65</v>
      </c>
      <c r="L16" s="53">
        <v>18.02</v>
      </c>
      <c r="M16" s="53">
        <v>71.510000000000005</v>
      </c>
      <c r="N16" s="53">
        <v>154.80000000000001</v>
      </c>
      <c r="O16" s="53">
        <v>0</v>
      </c>
      <c r="P16" s="53">
        <v>0.94</v>
      </c>
      <c r="Q16" s="53">
        <v>4.76</v>
      </c>
    </row>
    <row r="17" spans="1:17" customFormat="1">
      <c r="A17" s="52">
        <v>45623.375</v>
      </c>
      <c r="B17" s="53">
        <v>24.96</v>
      </c>
      <c r="C17" s="53">
        <v>21.57</v>
      </c>
      <c r="D17" s="53">
        <v>32.229999999999997</v>
      </c>
      <c r="E17" s="53">
        <v>9.11</v>
      </c>
      <c r="F17" s="53">
        <v>6.26</v>
      </c>
      <c r="G17" s="53">
        <v>100.51</v>
      </c>
      <c r="H17" s="53">
        <v>32.880000000000003</v>
      </c>
      <c r="I17" s="53">
        <v>12.73</v>
      </c>
      <c r="J17" s="53">
        <v>0.89</v>
      </c>
      <c r="K17" s="53">
        <v>65.11</v>
      </c>
      <c r="L17" s="53">
        <v>22.09</v>
      </c>
      <c r="M17" s="53">
        <v>60.12</v>
      </c>
      <c r="N17" s="53">
        <v>199.1</v>
      </c>
      <c r="O17" s="53">
        <v>0</v>
      </c>
      <c r="P17" s="53">
        <v>0.95</v>
      </c>
      <c r="Q17" s="53">
        <v>4.7699999999999996</v>
      </c>
    </row>
    <row r="18" spans="1:17" customFormat="1">
      <c r="A18" s="52">
        <v>45623.416666666664</v>
      </c>
      <c r="B18" s="53">
        <v>21.44</v>
      </c>
      <c r="C18" s="53">
        <v>22.21</v>
      </c>
      <c r="D18" s="53">
        <v>29.92</v>
      </c>
      <c r="E18" s="53">
        <v>9.7200000000000006</v>
      </c>
      <c r="F18" s="53">
        <v>5.87</v>
      </c>
      <c r="G18" s="53">
        <v>109.21</v>
      </c>
      <c r="H18" s="53">
        <v>32.869999999999997</v>
      </c>
      <c r="I18" s="53">
        <v>12.58</v>
      </c>
      <c r="J18" s="53">
        <v>0.88</v>
      </c>
      <c r="K18" s="53">
        <v>53.88</v>
      </c>
      <c r="L18" s="53">
        <v>23.95</v>
      </c>
      <c r="M18" s="53">
        <v>46.43</v>
      </c>
      <c r="N18" s="53">
        <v>398.9</v>
      </c>
      <c r="O18" s="53">
        <v>0</v>
      </c>
      <c r="P18" s="53">
        <v>0.95</v>
      </c>
      <c r="Q18" s="53">
        <v>4.7699999999999996</v>
      </c>
    </row>
    <row r="19" spans="1:17" customFormat="1">
      <c r="A19" s="52">
        <v>45623.458333333336</v>
      </c>
      <c r="B19" s="53">
        <v>17.25</v>
      </c>
      <c r="C19" s="53">
        <v>22.5</v>
      </c>
      <c r="D19" s="53">
        <v>26.82</v>
      </c>
      <c r="E19" s="53">
        <v>8.33</v>
      </c>
      <c r="F19" s="53">
        <v>6.1</v>
      </c>
      <c r="G19" s="53">
        <v>109.11</v>
      </c>
      <c r="H19" s="53">
        <v>32.82</v>
      </c>
      <c r="I19" s="53">
        <v>12.28</v>
      </c>
      <c r="J19" s="53">
        <v>0.8</v>
      </c>
      <c r="K19" s="53">
        <v>69.92</v>
      </c>
      <c r="L19" s="53">
        <v>26.06</v>
      </c>
      <c r="M19" s="53">
        <v>44.51</v>
      </c>
      <c r="N19" s="53">
        <v>440.8</v>
      </c>
      <c r="O19" s="53">
        <v>0</v>
      </c>
      <c r="P19" s="53">
        <v>0.93</v>
      </c>
      <c r="Q19" s="53">
        <v>4.78</v>
      </c>
    </row>
    <row r="20" spans="1:17" customFormat="1">
      <c r="A20" s="52">
        <v>45623.5</v>
      </c>
      <c r="B20" s="53">
        <v>11.32</v>
      </c>
      <c r="C20" s="53">
        <v>24.54</v>
      </c>
      <c r="D20" s="53">
        <v>22.27</v>
      </c>
      <c r="E20" s="53">
        <v>8.5399999999999991</v>
      </c>
      <c r="F20" s="53">
        <v>8.4600000000000009</v>
      </c>
      <c r="G20" s="53">
        <v>104.56</v>
      </c>
      <c r="H20" s="53">
        <v>32.729999999999997</v>
      </c>
      <c r="I20" s="53">
        <v>11.85</v>
      </c>
      <c r="J20" s="53">
        <v>1.04</v>
      </c>
      <c r="K20" s="53">
        <v>61.11</v>
      </c>
      <c r="L20" s="53">
        <v>26.97</v>
      </c>
      <c r="M20" s="53">
        <v>35.299999999999997</v>
      </c>
      <c r="N20" s="53">
        <v>498.7</v>
      </c>
      <c r="O20" s="53">
        <v>0</v>
      </c>
      <c r="P20" s="53">
        <v>0.89</v>
      </c>
      <c r="Q20" s="53">
        <v>4.78</v>
      </c>
    </row>
    <row r="21" spans="1:17" customFormat="1">
      <c r="A21" s="52">
        <v>45623.541666666664</v>
      </c>
      <c r="B21" s="53">
        <v>4.18</v>
      </c>
      <c r="C21" s="53">
        <v>24.44</v>
      </c>
      <c r="D21" s="53">
        <v>17.48</v>
      </c>
      <c r="E21" s="53">
        <v>34.590000000000003</v>
      </c>
      <c r="F21" s="53">
        <v>18.48</v>
      </c>
      <c r="G21" s="53">
        <v>86.01</v>
      </c>
      <c r="H21" s="53">
        <v>27.84</v>
      </c>
      <c r="I21" s="53">
        <v>10.59</v>
      </c>
      <c r="J21" s="53">
        <v>1.1399999999999999</v>
      </c>
      <c r="K21" s="53">
        <v>68.319999999999993</v>
      </c>
      <c r="L21" s="53">
        <v>27.57</v>
      </c>
      <c r="M21" s="53">
        <v>31.17</v>
      </c>
      <c r="N21" s="53">
        <v>466.7</v>
      </c>
      <c r="O21" s="53">
        <v>0</v>
      </c>
      <c r="P21" s="53">
        <v>0.84</v>
      </c>
      <c r="Q21" s="53">
        <v>7.5</v>
      </c>
    </row>
    <row r="22" spans="1:17" customFormat="1">
      <c r="A22" s="52">
        <v>45623.583333333336</v>
      </c>
      <c r="B22" s="53">
        <v>4.25</v>
      </c>
      <c r="C22" s="53">
        <v>25.23</v>
      </c>
      <c r="D22" s="53">
        <v>17.940000000000001</v>
      </c>
      <c r="E22" s="53">
        <v>17.350000000000001</v>
      </c>
      <c r="F22" s="53">
        <v>18.309999999999999</v>
      </c>
      <c r="G22" s="53">
        <v>85.88</v>
      </c>
      <c r="H22" s="53">
        <v>27.98</v>
      </c>
      <c r="I22" s="53">
        <v>8.94</v>
      </c>
      <c r="J22" s="53">
        <v>0.73</v>
      </c>
      <c r="K22" s="53">
        <v>75.989999999999995</v>
      </c>
      <c r="L22" s="53">
        <v>27.62</v>
      </c>
      <c r="M22" s="53">
        <v>27.19</v>
      </c>
      <c r="N22" s="53">
        <v>305.39999999999998</v>
      </c>
      <c r="O22" s="53">
        <v>0</v>
      </c>
      <c r="P22" s="53">
        <v>0.76</v>
      </c>
      <c r="Q22" s="53">
        <v>12.3</v>
      </c>
    </row>
    <row r="23" spans="1:17" customFormat="1">
      <c r="A23" s="52">
        <v>45623.625</v>
      </c>
      <c r="B23" s="53">
        <v>3.11</v>
      </c>
      <c r="C23" s="53">
        <v>24.1</v>
      </c>
      <c r="D23" s="53">
        <v>16.440000000000001</v>
      </c>
      <c r="E23" s="53">
        <v>8.6300000000000008</v>
      </c>
      <c r="F23" s="53">
        <v>35.14</v>
      </c>
      <c r="G23" s="53">
        <v>79.88</v>
      </c>
      <c r="H23" s="53">
        <v>27.97</v>
      </c>
      <c r="I23" s="53">
        <v>7.16</v>
      </c>
      <c r="J23" s="53">
        <v>0.79</v>
      </c>
      <c r="K23" s="53">
        <v>56.48</v>
      </c>
      <c r="L23" s="53">
        <v>27.43</v>
      </c>
      <c r="M23" s="53">
        <v>25.83</v>
      </c>
      <c r="N23" s="53">
        <v>118.1</v>
      </c>
      <c r="O23" s="53">
        <v>0</v>
      </c>
      <c r="P23" s="53">
        <v>0.62</v>
      </c>
      <c r="Q23" s="53">
        <v>11.53</v>
      </c>
    </row>
    <row r="24" spans="1:17" customFormat="1">
      <c r="A24" s="52">
        <v>45623.666666666664</v>
      </c>
      <c r="B24" s="53">
        <v>2.91</v>
      </c>
      <c r="C24" s="53">
        <v>28.29</v>
      </c>
      <c r="D24" s="53">
        <v>18.440000000000001</v>
      </c>
      <c r="E24" s="53">
        <v>6.54</v>
      </c>
      <c r="F24" s="53">
        <v>25.7</v>
      </c>
      <c r="G24" s="53">
        <v>73.98</v>
      </c>
      <c r="H24" s="53">
        <v>27.5</v>
      </c>
      <c r="I24" s="53">
        <v>6.39</v>
      </c>
      <c r="J24" s="53">
        <v>0.79</v>
      </c>
      <c r="K24" s="53">
        <v>85.25</v>
      </c>
      <c r="L24" s="53">
        <v>26.88</v>
      </c>
      <c r="M24" s="53">
        <v>25.42</v>
      </c>
      <c r="N24" s="53">
        <v>79.2</v>
      </c>
      <c r="O24" s="53">
        <v>0</v>
      </c>
      <c r="P24" s="53">
        <v>0.56000000000000005</v>
      </c>
      <c r="Q24" s="53">
        <v>12.81</v>
      </c>
    </row>
    <row r="25" spans="1:17" customFormat="1">
      <c r="A25" s="52">
        <v>45623.708333333336</v>
      </c>
      <c r="B25" s="53">
        <v>3.44</v>
      </c>
      <c r="C25" s="53">
        <v>23.9</v>
      </c>
      <c r="D25" s="53">
        <v>16.25</v>
      </c>
      <c r="E25" s="53">
        <v>5.5</v>
      </c>
      <c r="F25" s="53">
        <v>11.02</v>
      </c>
      <c r="G25" s="53">
        <v>73.42</v>
      </c>
      <c r="H25" s="53">
        <v>25.36</v>
      </c>
      <c r="I25" s="53">
        <v>5.43</v>
      </c>
      <c r="J25" s="53">
        <v>0.28999999999999998</v>
      </c>
      <c r="K25" s="53">
        <v>162</v>
      </c>
      <c r="L25" s="53">
        <v>25.99</v>
      </c>
      <c r="M25" s="53">
        <v>35.65</v>
      </c>
      <c r="N25" s="53">
        <v>33.9</v>
      </c>
      <c r="O25" s="53">
        <v>0</v>
      </c>
      <c r="P25" s="53">
        <v>0.56999999999999995</v>
      </c>
      <c r="Q25" s="53">
        <v>12.53</v>
      </c>
    </row>
    <row r="26" spans="1:17" customFormat="1">
      <c r="A26" s="52">
        <v>45623.75</v>
      </c>
      <c r="B26" s="53">
        <v>5.12</v>
      </c>
      <c r="C26" s="53">
        <v>23.08</v>
      </c>
      <c r="D26" s="53">
        <v>17.510000000000002</v>
      </c>
      <c r="E26" s="53">
        <v>5.95</v>
      </c>
      <c r="F26" s="53">
        <v>6.33</v>
      </c>
      <c r="G26" s="53">
        <v>74.36</v>
      </c>
      <c r="H26" s="53">
        <v>32.6</v>
      </c>
      <c r="I26" s="53">
        <v>5.88</v>
      </c>
      <c r="J26" s="53">
        <v>0.15</v>
      </c>
      <c r="K26" s="53">
        <v>145.29</v>
      </c>
      <c r="L26" s="53">
        <v>23.18</v>
      </c>
      <c r="M26" s="53">
        <v>46.16</v>
      </c>
      <c r="N26" s="53">
        <v>2.6</v>
      </c>
      <c r="O26" s="53">
        <v>0</v>
      </c>
      <c r="P26" s="53">
        <v>0.65</v>
      </c>
      <c r="Q26" s="53">
        <v>12.15</v>
      </c>
    </row>
    <row r="27" spans="1:17" customFormat="1">
      <c r="A27" s="52">
        <v>45623.791666666664</v>
      </c>
      <c r="B27" s="53">
        <v>9.34</v>
      </c>
      <c r="C27" s="53">
        <v>24.51</v>
      </c>
      <c r="D27" s="53">
        <v>21.64</v>
      </c>
      <c r="E27" s="53">
        <v>8.58</v>
      </c>
      <c r="F27" s="53">
        <v>5.74</v>
      </c>
      <c r="G27" s="53">
        <v>98.14</v>
      </c>
      <c r="H27" s="53">
        <v>32.799999999999997</v>
      </c>
      <c r="I27" s="53">
        <v>6.97</v>
      </c>
      <c r="J27" s="53">
        <v>0.22</v>
      </c>
      <c r="K27" s="53">
        <v>139.94</v>
      </c>
      <c r="L27" s="53">
        <v>21</v>
      </c>
      <c r="M27" s="53">
        <v>51.58</v>
      </c>
      <c r="N27" s="53">
        <v>1.7</v>
      </c>
      <c r="O27" s="53">
        <v>0</v>
      </c>
      <c r="P27" s="53">
        <v>0.78</v>
      </c>
      <c r="Q27" s="53">
        <v>11.87</v>
      </c>
    </row>
    <row r="28" spans="1:17" customFormat="1">
      <c r="A28" s="52">
        <v>45623.833333333336</v>
      </c>
      <c r="B28" s="53">
        <v>13.04</v>
      </c>
      <c r="C28" s="53">
        <v>25.06</v>
      </c>
      <c r="D28" s="53">
        <v>24.91</v>
      </c>
      <c r="E28" s="53">
        <v>8.94</v>
      </c>
      <c r="F28" s="53">
        <v>5.71</v>
      </c>
      <c r="G28" s="53">
        <v>122.97</v>
      </c>
      <c r="H28" s="53">
        <v>37.520000000000003</v>
      </c>
      <c r="I28" s="53">
        <v>8.57</v>
      </c>
      <c r="J28" s="53">
        <v>0.28999999999999998</v>
      </c>
      <c r="K28" s="53">
        <v>174.89</v>
      </c>
      <c r="L28" s="53">
        <v>20</v>
      </c>
      <c r="M28" s="53">
        <v>54.08</v>
      </c>
      <c r="N28" s="53">
        <v>1.7</v>
      </c>
      <c r="O28" s="53">
        <v>0</v>
      </c>
      <c r="P28" s="53">
        <v>0.91</v>
      </c>
      <c r="Q28" s="53">
        <v>11.66</v>
      </c>
    </row>
    <row r="29" spans="1:17" customFormat="1">
      <c r="A29" s="52">
        <v>45623.875</v>
      </c>
      <c r="B29" s="53">
        <v>16.05</v>
      </c>
      <c r="C29" s="53">
        <v>25.2</v>
      </c>
      <c r="D29" s="53">
        <v>27.39</v>
      </c>
      <c r="E29" s="53">
        <v>9.1300000000000008</v>
      </c>
      <c r="F29" s="53">
        <v>5.62</v>
      </c>
      <c r="G29" s="53">
        <v>220.63</v>
      </c>
      <c r="H29" s="53">
        <v>40.159999999999997</v>
      </c>
      <c r="I29" s="53">
        <v>9.92</v>
      </c>
      <c r="J29" s="53">
        <v>0.22</v>
      </c>
      <c r="K29" s="53">
        <v>176.23</v>
      </c>
      <c r="L29" s="53">
        <v>18.760000000000002</v>
      </c>
      <c r="M29" s="53">
        <v>62.85</v>
      </c>
      <c r="N29" s="53">
        <v>1.6</v>
      </c>
      <c r="O29" s="53">
        <v>0</v>
      </c>
      <c r="P29" s="53">
        <v>1.02</v>
      </c>
      <c r="Q29" s="53">
        <v>11.55</v>
      </c>
    </row>
    <row r="30" spans="1:17" customFormat="1">
      <c r="A30" s="52">
        <v>45623.916666666664</v>
      </c>
      <c r="B30" s="53">
        <v>16.97</v>
      </c>
      <c r="C30" s="53">
        <v>25.59</v>
      </c>
      <c r="D30" s="53">
        <v>28.25</v>
      </c>
      <c r="E30" s="53">
        <v>9.14</v>
      </c>
      <c r="F30" s="53">
        <v>5.48</v>
      </c>
      <c r="G30" s="53">
        <v>219.83</v>
      </c>
      <c r="H30" s="53">
        <v>41.21</v>
      </c>
      <c r="I30" s="53">
        <v>11.09</v>
      </c>
      <c r="J30" s="53">
        <v>0.23</v>
      </c>
      <c r="K30" s="53">
        <v>219.78</v>
      </c>
      <c r="L30" s="53">
        <v>18.02</v>
      </c>
      <c r="M30" s="53">
        <v>72.03</v>
      </c>
      <c r="N30" s="53">
        <v>1.7</v>
      </c>
      <c r="O30" s="53">
        <v>0</v>
      </c>
      <c r="P30" s="53">
        <v>1.1100000000000001</v>
      </c>
      <c r="Q30" s="53">
        <v>11.44</v>
      </c>
    </row>
    <row r="31" spans="1:17" customFormat="1">
      <c r="A31" s="52">
        <v>45623.958333333336</v>
      </c>
      <c r="B31" s="53">
        <v>15.76</v>
      </c>
      <c r="C31" s="53">
        <v>25.12</v>
      </c>
      <c r="D31" s="53">
        <v>27.12</v>
      </c>
      <c r="E31" s="53">
        <v>9.43</v>
      </c>
      <c r="F31" s="53">
        <v>5.51</v>
      </c>
      <c r="G31" s="53">
        <v>183.71</v>
      </c>
      <c r="H31" s="53">
        <v>41.18</v>
      </c>
      <c r="I31" s="53">
        <v>11.34</v>
      </c>
      <c r="J31" s="53">
        <v>0.18</v>
      </c>
      <c r="K31" s="53">
        <v>211.29</v>
      </c>
      <c r="L31" s="53">
        <v>16.54</v>
      </c>
      <c r="M31" s="53">
        <v>73.790000000000006</v>
      </c>
      <c r="N31" s="53">
        <v>1.4</v>
      </c>
      <c r="O31" s="53">
        <v>0</v>
      </c>
      <c r="P31" s="53">
        <v>1.1000000000000001</v>
      </c>
      <c r="Q31" s="53">
        <v>11.34</v>
      </c>
    </row>
    <row r="32" spans="1:17" customFormat="1">
      <c r="A32" s="52">
        <v>45624</v>
      </c>
      <c r="B32" s="53">
        <v>22.02</v>
      </c>
      <c r="C32" s="53">
        <v>25.22</v>
      </c>
      <c r="D32" s="53">
        <v>32.18</v>
      </c>
      <c r="E32" s="53">
        <v>9.36</v>
      </c>
      <c r="F32" s="53">
        <v>5.62</v>
      </c>
      <c r="G32" s="53">
        <v>128.16999999999999</v>
      </c>
      <c r="H32" s="53">
        <v>39</v>
      </c>
      <c r="I32" s="53">
        <v>11.38</v>
      </c>
      <c r="J32" s="53">
        <v>0.15</v>
      </c>
      <c r="K32" s="53">
        <v>194.38</v>
      </c>
      <c r="L32" s="53">
        <v>16.36</v>
      </c>
      <c r="M32" s="53">
        <v>71.27</v>
      </c>
      <c r="N32" s="53">
        <v>1.2</v>
      </c>
      <c r="O32" s="53">
        <v>0</v>
      </c>
      <c r="P32" s="53">
        <v>1.1000000000000001</v>
      </c>
      <c r="Q32" s="53">
        <v>11.26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2.91</v>
      </c>
      <c r="C34" s="40">
        <f t="shared" si="0"/>
        <v>19.079999999999998</v>
      </c>
      <c r="D34" s="40">
        <f t="shared" si="0"/>
        <v>16.25</v>
      </c>
      <c r="E34" s="40">
        <f t="shared" si="0"/>
        <v>5.5</v>
      </c>
      <c r="F34" s="40">
        <f t="shared" si="0"/>
        <v>5.32</v>
      </c>
      <c r="G34" s="40">
        <f t="shared" si="0"/>
        <v>73.42</v>
      </c>
      <c r="H34" s="40">
        <f t="shared" si="0"/>
        <v>25.36</v>
      </c>
      <c r="I34" s="40">
        <f t="shared" si="0"/>
        <v>5.43</v>
      </c>
      <c r="J34" s="40">
        <f t="shared" si="0"/>
        <v>0.14000000000000001</v>
      </c>
      <c r="K34" s="40">
        <f t="shared" si="0"/>
        <v>43.65</v>
      </c>
      <c r="L34" s="40">
        <f t="shared" si="0"/>
        <v>14.6</v>
      </c>
      <c r="M34" s="40">
        <f t="shared" si="0"/>
        <v>25.42</v>
      </c>
      <c r="N34" s="40">
        <f t="shared" si="0"/>
        <v>1.2</v>
      </c>
      <c r="O34" s="40">
        <f t="shared" si="0"/>
        <v>0</v>
      </c>
      <c r="P34" s="40">
        <f t="shared" si="0"/>
        <v>0.56000000000000005</v>
      </c>
      <c r="Q34" s="40">
        <f t="shared" si="0"/>
        <v>4.76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27.27</v>
      </c>
      <c r="C35" s="33">
        <f t="shared" si="1"/>
        <v>28.29</v>
      </c>
      <c r="D35" s="33">
        <f t="shared" si="1"/>
        <v>33.630000000000003</v>
      </c>
      <c r="E35" s="33">
        <f t="shared" si="1"/>
        <v>34.590000000000003</v>
      </c>
      <c r="F35" s="33">
        <f t="shared" si="1"/>
        <v>35.14</v>
      </c>
      <c r="G35" s="33">
        <f t="shared" si="1"/>
        <v>220.63</v>
      </c>
      <c r="H35" s="33">
        <f t="shared" si="1"/>
        <v>41.21</v>
      </c>
      <c r="I35" s="33">
        <f t="shared" si="1"/>
        <v>12.73</v>
      </c>
      <c r="J35" s="33">
        <f t="shared" si="1"/>
        <v>1.1399999999999999</v>
      </c>
      <c r="K35" s="33">
        <f t="shared" si="1"/>
        <v>355.09</v>
      </c>
      <c r="L35" s="33">
        <f t="shared" si="1"/>
        <v>27.62</v>
      </c>
      <c r="M35" s="33">
        <f t="shared" si="1"/>
        <v>88.53</v>
      </c>
      <c r="N35" s="33">
        <f t="shared" si="1"/>
        <v>498.7</v>
      </c>
      <c r="O35" s="33">
        <f t="shared" si="1"/>
        <v>0</v>
      </c>
      <c r="P35" s="33">
        <f t="shared" si="1"/>
        <v>1.1100000000000001</v>
      </c>
      <c r="Q35" s="33">
        <f t="shared" si="1"/>
        <v>12.81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14.252083333333331</v>
      </c>
      <c r="C36" s="40">
        <f t="shared" si="2"/>
        <v>23.030416666666667</v>
      </c>
      <c r="D36" s="40">
        <f t="shared" si="2"/>
        <v>24.702916666666663</v>
      </c>
      <c r="E36" s="40">
        <f t="shared" si="2"/>
        <v>10.025416666666667</v>
      </c>
      <c r="F36" s="40">
        <f t="shared" si="2"/>
        <v>9.1525000000000016</v>
      </c>
      <c r="G36" s="40">
        <f t="shared" si="2"/>
        <v>110.46375</v>
      </c>
      <c r="H36" s="40">
        <f t="shared" si="2"/>
        <v>32.081249999999997</v>
      </c>
      <c r="I36" s="40">
        <f t="shared" si="2"/>
        <v>10.017916666666666</v>
      </c>
      <c r="J36" s="40">
        <f t="shared" si="2"/>
        <v>0.45208333333333323</v>
      </c>
      <c r="K36" s="40">
        <f t="shared" si="2"/>
        <v>150.77541666666667</v>
      </c>
      <c r="L36" s="40">
        <f t="shared" si="2"/>
        <v>20.638749999999998</v>
      </c>
      <c r="M36" s="40">
        <f t="shared" si="2"/>
        <v>59.184999999999981</v>
      </c>
      <c r="N36" s="40">
        <f t="shared" si="2"/>
        <v>114.29166666666663</v>
      </c>
      <c r="O36" s="40">
        <f t="shared" si="2"/>
        <v>0</v>
      </c>
      <c r="P36" s="40">
        <f t="shared" si="2"/>
        <v>0.87124999999999997</v>
      </c>
      <c r="Q36" s="40">
        <f t="shared" si="2"/>
        <v>8.1341666666666672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7.7372756575844708</v>
      </c>
      <c r="C37" s="40">
        <f t="shared" ref="C37:Q37" si="3">STDEV(C9:C32)</f>
        <v>2.3952243775564086</v>
      </c>
      <c r="D37" s="40">
        <f t="shared" si="3"/>
        <v>5.6325640768401808</v>
      </c>
      <c r="E37" s="40">
        <f t="shared" si="3"/>
        <v>5.6352824698051087</v>
      </c>
      <c r="F37" s="40">
        <f t="shared" si="3"/>
        <v>7.6335473832402378</v>
      </c>
      <c r="G37" s="40">
        <f t="shared" si="3"/>
        <v>40.56621445108361</v>
      </c>
      <c r="H37" s="40">
        <f t="shared" si="3"/>
        <v>4.6490890295140517</v>
      </c>
      <c r="I37" s="40">
        <f t="shared" si="3"/>
        <v>2.2415134234566247</v>
      </c>
      <c r="J37" s="40">
        <f t="shared" si="3"/>
        <v>0.33545529303200528</v>
      </c>
      <c r="K37" s="40">
        <f t="shared" si="3"/>
        <v>80.324756483705997</v>
      </c>
      <c r="L37" s="40">
        <f t="shared" si="3"/>
        <v>4.8403676760273582</v>
      </c>
      <c r="M37" s="40">
        <f t="shared" si="3"/>
        <v>21.780259310948853</v>
      </c>
      <c r="N37" s="40">
        <f t="shared" si="3"/>
        <v>172.62854546726894</v>
      </c>
      <c r="O37" s="40">
        <f t="shared" si="3"/>
        <v>0</v>
      </c>
      <c r="P37" s="40">
        <f t="shared" si="3"/>
        <v>0.15295104360261991</v>
      </c>
      <c r="Q37" s="40">
        <f t="shared" si="3"/>
        <v>3.558073387647315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45624.041666666664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45624.041666666664</v>
      </c>
      <c r="B9" s="53">
        <v>24.37</v>
      </c>
      <c r="C9" s="53">
        <v>25.29</v>
      </c>
      <c r="D9" s="53">
        <v>34.090000000000003</v>
      </c>
      <c r="E9" s="53">
        <v>9.01</v>
      </c>
      <c r="F9" s="53">
        <v>5.51</v>
      </c>
      <c r="G9" s="53">
        <v>115.12</v>
      </c>
      <c r="H9" s="53">
        <v>35.04</v>
      </c>
      <c r="I9" s="53">
        <v>11.41</v>
      </c>
      <c r="J9" s="53">
        <v>0.36</v>
      </c>
      <c r="K9" s="53">
        <v>193.72</v>
      </c>
      <c r="L9" s="53">
        <v>16.71</v>
      </c>
      <c r="M9" s="53">
        <v>65.86</v>
      </c>
      <c r="N9" s="53">
        <v>1.7</v>
      </c>
      <c r="O9" s="53">
        <v>0</v>
      </c>
      <c r="P9" s="53">
        <v>1.0900000000000001</v>
      </c>
      <c r="Q9" s="53">
        <v>11.2</v>
      </c>
    </row>
    <row r="10" spans="1:21" customFormat="1">
      <c r="A10" s="52">
        <v>45624.083333333336</v>
      </c>
      <c r="B10" s="53">
        <v>23.26</v>
      </c>
      <c r="C10" s="53">
        <v>24.94</v>
      </c>
      <c r="D10" s="53">
        <v>32.880000000000003</v>
      </c>
      <c r="E10" s="53">
        <v>9.14</v>
      </c>
      <c r="F10" s="53">
        <v>5.7</v>
      </c>
      <c r="G10" s="53">
        <v>115.17</v>
      </c>
      <c r="H10" s="53">
        <v>35.78</v>
      </c>
      <c r="I10" s="53">
        <v>11.48</v>
      </c>
      <c r="J10" s="53">
        <v>0.3</v>
      </c>
      <c r="K10" s="53">
        <v>214.97</v>
      </c>
      <c r="L10" s="53">
        <v>15.75</v>
      </c>
      <c r="M10" s="53">
        <v>70.349999999999994</v>
      </c>
      <c r="N10" s="53">
        <v>1.6</v>
      </c>
      <c r="O10" s="53">
        <v>0</v>
      </c>
      <c r="P10" s="53">
        <v>1.06</v>
      </c>
      <c r="Q10" s="53">
        <v>11.16</v>
      </c>
    </row>
    <row r="11" spans="1:21" customFormat="1">
      <c r="A11" s="52">
        <v>45624.125</v>
      </c>
      <c r="B11" s="53">
        <v>22.24</v>
      </c>
      <c r="C11" s="53">
        <v>24.18</v>
      </c>
      <c r="D11" s="53">
        <v>31.82</v>
      </c>
      <c r="E11" s="53">
        <v>9.26</v>
      </c>
      <c r="F11" s="53">
        <v>5.6</v>
      </c>
      <c r="G11" s="53">
        <v>115.07</v>
      </c>
      <c r="H11" s="53">
        <v>36.479999999999997</v>
      </c>
      <c r="I11" s="53">
        <v>11.76</v>
      </c>
      <c r="J11" s="53">
        <v>0.18</v>
      </c>
      <c r="K11" s="53">
        <v>179.83</v>
      </c>
      <c r="L11" s="53">
        <v>15.35</v>
      </c>
      <c r="M11" s="53">
        <v>78.22</v>
      </c>
      <c r="N11" s="53">
        <v>1.6</v>
      </c>
      <c r="O11" s="53">
        <v>0</v>
      </c>
      <c r="P11" s="53">
        <v>1.05</v>
      </c>
      <c r="Q11" s="53">
        <v>11.09</v>
      </c>
    </row>
    <row r="12" spans="1:21" customFormat="1">
      <c r="A12" s="52">
        <v>45624.166666666664</v>
      </c>
      <c r="B12" s="53">
        <v>19.3</v>
      </c>
      <c r="C12" s="53">
        <v>22.7</v>
      </c>
      <c r="D12" s="53">
        <v>28.69</v>
      </c>
      <c r="E12" s="53">
        <v>8.82</v>
      </c>
      <c r="F12" s="53">
        <v>5.81</v>
      </c>
      <c r="G12" s="53">
        <v>110.84</v>
      </c>
      <c r="H12" s="53">
        <v>36.43</v>
      </c>
      <c r="I12" s="53">
        <v>11.82</v>
      </c>
      <c r="J12" s="53">
        <v>0.28000000000000003</v>
      </c>
      <c r="K12" s="53">
        <v>117.38</v>
      </c>
      <c r="L12" s="53">
        <v>14.89</v>
      </c>
      <c r="M12" s="53">
        <v>76.28</v>
      </c>
      <c r="N12" s="53">
        <v>1.3</v>
      </c>
      <c r="O12" s="53">
        <v>0</v>
      </c>
      <c r="P12" s="53">
        <v>1</v>
      </c>
      <c r="Q12" s="53">
        <v>11.02</v>
      </c>
    </row>
    <row r="13" spans="1:21" customFormat="1">
      <c r="A13" s="52">
        <v>45624.208333333336</v>
      </c>
      <c r="B13" s="53">
        <v>16.3</v>
      </c>
      <c r="C13" s="53">
        <v>22.3</v>
      </c>
      <c r="D13" s="53">
        <v>26.07</v>
      </c>
      <c r="E13" s="53">
        <v>8.91</v>
      </c>
      <c r="F13" s="53">
        <v>5.81</v>
      </c>
      <c r="G13" s="53">
        <v>101.45</v>
      </c>
      <c r="H13" s="53">
        <v>33.229999999999997</v>
      </c>
      <c r="I13" s="53">
        <v>11.6</v>
      </c>
      <c r="J13" s="53">
        <v>0.37</v>
      </c>
      <c r="K13" s="53">
        <v>43.67</v>
      </c>
      <c r="L13" s="53">
        <v>14.57</v>
      </c>
      <c r="M13" s="53">
        <v>74.069999999999993</v>
      </c>
      <c r="N13" s="53">
        <v>1.2</v>
      </c>
      <c r="O13" s="53">
        <v>0</v>
      </c>
      <c r="P13" s="53">
        <v>0.95</v>
      </c>
      <c r="Q13" s="53">
        <v>10.99</v>
      </c>
    </row>
    <row r="14" spans="1:21" customFormat="1">
      <c r="A14" s="52">
        <v>45624.25</v>
      </c>
      <c r="B14" s="53">
        <v>14.13</v>
      </c>
      <c r="C14" s="53">
        <v>22.04</v>
      </c>
      <c r="D14" s="53">
        <v>24.2</v>
      </c>
      <c r="E14" s="53">
        <v>9.19</v>
      </c>
      <c r="F14" s="53">
        <v>5.74</v>
      </c>
      <c r="G14" s="53">
        <v>88.36</v>
      </c>
      <c r="H14" s="53">
        <v>34.01</v>
      </c>
      <c r="I14" s="53">
        <v>11.03</v>
      </c>
      <c r="J14" s="53">
        <v>0.15</v>
      </c>
      <c r="K14" s="53">
        <v>178.47</v>
      </c>
      <c r="L14" s="53">
        <v>14.41</v>
      </c>
      <c r="M14" s="53">
        <v>80.41</v>
      </c>
      <c r="N14" s="53">
        <v>1.6</v>
      </c>
      <c r="O14" s="53">
        <v>0</v>
      </c>
      <c r="P14" s="53">
        <v>0.92</v>
      </c>
      <c r="Q14" s="53">
        <v>10.93</v>
      </c>
    </row>
    <row r="15" spans="1:21" customFormat="1">
      <c r="A15" s="52">
        <v>45624.291666666664</v>
      </c>
      <c r="B15" s="53">
        <v>14.71</v>
      </c>
      <c r="C15" s="53">
        <v>22.03</v>
      </c>
      <c r="D15" s="53">
        <v>24.6</v>
      </c>
      <c r="E15" s="53">
        <v>8.68</v>
      </c>
      <c r="F15" s="53">
        <v>5.57</v>
      </c>
      <c r="G15" s="53">
        <v>91.49</v>
      </c>
      <c r="H15" s="53">
        <v>34.01</v>
      </c>
      <c r="I15" s="53">
        <v>11.21</v>
      </c>
      <c r="J15" s="53">
        <v>0.36</v>
      </c>
      <c r="K15" s="53">
        <v>195.31</v>
      </c>
      <c r="L15" s="53">
        <v>14.43</v>
      </c>
      <c r="M15" s="53">
        <v>85.7</v>
      </c>
      <c r="N15" s="53">
        <v>24.3</v>
      </c>
      <c r="O15" s="53">
        <v>0</v>
      </c>
      <c r="P15" s="53">
        <v>0.91</v>
      </c>
      <c r="Q15" s="53">
        <v>10.9</v>
      </c>
    </row>
    <row r="16" spans="1:21" customFormat="1">
      <c r="A16" s="52">
        <v>45624.333333333336</v>
      </c>
      <c r="B16" s="53">
        <v>15.75</v>
      </c>
      <c r="C16" s="53">
        <v>23.43</v>
      </c>
      <c r="D16" s="53">
        <v>25.86</v>
      </c>
      <c r="E16" s="53">
        <v>8.49</v>
      </c>
      <c r="F16" s="53">
        <v>5.62</v>
      </c>
      <c r="G16" s="53">
        <v>108.57</v>
      </c>
      <c r="H16" s="53">
        <v>35.33</v>
      </c>
      <c r="I16" s="53">
        <v>11.82</v>
      </c>
      <c r="J16" s="53">
        <v>0.6</v>
      </c>
      <c r="K16" s="53">
        <v>47.75</v>
      </c>
      <c r="L16" s="53">
        <v>16.86</v>
      </c>
      <c r="M16" s="53">
        <v>73.16</v>
      </c>
      <c r="N16" s="53">
        <v>114.8</v>
      </c>
      <c r="O16" s="53">
        <v>0</v>
      </c>
      <c r="P16" s="53">
        <v>0.98</v>
      </c>
      <c r="Q16" s="53">
        <v>10.9</v>
      </c>
    </row>
    <row r="17" spans="1:17" customFormat="1">
      <c r="A17" s="52">
        <v>45624.375</v>
      </c>
      <c r="B17" s="53">
        <v>14.48</v>
      </c>
      <c r="C17" s="53">
        <v>24.75</v>
      </c>
      <c r="D17" s="53">
        <v>25.37</v>
      </c>
      <c r="E17" s="53">
        <v>8.7799999999999994</v>
      </c>
      <c r="F17" s="53">
        <v>5.61</v>
      </c>
      <c r="G17" s="53">
        <v>108.4</v>
      </c>
      <c r="H17" s="53">
        <v>39.72</v>
      </c>
      <c r="I17" s="53">
        <v>12.09</v>
      </c>
      <c r="J17" s="53">
        <v>0.93</v>
      </c>
      <c r="K17" s="53">
        <v>49.14</v>
      </c>
      <c r="L17" s="53">
        <v>18.670000000000002</v>
      </c>
      <c r="M17" s="53">
        <v>64.400000000000006</v>
      </c>
      <c r="N17" s="53">
        <v>153.6</v>
      </c>
      <c r="O17" s="53">
        <v>0</v>
      </c>
      <c r="P17" s="53">
        <v>1</v>
      </c>
      <c r="Q17" s="53">
        <v>10.87</v>
      </c>
    </row>
    <row r="18" spans="1:17" customFormat="1">
      <c r="A18" s="52">
        <v>45624.416666666664</v>
      </c>
      <c r="B18" s="53">
        <v>11.6</v>
      </c>
      <c r="C18" s="53">
        <v>25.55</v>
      </c>
      <c r="D18" s="53">
        <v>23.73</v>
      </c>
      <c r="E18" s="53">
        <v>8.42</v>
      </c>
      <c r="F18" s="53">
        <v>6.84</v>
      </c>
      <c r="G18" s="53">
        <v>100.71</v>
      </c>
      <c r="H18" s="53">
        <v>39.71</v>
      </c>
      <c r="I18" s="53">
        <v>12.06</v>
      </c>
      <c r="J18" s="53">
        <v>1.17</v>
      </c>
      <c r="K18" s="53">
        <v>71.22</v>
      </c>
      <c r="L18" s="53">
        <v>22.41</v>
      </c>
      <c r="M18" s="53">
        <v>57.54</v>
      </c>
      <c r="N18" s="53">
        <v>354.2</v>
      </c>
      <c r="O18" s="53">
        <v>0</v>
      </c>
      <c r="P18" s="53">
        <v>0.99</v>
      </c>
      <c r="Q18" s="53">
        <v>10.81</v>
      </c>
    </row>
    <row r="19" spans="1:17" customFormat="1">
      <c r="A19" s="52">
        <v>45624.458333333336</v>
      </c>
      <c r="B19" s="53">
        <v>6.69</v>
      </c>
      <c r="C19" s="53">
        <v>25.65</v>
      </c>
      <c r="D19" s="53">
        <v>20.12</v>
      </c>
      <c r="E19" s="53">
        <v>8.27</v>
      </c>
      <c r="F19" s="53">
        <v>8.2799999999999994</v>
      </c>
      <c r="G19" s="53">
        <v>108.97</v>
      </c>
      <c r="H19" s="53">
        <v>39.31</v>
      </c>
      <c r="I19" s="53">
        <v>11.65</v>
      </c>
      <c r="J19" s="53">
        <v>0.8</v>
      </c>
      <c r="K19" s="53">
        <v>79.56</v>
      </c>
      <c r="L19" s="53">
        <v>24.3</v>
      </c>
      <c r="M19" s="53">
        <v>45.24</v>
      </c>
      <c r="N19" s="53">
        <v>380.4</v>
      </c>
      <c r="O19" s="53">
        <v>0</v>
      </c>
      <c r="P19" s="53">
        <v>0.97</v>
      </c>
      <c r="Q19" s="53">
        <v>10.79</v>
      </c>
    </row>
    <row r="20" spans="1:17" customFormat="1">
      <c r="A20" s="52">
        <v>45624.5</v>
      </c>
      <c r="B20" s="53">
        <v>3.97</v>
      </c>
      <c r="C20" s="53">
        <v>24</v>
      </c>
      <c r="D20" s="53">
        <v>17.079999999999998</v>
      </c>
      <c r="E20" s="53">
        <v>9.0299999999999994</v>
      </c>
      <c r="F20" s="53">
        <v>10.95</v>
      </c>
      <c r="G20" s="53">
        <v>108.65</v>
      </c>
      <c r="H20" s="53">
        <v>38.44</v>
      </c>
      <c r="I20" s="53">
        <v>10.75</v>
      </c>
      <c r="J20" s="53">
        <v>1.46</v>
      </c>
      <c r="K20" s="53">
        <v>66.72</v>
      </c>
      <c r="L20" s="53">
        <v>25.44</v>
      </c>
      <c r="M20" s="53">
        <v>43.44</v>
      </c>
      <c r="N20" s="53">
        <v>437.9</v>
      </c>
      <c r="O20" s="53">
        <v>0</v>
      </c>
      <c r="P20" s="53">
        <v>0.94</v>
      </c>
      <c r="Q20" s="53">
        <v>10.74</v>
      </c>
    </row>
    <row r="21" spans="1:17" customFormat="1">
      <c r="A21" s="52">
        <v>45624.541666666664</v>
      </c>
      <c r="B21" s="53">
        <v>3.91</v>
      </c>
      <c r="C21" s="53">
        <v>22.68</v>
      </c>
      <c r="D21" s="53">
        <v>16.22</v>
      </c>
      <c r="E21" s="53">
        <v>9.8000000000000007</v>
      </c>
      <c r="F21" s="53">
        <v>11.14</v>
      </c>
      <c r="G21" s="53">
        <v>94.57</v>
      </c>
      <c r="H21" s="53">
        <v>38.43</v>
      </c>
      <c r="I21" s="53">
        <v>10.029999999999999</v>
      </c>
      <c r="J21" s="53">
        <v>1.2</v>
      </c>
      <c r="K21" s="53">
        <v>53.82</v>
      </c>
      <c r="L21" s="53">
        <v>25.88</v>
      </c>
      <c r="M21" s="53">
        <v>39.97</v>
      </c>
      <c r="N21" s="53">
        <v>406.1</v>
      </c>
      <c r="O21" s="53">
        <v>0</v>
      </c>
      <c r="P21" s="53">
        <v>0.91</v>
      </c>
      <c r="Q21" s="53">
        <v>10.72</v>
      </c>
    </row>
    <row r="22" spans="1:17" customFormat="1">
      <c r="A22" s="52">
        <v>45624.583333333336</v>
      </c>
      <c r="B22" s="53">
        <v>3.89</v>
      </c>
      <c r="C22" s="53">
        <v>20.34</v>
      </c>
      <c r="D22" s="53">
        <v>15.08</v>
      </c>
      <c r="E22" s="53">
        <v>9.67</v>
      </c>
      <c r="F22" s="53">
        <v>8.94</v>
      </c>
      <c r="G22" s="53">
        <v>90.55</v>
      </c>
      <c r="H22" s="53">
        <v>38.130000000000003</v>
      </c>
      <c r="I22" s="53">
        <v>9.65</v>
      </c>
      <c r="J22" s="53">
        <v>0.9</v>
      </c>
      <c r="K22" s="53">
        <v>58.17</v>
      </c>
      <c r="L22" s="53">
        <v>26.38</v>
      </c>
      <c r="M22" s="53">
        <v>35.64</v>
      </c>
      <c r="N22" s="53">
        <v>321.5</v>
      </c>
      <c r="O22" s="53">
        <v>0</v>
      </c>
      <c r="P22" s="53">
        <v>0.85</v>
      </c>
      <c r="Q22" s="53">
        <v>10.71</v>
      </c>
    </row>
    <row r="23" spans="1:17" customFormat="1">
      <c r="A23" s="52">
        <v>45624.625</v>
      </c>
      <c r="B23" s="53">
        <v>3.89</v>
      </c>
      <c r="C23" s="53">
        <v>18.86</v>
      </c>
      <c r="D23" s="53">
        <v>14.27</v>
      </c>
      <c r="E23" s="53">
        <v>10.46</v>
      </c>
      <c r="F23" s="53">
        <v>12.9</v>
      </c>
      <c r="G23" s="53">
        <v>86.72</v>
      </c>
      <c r="H23" s="53">
        <v>37.270000000000003</v>
      </c>
      <c r="I23" s="53">
        <v>9.25</v>
      </c>
      <c r="J23" s="53">
        <v>1.1200000000000001</v>
      </c>
      <c r="K23" s="53">
        <v>47.59</v>
      </c>
      <c r="L23" s="53">
        <v>25.97</v>
      </c>
      <c r="M23" s="53">
        <v>33.51</v>
      </c>
      <c r="N23" s="53">
        <v>114.7</v>
      </c>
      <c r="O23" s="53">
        <v>0</v>
      </c>
      <c r="P23" s="53">
        <v>0.81</v>
      </c>
      <c r="Q23" s="53">
        <v>10.67</v>
      </c>
    </row>
    <row r="24" spans="1:17" customFormat="1">
      <c r="A24" s="52">
        <v>45624.666666666664</v>
      </c>
      <c r="B24" s="53">
        <v>4.01</v>
      </c>
      <c r="C24" s="53">
        <v>18.12</v>
      </c>
      <c r="D24" s="53">
        <v>13.96</v>
      </c>
      <c r="E24" s="53">
        <v>10.039999999999999</v>
      </c>
      <c r="F24" s="53">
        <v>9.91</v>
      </c>
      <c r="G24" s="53">
        <v>74.86</v>
      </c>
      <c r="H24" s="53">
        <v>35.31</v>
      </c>
      <c r="I24" s="53">
        <v>8.61</v>
      </c>
      <c r="J24" s="53">
        <v>1.1000000000000001</v>
      </c>
      <c r="K24" s="53">
        <v>52.89</v>
      </c>
      <c r="L24" s="53">
        <v>25.6</v>
      </c>
      <c r="M24" s="53">
        <v>34.82</v>
      </c>
      <c r="N24" s="53">
        <v>59.3</v>
      </c>
      <c r="O24" s="53">
        <v>0</v>
      </c>
      <c r="P24" s="53">
        <v>0.79</v>
      </c>
      <c r="Q24" s="53">
        <v>10.66</v>
      </c>
    </row>
    <row r="25" spans="1:17" customFormat="1">
      <c r="A25" s="52">
        <v>45624.708333333336</v>
      </c>
      <c r="B25" s="53">
        <v>4.47</v>
      </c>
      <c r="C25" s="53">
        <v>19.399999999999999</v>
      </c>
      <c r="D25" s="53">
        <v>15.07</v>
      </c>
      <c r="E25" s="53">
        <v>9.59</v>
      </c>
      <c r="F25" s="53">
        <v>9.26</v>
      </c>
      <c r="G25" s="53">
        <v>69.989999999999995</v>
      </c>
      <c r="H25" s="53">
        <v>30.8</v>
      </c>
      <c r="I25" s="53">
        <v>8.2799999999999994</v>
      </c>
      <c r="J25" s="53">
        <v>0.91</v>
      </c>
      <c r="K25" s="53">
        <v>53.84</v>
      </c>
      <c r="L25" s="53">
        <v>24.96</v>
      </c>
      <c r="M25" s="53">
        <v>40.99</v>
      </c>
      <c r="N25" s="53">
        <v>37.9</v>
      </c>
      <c r="O25" s="53">
        <v>0</v>
      </c>
      <c r="P25" s="53">
        <v>0.82</v>
      </c>
      <c r="Q25" s="53">
        <v>10.63</v>
      </c>
    </row>
    <row r="26" spans="1:17" customFormat="1">
      <c r="A26" s="52">
        <v>45624.75</v>
      </c>
      <c r="B26" s="53">
        <v>5.15</v>
      </c>
      <c r="C26" s="53">
        <v>23.44</v>
      </c>
      <c r="D26" s="53">
        <v>17.73</v>
      </c>
      <c r="E26" s="53">
        <v>9.49</v>
      </c>
      <c r="F26" s="53">
        <v>6.98</v>
      </c>
      <c r="G26" s="53">
        <v>86.83</v>
      </c>
      <c r="H26" s="53">
        <v>33.020000000000003</v>
      </c>
      <c r="I26" s="53">
        <v>8.77</v>
      </c>
      <c r="J26" s="53">
        <v>0.36</v>
      </c>
      <c r="K26" s="53">
        <v>68.5</v>
      </c>
      <c r="L26" s="53">
        <v>23.11</v>
      </c>
      <c r="M26" s="53">
        <v>50.03</v>
      </c>
      <c r="N26" s="53">
        <v>3.2</v>
      </c>
      <c r="O26" s="53">
        <v>0</v>
      </c>
      <c r="P26" s="53">
        <v>0.9</v>
      </c>
      <c r="Q26" s="53">
        <v>10.64</v>
      </c>
    </row>
    <row r="27" spans="1:17" customFormat="1">
      <c r="A27" s="52">
        <v>45624.791666666664</v>
      </c>
      <c r="B27" s="53">
        <v>5.71</v>
      </c>
      <c r="C27" s="53">
        <v>24.89</v>
      </c>
      <c r="D27" s="53">
        <v>18.940000000000001</v>
      </c>
      <c r="E27" s="53">
        <v>8.93</v>
      </c>
      <c r="F27" s="53">
        <v>5.79</v>
      </c>
      <c r="G27" s="53">
        <v>110.39</v>
      </c>
      <c r="H27" s="53">
        <v>36.36</v>
      </c>
      <c r="I27" s="53">
        <v>9.82</v>
      </c>
      <c r="J27" s="53">
        <v>0.42</v>
      </c>
      <c r="K27" s="53">
        <v>136.44999999999999</v>
      </c>
      <c r="L27" s="53">
        <v>21.15</v>
      </c>
      <c r="M27" s="53">
        <v>58.13</v>
      </c>
      <c r="N27" s="53">
        <v>1.9</v>
      </c>
      <c r="O27" s="53">
        <v>0</v>
      </c>
      <c r="P27" s="53">
        <v>0.97</v>
      </c>
      <c r="Q27" s="53">
        <v>10.65</v>
      </c>
    </row>
    <row r="28" spans="1:17" customFormat="1">
      <c r="A28" s="52">
        <v>45624.833333333336</v>
      </c>
      <c r="B28" s="53">
        <v>6.38</v>
      </c>
      <c r="C28" s="53">
        <v>26.18</v>
      </c>
      <c r="D28" s="53">
        <v>20.14</v>
      </c>
      <c r="E28" s="53">
        <v>8.81</v>
      </c>
      <c r="F28" s="53">
        <v>5.94</v>
      </c>
      <c r="G28" s="53">
        <v>118.86</v>
      </c>
      <c r="H28" s="53">
        <v>38.78</v>
      </c>
      <c r="I28" s="53">
        <v>10.4</v>
      </c>
      <c r="J28" s="53">
        <v>0.77</v>
      </c>
      <c r="K28" s="53">
        <v>62.02</v>
      </c>
      <c r="L28" s="53">
        <v>20.85</v>
      </c>
      <c r="M28" s="53">
        <v>55</v>
      </c>
      <c r="N28" s="53">
        <v>1.5</v>
      </c>
      <c r="O28" s="53">
        <v>0</v>
      </c>
      <c r="P28" s="53">
        <v>1.03</v>
      </c>
      <c r="Q28" s="53">
        <v>10.65</v>
      </c>
    </row>
    <row r="29" spans="1:17" customFormat="1">
      <c r="A29" s="52">
        <v>45624.875</v>
      </c>
      <c r="B29" s="53">
        <v>5.88</v>
      </c>
      <c r="C29" s="53">
        <v>25.86</v>
      </c>
      <c r="D29" s="53">
        <v>19.579999999999998</v>
      </c>
      <c r="E29" s="53">
        <v>8.84</v>
      </c>
      <c r="F29" s="53">
        <v>6.49</v>
      </c>
      <c r="G29" s="53">
        <v>118.75</v>
      </c>
      <c r="H29" s="53">
        <v>42.66</v>
      </c>
      <c r="I29" s="53">
        <v>10.46</v>
      </c>
      <c r="J29" s="53">
        <v>0.45</v>
      </c>
      <c r="K29" s="53">
        <v>66.13</v>
      </c>
      <c r="L29" s="53">
        <v>20.079999999999998</v>
      </c>
      <c r="M29" s="53">
        <v>57.31</v>
      </c>
      <c r="N29" s="53">
        <v>1.6</v>
      </c>
      <c r="O29" s="53">
        <v>0</v>
      </c>
      <c r="P29" s="53">
        <v>1.05</v>
      </c>
      <c r="Q29" s="53">
        <v>10.62</v>
      </c>
    </row>
    <row r="30" spans="1:17" customFormat="1">
      <c r="A30" s="52">
        <v>45624.916666666664</v>
      </c>
      <c r="B30" s="53">
        <v>6.03</v>
      </c>
      <c r="C30" s="53">
        <v>25.75</v>
      </c>
      <c r="D30" s="53">
        <v>19.57</v>
      </c>
      <c r="E30" s="53">
        <v>8.67</v>
      </c>
      <c r="F30" s="53">
        <v>6.04</v>
      </c>
      <c r="G30" s="53">
        <v>114.08</v>
      </c>
      <c r="H30" s="53">
        <v>42.57</v>
      </c>
      <c r="I30" s="53">
        <v>10.41</v>
      </c>
      <c r="J30" s="53">
        <v>0.35</v>
      </c>
      <c r="K30" s="53">
        <v>88.72</v>
      </c>
      <c r="L30" s="53">
        <v>19.29</v>
      </c>
      <c r="M30" s="53">
        <v>63</v>
      </c>
      <c r="N30" s="53">
        <v>1.7</v>
      </c>
      <c r="O30" s="53">
        <v>0</v>
      </c>
      <c r="P30" s="53">
        <v>1.06</v>
      </c>
      <c r="Q30" s="53">
        <v>10.62</v>
      </c>
    </row>
    <row r="31" spans="1:17" customFormat="1">
      <c r="A31" s="52">
        <v>45624.958333333336</v>
      </c>
      <c r="B31" s="53">
        <v>6.91</v>
      </c>
      <c r="C31" s="53">
        <v>24.99</v>
      </c>
      <c r="D31" s="53">
        <v>19.45</v>
      </c>
      <c r="E31" s="53">
        <v>9.19</v>
      </c>
      <c r="F31" s="53">
        <v>5.8</v>
      </c>
      <c r="G31" s="53">
        <v>112.85</v>
      </c>
      <c r="H31" s="53">
        <v>39.72</v>
      </c>
      <c r="I31" s="53">
        <v>10.34</v>
      </c>
      <c r="J31" s="53">
        <v>0.26</v>
      </c>
      <c r="K31" s="53">
        <v>104.46</v>
      </c>
      <c r="L31" s="53">
        <v>18.25</v>
      </c>
      <c r="M31" s="53">
        <v>64.510000000000005</v>
      </c>
      <c r="N31" s="53">
        <v>1.4</v>
      </c>
      <c r="O31" s="53">
        <v>0</v>
      </c>
      <c r="P31" s="53">
        <v>1.02</v>
      </c>
      <c r="Q31" s="53">
        <v>10.62</v>
      </c>
    </row>
    <row r="32" spans="1:17" customFormat="1">
      <c r="A32" s="52">
        <v>45625</v>
      </c>
      <c r="B32" s="53">
        <v>8.5</v>
      </c>
      <c r="C32" s="53">
        <v>23.85</v>
      </c>
      <c r="D32" s="53">
        <v>20.47</v>
      </c>
      <c r="E32" s="53">
        <v>9.2100000000000009</v>
      </c>
      <c r="F32" s="53">
        <v>5.93</v>
      </c>
      <c r="G32" s="53">
        <v>120.28</v>
      </c>
      <c r="H32" s="53">
        <v>39.68</v>
      </c>
      <c r="I32" s="53">
        <v>10.49</v>
      </c>
      <c r="J32" s="53">
        <v>0.35</v>
      </c>
      <c r="K32" s="53">
        <v>86.78</v>
      </c>
      <c r="L32" s="53">
        <v>17.7</v>
      </c>
      <c r="M32" s="53">
        <v>68.23</v>
      </c>
      <c r="N32" s="53">
        <v>1.5</v>
      </c>
      <c r="O32" s="53">
        <v>0</v>
      </c>
      <c r="P32" s="53">
        <v>1.01</v>
      </c>
      <c r="Q32" s="53">
        <v>10.61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3.89</v>
      </c>
      <c r="C34" s="40">
        <f t="shared" si="0"/>
        <v>18.12</v>
      </c>
      <c r="D34" s="40">
        <f t="shared" si="0"/>
        <v>13.96</v>
      </c>
      <c r="E34" s="40">
        <f t="shared" si="0"/>
        <v>8.27</v>
      </c>
      <c r="F34" s="40">
        <f t="shared" si="0"/>
        <v>5.51</v>
      </c>
      <c r="G34" s="40">
        <f t="shared" si="0"/>
        <v>69.989999999999995</v>
      </c>
      <c r="H34" s="40">
        <f t="shared" si="0"/>
        <v>30.8</v>
      </c>
      <c r="I34" s="40">
        <f t="shared" si="0"/>
        <v>8.2799999999999994</v>
      </c>
      <c r="J34" s="40">
        <f t="shared" si="0"/>
        <v>0.15</v>
      </c>
      <c r="K34" s="40">
        <f t="shared" si="0"/>
        <v>43.67</v>
      </c>
      <c r="L34" s="40">
        <f t="shared" si="0"/>
        <v>14.41</v>
      </c>
      <c r="M34" s="40">
        <f t="shared" si="0"/>
        <v>33.51</v>
      </c>
      <c r="N34" s="40">
        <f t="shared" si="0"/>
        <v>1.2</v>
      </c>
      <c r="O34" s="40">
        <f t="shared" si="0"/>
        <v>0</v>
      </c>
      <c r="P34" s="40">
        <f t="shared" si="0"/>
        <v>0.79</v>
      </c>
      <c r="Q34" s="40">
        <f t="shared" si="0"/>
        <v>10.61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24.37</v>
      </c>
      <c r="C35" s="33">
        <f t="shared" si="1"/>
        <v>26.18</v>
      </c>
      <c r="D35" s="33">
        <f t="shared" si="1"/>
        <v>34.090000000000003</v>
      </c>
      <c r="E35" s="33">
        <f t="shared" si="1"/>
        <v>10.46</v>
      </c>
      <c r="F35" s="33">
        <f t="shared" si="1"/>
        <v>12.9</v>
      </c>
      <c r="G35" s="33">
        <f t="shared" si="1"/>
        <v>120.28</v>
      </c>
      <c r="H35" s="33">
        <f t="shared" si="1"/>
        <v>42.66</v>
      </c>
      <c r="I35" s="33">
        <f t="shared" si="1"/>
        <v>12.09</v>
      </c>
      <c r="J35" s="33">
        <f t="shared" si="1"/>
        <v>1.46</v>
      </c>
      <c r="K35" s="33">
        <f t="shared" si="1"/>
        <v>214.97</v>
      </c>
      <c r="L35" s="33">
        <f t="shared" si="1"/>
        <v>26.38</v>
      </c>
      <c r="M35" s="33">
        <f t="shared" si="1"/>
        <v>85.7</v>
      </c>
      <c r="N35" s="33">
        <f t="shared" si="1"/>
        <v>437.9</v>
      </c>
      <c r="O35" s="33">
        <f t="shared" si="1"/>
        <v>0</v>
      </c>
      <c r="P35" s="33">
        <f t="shared" si="1"/>
        <v>1.0900000000000001</v>
      </c>
      <c r="Q35" s="33">
        <f t="shared" si="1"/>
        <v>11.2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10.480416666666665</v>
      </c>
      <c r="C36" s="40">
        <f t="shared" si="2"/>
        <v>23.384166666666669</v>
      </c>
      <c r="D36" s="40">
        <f t="shared" si="2"/>
        <v>21.87458333333333</v>
      </c>
      <c r="E36" s="40">
        <f t="shared" si="2"/>
        <v>9.1125000000000007</v>
      </c>
      <c r="F36" s="40">
        <f t="shared" si="2"/>
        <v>7.1733333333333329</v>
      </c>
      <c r="G36" s="40">
        <f t="shared" si="2"/>
        <v>102.98041666666666</v>
      </c>
      <c r="H36" s="40">
        <f t="shared" si="2"/>
        <v>37.092499999999994</v>
      </c>
      <c r="I36" s="40">
        <f t="shared" si="2"/>
        <v>10.632916666666668</v>
      </c>
      <c r="J36" s="40">
        <f t="shared" si="2"/>
        <v>0.63124999999999987</v>
      </c>
      <c r="K36" s="40">
        <f t="shared" si="2"/>
        <v>96.546250000000001</v>
      </c>
      <c r="L36" s="40">
        <f t="shared" si="2"/>
        <v>20.125416666666666</v>
      </c>
      <c r="M36" s="40">
        <f t="shared" si="2"/>
        <v>58.992083333333333</v>
      </c>
      <c r="N36" s="40">
        <f t="shared" si="2"/>
        <v>101.10416666666664</v>
      </c>
      <c r="O36" s="40">
        <f t="shared" si="2"/>
        <v>0</v>
      </c>
      <c r="P36" s="40">
        <f t="shared" si="2"/>
        <v>0.96166666666666678</v>
      </c>
      <c r="Q36" s="40">
        <f t="shared" si="2"/>
        <v>10.800000000000002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6.8296396742222214</v>
      </c>
      <c r="C37" s="40">
        <f t="shared" ref="C37:Q37" si="3">STDEV(C9:C32)</f>
        <v>2.3075281649167332</v>
      </c>
      <c r="D37" s="40">
        <f t="shared" si="3"/>
        <v>5.8824854102198518</v>
      </c>
      <c r="E37" s="40">
        <f t="shared" si="3"/>
        <v>0.52283715978508849</v>
      </c>
      <c r="F37" s="40">
        <f t="shared" si="3"/>
        <v>2.1705572649851281</v>
      </c>
      <c r="G37" s="40">
        <f t="shared" si="3"/>
        <v>14.281403377383436</v>
      </c>
      <c r="H37" s="40">
        <f t="shared" si="3"/>
        <v>2.9818629280602211</v>
      </c>
      <c r="I37" s="40">
        <f t="shared" si="3"/>
        <v>1.1284020219710527</v>
      </c>
      <c r="J37" s="40">
        <f t="shared" si="3"/>
        <v>0.3832278525323049</v>
      </c>
      <c r="K37" s="40">
        <f t="shared" si="3"/>
        <v>55.437726505590881</v>
      </c>
      <c r="L37" s="40">
        <f t="shared" si="3"/>
        <v>4.2782726900169523</v>
      </c>
      <c r="M37" s="40">
        <f t="shared" si="3"/>
        <v>15.609011883932748</v>
      </c>
      <c r="N37" s="40">
        <f t="shared" si="3"/>
        <v>153.27998672269692</v>
      </c>
      <c r="O37" s="40">
        <f t="shared" si="3"/>
        <v>0</v>
      </c>
      <c r="P37" s="40">
        <f t="shared" si="3"/>
        <v>8.4063468086122098E-2</v>
      </c>
      <c r="Q37" s="40">
        <f t="shared" si="3"/>
        <v>0.18504993450643223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45"/>
  <sheetViews>
    <sheetView topLeftCell="A6" workbookViewId="0">
      <selection activeCell="A9" sqref="A9:XFD32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6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>
      <c r="A2" s="3" t="s">
        <v>2</v>
      </c>
      <c r="B2" s="7">
        <f>$A$9</f>
        <v>45625.041666666664</v>
      </c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O2" s="1"/>
      <c r="P2" s="26" t="s">
        <v>7</v>
      </c>
      <c r="Q2" s="6"/>
      <c r="R2" s="30" t="s">
        <v>8</v>
      </c>
    </row>
    <row r="3" spans="1:21">
      <c r="A3" s="3" t="s">
        <v>9</v>
      </c>
      <c r="B3" s="6" t="s">
        <v>10</v>
      </c>
      <c r="D3" s="8" t="s">
        <v>11</v>
      </c>
      <c r="E3" s="8"/>
      <c r="F3" s="8"/>
      <c r="G3" s="11" t="s">
        <v>12</v>
      </c>
      <c r="H3" s="10"/>
      <c r="I3" s="10"/>
      <c r="J3" s="10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</row>
    <row r="4" spans="1:21">
      <c r="A4" s="3" t="s">
        <v>16</v>
      </c>
      <c r="B4" s="6" t="s">
        <v>17</v>
      </c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</row>
    <row r="5" spans="1:2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2">
        <v>45625.041666666664</v>
      </c>
      <c r="B9" s="53">
        <v>9.4600000000000009</v>
      </c>
      <c r="C9" s="53">
        <v>23.73</v>
      </c>
      <c r="D9" s="53">
        <v>21.05</v>
      </c>
      <c r="E9" s="53">
        <v>8.9600000000000009</v>
      </c>
      <c r="F9" s="53">
        <v>5.62</v>
      </c>
      <c r="G9" s="53">
        <v>120.22</v>
      </c>
      <c r="H9" s="53">
        <v>38.4</v>
      </c>
      <c r="I9" s="53">
        <v>10.57</v>
      </c>
      <c r="J9" s="53">
        <v>0.49</v>
      </c>
      <c r="K9" s="53">
        <v>54.43</v>
      </c>
      <c r="L9" s="53">
        <v>17.09</v>
      </c>
      <c r="M9" s="53">
        <v>70.099999999999994</v>
      </c>
      <c r="N9" s="53">
        <v>1.3</v>
      </c>
      <c r="O9" s="53">
        <v>0</v>
      </c>
      <c r="P9" s="53">
        <v>0.99</v>
      </c>
      <c r="Q9" s="53">
        <v>10.61</v>
      </c>
    </row>
    <row r="10" spans="1:21">
      <c r="A10" s="52">
        <v>45625.083333333336</v>
      </c>
      <c r="B10" s="53">
        <v>9.4</v>
      </c>
      <c r="C10" s="53">
        <v>23.05</v>
      </c>
      <c r="D10" s="53">
        <v>20.93</v>
      </c>
      <c r="E10" s="53">
        <v>9.02</v>
      </c>
      <c r="F10" s="53">
        <v>5.78</v>
      </c>
      <c r="G10" s="53">
        <v>117.63</v>
      </c>
      <c r="H10" s="53">
        <v>40.83</v>
      </c>
      <c r="I10" s="53">
        <v>10.5</v>
      </c>
      <c r="J10" s="53">
        <v>0.7</v>
      </c>
      <c r="K10" s="53">
        <v>51.79</v>
      </c>
      <c r="L10" s="53">
        <v>16.91</v>
      </c>
      <c r="M10" s="53">
        <v>69.58</v>
      </c>
      <c r="N10" s="53">
        <v>1.5</v>
      </c>
      <c r="O10" s="53">
        <v>0</v>
      </c>
      <c r="P10" s="53">
        <v>0.98</v>
      </c>
      <c r="Q10" s="53">
        <v>10.61</v>
      </c>
    </row>
    <row r="11" spans="1:21">
      <c r="A11" s="52">
        <v>45625.125</v>
      </c>
      <c r="B11" s="53">
        <v>8.39</v>
      </c>
      <c r="C11" s="53">
        <v>22.28</v>
      </c>
      <c r="D11" s="53">
        <v>19.72</v>
      </c>
      <c r="E11" s="53">
        <v>7.98</v>
      </c>
      <c r="F11" s="53">
        <v>6.02</v>
      </c>
      <c r="G11" s="53">
        <v>117.51</v>
      </c>
      <c r="H11" s="53">
        <v>40.770000000000003</v>
      </c>
      <c r="I11" s="53">
        <v>10.31</v>
      </c>
      <c r="J11" s="53">
        <v>0.69</v>
      </c>
      <c r="K11" s="53">
        <v>53.83</v>
      </c>
      <c r="L11" s="53">
        <v>16.38</v>
      </c>
      <c r="M11" s="53">
        <v>71.94</v>
      </c>
      <c r="N11" s="53">
        <v>1.7</v>
      </c>
      <c r="O11" s="53">
        <v>0</v>
      </c>
      <c r="P11" s="53">
        <v>0.95</v>
      </c>
      <c r="Q11" s="53">
        <v>10.58</v>
      </c>
    </row>
    <row r="12" spans="1:21">
      <c r="A12" s="52">
        <v>45625.166666666664</v>
      </c>
      <c r="B12" s="53">
        <v>6.83</v>
      </c>
      <c r="C12" s="53">
        <v>21.78</v>
      </c>
      <c r="D12" s="53">
        <v>18.21</v>
      </c>
      <c r="E12" s="53">
        <v>8.14</v>
      </c>
      <c r="F12" s="53">
        <v>5.98</v>
      </c>
      <c r="G12" s="53">
        <v>111.53</v>
      </c>
      <c r="H12" s="53">
        <v>36.85</v>
      </c>
      <c r="I12" s="53">
        <v>10.130000000000001</v>
      </c>
      <c r="J12" s="53">
        <v>0.7</v>
      </c>
      <c r="K12" s="53">
        <v>51.13</v>
      </c>
      <c r="L12" s="53">
        <v>15.42</v>
      </c>
      <c r="M12" s="53">
        <v>74.040000000000006</v>
      </c>
      <c r="N12" s="53">
        <v>1.7</v>
      </c>
      <c r="O12" s="53">
        <v>0</v>
      </c>
      <c r="P12" s="53">
        <v>0.96</v>
      </c>
      <c r="Q12" s="53">
        <v>10.57</v>
      </c>
    </row>
    <row r="13" spans="1:21">
      <c r="A13" s="52">
        <v>45625.208333333336</v>
      </c>
      <c r="B13" s="53">
        <v>7.6</v>
      </c>
      <c r="C13" s="53">
        <v>21.72</v>
      </c>
      <c r="D13" s="53">
        <v>18.79</v>
      </c>
      <c r="E13" s="53">
        <v>7.59</v>
      </c>
      <c r="F13" s="53">
        <v>6.09</v>
      </c>
      <c r="G13" s="53">
        <v>96.95</v>
      </c>
      <c r="H13" s="53">
        <v>35.409999999999997</v>
      </c>
      <c r="I13" s="53">
        <v>10.23</v>
      </c>
      <c r="J13" s="53">
        <v>0.56999999999999995</v>
      </c>
      <c r="K13" s="53">
        <v>50.11</v>
      </c>
      <c r="L13" s="53">
        <v>15.07</v>
      </c>
      <c r="M13" s="53">
        <v>76.3</v>
      </c>
      <c r="N13" s="53">
        <v>1.7</v>
      </c>
      <c r="O13" s="53">
        <v>0</v>
      </c>
      <c r="P13" s="53">
        <v>0.96</v>
      </c>
      <c r="Q13" s="53">
        <v>10.56</v>
      </c>
    </row>
    <row r="14" spans="1:21">
      <c r="A14" s="52">
        <v>45625.25</v>
      </c>
      <c r="B14" s="53">
        <v>9.34</v>
      </c>
      <c r="C14" s="53">
        <v>22.31</v>
      </c>
      <c r="D14" s="53">
        <v>20.5</v>
      </c>
      <c r="E14" s="53">
        <v>7.32</v>
      </c>
      <c r="F14" s="53">
        <v>5.58</v>
      </c>
      <c r="G14" s="53">
        <v>95.14</v>
      </c>
      <c r="H14" s="53">
        <v>35.4</v>
      </c>
      <c r="I14" s="53">
        <v>10.62</v>
      </c>
      <c r="J14" s="53">
        <v>0.5</v>
      </c>
      <c r="K14" s="53">
        <v>60.51</v>
      </c>
      <c r="L14" s="53">
        <v>14.84</v>
      </c>
      <c r="M14" s="53">
        <v>78.53</v>
      </c>
      <c r="N14" s="53">
        <v>1.7</v>
      </c>
      <c r="O14" s="53">
        <v>0</v>
      </c>
      <c r="P14" s="53">
        <v>0.98</v>
      </c>
      <c r="Q14" s="53">
        <v>10.57</v>
      </c>
    </row>
    <row r="15" spans="1:21">
      <c r="A15" s="52">
        <v>45625.291666666664</v>
      </c>
      <c r="B15" s="53">
        <v>11.1</v>
      </c>
      <c r="C15" s="53">
        <v>22.8</v>
      </c>
      <c r="D15" s="53">
        <v>22.16</v>
      </c>
      <c r="E15" s="53">
        <v>7.1</v>
      </c>
      <c r="F15" s="53">
        <v>5.77</v>
      </c>
      <c r="G15" s="53">
        <v>95.79</v>
      </c>
      <c r="H15" s="53">
        <v>35.1</v>
      </c>
      <c r="I15" s="53">
        <v>10.84</v>
      </c>
      <c r="J15" s="53">
        <v>0.64</v>
      </c>
      <c r="K15" s="53">
        <v>56.16</v>
      </c>
      <c r="L15" s="53">
        <v>14.88</v>
      </c>
      <c r="M15" s="53">
        <v>78.78</v>
      </c>
      <c r="N15" s="53">
        <v>26.3</v>
      </c>
      <c r="O15" s="53">
        <v>0</v>
      </c>
      <c r="P15" s="53">
        <v>1.01</v>
      </c>
      <c r="Q15" s="53">
        <v>10.57</v>
      </c>
    </row>
    <row r="16" spans="1:21">
      <c r="A16" s="52">
        <v>45625.333333333336</v>
      </c>
      <c r="B16" s="53">
        <v>12.9</v>
      </c>
      <c r="C16" s="53">
        <v>23.39</v>
      </c>
      <c r="D16" s="53">
        <v>23.9</v>
      </c>
      <c r="E16" s="53">
        <v>7.4</v>
      </c>
      <c r="F16" s="53">
        <v>5.6</v>
      </c>
      <c r="G16" s="53">
        <v>100.13</v>
      </c>
      <c r="H16" s="53">
        <v>36.97</v>
      </c>
      <c r="I16" s="53">
        <v>11.33</v>
      </c>
      <c r="J16" s="53">
        <v>0.77</v>
      </c>
      <c r="K16" s="53">
        <v>66.31</v>
      </c>
      <c r="L16" s="53">
        <v>17.11</v>
      </c>
      <c r="M16" s="53">
        <v>76.760000000000005</v>
      </c>
      <c r="N16" s="53">
        <v>131.9</v>
      </c>
      <c r="O16" s="53">
        <v>0</v>
      </c>
      <c r="P16" s="53">
        <v>1.04</v>
      </c>
      <c r="Q16" s="53">
        <v>10.56</v>
      </c>
    </row>
    <row r="17" spans="1:17">
      <c r="A17" s="52">
        <v>45625.375</v>
      </c>
      <c r="B17" s="53">
        <v>12.31</v>
      </c>
      <c r="C17" s="53">
        <v>23.36</v>
      </c>
      <c r="D17" s="53">
        <v>23.42</v>
      </c>
      <c r="E17" s="53">
        <v>7.72</v>
      </c>
      <c r="F17" s="53">
        <v>6.03</v>
      </c>
      <c r="G17" s="53">
        <v>101.97</v>
      </c>
      <c r="H17" s="53">
        <v>39.5</v>
      </c>
      <c r="I17" s="53">
        <v>11.69</v>
      </c>
      <c r="J17" s="53">
        <v>1.18</v>
      </c>
      <c r="K17" s="53">
        <v>50.53</v>
      </c>
      <c r="L17" s="53">
        <v>20.309999999999999</v>
      </c>
      <c r="M17" s="53">
        <v>66.540000000000006</v>
      </c>
      <c r="N17" s="53">
        <v>186.7</v>
      </c>
      <c r="O17" s="53">
        <v>0</v>
      </c>
      <c r="P17" s="53">
        <v>1.02</v>
      </c>
      <c r="Q17" s="53">
        <v>10.56</v>
      </c>
    </row>
    <row r="18" spans="1:17">
      <c r="A18" s="52">
        <v>45625.416666666664</v>
      </c>
      <c r="B18" s="53">
        <v>9.6199999999999992</v>
      </c>
      <c r="C18" s="53">
        <v>23.01</v>
      </c>
      <c r="D18" s="53">
        <v>21.09</v>
      </c>
      <c r="E18" s="53">
        <v>7.99</v>
      </c>
      <c r="F18" s="53">
        <v>6.6</v>
      </c>
      <c r="G18" s="53">
        <v>101.95</v>
      </c>
      <c r="H18" s="53">
        <v>39.5</v>
      </c>
      <c r="I18" s="53">
        <v>11.73</v>
      </c>
      <c r="J18" s="53">
        <v>1.21</v>
      </c>
      <c r="K18" s="53">
        <v>51.76</v>
      </c>
      <c r="L18" s="53">
        <v>23.02</v>
      </c>
      <c r="M18" s="53">
        <v>57.06</v>
      </c>
      <c r="N18" s="53">
        <v>369</v>
      </c>
      <c r="O18" s="53">
        <v>0</v>
      </c>
      <c r="P18" s="53">
        <v>1</v>
      </c>
      <c r="Q18" s="53">
        <v>10.54</v>
      </c>
    </row>
    <row r="19" spans="1:17">
      <c r="A19" s="52">
        <v>45625.458333333336</v>
      </c>
      <c r="B19" s="53">
        <v>6.64</v>
      </c>
      <c r="C19" s="53">
        <v>22.7</v>
      </c>
      <c r="D19" s="53">
        <v>18.53</v>
      </c>
      <c r="E19" s="53">
        <v>9.4</v>
      </c>
      <c r="F19" s="53">
        <v>7.2</v>
      </c>
      <c r="G19" s="53">
        <v>101.22</v>
      </c>
      <c r="H19" s="53">
        <v>39.130000000000003</v>
      </c>
      <c r="I19" s="53">
        <v>11.46</v>
      </c>
      <c r="J19" s="53">
        <v>0.68</v>
      </c>
      <c r="K19" s="53">
        <v>84.86</v>
      </c>
      <c r="L19" s="53">
        <v>25.53</v>
      </c>
      <c r="M19" s="53">
        <v>49.47</v>
      </c>
      <c r="N19" s="53">
        <v>419.3</v>
      </c>
      <c r="O19" s="53">
        <v>0</v>
      </c>
      <c r="P19" s="53">
        <v>1</v>
      </c>
      <c r="Q19" s="53">
        <v>10.52</v>
      </c>
    </row>
    <row r="20" spans="1:17">
      <c r="A20" s="52">
        <v>45625.5</v>
      </c>
      <c r="B20" s="53">
        <v>4.58</v>
      </c>
      <c r="C20" s="53">
        <v>21.33</v>
      </c>
      <c r="D20" s="53">
        <v>16.170000000000002</v>
      </c>
      <c r="E20" s="53">
        <v>10.31</v>
      </c>
      <c r="F20" s="53">
        <v>20.76</v>
      </c>
      <c r="G20" s="53">
        <v>98.74</v>
      </c>
      <c r="H20" s="53">
        <v>38.11</v>
      </c>
      <c r="I20" s="53">
        <v>11.06</v>
      </c>
      <c r="J20" s="53">
        <v>0.62</v>
      </c>
      <c r="K20" s="53">
        <v>73.42</v>
      </c>
      <c r="L20" s="53">
        <v>26.99</v>
      </c>
      <c r="M20" s="53">
        <v>44.66</v>
      </c>
      <c r="N20" s="53">
        <v>461.9</v>
      </c>
      <c r="O20" s="53">
        <v>0</v>
      </c>
      <c r="P20" s="53">
        <v>0.96</v>
      </c>
      <c r="Q20" s="53">
        <v>10.48</v>
      </c>
    </row>
    <row r="21" spans="1:17">
      <c r="A21" s="52">
        <v>45625.541666666664</v>
      </c>
      <c r="B21" s="53">
        <v>3.6</v>
      </c>
      <c r="C21" s="53">
        <v>20.079999999999998</v>
      </c>
      <c r="D21" s="53">
        <v>14.67</v>
      </c>
      <c r="E21" s="53">
        <v>10.41</v>
      </c>
      <c r="F21" s="53">
        <v>27.35</v>
      </c>
      <c r="G21" s="53">
        <v>97.38</v>
      </c>
      <c r="H21" s="53">
        <v>38.03</v>
      </c>
      <c r="I21" s="53">
        <v>10.41</v>
      </c>
      <c r="J21" s="53">
        <v>1.0900000000000001</v>
      </c>
      <c r="K21" s="53">
        <v>67.16</v>
      </c>
      <c r="L21" s="53">
        <v>27.95</v>
      </c>
      <c r="M21" s="53">
        <v>41.08</v>
      </c>
      <c r="N21" s="53">
        <v>444.9</v>
      </c>
      <c r="O21" s="53">
        <v>0</v>
      </c>
      <c r="P21" s="53">
        <v>0.89</v>
      </c>
      <c r="Q21" s="53">
        <v>10.48</v>
      </c>
    </row>
    <row r="22" spans="1:17">
      <c r="A22" s="52">
        <v>45625.583333333336</v>
      </c>
      <c r="B22" s="53">
        <v>3.67</v>
      </c>
      <c r="C22" s="53">
        <v>19.420000000000002</v>
      </c>
      <c r="D22" s="53">
        <v>14.43</v>
      </c>
      <c r="E22" s="53">
        <v>9.7899999999999991</v>
      </c>
      <c r="F22" s="53">
        <v>27.85</v>
      </c>
      <c r="G22" s="53">
        <v>86.17</v>
      </c>
      <c r="H22" s="53">
        <v>35.53</v>
      </c>
      <c r="I22" s="53">
        <v>8.42</v>
      </c>
      <c r="J22" s="53">
        <v>0.84</v>
      </c>
      <c r="K22" s="53">
        <v>48.35</v>
      </c>
      <c r="L22" s="53">
        <v>27.71</v>
      </c>
      <c r="M22" s="53">
        <v>40.44</v>
      </c>
      <c r="N22" s="53">
        <v>363.8</v>
      </c>
      <c r="O22" s="53">
        <v>0</v>
      </c>
      <c r="P22" s="53">
        <v>0.85</v>
      </c>
      <c r="Q22" s="53">
        <v>10.54</v>
      </c>
    </row>
    <row r="23" spans="1:17">
      <c r="A23" s="52">
        <v>45625.625</v>
      </c>
      <c r="B23" s="53">
        <v>3.82</v>
      </c>
      <c r="C23" s="53">
        <v>20.79</v>
      </c>
      <c r="D23" s="53">
        <v>15.21</v>
      </c>
      <c r="E23" s="53">
        <v>9.35</v>
      </c>
      <c r="F23" s="53">
        <v>18.829999999999998</v>
      </c>
      <c r="G23" s="53">
        <v>83.04</v>
      </c>
      <c r="H23" s="53">
        <v>35.49</v>
      </c>
      <c r="I23" s="53">
        <v>7.73</v>
      </c>
      <c r="J23" s="53">
        <v>1.1299999999999999</v>
      </c>
      <c r="K23" s="53">
        <v>53.93</v>
      </c>
      <c r="L23" s="53">
        <v>27.75</v>
      </c>
      <c r="M23" s="53">
        <v>40.520000000000003</v>
      </c>
      <c r="N23" s="53">
        <v>93.1</v>
      </c>
      <c r="O23" s="53">
        <v>0</v>
      </c>
      <c r="P23" s="53">
        <v>0.67</v>
      </c>
      <c r="Q23" s="53">
        <v>10.52</v>
      </c>
    </row>
    <row r="24" spans="1:17">
      <c r="A24" s="52">
        <v>45625.666666666664</v>
      </c>
      <c r="B24" s="53">
        <v>3.83</v>
      </c>
      <c r="C24" s="53">
        <v>21.88</v>
      </c>
      <c r="D24" s="53">
        <v>15.85</v>
      </c>
      <c r="E24" s="53">
        <v>9.8800000000000008</v>
      </c>
      <c r="F24" s="53">
        <v>17.79</v>
      </c>
      <c r="G24" s="53">
        <v>77.87</v>
      </c>
      <c r="H24" s="53">
        <v>34.03</v>
      </c>
      <c r="I24" s="53">
        <v>7.72</v>
      </c>
      <c r="J24" s="53">
        <v>1.02</v>
      </c>
      <c r="K24" s="53">
        <v>49.49</v>
      </c>
      <c r="L24" s="53">
        <v>27.48</v>
      </c>
      <c r="M24" s="53">
        <v>41.27</v>
      </c>
      <c r="N24" s="53">
        <v>63.3</v>
      </c>
      <c r="O24" s="53">
        <v>0</v>
      </c>
      <c r="P24" s="53">
        <v>0.68</v>
      </c>
      <c r="Q24" s="53">
        <v>10.51</v>
      </c>
    </row>
    <row r="25" spans="1:17">
      <c r="A25" s="52">
        <v>45625.708333333336</v>
      </c>
      <c r="B25" s="53">
        <v>3.94</v>
      </c>
      <c r="C25" s="53">
        <v>23.73</v>
      </c>
      <c r="D25" s="53">
        <v>16.809999999999999</v>
      </c>
      <c r="E25" s="53">
        <v>9.74</v>
      </c>
      <c r="F25" s="53">
        <v>14.02</v>
      </c>
      <c r="G25" s="53">
        <v>74.31</v>
      </c>
      <c r="H25" s="53">
        <v>32.32</v>
      </c>
      <c r="I25" s="53">
        <v>7.38</v>
      </c>
      <c r="J25" s="53">
        <v>0.76</v>
      </c>
      <c r="K25" s="53">
        <v>58.88</v>
      </c>
      <c r="L25" s="53">
        <v>26.8</v>
      </c>
      <c r="M25" s="53">
        <v>46.28</v>
      </c>
      <c r="N25" s="53">
        <v>26.6</v>
      </c>
      <c r="O25" s="53">
        <v>0</v>
      </c>
      <c r="P25" s="53">
        <v>0.69</v>
      </c>
      <c r="Q25" s="53">
        <v>10.5</v>
      </c>
    </row>
    <row r="26" spans="1:17">
      <c r="A26" s="52">
        <v>45625.75</v>
      </c>
      <c r="B26" s="53">
        <v>5.03</v>
      </c>
      <c r="C26" s="53">
        <v>24.46</v>
      </c>
      <c r="D26" s="53">
        <v>18.16</v>
      </c>
      <c r="E26" s="53">
        <v>9.43</v>
      </c>
      <c r="F26" s="53">
        <v>8.5</v>
      </c>
      <c r="G26" s="53">
        <v>74.849999999999994</v>
      </c>
      <c r="H26" s="53">
        <v>30.5</v>
      </c>
      <c r="I26" s="53">
        <v>7.49</v>
      </c>
      <c r="J26" s="53">
        <v>0.4</v>
      </c>
      <c r="K26" s="53">
        <v>108.74</v>
      </c>
      <c r="L26" s="53">
        <v>25.21</v>
      </c>
      <c r="M26" s="53">
        <v>57.5</v>
      </c>
      <c r="N26" s="53">
        <v>3</v>
      </c>
      <c r="O26" s="53">
        <v>0</v>
      </c>
      <c r="P26" s="53">
        <v>0.74</v>
      </c>
      <c r="Q26" s="53">
        <v>10.46</v>
      </c>
    </row>
    <row r="27" spans="1:17">
      <c r="A27" s="52">
        <v>45625.791666666664</v>
      </c>
      <c r="B27" s="53">
        <v>6.67</v>
      </c>
      <c r="C27" s="53">
        <v>24.23</v>
      </c>
      <c r="D27" s="53">
        <v>19.22</v>
      </c>
      <c r="E27" s="53">
        <v>9.59</v>
      </c>
      <c r="F27" s="53">
        <v>6.12</v>
      </c>
      <c r="G27" s="53">
        <v>86.05</v>
      </c>
      <c r="H27" s="53">
        <v>30.49</v>
      </c>
      <c r="I27" s="53">
        <v>8.0299999999999994</v>
      </c>
      <c r="J27" s="53">
        <v>0.68</v>
      </c>
      <c r="K27" s="53">
        <v>82.7</v>
      </c>
      <c r="L27" s="53">
        <v>23.1</v>
      </c>
      <c r="M27" s="53">
        <v>58.72</v>
      </c>
      <c r="N27" s="53">
        <v>1.8</v>
      </c>
      <c r="O27" s="53">
        <v>0</v>
      </c>
      <c r="P27" s="53">
        <v>0.81</v>
      </c>
      <c r="Q27" s="53">
        <v>10.44</v>
      </c>
    </row>
    <row r="28" spans="1:17">
      <c r="A28" s="52">
        <v>45625.833333333336</v>
      </c>
      <c r="B28" s="53">
        <v>8.57</v>
      </c>
      <c r="C28" s="53">
        <v>23.98</v>
      </c>
      <c r="D28" s="53">
        <v>20.64</v>
      </c>
      <c r="E28" s="53">
        <v>9.6300000000000008</v>
      </c>
      <c r="F28" s="53">
        <v>6.09</v>
      </c>
      <c r="G28" s="53">
        <v>101</v>
      </c>
      <c r="H28" s="53">
        <v>30.25</v>
      </c>
      <c r="I28" s="53">
        <v>8.93</v>
      </c>
      <c r="J28" s="53">
        <v>0.57999999999999996</v>
      </c>
      <c r="K28" s="53">
        <v>54.61</v>
      </c>
      <c r="L28" s="53">
        <v>22.76</v>
      </c>
      <c r="M28" s="53">
        <v>58.22</v>
      </c>
      <c r="N28" s="53">
        <v>1.8</v>
      </c>
      <c r="O28" s="53">
        <v>0</v>
      </c>
      <c r="P28" s="53">
        <v>0.89</v>
      </c>
      <c r="Q28" s="53">
        <v>10.42</v>
      </c>
    </row>
    <row r="29" spans="1:17">
      <c r="A29" s="52">
        <v>45625.875</v>
      </c>
      <c r="B29" s="53">
        <v>9.2799999999999994</v>
      </c>
      <c r="C29" s="53">
        <v>23.91</v>
      </c>
      <c r="D29" s="53">
        <v>21.06</v>
      </c>
      <c r="E29" s="53">
        <v>9.9700000000000006</v>
      </c>
      <c r="F29" s="53">
        <v>6.12</v>
      </c>
      <c r="G29" s="53">
        <v>115.93</v>
      </c>
      <c r="H29" s="53">
        <v>37.47</v>
      </c>
      <c r="I29" s="53">
        <v>9.6999999999999993</v>
      </c>
      <c r="J29" s="53">
        <v>0.71</v>
      </c>
      <c r="K29" s="53">
        <v>53.2</v>
      </c>
      <c r="L29" s="53">
        <v>22.32</v>
      </c>
      <c r="M29" s="53">
        <v>57.22</v>
      </c>
      <c r="N29" s="53">
        <v>2.1</v>
      </c>
      <c r="O29" s="53">
        <v>0</v>
      </c>
      <c r="P29" s="53">
        <v>0.93</v>
      </c>
      <c r="Q29" s="53">
        <v>10.41</v>
      </c>
    </row>
    <row r="30" spans="1:17">
      <c r="A30" s="52">
        <v>45625.916666666664</v>
      </c>
      <c r="B30" s="53">
        <v>9.59</v>
      </c>
      <c r="C30" s="53">
        <v>23.2</v>
      </c>
      <c r="D30" s="53">
        <v>21.1</v>
      </c>
      <c r="E30" s="53">
        <v>10.09</v>
      </c>
      <c r="F30" s="53">
        <v>5.88</v>
      </c>
      <c r="G30" s="53">
        <v>118.09</v>
      </c>
      <c r="H30" s="53">
        <v>37.44</v>
      </c>
      <c r="I30" s="53">
        <v>9.83</v>
      </c>
      <c r="J30" s="53">
        <v>0.67</v>
      </c>
      <c r="K30" s="53">
        <v>50.7</v>
      </c>
      <c r="L30" s="53">
        <v>21.76</v>
      </c>
      <c r="M30" s="53">
        <v>57.8</v>
      </c>
      <c r="N30" s="53">
        <v>2.1</v>
      </c>
      <c r="O30" s="53">
        <v>0</v>
      </c>
      <c r="P30" s="53">
        <v>0.94</v>
      </c>
      <c r="Q30" s="53">
        <v>10.41</v>
      </c>
    </row>
    <row r="31" spans="1:17">
      <c r="A31" s="52">
        <v>45625.958333333336</v>
      </c>
      <c r="B31" s="53">
        <v>9.81</v>
      </c>
      <c r="C31" s="53">
        <v>23.02</v>
      </c>
      <c r="D31" s="53">
        <v>21.25</v>
      </c>
      <c r="E31" s="53">
        <v>10.53</v>
      </c>
      <c r="F31" s="53">
        <v>5.64</v>
      </c>
      <c r="G31" s="53">
        <v>117.78</v>
      </c>
      <c r="H31" s="53">
        <v>36.44</v>
      </c>
      <c r="I31" s="53">
        <v>9.8800000000000008</v>
      </c>
      <c r="J31" s="53">
        <v>0.4</v>
      </c>
      <c r="K31" s="53">
        <v>133.19</v>
      </c>
      <c r="L31" s="53">
        <v>21.32</v>
      </c>
      <c r="M31" s="53">
        <v>62.07</v>
      </c>
      <c r="N31" s="53">
        <v>2.1</v>
      </c>
      <c r="O31" s="53">
        <v>0</v>
      </c>
      <c r="P31" s="53">
        <v>0.95</v>
      </c>
      <c r="Q31" s="53">
        <v>10.39</v>
      </c>
    </row>
    <row r="32" spans="1:17">
      <c r="A32" s="52">
        <v>45626</v>
      </c>
      <c r="B32" s="53">
        <v>10.32</v>
      </c>
      <c r="C32" s="53">
        <v>23.25</v>
      </c>
      <c r="D32" s="53">
        <v>21.77</v>
      </c>
      <c r="E32" s="53">
        <v>9.6199999999999992</v>
      </c>
      <c r="F32" s="53">
        <v>5.58</v>
      </c>
      <c r="G32" s="53">
        <v>103.94</v>
      </c>
      <c r="H32" s="53">
        <v>34.33</v>
      </c>
      <c r="I32" s="53">
        <v>9.8000000000000007</v>
      </c>
      <c r="J32" s="53">
        <v>0.41</v>
      </c>
      <c r="K32" s="53">
        <v>54.9</v>
      </c>
      <c r="L32" s="53">
        <v>20.45</v>
      </c>
      <c r="M32" s="53">
        <v>62.93</v>
      </c>
      <c r="N32" s="53">
        <v>1.7</v>
      </c>
      <c r="O32" s="53">
        <v>0</v>
      </c>
      <c r="P32" s="53">
        <v>0.93</v>
      </c>
      <c r="Q32" s="53">
        <v>10.38</v>
      </c>
    </row>
    <row r="33" spans="1:2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>
      <c r="A34" s="32" t="s">
        <v>48</v>
      </c>
      <c r="B34" s="40">
        <f t="shared" ref="B34:Q34" si="0">MIN(B9:B32)</f>
        <v>3.6</v>
      </c>
      <c r="C34" s="40">
        <f t="shared" si="0"/>
        <v>19.420000000000002</v>
      </c>
      <c r="D34" s="40">
        <f t="shared" si="0"/>
        <v>14.43</v>
      </c>
      <c r="E34" s="40">
        <f t="shared" si="0"/>
        <v>7.1</v>
      </c>
      <c r="F34" s="40">
        <f t="shared" si="0"/>
        <v>5.58</v>
      </c>
      <c r="G34" s="40">
        <f t="shared" si="0"/>
        <v>74.31</v>
      </c>
      <c r="H34" s="40">
        <f t="shared" si="0"/>
        <v>30.25</v>
      </c>
      <c r="I34" s="40">
        <f t="shared" si="0"/>
        <v>7.38</v>
      </c>
      <c r="J34" s="40">
        <f t="shared" si="0"/>
        <v>0.4</v>
      </c>
      <c r="K34" s="40">
        <f t="shared" si="0"/>
        <v>48.35</v>
      </c>
      <c r="L34" s="40">
        <f t="shared" si="0"/>
        <v>14.84</v>
      </c>
      <c r="M34" s="40">
        <f t="shared" si="0"/>
        <v>40.44</v>
      </c>
      <c r="N34" s="40">
        <f t="shared" si="0"/>
        <v>1.3</v>
      </c>
      <c r="O34" s="40">
        <f t="shared" si="0"/>
        <v>0</v>
      </c>
      <c r="P34" s="40">
        <f t="shared" si="0"/>
        <v>0.67</v>
      </c>
      <c r="Q34" s="40">
        <f t="shared" si="0"/>
        <v>10.38</v>
      </c>
      <c r="R34" s="40"/>
      <c r="S34" s="40"/>
      <c r="T34" s="40"/>
      <c r="U34" s="40"/>
    </row>
    <row r="35" spans="1:21">
      <c r="A35" s="32" t="s">
        <v>49</v>
      </c>
      <c r="B35" s="33">
        <f t="shared" ref="B35:Q35" si="1">MAX(B9:B32)</f>
        <v>12.9</v>
      </c>
      <c r="C35" s="33">
        <f t="shared" si="1"/>
        <v>24.46</v>
      </c>
      <c r="D35" s="33">
        <f t="shared" si="1"/>
        <v>23.9</v>
      </c>
      <c r="E35" s="33">
        <f t="shared" si="1"/>
        <v>10.53</v>
      </c>
      <c r="F35" s="33">
        <f t="shared" si="1"/>
        <v>27.85</v>
      </c>
      <c r="G35" s="33">
        <f t="shared" si="1"/>
        <v>120.22</v>
      </c>
      <c r="H35" s="33">
        <f t="shared" si="1"/>
        <v>40.83</v>
      </c>
      <c r="I35" s="33">
        <f t="shared" si="1"/>
        <v>11.73</v>
      </c>
      <c r="J35" s="33">
        <f t="shared" si="1"/>
        <v>1.21</v>
      </c>
      <c r="K35" s="33">
        <f t="shared" si="1"/>
        <v>133.19</v>
      </c>
      <c r="L35" s="33">
        <f t="shared" si="1"/>
        <v>27.95</v>
      </c>
      <c r="M35" s="33">
        <f t="shared" si="1"/>
        <v>78.78</v>
      </c>
      <c r="N35" s="33">
        <f t="shared" si="1"/>
        <v>461.9</v>
      </c>
      <c r="O35" s="33">
        <f t="shared" si="1"/>
        <v>0</v>
      </c>
      <c r="P35" s="33">
        <f t="shared" si="1"/>
        <v>1.04</v>
      </c>
      <c r="Q35" s="33">
        <f t="shared" si="1"/>
        <v>10.61</v>
      </c>
      <c r="R35" s="33"/>
      <c r="S35" s="33"/>
      <c r="T35" s="33"/>
      <c r="U35" s="33"/>
    </row>
    <row r="36" spans="1:21">
      <c r="A36" s="32" t="s">
        <v>50</v>
      </c>
      <c r="B36" s="40">
        <f t="shared" ref="B36:Q36" si="2">AVERAGE(B9:B32)</f>
        <v>7.7624999999999984</v>
      </c>
      <c r="C36" s="40">
        <f t="shared" si="2"/>
        <v>22.642083333333336</v>
      </c>
      <c r="D36" s="40">
        <f t="shared" si="2"/>
        <v>19.360000000000003</v>
      </c>
      <c r="E36" s="40">
        <f t="shared" si="2"/>
        <v>9.0400000000000009</v>
      </c>
      <c r="F36" s="40">
        <f t="shared" si="2"/>
        <v>9.8666666666666671</v>
      </c>
      <c r="G36" s="40">
        <f t="shared" si="2"/>
        <v>99.799583333333331</v>
      </c>
      <c r="H36" s="40">
        <f t="shared" si="2"/>
        <v>36.178750000000001</v>
      </c>
      <c r="I36" s="40">
        <f t="shared" si="2"/>
        <v>9.824583333333333</v>
      </c>
      <c r="J36" s="40">
        <f t="shared" si="2"/>
        <v>0.72666666666666657</v>
      </c>
      <c r="K36" s="40">
        <f t="shared" si="2"/>
        <v>63.362083333333338</v>
      </c>
      <c r="L36" s="40">
        <f t="shared" si="2"/>
        <v>21.59</v>
      </c>
      <c r="M36" s="40">
        <f t="shared" si="2"/>
        <v>59.908749999999998</v>
      </c>
      <c r="N36" s="40">
        <f t="shared" si="2"/>
        <v>108.79166666666667</v>
      </c>
      <c r="O36" s="40">
        <f t="shared" si="2"/>
        <v>0</v>
      </c>
      <c r="P36" s="40">
        <f t="shared" si="2"/>
        <v>0.90916666666666668</v>
      </c>
      <c r="Q36" s="40">
        <f t="shared" si="2"/>
        <v>10.507916666666665</v>
      </c>
      <c r="R36" s="40"/>
      <c r="S36" s="40"/>
      <c r="T36" s="40"/>
      <c r="U36" s="40"/>
    </row>
    <row r="37" spans="1:21">
      <c r="A37" s="32" t="s">
        <v>51</v>
      </c>
      <c r="B37" s="40">
        <f>STDEV(B9:B32)</f>
        <v>2.8572900660834515</v>
      </c>
      <c r="C37" s="40">
        <f t="shared" ref="C37:Q37" si="3">STDEV(C9:C32)</f>
        <v>1.2909887655411363</v>
      </c>
      <c r="D37" s="40">
        <f t="shared" si="3"/>
        <v>2.7021135045190592</v>
      </c>
      <c r="E37" s="40">
        <f t="shared" si="3"/>
        <v>1.085469243350939</v>
      </c>
      <c r="F37" s="40">
        <f t="shared" si="3"/>
        <v>7.129877532131137</v>
      </c>
      <c r="G37" s="40">
        <f t="shared" si="3"/>
        <v>14.135897405931187</v>
      </c>
      <c r="H37" s="40">
        <f t="shared" si="3"/>
        <v>3.0639578162891987</v>
      </c>
      <c r="I37" s="40">
        <f t="shared" si="3"/>
        <v>1.3727914410352875</v>
      </c>
      <c r="J37" s="40">
        <f t="shared" si="3"/>
        <v>0.24068139984611245</v>
      </c>
      <c r="K37" s="40">
        <f t="shared" si="3"/>
        <v>20.666303171476091</v>
      </c>
      <c r="L37" s="40">
        <f t="shared" si="3"/>
        <v>4.6870459780121703</v>
      </c>
      <c r="M37" s="40">
        <f t="shared" si="3"/>
        <v>12.970027425300367</v>
      </c>
      <c r="N37" s="40">
        <f t="shared" si="3"/>
        <v>166.54178981151605</v>
      </c>
      <c r="O37" s="40">
        <f t="shared" si="3"/>
        <v>0</v>
      </c>
      <c r="P37" s="40">
        <f t="shared" si="3"/>
        <v>0.11150810719859958</v>
      </c>
      <c r="Q37" s="40">
        <f t="shared" si="3"/>
        <v>7.0339497634943404E-2</v>
      </c>
      <c r="R37" s="40"/>
      <c r="S37" s="40"/>
      <c r="T37" s="40"/>
      <c r="U37" s="40"/>
    </row>
    <row r="38" spans="1:2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22"/>
      <c r="M41" s="1"/>
      <c r="N41" s="48"/>
      <c r="O41" s="48"/>
      <c r="P41" s="48"/>
      <c r="Q41" s="48"/>
      <c r="R41" s="48"/>
      <c r="S41" s="48"/>
      <c r="T41" s="48"/>
      <c r="U41" s="48"/>
    </row>
    <row r="42" spans="1:21">
      <c r="A42" s="2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21" t="s">
        <v>56</v>
      </c>
      <c r="C43" s="4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22"/>
      <c r="B44" s="1"/>
      <c r="C44" s="1"/>
      <c r="D44" s="23"/>
      <c r="E44" s="23"/>
      <c r="F44" s="23"/>
      <c r="G44" s="23"/>
      <c r="H44" s="23"/>
      <c r="I44" s="2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selection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45626.041666666664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45626.041666666664</v>
      </c>
      <c r="B9" s="53">
        <v>10.63</v>
      </c>
      <c r="C9" s="53">
        <v>23.75</v>
      </c>
      <c r="D9" s="53">
        <v>22.22</v>
      </c>
      <c r="E9" s="53">
        <v>9.66</v>
      </c>
      <c r="F9" s="53">
        <v>5.79</v>
      </c>
      <c r="G9" s="53">
        <v>103.33</v>
      </c>
      <c r="H9" s="53">
        <v>34.26</v>
      </c>
      <c r="I9" s="53">
        <v>9.5399999999999991</v>
      </c>
      <c r="J9" s="53">
        <v>0.56999999999999995</v>
      </c>
      <c r="K9" s="53">
        <v>53.4</v>
      </c>
      <c r="L9" s="53">
        <v>20</v>
      </c>
      <c r="M9" s="53">
        <v>65.95</v>
      </c>
      <c r="N9" s="53">
        <v>2</v>
      </c>
      <c r="O9" s="53">
        <v>0</v>
      </c>
      <c r="P9" s="53">
        <v>0.9</v>
      </c>
      <c r="Q9" s="53">
        <v>10.38</v>
      </c>
    </row>
    <row r="10" spans="1:21" customFormat="1">
      <c r="A10" s="52">
        <v>45626.083333333336</v>
      </c>
      <c r="B10" s="53">
        <v>10.24</v>
      </c>
      <c r="C10" s="53">
        <v>22.95</v>
      </c>
      <c r="D10" s="53">
        <v>21.55</v>
      </c>
      <c r="E10" s="53">
        <v>9.74</v>
      </c>
      <c r="F10" s="53">
        <v>6.68</v>
      </c>
      <c r="G10" s="53">
        <v>101.4</v>
      </c>
      <c r="H10" s="53">
        <v>32.89</v>
      </c>
      <c r="I10" s="53">
        <v>9.25</v>
      </c>
      <c r="J10" s="53">
        <v>0.6</v>
      </c>
      <c r="K10" s="53">
        <v>55.2</v>
      </c>
      <c r="L10" s="53">
        <v>19.39</v>
      </c>
      <c r="M10" s="53">
        <v>67.81</v>
      </c>
      <c r="N10" s="53">
        <v>1.7</v>
      </c>
      <c r="O10" s="53">
        <v>0</v>
      </c>
      <c r="P10" s="53">
        <v>0.85</v>
      </c>
      <c r="Q10" s="53">
        <v>10.36</v>
      </c>
    </row>
    <row r="11" spans="1:21" customFormat="1">
      <c r="A11" s="52">
        <v>45626.125</v>
      </c>
      <c r="B11" s="53">
        <v>9.82</v>
      </c>
      <c r="C11" s="53">
        <v>22.51</v>
      </c>
      <c r="D11" s="53">
        <v>20.94</v>
      </c>
      <c r="E11" s="53">
        <v>9.09</v>
      </c>
      <c r="F11" s="53">
        <v>5.47</v>
      </c>
      <c r="G11" s="53">
        <v>93.45</v>
      </c>
      <c r="H11" s="53">
        <v>31.01</v>
      </c>
      <c r="I11" s="53">
        <v>8.92</v>
      </c>
      <c r="J11" s="53">
        <v>0.63</v>
      </c>
      <c r="K11" s="53">
        <v>46.15</v>
      </c>
      <c r="L11" s="53">
        <v>18.97</v>
      </c>
      <c r="M11" s="53">
        <v>71</v>
      </c>
      <c r="N11" s="53">
        <v>1.8</v>
      </c>
      <c r="O11" s="53">
        <v>0</v>
      </c>
      <c r="P11" s="53">
        <v>0.8</v>
      </c>
      <c r="Q11" s="53">
        <v>10.33</v>
      </c>
    </row>
    <row r="12" spans="1:21" customFormat="1">
      <c r="A12" s="52">
        <v>45626.166666666664</v>
      </c>
      <c r="B12" s="53">
        <v>9.91</v>
      </c>
      <c r="C12" s="53">
        <v>21.96</v>
      </c>
      <c r="D12" s="53">
        <v>20.71</v>
      </c>
      <c r="E12" s="53">
        <v>9.44</v>
      </c>
      <c r="F12" s="53">
        <v>5.61</v>
      </c>
      <c r="G12" s="53">
        <v>88.04</v>
      </c>
      <c r="H12" s="53">
        <v>28.76</v>
      </c>
      <c r="I12" s="53">
        <v>8.9600000000000009</v>
      </c>
      <c r="J12" s="53">
        <v>0.75</v>
      </c>
      <c r="K12" s="53">
        <v>44.74</v>
      </c>
      <c r="L12" s="53">
        <v>18.39</v>
      </c>
      <c r="M12" s="53">
        <v>74.400000000000006</v>
      </c>
      <c r="N12" s="53">
        <v>2.1</v>
      </c>
      <c r="O12" s="53">
        <v>0</v>
      </c>
      <c r="P12" s="53">
        <v>0.79</v>
      </c>
      <c r="Q12" s="53">
        <v>10.33</v>
      </c>
    </row>
    <row r="13" spans="1:21" customFormat="1">
      <c r="A13" s="52">
        <v>45626.208333333336</v>
      </c>
      <c r="B13" s="53">
        <v>10.35</v>
      </c>
      <c r="C13" s="53">
        <v>20.72</v>
      </c>
      <c r="D13" s="53">
        <v>20.16</v>
      </c>
      <c r="E13" s="53">
        <v>9.74</v>
      </c>
      <c r="F13" s="53">
        <v>5.64</v>
      </c>
      <c r="G13" s="53">
        <v>80.31</v>
      </c>
      <c r="H13" s="53">
        <v>28.38</v>
      </c>
      <c r="I13" s="53">
        <v>9.27</v>
      </c>
      <c r="J13" s="53">
        <v>0.73</v>
      </c>
      <c r="K13" s="53">
        <v>45.02</v>
      </c>
      <c r="L13" s="53">
        <v>17.989999999999998</v>
      </c>
      <c r="M13" s="53">
        <v>76.33</v>
      </c>
      <c r="N13" s="53">
        <v>1.9</v>
      </c>
      <c r="O13" s="53">
        <v>0</v>
      </c>
      <c r="P13" s="53">
        <v>0.77</v>
      </c>
      <c r="Q13" s="53">
        <v>10.3</v>
      </c>
    </row>
    <row r="14" spans="1:21" customFormat="1">
      <c r="A14" s="52">
        <v>45626.25</v>
      </c>
      <c r="B14" s="53">
        <v>11.31</v>
      </c>
      <c r="C14" s="53">
        <v>19.93</v>
      </c>
      <c r="D14" s="53">
        <v>20.74</v>
      </c>
      <c r="E14" s="53">
        <v>9.7200000000000006</v>
      </c>
      <c r="F14" s="53">
        <v>6.63</v>
      </c>
      <c r="G14" s="53">
        <v>80.66</v>
      </c>
      <c r="H14" s="53">
        <v>28.38</v>
      </c>
      <c r="I14" s="53">
        <v>9.6</v>
      </c>
      <c r="J14" s="53">
        <v>0.86</v>
      </c>
      <c r="K14" s="53">
        <v>48.34</v>
      </c>
      <c r="L14" s="53">
        <v>17.760000000000002</v>
      </c>
      <c r="M14" s="53">
        <v>78.180000000000007</v>
      </c>
      <c r="N14" s="53">
        <v>2.1</v>
      </c>
      <c r="O14" s="53">
        <v>0</v>
      </c>
      <c r="P14" s="53">
        <v>0.79</v>
      </c>
      <c r="Q14" s="53">
        <v>10.28</v>
      </c>
    </row>
    <row r="15" spans="1:21" customFormat="1">
      <c r="A15" s="52">
        <v>45626.291666666664</v>
      </c>
      <c r="B15" s="53">
        <v>12.34</v>
      </c>
      <c r="C15" s="53">
        <v>19.64</v>
      </c>
      <c r="D15" s="53">
        <v>21.44</v>
      </c>
      <c r="E15" s="53">
        <v>9.34</v>
      </c>
      <c r="F15" s="53">
        <v>5.77</v>
      </c>
      <c r="G15" s="53">
        <v>80.760000000000005</v>
      </c>
      <c r="H15" s="53">
        <v>30.16</v>
      </c>
      <c r="I15" s="53">
        <v>10</v>
      </c>
      <c r="J15" s="53">
        <v>0.98</v>
      </c>
      <c r="K15" s="53">
        <v>50.51</v>
      </c>
      <c r="L15" s="53">
        <v>17.510000000000002</v>
      </c>
      <c r="M15" s="53">
        <v>79.5</v>
      </c>
      <c r="N15" s="53">
        <v>10.7</v>
      </c>
      <c r="O15" s="53">
        <v>0</v>
      </c>
      <c r="P15" s="53">
        <v>0.8</v>
      </c>
      <c r="Q15" s="53">
        <v>10.28</v>
      </c>
    </row>
    <row r="16" spans="1:21" customFormat="1">
      <c r="A16" s="52">
        <v>45626.333333333336</v>
      </c>
      <c r="B16" s="53">
        <v>13.41</v>
      </c>
      <c r="C16" s="53">
        <v>19.690000000000001</v>
      </c>
      <c r="D16" s="53">
        <v>22.35</v>
      </c>
      <c r="E16" s="53">
        <v>9.5299999999999994</v>
      </c>
      <c r="F16" s="53">
        <v>5.71</v>
      </c>
      <c r="G16" s="53">
        <v>81.19</v>
      </c>
      <c r="H16" s="53">
        <v>30.1</v>
      </c>
      <c r="I16" s="53">
        <v>10.32</v>
      </c>
      <c r="J16" s="53">
        <v>0.8</v>
      </c>
      <c r="K16" s="53">
        <v>51.61</v>
      </c>
      <c r="L16" s="53">
        <v>18.23</v>
      </c>
      <c r="M16" s="53">
        <v>80.17</v>
      </c>
      <c r="N16" s="53">
        <v>64.599999999999994</v>
      </c>
      <c r="O16" s="53">
        <v>0</v>
      </c>
      <c r="P16" s="53">
        <v>0.83</v>
      </c>
      <c r="Q16" s="53">
        <v>10.27</v>
      </c>
    </row>
    <row r="17" spans="1:17" customFormat="1">
      <c r="A17" s="52">
        <v>45626.375</v>
      </c>
      <c r="B17" s="53">
        <v>14.11</v>
      </c>
      <c r="C17" s="53">
        <v>21.09</v>
      </c>
      <c r="D17" s="53">
        <v>23.66</v>
      </c>
      <c r="E17" s="53">
        <v>9.2799999999999994</v>
      </c>
      <c r="F17" s="53">
        <v>5.59</v>
      </c>
      <c r="G17" s="53">
        <v>83.4</v>
      </c>
      <c r="H17" s="53">
        <v>28.64</v>
      </c>
      <c r="I17" s="53">
        <v>10.7</v>
      </c>
      <c r="J17" s="53">
        <v>0.86</v>
      </c>
      <c r="K17" s="53">
        <v>49.57</v>
      </c>
      <c r="L17" s="53">
        <v>20.57</v>
      </c>
      <c r="M17" s="53">
        <v>78.650000000000006</v>
      </c>
      <c r="N17" s="53">
        <v>80.400000000000006</v>
      </c>
      <c r="O17" s="53">
        <v>0</v>
      </c>
      <c r="P17" s="53">
        <v>0.87</v>
      </c>
      <c r="Q17" s="53">
        <v>10.3</v>
      </c>
    </row>
    <row r="18" spans="1:17" customFormat="1">
      <c r="A18" s="52">
        <v>45626.416666666664</v>
      </c>
      <c r="B18" s="53">
        <v>13.76</v>
      </c>
      <c r="C18" s="53">
        <v>22.55</v>
      </c>
      <c r="D18" s="53">
        <v>23.59</v>
      </c>
      <c r="E18" s="53">
        <v>9.6199999999999992</v>
      </c>
      <c r="F18" s="53">
        <v>5.91</v>
      </c>
      <c r="G18" s="53">
        <v>86.11</v>
      </c>
      <c r="H18" s="53">
        <v>28.64</v>
      </c>
      <c r="I18" s="53">
        <v>10.83</v>
      </c>
      <c r="J18" s="53">
        <v>1.1000000000000001</v>
      </c>
      <c r="K18" s="53">
        <v>56.68</v>
      </c>
      <c r="L18" s="53">
        <v>22.25</v>
      </c>
      <c r="M18" s="53">
        <v>74.62</v>
      </c>
      <c r="N18" s="53">
        <v>98.2</v>
      </c>
      <c r="O18" s="53">
        <v>0</v>
      </c>
      <c r="P18" s="53">
        <v>0.89</v>
      </c>
      <c r="Q18" s="53">
        <v>10.28</v>
      </c>
    </row>
    <row r="19" spans="1:17" customFormat="1">
      <c r="A19" s="52">
        <v>45626.458333333336</v>
      </c>
      <c r="B19" s="53">
        <v>10.64</v>
      </c>
      <c r="C19" s="53">
        <v>23.29</v>
      </c>
      <c r="D19" s="53">
        <v>21.84</v>
      </c>
      <c r="E19" s="53">
        <v>8.7200000000000006</v>
      </c>
      <c r="F19" s="53">
        <v>6.72</v>
      </c>
      <c r="G19" s="53">
        <v>91.69</v>
      </c>
      <c r="H19" s="53">
        <v>28.4</v>
      </c>
      <c r="I19" s="53">
        <v>10.92</v>
      </c>
      <c r="J19" s="53">
        <v>0.86</v>
      </c>
      <c r="K19" s="53">
        <v>60.97</v>
      </c>
      <c r="L19" s="53">
        <v>24.44</v>
      </c>
      <c r="M19" s="53">
        <v>71</v>
      </c>
      <c r="N19" s="53">
        <v>195</v>
      </c>
      <c r="O19" s="53">
        <v>0</v>
      </c>
      <c r="P19" s="53">
        <v>0.89</v>
      </c>
      <c r="Q19" s="53">
        <v>10.27</v>
      </c>
    </row>
    <row r="20" spans="1:17" customFormat="1">
      <c r="A20" s="52">
        <v>45626.5</v>
      </c>
      <c r="B20" s="53">
        <v>6.71</v>
      </c>
      <c r="C20" s="53">
        <v>23.26</v>
      </c>
      <c r="D20" s="53">
        <v>18.88</v>
      </c>
      <c r="E20" s="53">
        <v>8.76</v>
      </c>
      <c r="F20" s="53">
        <v>7.36</v>
      </c>
      <c r="G20" s="53">
        <v>91.66</v>
      </c>
      <c r="H20" s="53">
        <v>29.94</v>
      </c>
      <c r="I20" s="53">
        <v>11.13</v>
      </c>
      <c r="J20" s="53">
        <v>1.02</v>
      </c>
      <c r="K20" s="53">
        <v>79.75</v>
      </c>
      <c r="L20" s="53">
        <v>24.85</v>
      </c>
      <c r="M20" s="53">
        <v>64.92</v>
      </c>
      <c r="N20" s="53">
        <v>213.8</v>
      </c>
      <c r="O20" s="53">
        <v>0</v>
      </c>
      <c r="P20" s="53">
        <v>0.88</v>
      </c>
      <c r="Q20" s="53">
        <v>10.25</v>
      </c>
    </row>
    <row r="21" spans="1:17" customFormat="1">
      <c r="A21" s="52">
        <v>45626.541666666664</v>
      </c>
      <c r="B21" s="53">
        <v>4.46</v>
      </c>
      <c r="C21" s="53">
        <v>22.37</v>
      </c>
      <c r="D21" s="53">
        <v>16.62</v>
      </c>
      <c r="E21" s="53">
        <v>8.9700000000000006</v>
      </c>
      <c r="F21" s="53">
        <v>7.91</v>
      </c>
      <c r="G21" s="53">
        <v>89.9</v>
      </c>
      <c r="H21" s="53">
        <v>29.94</v>
      </c>
      <c r="I21" s="53">
        <v>11.03</v>
      </c>
      <c r="J21" s="53">
        <v>1.1599999999999999</v>
      </c>
      <c r="K21" s="53">
        <v>75.67</v>
      </c>
      <c r="L21" s="53">
        <v>24.71</v>
      </c>
      <c r="M21" s="53">
        <v>65.22</v>
      </c>
      <c r="N21" s="53">
        <v>128.1</v>
      </c>
      <c r="O21" s="53">
        <v>0</v>
      </c>
      <c r="P21" s="53">
        <v>0.85</v>
      </c>
      <c r="Q21" s="53">
        <v>10.23</v>
      </c>
    </row>
    <row r="22" spans="1:17" customFormat="1">
      <c r="A22" s="52">
        <v>45626.583333333336</v>
      </c>
      <c r="B22" s="53">
        <v>4.75</v>
      </c>
      <c r="C22" s="53">
        <v>21.46</v>
      </c>
      <c r="D22" s="53">
        <v>16.29</v>
      </c>
      <c r="E22" s="53">
        <v>10.91</v>
      </c>
      <c r="F22" s="53">
        <v>8.0500000000000007</v>
      </c>
      <c r="G22" s="53">
        <v>79.48</v>
      </c>
      <c r="H22" s="53">
        <v>29.81</v>
      </c>
      <c r="I22" s="53">
        <v>10.53</v>
      </c>
      <c r="J22" s="53">
        <v>1.2</v>
      </c>
      <c r="K22" s="53">
        <v>50.86</v>
      </c>
      <c r="L22" s="53">
        <v>24.85</v>
      </c>
      <c r="M22" s="53">
        <v>62.74</v>
      </c>
      <c r="N22" s="53">
        <v>176.4</v>
      </c>
      <c r="O22" s="53">
        <v>0</v>
      </c>
      <c r="P22" s="53">
        <v>0.85</v>
      </c>
      <c r="Q22" s="53">
        <v>10.210000000000001</v>
      </c>
    </row>
    <row r="23" spans="1:17" customFormat="1">
      <c r="A23" s="52">
        <v>45626.625</v>
      </c>
      <c r="B23" s="53">
        <v>5.04</v>
      </c>
      <c r="C23" s="53">
        <v>21.37</v>
      </c>
      <c r="D23" s="53">
        <v>16.46</v>
      </c>
      <c r="E23" s="53">
        <v>10.83</v>
      </c>
      <c r="F23" s="53">
        <v>7.45</v>
      </c>
      <c r="G23" s="53">
        <v>79.34</v>
      </c>
      <c r="H23" s="53">
        <v>30</v>
      </c>
      <c r="I23" s="53">
        <v>10.45</v>
      </c>
      <c r="J23" s="53">
        <v>1.24</v>
      </c>
      <c r="K23" s="53">
        <v>50.15</v>
      </c>
      <c r="L23" s="53">
        <v>24.26</v>
      </c>
      <c r="M23" s="53">
        <v>63.03</v>
      </c>
      <c r="N23" s="53">
        <v>56.4</v>
      </c>
      <c r="O23" s="53">
        <v>0</v>
      </c>
      <c r="P23" s="53">
        <v>0.84</v>
      </c>
      <c r="Q23" s="53">
        <v>10.199999999999999</v>
      </c>
    </row>
    <row r="24" spans="1:17" customFormat="1">
      <c r="A24" s="52">
        <v>45626.666666666664</v>
      </c>
      <c r="B24" s="53">
        <v>5.09</v>
      </c>
      <c r="C24" s="53">
        <v>21.22</v>
      </c>
      <c r="D24" s="53">
        <v>16.440000000000001</v>
      </c>
      <c r="E24" s="53">
        <v>10.68</v>
      </c>
      <c r="F24" s="53">
        <v>6.42</v>
      </c>
      <c r="G24" s="53">
        <v>75.98</v>
      </c>
      <c r="H24" s="53">
        <v>29.99</v>
      </c>
      <c r="I24" s="53">
        <v>10.47</v>
      </c>
      <c r="J24" s="53">
        <v>0.94</v>
      </c>
      <c r="K24" s="53">
        <v>82.44</v>
      </c>
      <c r="L24" s="53">
        <v>24.06</v>
      </c>
      <c r="M24" s="53">
        <v>66.069999999999993</v>
      </c>
      <c r="N24" s="53">
        <v>42.7</v>
      </c>
      <c r="O24" s="53">
        <v>0</v>
      </c>
      <c r="P24" s="53">
        <v>0.85</v>
      </c>
      <c r="Q24" s="53">
        <v>10.199999999999999</v>
      </c>
    </row>
    <row r="25" spans="1:17" customFormat="1">
      <c r="A25" s="52">
        <v>45626.708333333336</v>
      </c>
      <c r="B25" s="53">
        <v>5.28</v>
      </c>
      <c r="C25" s="53">
        <v>21.05</v>
      </c>
      <c r="D25" s="53">
        <v>16.53</v>
      </c>
      <c r="E25" s="53">
        <v>10.76</v>
      </c>
      <c r="F25" s="53">
        <v>6.5</v>
      </c>
      <c r="G25" s="53">
        <v>76.599999999999994</v>
      </c>
      <c r="H25" s="53">
        <v>29.12</v>
      </c>
      <c r="I25" s="53">
        <v>10.37</v>
      </c>
      <c r="J25" s="53">
        <v>0.71</v>
      </c>
      <c r="K25" s="53">
        <v>76.75</v>
      </c>
      <c r="L25" s="53">
        <v>23.45</v>
      </c>
      <c r="M25" s="53">
        <v>72.27</v>
      </c>
      <c r="N25" s="53">
        <v>19.5</v>
      </c>
      <c r="O25" s="53">
        <v>0</v>
      </c>
      <c r="P25" s="53">
        <v>0.87</v>
      </c>
      <c r="Q25" s="53">
        <v>10.210000000000001</v>
      </c>
    </row>
    <row r="26" spans="1:17" customFormat="1">
      <c r="A26" s="52">
        <v>45626.75</v>
      </c>
      <c r="B26" s="53">
        <v>5.9</v>
      </c>
      <c r="C26" s="53">
        <v>20.87</v>
      </c>
      <c r="D26" s="53">
        <v>16.649999999999999</v>
      </c>
      <c r="E26" s="53">
        <v>10.25</v>
      </c>
      <c r="F26" s="53">
        <v>6.12</v>
      </c>
      <c r="G26" s="53">
        <v>76.48</v>
      </c>
      <c r="H26" s="53">
        <v>27.53</v>
      </c>
      <c r="I26" s="53">
        <v>10.54</v>
      </c>
      <c r="J26" s="53">
        <v>0.9</v>
      </c>
      <c r="K26" s="53">
        <v>65.97</v>
      </c>
      <c r="L26" s="53">
        <v>22.46</v>
      </c>
      <c r="M26" s="53">
        <v>78.13</v>
      </c>
      <c r="N26" s="53">
        <v>3.1</v>
      </c>
      <c r="O26" s="53">
        <v>0</v>
      </c>
      <c r="P26" s="53">
        <v>0.89</v>
      </c>
      <c r="Q26" s="53">
        <v>10.199999999999999</v>
      </c>
    </row>
    <row r="27" spans="1:17" customFormat="1">
      <c r="A27" s="52">
        <v>45626.791666666664</v>
      </c>
      <c r="B27" s="53">
        <v>7.1</v>
      </c>
      <c r="C27" s="53">
        <v>21.72</v>
      </c>
      <c r="D27" s="53">
        <v>18.39</v>
      </c>
      <c r="E27" s="53">
        <v>9.7899999999999991</v>
      </c>
      <c r="F27" s="53">
        <v>5.78</v>
      </c>
      <c r="G27" s="53">
        <v>71.08</v>
      </c>
      <c r="H27" s="53">
        <v>27.44</v>
      </c>
      <c r="I27" s="53">
        <v>10.66</v>
      </c>
      <c r="J27" s="53">
        <v>0.65</v>
      </c>
      <c r="K27" s="53">
        <v>62.67</v>
      </c>
      <c r="L27" s="53">
        <v>21.75</v>
      </c>
      <c r="M27" s="53">
        <v>82.91</v>
      </c>
      <c r="N27" s="53">
        <v>2.1</v>
      </c>
      <c r="O27" s="53">
        <v>0</v>
      </c>
      <c r="P27" s="53">
        <v>0.97</v>
      </c>
      <c r="Q27" s="53">
        <v>10.210000000000001</v>
      </c>
    </row>
    <row r="28" spans="1:17" customFormat="1">
      <c r="A28" s="52">
        <v>45626.833333333336</v>
      </c>
      <c r="B28" s="53">
        <v>7.45</v>
      </c>
      <c r="C28" s="53">
        <v>22.26</v>
      </c>
      <c r="D28" s="53">
        <v>18.96</v>
      </c>
      <c r="E28" s="53">
        <v>10.41</v>
      </c>
      <c r="F28" s="53">
        <v>5.56</v>
      </c>
      <c r="G28" s="53">
        <v>75.510000000000005</v>
      </c>
      <c r="H28" s="53">
        <v>26.48</v>
      </c>
      <c r="I28" s="53">
        <v>10.83</v>
      </c>
      <c r="J28" s="53">
        <v>0.44</v>
      </c>
      <c r="K28" s="53">
        <v>144.21</v>
      </c>
      <c r="L28" s="53">
        <v>21.4</v>
      </c>
      <c r="M28" s="53">
        <v>85.44</v>
      </c>
      <c r="N28" s="53">
        <v>2</v>
      </c>
      <c r="O28" s="53">
        <v>0</v>
      </c>
      <c r="P28" s="53">
        <v>0.97</v>
      </c>
      <c r="Q28" s="53">
        <v>10.199999999999999</v>
      </c>
    </row>
    <row r="29" spans="1:17" customFormat="1">
      <c r="A29" s="52">
        <v>45626.875</v>
      </c>
      <c r="B29" s="53">
        <v>7.25</v>
      </c>
      <c r="C29" s="53">
        <v>21.98</v>
      </c>
      <c r="D29" s="53">
        <v>18.649999999999999</v>
      </c>
      <c r="E29" s="53">
        <v>9.9499999999999993</v>
      </c>
      <c r="F29" s="53">
        <v>5.92</v>
      </c>
      <c r="G29" s="53">
        <v>75.42</v>
      </c>
      <c r="H29" s="53">
        <v>26.47</v>
      </c>
      <c r="I29" s="53">
        <v>10.79</v>
      </c>
      <c r="J29" s="53">
        <v>0.23</v>
      </c>
      <c r="K29" s="53">
        <v>157.66</v>
      </c>
      <c r="L29" s="53">
        <v>21.09</v>
      </c>
      <c r="M29" s="53">
        <v>86.92</v>
      </c>
      <c r="N29" s="53">
        <v>1.8</v>
      </c>
      <c r="O29" s="53">
        <v>0</v>
      </c>
      <c r="P29" s="53">
        <v>0.95</v>
      </c>
      <c r="Q29" s="53">
        <v>10.199999999999999</v>
      </c>
    </row>
    <row r="30" spans="1:17" customFormat="1">
      <c r="A30" s="52">
        <v>45626.916666666664</v>
      </c>
      <c r="B30" s="53">
        <v>6.7</v>
      </c>
      <c r="C30" s="53">
        <v>21.32</v>
      </c>
      <c r="D30" s="53">
        <v>17.86</v>
      </c>
      <c r="E30" s="53">
        <v>10.28</v>
      </c>
      <c r="F30" s="53">
        <v>5.96</v>
      </c>
      <c r="G30" s="53">
        <v>71.42</v>
      </c>
      <c r="H30" s="53">
        <v>26.19</v>
      </c>
      <c r="I30" s="53">
        <v>10.61</v>
      </c>
      <c r="J30" s="53">
        <v>0.17</v>
      </c>
      <c r="K30" s="53">
        <v>178.32</v>
      </c>
      <c r="L30" s="53">
        <v>20.63</v>
      </c>
      <c r="M30" s="53">
        <v>91.22</v>
      </c>
      <c r="N30" s="53">
        <v>1.9</v>
      </c>
      <c r="O30" s="53">
        <v>0</v>
      </c>
      <c r="P30" s="53">
        <v>0.94</v>
      </c>
      <c r="Q30" s="53">
        <v>10.19</v>
      </c>
    </row>
    <row r="31" spans="1:17" customFormat="1">
      <c r="A31" s="52">
        <v>45626.958333333336</v>
      </c>
      <c r="B31" s="53">
        <v>6.82</v>
      </c>
      <c r="C31" s="53">
        <v>20.47</v>
      </c>
      <c r="D31" s="53">
        <v>17.45</v>
      </c>
      <c r="E31" s="53">
        <v>10.11</v>
      </c>
      <c r="F31" s="53">
        <v>9.3699999999999992</v>
      </c>
      <c r="G31" s="53">
        <v>67.09</v>
      </c>
      <c r="H31" s="53">
        <v>25.91</v>
      </c>
      <c r="I31" s="53">
        <v>10.57</v>
      </c>
      <c r="J31" s="53">
        <v>0.45</v>
      </c>
      <c r="K31" s="53">
        <v>122.36</v>
      </c>
      <c r="L31" s="53">
        <v>20.68</v>
      </c>
      <c r="M31" s="53">
        <v>90.5</v>
      </c>
      <c r="N31" s="53">
        <v>2.2000000000000002</v>
      </c>
      <c r="O31" s="53">
        <v>0</v>
      </c>
      <c r="P31" s="53">
        <v>0.91</v>
      </c>
      <c r="Q31" s="53">
        <v>10.19</v>
      </c>
    </row>
    <row r="32" spans="1:17" customFormat="1">
      <c r="A32" s="52">
        <v>45627</v>
      </c>
      <c r="B32" s="53">
        <v>7.64</v>
      </c>
      <c r="C32" s="53">
        <v>19.84</v>
      </c>
      <c r="D32" s="53">
        <v>17.37</v>
      </c>
      <c r="E32" s="53">
        <v>10.52</v>
      </c>
      <c r="F32" s="53">
        <v>6.85</v>
      </c>
      <c r="G32" s="53">
        <v>61.81</v>
      </c>
      <c r="H32" s="53">
        <v>22.67</v>
      </c>
      <c r="I32" s="53">
        <v>10.17</v>
      </c>
      <c r="J32" s="53">
        <v>0.43</v>
      </c>
      <c r="K32" s="53">
        <v>92.36</v>
      </c>
      <c r="L32" s="53">
        <v>20.53</v>
      </c>
      <c r="M32" s="53">
        <v>92.23</v>
      </c>
      <c r="N32" s="53">
        <v>2.2999999999999998</v>
      </c>
      <c r="O32" s="53">
        <v>0</v>
      </c>
      <c r="P32" s="53">
        <v>0.85</v>
      </c>
      <c r="Q32" s="53">
        <v>10.16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4.46</v>
      </c>
      <c r="C34" s="40">
        <f t="shared" si="0"/>
        <v>19.64</v>
      </c>
      <c r="D34" s="40">
        <f t="shared" si="0"/>
        <v>16.29</v>
      </c>
      <c r="E34" s="40">
        <f t="shared" si="0"/>
        <v>8.7200000000000006</v>
      </c>
      <c r="F34" s="40">
        <f t="shared" si="0"/>
        <v>5.47</v>
      </c>
      <c r="G34" s="40">
        <f t="shared" si="0"/>
        <v>61.81</v>
      </c>
      <c r="H34" s="40">
        <f t="shared" si="0"/>
        <v>22.67</v>
      </c>
      <c r="I34" s="40">
        <f t="shared" si="0"/>
        <v>8.92</v>
      </c>
      <c r="J34" s="40">
        <f t="shared" si="0"/>
        <v>0.17</v>
      </c>
      <c r="K34" s="40">
        <f t="shared" si="0"/>
        <v>44.74</v>
      </c>
      <c r="L34" s="40">
        <f t="shared" si="0"/>
        <v>17.510000000000002</v>
      </c>
      <c r="M34" s="40">
        <f t="shared" si="0"/>
        <v>62.74</v>
      </c>
      <c r="N34" s="40">
        <f t="shared" si="0"/>
        <v>1.7</v>
      </c>
      <c r="O34" s="40">
        <f t="shared" si="0"/>
        <v>0</v>
      </c>
      <c r="P34" s="40">
        <f t="shared" si="0"/>
        <v>0.77</v>
      </c>
      <c r="Q34" s="40">
        <f t="shared" si="0"/>
        <v>10.16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14.11</v>
      </c>
      <c r="C35" s="33">
        <f t="shared" si="1"/>
        <v>23.75</v>
      </c>
      <c r="D35" s="33">
        <f t="shared" si="1"/>
        <v>23.66</v>
      </c>
      <c r="E35" s="33">
        <f t="shared" si="1"/>
        <v>10.91</v>
      </c>
      <c r="F35" s="33">
        <f t="shared" si="1"/>
        <v>9.3699999999999992</v>
      </c>
      <c r="G35" s="33">
        <f t="shared" si="1"/>
        <v>103.33</v>
      </c>
      <c r="H35" s="33">
        <f t="shared" si="1"/>
        <v>34.26</v>
      </c>
      <c r="I35" s="33">
        <f t="shared" si="1"/>
        <v>11.13</v>
      </c>
      <c r="J35" s="33">
        <f t="shared" si="1"/>
        <v>1.24</v>
      </c>
      <c r="K35" s="33">
        <f t="shared" si="1"/>
        <v>178.32</v>
      </c>
      <c r="L35" s="33">
        <f t="shared" si="1"/>
        <v>24.85</v>
      </c>
      <c r="M35" s="33">
        <f t="shared" si="1"/>
        <v>92.23</v>
      </c>
      <c r="N35" s="33">
        <f t="shared" si="1"/>
        <v>213.8</v>
      </c>
      <c r="O35" s="33">
        <f t="shared" si="1"/>
        <v>0</v>
      </c>
      <c r="P35" s="33">
        <f t="shared" si="1"/>
        <v>0.97</v>
      </c>
      <c r="Q35" s="33">
        <f t="shared" si="1"/>
        <v>10.38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8.6129166666666652</v>
      </c>
      <c r="C36" s="40">
        <f t="shared" si="2"/>
        <v>21.552916666666665</v>
      </c>
      <c r="D36" s="40">
        <f t="shared" si="2"/>
        <v>19.406249999999996</v>
      </c>
      <c r="E36" s="40">
        <f t="shared" si="2"/>
        <v>9.8375000000000004</v>
      </c>
      <c r="F36" s="40">
        <f t="shared" si="2"/>
        <v>6.4487500000000004</v>
      </c>
      <c r="G36" s="40">
        <f t="shared" si="2"/>
        <v>81.754583333333343</v>
      </c>
      <c r="H36" s="40">
        <f t="shared" si="2"/>
        <v>28.796250000000001</v>
      </c>
      <c r="I36" s="40">
        <f t="shared" si="2"/>
        <v>10.269166666666665</v>
      </c>
      <c r="J36" s="40">
        <f t="shared" si="2"/>
        <v>0.76166666666666671</v>
      </c>
      <c r="K36" s="40">
        <f t="shared" si="2"/>
        <v>75.056666666666658</v>
      </c>
      <c r="L36" s="40">
        <f t="shared" si="2"/>
        <v>21.259166666666662</v>
      </c>
      <c r="M36" s="40">
        <f t="shared" si="2"/>
        <v>75.800416666666663</v>
      </c>
      <c r="N36" s="40">
        <f t="shared" si="2"/>
        <v>46.366666666666667</v>
      </c>
      <c r="O36" s="40">
        <f t="shared" si="2"/>
        <v>0</v>
      </c>
      <c r="P36" s="40">
        <f t="shared" si="2"/>
        <v>0.8666666666666667</v>
      </c>
      <c r="Q36" s="40">
        <f t="shared" si="2"/>
        <v>10.251249999999997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3.0261461776334975</v>
      </c>
      <c r="C37" s="40">
        <f t="shared" ref="C37:Q37" si="3">STDEV(C9:C32)</f>
        <v>1.1771242746503885</v>
      </c>
      <c r="D37" s="40">
        <f t="shared" si="3"/>
        <v>2.4361673614601407</v>
      </c>
      <c r="E37" s="40">
        <f t="shared" si="3"/>
        <v>0.64566952106690867</v>
      </c>
      <c r="F37" s="40">
        <f t="shared" si="3"/>
        <v>0.97885164528556301</v>
      </c>
      <c r="G37" s="40">
        <f t="shared" si="3"/>
        <v>10.062040150623266</v>
      </c>
      <c r="H37" s="40">
        <f t="shared" si="3"/>
        <v>2.3693822575955235</v>
      </c>
      <c r="I37" s="40">
        <f t="shared" si="3"/>
        <v>0.66099343328103477</v>
      </c>
      <c r="J37" s="40">
        <f t="shared" si="3"/>
        <v>0.28965746887550153</v>
      </c>
      <c r="K37" s="40">
        <f t="shared" si="3"/>
        <v>37.820738579074174</v>
      </c>
      <c r="L37" s="40">
        <f t="shared" si="3"/>
        <v>2.455074455023786</v>
      </c>
      <c r="M37" s="40">
        <f t="shared" si="3"/>
        <v>9.1475991049049821</v>
      </c>
      <c r="N37" s="40">
        <f t="shared" si="3"/>
        <v>67.727809885482472</v>
      </c>
      <c r="O37" s="40">
        <f t="shared" si="3"/>
        <v>0</v>
      </c>
      <c r="P37" s="40">
        <f t="shared" si="3"/>
        <v>5.5924379584255793E-2</v>
      </c>
      <c r="Q37" s="40">
        <f t="shared" si="3"/>
        <v>6.0167339110618716E-2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X54"/>
  <sheetViews>
    <sheetView tabSelected="1" zoomScale="85" zoomScaleNormal="85" workbookViewId="0">
      <pane xSplit="1" ySplit="8" topLeftCell="B36" activePane="bottomRight" state="frozen"/>
      <selection activeCell="G19" sqref="G19"/>
      <selection pane="topRight" activeCell="G19" sqref="G19"/>
      <selection pane="bottomLeft" activeCell="G19" sqref="G19"/>
      <selection pane="bottomRight" activeCell="A39" sqref="A39:XFD39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45597.041666666664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59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  <c r="M7" s="14" t="s">
        <v>34</v>
      </c>
      <c r="N7" s="14" t="s">
        <v>35</v>
      </c>
      <c r="O7" s="14" t="s">
        <v>36</v>
      </c>
      <c r="P7" s="14" t="s">
        <v>37</v>
      </c>
      <c r="Q7" s="1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16">
        <f>'01'!$B$2</f>
        <v>45597.041666666664</v>
      </c>
      <c r="B9" s="17">
        <f>'01'!B36</f>
        <v>5.3170833333333336</v>
      </c>
      <c r="C9" s="17">
        <f>'01'!C36</f>
        <v>8.0870833333333323</v>
      </c>
      <c r="D9" s="17">
        <f>'01'!D36</f>
        <v>14.047500000000001</v>
      </c>
      <c r="E9" s="17">
        <f>'01'!E36</f>
        <v>11.359583333333335</v>
      </c>
      <c r="F9" s="17">
        <f>'01'!F36</f>
        <v>18.634583333333335</v>
      </c>
      <c r="G9" s="17">
        <f>'01'!G36</f>
        <v>102.76400000000001</v>
      </c>
      <c r="H9" s="17">
        <f>'01'!H36</f>
        <v>36.764782608695661</v>
      </c>
      <c r="I9" s="17">
        <f>'01'!I36</f>
        <v>7.9504166666666682</v>
      </c>
      <c r="J9" s="17">
        <f>'01'!J36</f>
        <v>0.26750000000000002</v>
      </c>
      <c r="K9" s="17">
        <f>'01'!K36</f>
        <v>193.24250000000004</v>
      </c>
      <c r="L9" s="17">
        <f>'01'!L36</f>
        <v>27.400416666666661</v>
      </c>
      <c r="M9" s="17">
        <f>'01'!M36</f>
        <v>71.043750000000003</v>
      </c>
      <c r="N9" s="17">
        <f>'01'!N36</f>
        <v>162.45416666666662</v>
      </c>
      <c r="O9" s="17">
        <f>'01'!O36</f>
        <v>0</v>
      </c>
      <c r="P9" s="17">
        <f>'01'!P36</f>
        <v>0.65208333333333357</v>
      </c>
      <c r="Q9" s="17">
        <f>'01'!Q36</f>
        <v>4.2904166666666681</v>
      </c>
      <c r="R9" s="34"/>
      <c r="S9" s="34"/>
      <c r="T9" s="34"/>
      <c r="U9" s="35"/>
    </row>
    <row r="10" spans="1:21" s="2" customFormat="1">
      <c r="A10" s="16">
        <f>'02'!$B$2</f>
        <v>45598.041666666664</v>
      </c>
      <c r="B10" s="17">
        <f>'02'!B36</f>
        <v>5.2558333333333334</v>
      </c>
      <c r="C10" s="17">
        <f>'02'!C36</f>
        <v>8.0879166666666684</v>
      </c>
      <c r="D10" s="17">
        <f>'02'!D36</f>
        <v>14.000416666666666</v>
      </c>
      <c r="E10" s="17">
        <f>'02'!E36</f>
        <v>11.434166666666668</v>
      </c>
      <c r="F10" s="17">
        <f>'02'!F36</f>
        <v>9.6187500000000004</v>
      </c>
      <c r="G10" s="17">
        <f>'02'!G36</f>
        <v>79.989999999999995</v>
      </c>
      <c r="H10" s="17">
        <f>'02'!H36</f>
        <v>35.656250000000007</v>
      </c>
      <c r="I10" s="17">
        <f>'02'!I36</f>
        <v>8.0270833333333336</v>
      </c>
      <c r="J10" s="17">
        <f>'02'!J36</f>
        <v>0.27250000000000002</v>
      </c>
      <c r="K10" s="17">
        <f>'02'!K36</f>
        <v>217.14333333333335</v>
      </c>
      <c r="L10" s="17">
        <f>'02'!L36</f>
        <v>26.768750000000008</v>
      </c>
      <c r="M10" s="17">
        <f>'02'!M36</f>
        <v>68.654583333333349</v>
      </c>
      <c r="N10" s="17">
        <f>'02'!N36</f>
        <v>149.35833333333329</v>
      </c>
      <c r="O10" s="17">
        <f>'02'!O36</f>
        <v>0</v>
      </c>
      <c r="P10" s="17">
        <f>'02'!P36</f>
        <v>0.64583333333333337</v>
      </c>
      <c r="Q10" s="17">
        <f>'02'!Q36</f>
        <v>4.2983333333333329</v>
      </c>
      <c r="R10" s="36"/>
      <c r="S10" s="36"/>
      <c r="T10" s="36"/>
      <c r="U10" s="36"/>
    </row>
    <row r="11" spans="1:21" s="2" customFormat="1">
      <c r="A11" s="16">
        <f>'03'!$B$2</f>
        <v>45599.041666666664</v>
      </c>
      <c r="B11" s="17">
        <f>'03'!B36</f>
        <v>5.2545833333333345</v>
      </c>
      <c r="C11" s="17">
        <f>'03'!C36</f>
        <v>8.0891666666666673</v>
      </c>
      <c r="D11" s="17">
        <f>'03'!D36</f>
        <v>13.999999999999995</v>
      </c>
      <c r="E11" s="17">
        <f>'03'!E36</f>
        <v>12.63875</v>
      </c>
      <c r="F11" s="17">
        <f>'03'!F36</f>
        <v>11.078333333333335</v>
      </c>
      <c r="G11" s="17">
        <f>'03'!G36</f>
        <v>79.396666666666661</v>
      </c>
      <c r="H11" s="17">
        <f>'03'!H36</f>
        <v>29.419583333333332</v>
      </c>
      <c r="I11" s="17">
        <f>'03'!I36</f>
        <v>7.1887499999999998</v>
      </c>
      <c r="J11" s="17">
        <f>'03'!J36</f>
        <v>0.29083333333333339</v>
      </c>
      <c r="K11" s="17">
        <f>'03'!K36</f>
        <v>215.08250000000001</v>
      </c>
      <c r="L11" s="17">
        <f>'03'!L36</f>
        <v>27.169583333333335</v>
      </c>
      <c r="M11" s="17">
        <f>'03'!M36</f>
        <v>66.096666666666678</v>
      </c>
      <c r="N11" s="17">
        <f>'03'!N36</f>
        <v>137.5</v>
      </c>
      <c r="O11" s="17">
        <f>'03'!O36</f>
        <v>0</v>
      </c>
      <c r="P11" s="17">
        <f>'03'!P36</f>
        <v>0.63583333333333325</v>
      </c>
      <c r="Q11" s="17">
        <f>'03'!Q36</f>
        <v>4.2979166666666666</v>
      </c>
      <c r="R11" s="36"/>
      <c r="S11" s="36"/>
      <c r="T11" s="36"/>
      <c r="U11" s="36"/>
    </row>
    <row r="12" spans="1:21" s="2" customFormat="1">
      <c r="A12" s="16">
        <f>'04'!$B$2</f>
        <v>45600.041666666664</v>
      </c>
      <c r="B12" s="17">
        <f>'04'!B36</f>
        <v>5.2612499999999995</v>
      </c>
      <c r="C12" s="17">
        <f>'04'!C36</f>
        <v>8.0833333333333339</v>
      </c>
      <c r="D12" s="17">
        <f>'04'!D36</f>
        <v>14.000833333333333</v>
      </c>
      <c r="E12" s="17">
        <f>'04'!E36</f>
        <v>11.079166666666667</v>
      </c>
      <c r="F12" s="17">
        <f>'04'!F36</f>
        <v>8.9275000000000002</v>
      </c>
      <c r="G12" s="17">
        <f>'04'!G36</f>
        <v>86.468749999999986</v>
      </c>
      <c r="H12" s="17">
        <f>'04'!H36</f>
        <v>30.275000000000006</v>
      </c>
      <c r="I12" s="17">
        <f>'04'!I36</f>
        <v>9.5870833333333341</v>
      </c>
      <c r="J12" s="17">
        <f>'04'!J36</f>
        <v>0.32624999999999998</v>
      </c>
      <c r="K12" s="17">
        <f>'04'!K36</f>
        <v>233.6304166666666</v>
      </c>
      <c r="L12" s="17">
        <f>'04'!L36</f>
        <v>26.145833333333332</v>
      </c>
      <c r="M12" s="17">
        <f>'04'!M36</f>
        <v>68.606666666666669</v>
      </c>
      <c r="N12" s="17">
        <f>'04'!N36</f>
        <v>142.84166666666664</v>
      </c>
      <c r="O12" s="17">
        <f>'04'!O36</f>
        <v>0</v>
      </c>
      <c r="P12" s="17">
        <f>'04'!P36</f>
        <v>0.81333333333333313</v>
      </c>
      <c r="Q12" s="17">
        <f>'04'!Q36</f>
        <v>4.2983333333333329</v>
      </c>
      <c r="R12" s="36"/>
      <c r="S12" s="36"/>
      <c r="T12" s="36"/>
      <c r="U12" s="36"/>
    </row>
    <row r="13" spans="1:21" s="2" customFormat="1">
      <c r="A13" s="16">
        <f>'05'!$B$2</f>
        <v>45601.041666666664</v>
      </c>
      <c r="B13" s="17">
        <f>'05'!B36</f>
        <v>5.2358333333333338</v>
      </c>
      <c r="C13" s="17">
        <f>'05'!C36</f>
        <v>8.0812499999999989</v>
      </c>
      <c r="D13" s="17">
        <f>'05'!D36</f>
        <v>13.97916666666667</v>
      </c>
      <c r="E13" s="17">
        <f>'05'!E36</f>
        <v>9.8654166666666665</v>
      </c>
      <c r="F13" s="17">
        <f>'05'!F36</f>
        <v>8.7770833333333353</v>
      </c>
      <c r="G13" s="17">
        <f>'05'!G36</f>
        <v>70.788750000000022</v>
      </c>
      <c r="H13" s="17">
        <f>'05'!H36</f>
        <v>23.252083333333335</v>
      </c>
      <c r="I13" s="17">
        <f>'05'!I36</f>
        <v>8.3966666666666665</v>
      </c>
      <c r="J13" s="17">
        <f>'05'!J36</f>
        <v>0.41291666666666682</v>
      </c>
      <c r="K13" s="17">
        <f>'05'!K36</f>
        <v>162.16374999999999</v>
      </c>
      <c r="L13" s="17">
        <f>'05'!L36</f>
        <v>25.966250000000002</v>
      </c>
      <c r="M13" s="17">
        <f>'05'!M36</f>
        <v>66.972083333333345</v>
      </c>
      <c r="N13" s="17">
        <f>'05'!N36</f>
        <v>149.27083333333334</v>
      </c>
      <c r="O13" s="17">
        <f>'05'!O36</f>
        <v>0</v>
      </c>
      <c r="P13" s="17">
        <f>'05'!P36</f>
        <v>0.6825</v>
      </c>
      <c r="Q13" s="17">
        <f>'05'!Q36</f>
        <v>4.3024999999999993</v>
      </c>
      <c r="R13" s="36"/>
      <c r="S13" s="36"/>
      <c r="T13" s="36"/>
      <c r="U13" s="36"/>
    </row>
    <row r="14" spans="1:21" s="2" customFormat="1">
      <c r="A14" s="16">
        <f>'06'!$B$2</f>
        <v>45602.041666666664</v>
      </c>
      <c r="B14" s="18">
        <f>'06'!B36</f>
        <v>5.2329166666666662</v>
      </c>
      <c r="C14" s="18">
        <f>'06'!C36</f>
        <v>8.0887499999999992</v>
      </c>
      <c r="D14" s="18">
        <f>'06'!D36</f>
        <v>13.979166666666666</v>
      </c>
      <c r="E14" s="18">
        <f>'06'!E36</f>
        <v>11.041666666666666</v>
      </c>
      <c r="F14" s="18">
        <f>'06'!F36</f>
        <v>8.7800000000000011</v>
      </c>
      <c r="G14" s="18">
        <f>'06'!G36</f>
        <v>83.807083333333324</v>
      </c>
      <c r="H14" s="18">
        <f>'06'!H36</f>
        <v>33.557083333333331</v>
      </c>
      <c r="I14" s="18">
        <f>'06'!I36</f>
        <v>8.4012499999999992</v>
      </c>
      <c r="J14" s="18">
        <f>'06'!J36</f>
        <v>0.37916666666666671</v>
      </c>
      <c r="K14" s="18">
        <f>'06'!K36</f>
        <v>146.76124999999999</v>
      </c>
      <c r="L14" s="18">
        <f>'06'!L36</f>
        <v>25.242500000000007</v>
      </c>
      <c r="M14" s="18">
        <f>'06'!M36</f>
        <v>71.644166666666663</v>
      </c>
      <c r="N14" s="18">
        <f>'06'!N36</f>
        <v>133.4666666666667</v>
      </c>
      <c r="O14" s="18">
        <f>'06'!O36</f>
        <v>0</v>
      </c>
      <c r="P14" s="18">
        <f>'06'!P36</f>
        <v>0.65166666666666673</v>
      </c>
      <c r="Q14" s="18">
        <f>'06'!Q36</f>
        <v>4.3054166666666669</v>
      </c>
      <c r="R14" s="36"/>
      <c r="S14" s="36"/>
      <c r="T14" s="36"/>
      <c r="U14" s="36"/>
    </row>
    <row r="15" spans="1:21" s="2" customFormat="1">
      <c r="A15" s="16">
        <f>'07'!$B$2</f>
        <v>45603.041666666664</v>
      </c>
      <c r="B15" s="18">
        <f>'07'!B36</f>
        <v>5.2875000000000005</v>
      </c>
      <c r="C15" s="18">
        <f>'07'!C36</f>
        <v>8.0933333333333355</v>
      </c>
      <c r="D15" s="18">
        <f>'07'!D36</f>
        <v>14.027499999999996</v>
      </c>
      <c r="E15" s="18">
        <f>'07'!E36</f>
        <v>11.571249999999999</v>
      </c>
      <c r="F15" s="18">
        <f>'07'!F36</f>
        <v>11.753333333333332</v>
      </c>
      <c r="G15" s="18">
        <f>'07'!G36</f>
        <v>95.104347826086936</v>
      </c>
      <c r="H15" s="18">
        <f>'07'!H36</f>
        <v>36.21</v>
      </c>
      <c r="I15" s="18">
        <f>'07'!I36</f>
        <v>7.9204166666666644</v>
      </c>
      <c r="J15" s="18">
        <f>'07'!J36</f>
        <v>0.3362500000000001</v>
      </c>
      <c r="K15" s="18">
        <f>'07'!K36</f>
        <v>156.38000000000002</v>
      </c>
      <c r="L15" s="18">
        <f>'07'!L36</f>
        <v>25.114166666666662</v>
      </c>
      <c r="M15" s="18">
        <f>'07'!M36</f>
        <v>73.384166666666658</v>
      </c>
      <c r="N15" s="18">
        <f>'07'!N36</f>
        <v>123.96249999999998</v>
      </c>
      <c r="O15" s="18">
        <f>'07'!O36</f>
        <v>0</v>
      </c>
      <c r="P15" s="18">
        <f>'07'!P36</f>
        <v>0.68541666666666679</v>
      </c>
      <c r="Q15" s="18">
        <f>'07'!Q36</f>
        <v>4.3066666666666675</v>
      </c>
      <c r="R15" s="36"/>
      <c r="S15" s="36"/>
      <c r="T15" s="36"/>
      <c r="U15" s="36"/>
    </row>
    <row r="16" spans="1:21" s="2" customFormat="1">
      <c r="A16" s="16">
        <f>'08'!$B$2</f>
        <v>45604.041666666664</v>
      </c>
      <c r="B16" s="18">
        <f>'08'!B36</f>
        <v>5.241666666666668</v>
      </c>
      <c r="C16" s="18">
        <f>'08'!C36</f>
        <v>8.0912500000000005</v>
      </c>
      <c r="D16" s="18">
        <f>'08'!D36</f>
        <v>13.99</v>
      </c>
      <c r="E16" s="18">
        <f>'08'!E36</f>
        <v>10.452499999999999</v>
      </c>
      <c r="F16" s="18">
        <f>'08'!F36</f>
        <v>8.3541666666666661</v>
      </c>
      <c r="G16" s="18">
        <f>'08'!G36</f>
        <v>87.041666666666671</v>
      </c>
      <c r="H16" s="18">
        <f>'08'!H36</f>
        <v>32.675416666666656</v>
      </c>
      <c r="I16" s="18">
        <f>'08'!I36</f>
        <v>10.293333333333335</v>
      </c>
      <c r="J16" s="18">
        <f>'08'!J36</f>
        <v>0.36749999999999999</v>
      </c>
      <c r="K16" s="18">
        <f>'08'!K36</f>
        <v>160.61583333333331</v>
      </c>
      <c r="L16" s="18">
        <f>'08'!L36</f>
        <v>25.30791666666666</v>
      </c>
      <c r="M16" s="18">
        <f>'08'!M36</f>
        <v>72.34708333333333</v>
      </c>
      <c r="N16" s="18">
        <f>'08'!N36</f>
        <v>140.39583333333329</v>
      </c>
      <c r="O16" s="18">
        <f>'08'!O36</f>
        <v>0</v>
      </c>
      <c r="P16" s="18">
        <f>'08'!P36</f>
        <v>0.81458333333333333</v>
      </c>
      <c r="Q16" s="18">
        <f>'08'!Q36</f>
        <v>4.3083333333333336</v>
      </c>
      <c r="R16" s="36"/>
      <c r="S16" s="36"/>
      <c r="T16" s="36"/>
      <c r="U16" s="36"/>
    </row>
    <row r="17" spans="1:24" s="2" customFormat="1">
      <c r="A17" s="16">
        <f>'09'!$B$2</f>
        <v>45605.041666666664</v>
      </c>
      <c r="B17" s="18">
        <f>'09'!B36</f>
        <v>5.337083333333335</v>
      </c>
      <c r="C17" s="18">
        <f>'09'!C36</f>
        <v>8.0916666666666668</v>
      </c>
      <c r="D17" s="18">
        <f>'09'!D36</f>
        <v>14.067916666666669</v>
      </c>
      <c r="E17" s="18">
        <f>'09'!E36</f>
        <v>10.356250000000001</v>
      </c>
      <c r="F17" s="18">
        <f>'09'!F36</f>
        <v>7.6700000000000008</v>
      </c>
      <c r="G17" s="18">
        <f>'09'!G36</f>
        <v>90.305833333333339</v>
      </c>
      <c r="H17" s="18">
        <f>'09'!H36</f>
        <v>32.698333333333331</v>
      </c>
      <c r="I17" s="18">
        <f>'09'!I36</f>
        <v>9.1758333333333333</v>
      </c>
      <c r="J17" s="18">
        <f>'09'!J36</f>
        <v>0.35125000000000006</v>
      </c>
      <c r="K17" s="18">
        <f>'09'!K36</f>
        <v>175.85999999999999</v>
      </c>
      <c r="L17" s="18">
        <f>'09'!L36</f>
        <v>25.457916666666666</v>
      </c>
      <c r="M17" s="18">
        <f>'09'!M36</f>
        <v>73.434583333333322</v>
      </c>
      <c r="N17" s="18">
        <f>'09'!N36</f>
        <v>130.6333333333333</v>
      </c>
      <c r="O17" s="18">
        <f>'09'!O36</f>
        <v>0</v>
      </c>
      <c r="P17" s="18">
        <f>'09'!P36</f>
        <v>0.7845833333333333</v>
      </c>
      <c r="Q17" s="18">
        <f>'09'!Q36</f>
        <v>4.3145833333333332</v>
      </c>
      <c r="R17" s="36"/>
      <c r="S17" s="36"/>
      <c r="T17" s="36"/>
      <c r="U17" s="36"/>
      <c r="V17" s="37"/>
      <c r="W17" s="37"/>
      <c r="X17" s="37"/>
    </row>
    <row r="18" spans="1:24" s="2" customFormat="1">
      <c r="A18" s="16">
        <f>'10'!$B$2</f>
        <v>45606.041666666664</v>
      </c>
      <c r="B18" s="18">
        <f>'10'!B36</f>
        <v>5.1966666666666663</v>
      </c>
      <c r="C18" s="18">
        <f>'10'!C36</f>
        <v>8.0858333333333352</v>
      </c>
      <c r="D18" s="18">
        <f>'10'!D36</f>
        <v>13.952499999999999</v>
      </c>
      <c r="E18" s="18">
        <f>'10'!E36</f>
        <v>10.220833333333333</v>
      </c>
      <c r="F18" s="18">
        <f>'10'!F36</f>
        <v>8.1841666666666644</v>
      </c>
      <c r="G18" s="18">
        <f>'10'!G36</f>
        <v>91.686250000000015</v>
      </c>
      <c r="H18" s="18">
        <f>'10'!H36</f>
        <v>32.010833333333338</v>
      </c>
      <c r="I18" s="18">
        <f>'10'!I36</f>
        <v>8.5299999999999994</v>
      </c>
      <c r="J18" s="18">
        <f>'10'!J36</f>
        <v>0.35083333333333333</v>
      </c>
      <c r="K18" s="18">
        <f>'10'!K36</f>
        <v>177.6825</v>
      </c>
      <c r="L18" s="18">
        <f>'10'!L36</f>
        <v>25.528333333333336</v>
      </c>
      <c r="M18" s="18">
        <f>'10'!M36</f>
        <v>69.540833333333353</v>
      </c>
      <c r="N18" s="18">
        <f>'10'!N36</f>
        <v>104.49583333333332</v>
      </c>
      <c r="O18" s="18">
        <f>'10'!O36</f>
        <v>0</v>
      </c>
      <c r="P18" s="18">
        <f>'10'!P36</f>
        <v>0.75041666666666673</v>
      </c>
      <c r="Q18" s="18">
        <f>'10'!Q36</f>
        <v>4.3141666666666678</v>
      </c>
      <c r="R18" s="36"/>
      <c r="S18" s="36"/>
      <c r="T18" s="36"/>
      <c r="U18" s="36"/>
    </row>
    <row r="19" spans="1:24" s="2" customFormat="1">
      <c r="A19" s="16">
        <f>'11'!$B$2</f>
        <v>45607.041666666664</v>
      </c>
      <c r="B19" s="18">
        <f>'11'!B36</f>
        <v>5.199583333333333</v>
      </c>
      <c r="C19" s="18">
        <f>'11'!C36</f>
        <v>8.0875000000000004</v>
      </c>
      <c r="D19" s="18">
        <f>'11'!D36</f>
        <v>13.955000000000004</v>
      </c>
      <c r="E19" s="18">
        <f>'11'!E36</f>
        <v>10.410833333333334</v>
      </c>
      <c r="F19" s="18">
        <f>'11'!F36</f>
        <v>8.3129166666666663</v>
      </c>
      <c r="G19" s="18">
        <f>'11'!G36</f>
        <v>77.613333333333344</v>
      </c>
      <c r="H19" s="18">
        <f>'11'!H36</f>
        <v>27.284583333333327</v>
      </c>
      <c r="I19" s="18">
        <f>'11'!I36</f>
        <v>7.8558333333333357</v>
      </c>
      <c r="J19" s="18">
        <f>'11'!J36</f>
        <v>0.48416666666666647</v>
      </c>
      <c r="K19" s="18">
        <f>'11'!K36</f>
        <v>100.81500000000001</v>
      </c>
      <c r="L19" s="18">
        <f>'11'!L36</f>
        <v>25.856666666666669</v>
      </c>
      <c r="M19" s="18">
        <f>'11'!M36</f>
        <v>65.78458333333333</v>
      </c>
      <c r="N19" s="18">
        <f>'11'!N36</f>
        <v>120.70416666666665</v>
      </c>
      <c r="O19" s="18">
        <f>'11'!O36</f>
        <v>0</v>
      </c>
      <c r="P19" s="18">
        <f>'11'!P36</f>
        <v>0.67499999999999993</v>
      </c>
      <c r="Q19" s="18">
        <f>'11'!Q36</f>
        <v>4.6504166666666658</v>
      </c>
      <c r="R19" s="36"/>
      <c r="S19" s="36"/>
      <c r="T19" s="36"/>
      <c r="U19" s="36"/>
    </row>
    <row r="20" spans="1:24" s="2" customFormat="1">
      <c r="A20" s="16">
        <f>'12'!$B$2</f>
        <v>45608.041666666664</v>
      </c>
      <c r="B20" s="18">
        <f>'12'!B36</f>
        <v>5.2683333333333335</v>
      </c>
      <c r="C20" s="18">
        <f>'12'!C36</f>
        <v>8.0891666666666655</v>
      </c>
      <c r="D20" s="18">
        <f>'12'!D36</f>
        <v>14.012083333333329</v>
      </c>
      <c r="E20" s="18">
        <f>'12'!E36</f>
        <v>10.656666666666668</v>
      </c>
      <c r="F20" s="18">
        <f>'12'!F36</f>
        <v>8.5620833333333355</v>
      </c>
      <c r="G20" s="18">
        <f>'12'!G36</f>
        <v>89.767499999999998</v>
      </c>
      <c r="H20" s="18">
        <f>'12'!H36</f>
        <v>35.287916666666668</v>
      </c>
      <c r="I20" s="18">
        <f>'12'!I36</f>
        <v>8.6387499999999999</v>
      </c>
      <c r="J20" s="18">
        <f>'12'!J36</f>
        <v>0.45500000000000007</v>
      </c>
      <c r="K20" s="18">
        <f>'12'!K36</f>
        <v>145.92333333333332</v>
      </c>
      <c r="L20" s="18">
        <f>'12'!L36</f>
        <v>25.125416666666663</v>
      </c>
      <c r="M20" s="18">
        <f>'12'!M36</f>
        <v>65.289166666666659</v>
      </c>
      <c r="N20" s="18">
        <f>'12'!N36</f>
        <v>145.25833333333333</v>
      </c>
      <c r="O20" s="18">
        <f>'12'!O36</f>
        <v>0</v>
      </c>
      <c r="P20" s="18">
        <f>'12'!P36</f>
        <v>0.8008333333333334</v>
      </c>
      <c r="Q20" s="18">
        <f>'12'!Q36</f>
        <v>4.9874999999999998</v>
      </c>
      <c r="R20" s="36"/>
      <c r="S20" s="36"/>
      <c r="T20" s="36"/>
      <c r="U20" s="36"/>
    </row>
    <row r="21" spans="1:24" s="2" customFormat="1">
      <c r="A21" s="16">
        <f>'13'!$B$2</f>
        <v>45609.041666666664</v>
      </c>
      <c r="B21" s="18">
        <f>'13'!B36</f>
        <v>5.3483333333333327</v>
      </c>
      <c r="C21" s="18">
        <f>'13'!C36</f>
        <v>8.0979166666666664</v>
      </c>
      <c r="D21" s="18">
        <f>'13'!D36</f>
        <v>14.077083333333336</v>
      </c>
      <c r="E21" s="18">
        <f>'13'!E36</f>
        <v>10.242083333333332</v>
      </c>
      <c r="F21" s="18">
        <f>'13'!F36</f>
        <v>8.1400000000000023</v>
      </c>
      <c r="G21" s="18">
        <f>'13'!G36</f>
        <v>80.731666666666683</v>
      </c>
      <c r="H21" s="18">
        <f>'13'!H36</f>
        <v>31.982500000000002</v>
      </c>
      <c r="I21" s="18">
        <f>'13'!I36</f>
        <v>8.7174999999999994</v>
      </c>
      <c r="J21" s="18">
        <f>'13'!J36</f>
        <v>0.40916666666666651</v>
      </c>
      <c r="K21" s="18">
        <f>'13'!K36</f>
        <v>135.00249999999997</v>
      </c>
      <c r="L21" s="18">
        <f>'13'!L36</f>
        <v>24.992916666666673</v>
      </c>
      <c r="M21" s="18">
        <f>'13'!M36</f>
        <v>63.517083333333339</v>
      </c>
      <c r="N21" s="18">
        <f>'13'!N36</f>
        <v>143.1333333333333</v>
      </c>
      <c r="O21" s="18">
        <f>'13'!O36</f>
        <v>0</v>
      </c>
      <c r="P21" s="18">
        <f>'13'!P36</f>
        <v>0.70374999999999976</v>
      </c>
      <c r="Q21" s="18">
        <f>'13'!Q36</f>
        <v>4.9904166666666656</v>
      </c>
      <c r="R21" s="36"/>
      <c r="S21" s="36"/>
      <c r="T21" s="36"/>
      <c r="U21" s="36"/>
    </row>
    <row r="22" spans="1:24" s="2" customFormat="1">
      <c r="A22" s="16">
        <f>'14'!$B$2</f>
        <v>45610.041666666664</v>
      </c>
      <c r="B22" s="18">
        <f>'14'!B36</f>
        <v>5.1541666666666677</v>
      </c>
      <c r="C22" s="18">
        <f>'14'!C36</f>
        <v>8.0854166666666689</v>
      </c>
      <c r="D22" s="18">
        <f>'14'!D36</f>
        <v>13.914999999999999</v>
      </c>
      <c r="E22" s="18">
        <f>'14'!E36</f>
        <v>10.938749999999999</v>
      </c>
      <c r="F22" s="18">
        <f>'14'!F36</f>
        <v>9.8825000000000003</v>
      </c>
      <c r="G22" s="18">
        <f>'14'!G36</f>
        <v>76.796956521739105</v>
      </c>
      <c r="H22" s="18">
        <f>'14'!H36</f>
        <v>25.531739130434779</v>
      </c>
      <c r="I22" s="18">
        <f>'14'!I36</f>
        <v>7.3883333333333345</v>
      </c>
      <c r="J22" s="18">
        <f>'14'!J36</f>
        <v>0.46124999999999999</v>
      </c>
      <c r="K22" s="18">
        <f>'14'!K36</f>
        <v>141.66500000000002</v>
      </c>
      <c r="L22" s="18">
        <f>'14'!L36</f>
        <v>24.478750000000002</v>
      </c>
      <c r="M22" s="18">
        <f>'14'!M36</f>
        <v>65.159166666666664</v>
      </c>
      <c r="N22" s="18">
        <f>'14'!N36</f>
        <v>139.78749999999999</v>
      </c>
      <c r="O22" s="18">
        <f>'14'!O36</f>
        <v>0</v>
      </c>
      <c r="P22" s="18">
        <f>'14'!P36</f>
        <v>0.60249999999999992</v>
      </c>
      <c r="Q22" s="18">
        <f>'14'!Q36</f>
        <v>4.9916666666666663</v>
      </c>
      <c r="R22" s="38"/>
      <c r="S22" s="38"/>
      <c r="T22" s="38"/>
      <c r="U22" s="38"/>
    </row>
    <row r="23" spans="1:24" s="2" customFormat="1">
      <c r="A23" s="16">
        <f>'15'!$B$2</f>
        <v>45611.041666666664</v>
      </c>
      <c r="B23" s="19">
        <f>'15'!B36</f>
        <v>5.2900000000000009</v>
      </c>
      <c r="C23" s="19">
        <f>'15'!C36</f>
        <v>8.0920833333333331</v>
      </c>
      <c r="D23" s="19">
        <f>'15'!D36</f>
        <v>14.031249999999995</v>
      </c>
      <c r="E23" s="19">
        <f>'15'!E36</f>
        <v>13.035833333333336</v>
      </c>
      <c r="F23" s="19">
        <f>'15'!F36</f>
        <v>7.8599999999999985</v>
      </c>
      <c r="G23" s="19">
        <f>'15'!G36</f>
        <v>84.82125000000002</v>
      </c>
      <c r="H23" s="19">
        <f>'15'!H36</f>
        <v>27.631249999999998</v>
      </c>
      <c r="I23" s="19">
        <f>'15'!I36</f>
        <v>8.8670833333333317</v>
      </c>
      <c r="J23" s="19">
        <f>'15'!J36</f>
        <v>0.41291666666666665</v>
      </c>
      <c r="K23" s="19">
        <f>'15'!K36</f>
        <v>110.82458333333329</v>
      </c>
      <c r="L23" s="19">
        <f>'15'!L36</f>
        <v>24.006249999999998</v>
      </c>
      <c r="M23" s="19">
        <f>'15'!M36</f>
        <v>60.277499999999996</v>
      </c>
      <c r="N23" s="19">
        <f>'15'!N36</f>
        <v>140.61666666666665</v>
      </c>
      <c r="O23" s="19">
        <f>'15'!O36</f>
        <v>0</v>
      </c>
      <c r="P23" s="19">
        <f>'15'!P36</f>
        <v>0.67874999999999996</v>
      </c>
      <c r="Q23" s="19">
        <f>'15'!Q36</f>
        <v>4.9941666666666658</v>
      </c>
      <c r="R23" s="38"/>
      <c r="S23" s="38"/>
      <c r="T23" s="38"/>
      <c r="U23" s="36"/>
    </row>
    <row r="24" spans="1:24" s="2" customFormat="1">
      <c r="A24" s="16">
        <f>'16'!$B$2</f>
        <v>45612.041666666664</v>
      </c>
      <c r="B24" s="18">
        <f>'16'!B36</f>
        <v>5.3029166666666674</v>
      </c>
      <c r="C24" s="18">
        <f>'16'!C36</f>
        <v>8.0991666666666688</v>
      </c>
      <c r="D24" s="18">
        <f>'16'!D36</f>
        <v>14.042916666666668</v>
      </c>
      <c r="E24" s="18">
        <f>'16'!E36</f>
        <v>10.703750000000001</v>
      </c>
      <c r="F24" s="18">
        <f>'16'!F36</f>
        <v>7.8579166666666653</v>
      </c>
      <c r="G24" s="18">
        <f>'16'!G36</f>
        <v>95.75833333333334</v>
      </c>
      <c r="H24" s="18">
        <f>'16'!H36</f>
        <v>30.46541666666667</v>
      </c>
      <c r="I24" s="18">
        <f>'16'!I36</f>
        <v>9.7629166666666638</v>
      </c>
      <c r="J24" s="18">
        <f>'16'!J36</f>
        <v>0.42666666666666669</v>
      </c>
      <c r="K24" s="18">
        <f>'16'!K36</f>
        <v>140.36791666666667</v>
      </c>
      <c r="L24" s="18">
        <f>'16'!L36</f>
        <v>22.980416666666667</v>
      </c>
      <c r="M24" s="18">
        <f>'16'!M36</f>
        <v>61.014583333333348</v>
      </c>
      <c r="N24" s="18">
        <f>'16'!N36</f>
        <v>143.97499999999999</v>
      </c>
      <c r="O24" s="18">
        <f>'16'!O36</f>
        <v>0</v>
      </c>
      <c r="P24" s="18">
        <f>'16'!P36</f>
        <v>0.77541666666666675</v>
      </c>
      <c r="Q24" s="18">
        <f>'16'!Q36</f>
        <v>4.9979166666666659</v>
      </c>
      <c r="R24" s="38"/>
      <c r="S24" s="38"/>
      <c r="T24" s="38"/>
      <c r="U24" s="36"/>
    </row>
    <row r="25" spans="1:24" s="2" customFormat="1">
      <c r="A25" s="16">
        <f>'17'!$B$2</f>
        <v>45613.041666666664</v>
      </c>
      <c r="B25" s="18">
        <f>'17'!B36</f>
        <v>5.202916666666666</v>
      </c>
      <c r="C25" s="18">
        <f>'17'!C36</f>
        <v>8.0941666666666645</v>
      </c>
      <c r="D25" s="18">
        <f>'17'!D36</f>
        <v>13.960416666666665</v>
      </c>
      <c r="E25" s="18">
        <f>'17'!E36</f>
        <v>9.8258333333333336</v>
      </c>
      <c r="F25" s="18">
        <f>'17'!F36</f>
        <v>8.7683333333333344</v>
      </c>
      <c r="G25" s="18">
        <f>'17'!G36</f>
        <v>98.34333333333332</v>
      </c>
      <c r="H25" s="18">
        <f>'17'!H36</f>
        <v>30.303750000000004</v>
      </c>
      <c r="I25" s="18">
        <f>'17'!I36</f>
        <v>10.283333333333333</v>
      </c>
      <c r="J25" s="18">
        <f>'17'!J36</f>
        <v>0.43208333333333332</v>
      </c>
      <c r="K25" s="18">
        <f>'17'!K36</f>
        <v>163.05624999999995</v>
      </c>
      <c r="L25" s="18">
        <f>'17'!L36</f>
        <v>22.525833333333328</v>
      </c>
      <c r="M25" s="18">
        <f>'17'!M36</f>
        <v>65.237083333333345</v>
      </c>
      <c r="N25" s="18">
        <f>'17'!N36</f>
        <v>128.77083333333334</v>
      </c>
      <c r="O25" s="18">
        <f>'17'!O36</f>
        <v>0</v>
      </c>
      <c r="P25" s="18">
        <f>'17'!P36</f>
        <v>0.94208333333333327</v>
      </c>
      <c r="Q25" s="18">
        <f>'17'!Q36</f>
        <v>4.994583333333332</v>
      </c>
      <c r="R25" s="38"/>
      <c r="S25" s="38"/>
      <c r="T25" s="38"/>
      <c r="U25" s="36"/>
    </row>
    <row r="26" spans="1:24" s="2" customFormat="1">
      <c r="A26" s="16">
        <f>'18'!$B$2</f>
        <v>45614.041666666664</v>
      </c>
      <c r="B26" s="18">
        <f>'18'!B36</f>
        <v>5.2358333333333347</v>
      </c>
      <c r="C26" s="18">
        <f>'18'!C36</f>
        <v>8.0941666666666663</v>
      </c>
      <c r="D26" s="18">
        <f>'18'!D36</f>
        <v>13.984583333333338</v>
      </c>
      <c r="E26" s="18">
        <f>'18'!E36</f>
        <v>9.4249999999999989</v>
      </c>
      <c r="F26" s="18">
        <f>'18'!F36</f>
        <v>10.292083333333332</v>
      </c>
      <c r="G26" s="18">
        <f>'18'!G36</f>
        <v>107.58916666666666</v>
      </c>
      <c r="H26" s="18">
        <f>'18'!H36</f>
        <v>30.819583333333327</v>
      </c>
      <c r="I26" s="18">
        <f>'18'!I36</f>
        <v>10.782083333333334</v>
      </c>
      <c r="J26" s="18">
        <f>'18'!J36</f>
        <v>0.44833333333333342</v>
      </c>
      <c r="K26" s="18">
        <f>'18'!K36</f>
        <v>141.81291666666667</v>
      </c>
      <c r="L26" s="18">
        <f>'18'!L36</f>
        <v>22.486666666666668</v>
      </c>
      <c r="M26" s="18">
        <f>'18'!M36</f>
        <v>61.858333333333341</v>
      </c>
      <c r="N26" s="18">
        <f>'18'!N36</f>
        <v>133.74583333333331</v>
      </c>
      <c r="O26" s="18">
        <f>'18'!O36</f>
        <v>0</v>
      </c>
      <c r="P26" s="18">
        <f>'18'!P36</f>
        <v>0.91458333333333341</v>
      </c>
      <c r="Q26" s="18">
        <f>'18'!Q36</f>
        <v>4.9983333333333331</v>
      </c>
      <c r="R26" s="38"/>
      <c r="S26" s="38"/>
      <c r="T26" s="38"/>
      <c r="U26" s="36"/>
    </row>
    <row r="27" spans="1:24" s="2" customFormat="1">
      <c r="A27" s="16">
        <f>'19'!$B$2</f>
        <v>45615.041666666664</v>
      </c>
      <c r="B27" s="18">
        <f>'19'!B36</f>
        <v>7.7229166666666673</v>
      </c>
      <c r="C27" s="18">
        <f>'19'!C36</f>
        <v>12.814166666666667</v>
      </c>
      <c r="D27" s="18">
        <f>'19'!D36</f>
        <v>16.111249999999998</v>
      </c>
      <c r="E27" s="18">
        <f>'19'!E36</f>
        <v>9.5054166666666653</v>
      </c>
      <c r="F27" s="18">
        <f>'19'!F36</f>
        <v>7.9116666666666662</v>
      </c>
      <c r="G27" s="18">
        <f>'19'!G36</f>
        <v>99.803749999999994</v>
      </c>
      <c r="H27" s="18">
        <f>'19'!H36</f>
        <v>31.00708333333333</v>
      </c>
      <c r="I27" s="18">
        <f>'19'!I36</f>
        <v>10.557500000000003</v>
      </c>
      <c r="J27" s="18">
        <f>'19'!J36</f>
        <v>0.42416666666666675</v>
      </c>
      <c r="K27" s="18">
        <f>'19'!K36</f>
        <v>145.82000000000002</v>
      </c>
      <c r="L27" s="18">
        <f>'19'!L36</f>
        <v>21.994583333333328</v>
      </c>
      <c r="M27" s="18">
        <f>'19'!M36</f>
        <v>64.620833333333323</v>
      </c>
      <c r="N27" s="18">
        <f>'19'!N36</f>
        <v>121.38749999999999</v>
      </c>
      <c r="O27" s="18">
        <f>'19'!O36</f>
        <v>0</v>
      </c>
      <c r="P27" s="18">
        <f>'19'!P36</f>
        <v>0.88291666666666657</v>
      </c>
      <c r="Q27" s="18">
        <f>'19'!Q36</f>
        <v>4.9716666666666658</v>
      </c>
      <c r="R27" s="38"/>
      <c r="S27" s="38"/>
      <c r="T27" s="38"/>
      <c r="U27" s="36"/>
    </row>
    <row r="28" spans="1:24" s="2" customFormat="1">
      <c r="A28" s="16">
        <f>'20'!$B$2</f>
        <v>45616.041666666664</v>
      </c>
      <c r="B28" s="18">
        <f>'20'!B36</f>
        <v>11.787916666666668</v>
      </c>
      <c r="C28" s="18">
        <f>'20'!C36</f>
        <v>21.726666666666663</v>
      </c>
      <c r="D28" s="18">
        <f>'20'!D36</f>
        <v>22.09041666666667</v>
      </c>
      <c r="E28" s="18">
        <f>'20'!E36</f>
        <v>9.7675000000000001</v>
      </c>
      <c r="F28" s="18">
        <f>'20'!F36</f>
        <v>7.3529166666666681</v>
      </c>
      <c r="G28" s="18">
        <f>'20'!G36</f>
        <v>104.96458333333334</v>
      </c>
      <c r="H28" s="18">
        <f>'20'!H36</f>
        <v>44.526666666666671</v>
      </c>
      <c r="I28" s="18">
        <f>'20'!I36</f>
        <v>11.796666666666669</v>
      </c>
      <c r="J28" s="18">
        <f>'20'!J36</f>
        <v>0.46583333333333332</v>
      </c>
      <c r="K28" s="18">
        <f>'20'!K36</f>
        <v>128.17333333333332</v>
      </c>
      <c r="L28" s="18">
        <f>'20'!L36</f>
        <v>21.398749999999996</v>
      </c>
      <c r="M28" s="18">
        <f>'20'!M36</f>
        <v>64.344583333333333</v>
      </c>
      <c r="N28" s="18">
        <f>'20'!N36</f>
        <v>116.94999999999999</v>
      </c>
      <c r="O28" s="18">
        <f>'20'!O36</f>
        <v>0</v>
      </c>
      <c r="P28" s="18">
        <f>'20'!P36</f>
        <v>0.91583333333333317</v>
      </c>
      <c r="Q28" s="18">
        <f>'20'!Q36</f>
        <v>4.7495833333333328</v>
      </c>
      <c r="R28" s="38"/>
      <c r="S28" s="38"/>
      <c r="T28" s="38"/>
      <c r="U28" s="36"/>
    </row>
    <row r="29" spans="1:24" s="2" customFormat="1">
      <c r="A29" s="16">
        <f>'21'!$B$2</f>
        <v>45617.041666666664</v>
      </c>
      <c r="B29" s="18">
        <f>'21'!B36</f>
        <v>11.822083333333332</v>
      </c>
      <c r="C29" s="18">
        <f>'21'!C36</f>
        <v>21.384166666666669</v>
      </c>
      <c r="D29" s="18">
        <f>'21'!D36</f>
        <v>21.8475</v>
      </c>
      <c r="E29" s="18">
        <f>'21'!E36</f>
        <v>9.6683333333333348</v>
      </c>
      <c r="F29" s="18">
        <f>'21'!F36</f>
        <v>6.9491666666666667</v>
      </c>
      <c r="G29" s="18">
        <f>'21'!G36</f>
        <v>113.91208333333333</v>
      </c>
      <c r="H29" s="18">
        <f>'21'!H36</f>
        <v>45.356666666666655</v>
      </c>
      <c r="I29" s="18">
        <f>'21'!I36</f>
        <v>12.559166666666668</v>
      </c>
      <c r="J29" s="18">
        <f>'21'!J36</f>
        <v>0.3520833333333333</v>
      </c>
      <c r="K29" s="18">
        <f>'21'!K36</f>
        <v>161.10375000000002</v>
      </c>
      <c r="L29" s="18">
        <f>'21'!L36</f>
        <v>21.182916666666667</v>
      </c>
      <c r="M29" s="18">
        <f>'21'!M36</f>
        <v>67.425416666666663</v>
      </c>
      <c r="N29" s="18">
        <f>'21'!N36</f>
        <v>109.92083333333333</v>
      </c>
      <c r="O29" s="18">
        <f>'21'!O36</f>
        <v>0</v>
      </c>
      <c r="P29" s="18">
        <f>'21'!P36</f>
        <v>1.0016666666666667</v>
      </c>
      <c r="Q29" s="18">
        <f>'21'!Q36</f>
        <v>4.7595833333333335</v>
      </c>
      <c r="R29" s="38"/>
      <c r="S29" s="38"/>
      <c r="T29" s="38"/>
      <c r="U29" s="36"/>
    </row>
    <row r="30" spans="1:24" s="2" customFormat="1">
      <c r="A30" s="16">
        <f>'22'!$B$2</f>
        <v>45618.041666666664</v>
      </c>
      <c r="B30" s="18">
        <f>'22'!B36</f>
        <v>8.6929166666666671</v>
      </c>
      <c r="C30" s="18">
        <f>'22'!C36</f>
        <v>22.561250000000005</v>
      </c>
      <c r="D30" s="18">
        <f>'22'!D36</f>
        <v>20.06958333333333</v>
      </c>
      <c r="E30" s="18">
        <f>'22'!E36</f>
        <v>9.4104166666666664</v>
      </c>
      <c r="F30" s="18">
        <f>'22'!F36</f>
        <v>6.8904166666666669</v>
      </c>
      <c r="G30" s="18">
        <f>'22'!G36</f>
        <v>122.8170833333333</v>
      </c>
      <c r="H30" s="18">
        <f>'22'!H36</f>
        <v>45.522916666666674</v>
      </c>
      <c r="I30" s="18">
        <f>'22'!I36</f>
        <v>11.782916666666665</v>
      </c>
      <c r="J30" s="18">
        <f>'22'!J36</f>
        <v>0.37583333333333346</v>
      </c>
      <c r="K30" s="18">
        <f>'22'!K36</f>
        <v>144.27291666666665</v>
      </c>
      <c r="L30" s="18">
        <f>'22'!L36</f>
        <v>21.074999999999999</v>
      </c>
      <c r="M30" s="18">
        <f>'22'!M36</f>
        <v>65.293749999999989</v>
      </c>
      <c r="N30" s="18">
        <f>'22'!N36</f>
        <v>102.95000000000003</v>
      </c>
      <c r="O30" s="18">
        <f>'22'!O36</f>
        <v>0</v>
      </c>
      <c r="P30" s="18">
        <f>'22'!P36</f>
        <v>1.0399999999999998</v>
      </c>
      <c r="Q30" s="18">
        <f>'22'!Q36</f>
        <v>4.7554166666666671</v>
      </c>
      <c r="R30" s="38"/>
      <c r="S30" s="36"/>
      <c r="T30" s="36"/>
      <c r="U30" s="36"/>
    </row>
    <row r="31" spans="1:24" s="2" customFormat="1">
      <c r="A31" s="16">
        <f>'23'!$B$2</f>
        <v>45619.041666666664</v>
      </c>
      <c r="B31" s="18">
        <f>'23'!B36</f>
        <v>10.422916666666667</v>
      </c>
      <c r="C31" s="18">
        <f>'23'!C36</f>
        <v>22.886666666666667</v>
      </c>
      <c r="D31" s="18">
        <f>'23'!D36</f>
        <v>21.490000000000006</v>
      </c>
      <c r="E31" s="18">
        <f>'23'!E36</f>
        <v>9.7808333333333302</v>
      </c>
      <c r="F31" s="18">
        <f>'23'!F36</f>
        <v>7.2754166666666658</v>
      </c>
      <c r="G31" s="18">
        <f>'23'!G36</f>
        <v>124.78166666666668</v>
      </c>
      <c r="H31" s="18">
        <f>'23'!H36</f>
        <v>44.507499999999993</v>
      </c>
      <c r="I31" s="18">
        <f>'23'!I36</f>
        <v>11.998749999999999</v>
      </c>
      <c r="J31" s="18">
        <f>'23'!J36</f>
        <v>0.34416666666666668</v>
      </c>
      <c r="K31" s="18">
        <f>'23'!K36</f>
        <v>200.2558333333333</v>
      </c>
      <c r="L31" s="18">
        <f>'23'!L36</f>
        <v>20.780833333333337</v>
      </c>
      <c r="M31" s="18">
        <f>'23'!M36</f>
        <v>67.581249999999983</v>
      </c>
      <c r="N31" s="18">
        <f>'23'!N36</f>
        <v>107.5291666666667</v>
      </c>
      <c r="O31" s="18">
        <f>'23'!O36</f>
        <v>0</v>
      </c>
      <c r="P31" s="18">
        <f>'23'!P36</f>
        <v>1.0149999999999999</v>
      </c>
      <c r="Q31" s="18">
        <f>'23'!Q36</f>
        <v>4.7641666666666662</v>
      </c>
      <c r="R31" s="36"/>
      <c r="S31" s="36"/>
      <c r="T31" s="36"/>
      <c r="U31" s="36"/>
    </row>
    <row r="32" spans="1:24" s="2" customFormat="1">
      <c r="A32" s="16">
        <f>'24'!$B$2</f>
        <v>45620.041666666664</v>
      </c>
      <c r="B32" s="18">
        <f>'24'!B36</f>
        <v>15.590416666666668</v>
      </c>
      <c r="C32" s="18">
        <f>'24'!C36</f>
        <v>23.227916666666669</v>
      </c>
      <c r="D32" s="18">
        <f>'24'!D36</f>
        <v>25.872083333333332</v>
      </c>
      <c r="E32" s="18">
        <f>'24'!E36</f>
        <v>8.7216666666666658</v>
      </c>
      <c r="F32" s="18">
        <f>'24'!F36</f>
        <v>6.9108333333333336</v>
      </c>
      <c r="G32" s="18">
        <f>'24'!G36</f>
        <v>110.93833333333332</v>
      </c>
      <c r="H32" s="18">
        <f>'24'!H36</f>
        <v>41.638333333333328</v>
      </c>
      <c r="I32" s="18">
        <f>'24'!I36</f>
        <v>12.344166666666665</v>
      </c>
      <c r="J32" s="18">
        <f>'24'!J36</f>
        <v>0.38750000000000012</v>
      </c>
      <c r="K32" s="18">
        <f>'24'!K36</f>
        <v>150.39000000000001</v>
      </c>
      <c r="L32" s="18">
        <f>'24'!L36</f>
        <v>20.53</v>
      </c>
      <c r="M32" s="18">
        <f>'24'!M36</f>
        <v>67.620416666666657</v>
      </c>
      <c r="N32" s="18">
        <f>'24'!N36</f>
        <v>112.70000000000005</v>
      </c>
      <c r="O32" s="18">
        <f>'24'!O36</f>
        <v>0</v>
      </c>
      <c r="P32" s="18">
        <f>'24'!P36</f>
        <v>1.0445833333333332</v>
      </c>
      <c r="Q32" s="18">
        <f>'24'!Q36</f>
        <v>4.7616666666666676</v>
      </c>
      <c r="R32" s="36"/>
      <c r="S32" s="36"/>
      <c r="T32" s="36"/>
      <c r="U32" s="36"/>
    </row>
    <row r="33" spans="1:21" s="2" customFormat="1">
      <c r="A33" s="16">
        <f>'25'!$B$2</f>
        <v>45621.041666666664</v>
      </c>
      <c r="B33" s="18">
        <f>'25'!B36</f>
        <v>14.247083333333331</v>
      </c>
      <c r="C33" s="18">
        <f>'25'!C36</f>
        <v>21.536249999999999</v>
      </c>
      <c r="D33" s="18">
        <f>'25'!D36</f>
        <v>23.879999999999995</v>
      </c>
      <c r="E33" s="18">
        <f>'25'!E36</f>
        <v>9.1629166666666659</v>
      </c>
      <c r="F33" s="18">
        <f>'25'!F36</f>
        <v>6.8816666666666677</v>
      </c>
      <c r="G33" s="18">
        <f>'25'!G36</f>
        <v>95.950833333333335</v>
      </c>
      <c r="H33" s="18">
        <f>'25'!H36</f>
        <v>34.16375</v>
      </c>
      <c r="I33" s="18">
        <f>'25'!I36</f>
        <v>10.570416666666667</v>
      </c>
      <c r="J33" s="18">
        <f>'25'!J36</f>
        <v>0.47291666666666682</v>
      </c>
      <c r="K33" s="18">
        <f>'25'!K36</f>
        <v>159.4695833333333</v>
      </c>
      <c r="L33" s="18">
        <f>'25'!L36</f>
        <v>20.705000000000002</v>
      </c>
      <c r="M33" s="18">
        <f>'25'!M36</f>
        <v>63.888333333333343</v>
      </c>
      <c r="N33" s="18">
        <f>'25'!N36</f>
        <v>121.62500000000001</v>
      </c>
      <c r="O33" s="18">
        <f>'25'!O36</f>
        <v>0</v>
      </c>
      <c r="P33" s="18">
        <f>'25'!P36</f>
        <v>0.93958333333333321</v>
      </c>
      <c r="Q33" s="18">
        <f>'25'!Q36</f>
        <v>4.7666666666666684</v>
      </c>
      <c r="R33" s="36"/>
      <c r="S33" s="36"/>
      <c r="T33" s="36"/>
      <c r="U33" s="36"/>
    </row>
    <row r="34" spans="1:21" s="2" customFormat="1">
      <c r="A34" s="16">
        <f>'26'!$B$2</f>
        <v>45622.041666666664</v>
      </c>
      <c r="B34" s="18">
        <f>'26'!B36</f>
        <v>15.730833333333338</v>
      </c>
      <c r="C34" s="18">
        <f>'26'!C36</f>
        <v>21.436250000000005</v>
      </c>
      <c r="D34" s="18">
        <f>'26'!D36</f>
        <v>25.005416666666672</v>
      </c>
      <c r="E34" s="18">
        <f>'26'!E36</f>
        <v>9.7841666666666658</v>
      </c>
      <c r="F34" s="18">
        <f>'26'!F36</f>
        <v>6.7629166666666665</v>
      </c>
      <c r="G34" s="18">
        <f>'26'!G36</f>
        <v>87.995000000000005</v>
      </c>
      <c r="H34" s="18">
        <f>'26'!H36</f>
        <v>30.332499999999992</v>
      </c>
      <c r="I34" s="18">
        <f>'26'!I36</f>
        <v>10.017083333333332</v>
      </c>
      <c r="J34" s="18">
        <f>'26'!J36</f>
        <v>0.40499999999999997</v>
      </c>
      <c r="K34" s="18">
        <f>'26'!K36</f>
        <v>168.13333333333335</v>
      </c>
      <c r="L34" s="18">
        <f>'26'!L36</f>
        <v>20.645</v>
      </c>
      <c r="M34" s="18">
        <f>'26'!M36</f>
        <v>64.612500000000011</v>
      </c>
      <c r="N34" s="18">
        <f>'26'!N36</f>
        <v>122.21250000000002</v>
      </c>
      <c r="O34" s="18">
        <f>'26'!O36</f>
        <v>0</v>
      </c>
      <c r="P34" s="18">
        <f>'26'!P36</f>
        <v>0.87333333333333341</v>
      </c>
      <c r="Q34" s="18">
        <f>'26'!Q36</f>
        <v>4.765416666666666</v>
      </c>
      <c r="R34" s="36"/>
      <c r="S34" s="36"/>
      <c r="T34" s="36"/>
      <c r="U34" s="36"/>
    </row>
    <row r="35" spans="1:21" s="2" customFormat="1">
      <c r="A35" s="16">
        <f>'27'!$B$2</f>
        <v>45623.041666666664</v>
      </c>
      <c r="B35" s="18">
        <f>'27'!B36</f>
        <v>14.252083333333331</v>
      </c>
      <c r="C35" s="18">
        <f>'27'!C36</f>
        <v>23.030416666666667</v>
      </c>
      <c r="D35" s="18">
        <f>'27'!D36</f>
        <v>24.702916666666663</v>
      </c>
      <c r="E35" s="18">
        <f>'27'!E36</f>
        <v>10.025416666666667</v>
      </c>
      <c r="F35" s="18">
        <f>'27'!F36</f>
        <v>9.1525000000000016</v>
      </c>
      <c r="G35" s="18">
        <f>'27'!G36</f>
        <v>110.46375</v>
      </c>
      <c r="H35" s="18">
        <f>'27'!H36</f>
        <v>32.081249999999997</v>
      </c>
      <c r="I35" s="18">
        <f>'27'!I36</f>
        <v>10.017916666666666</v>
      </c>
      <c r="J35" s="18">
        <f>'27'!J36</f>
        <v>0.45208333333333323</v>
      </c>
      <c r="K35" s="18">
        <f>'27'!K36</f>
        <v>150.77541666666667</v>
      </c>
      <c r="L35" s="18">
        <f>'27'!L36</f>
        <v>20.638749999999998</v>
      </c>
      <c r="M35" s="18">
        <f>'27'!M36</f>
        <v>59.184999999999981</v>
      </c>
      <c r="N35" s="18">
        <f>'27'!N36</f>
        <v>114.29166666666663</v>
      </c>
      <c r="O35" s="18">
        <f>'27'!O36</f>
        <v>0</v>
      </c>
      <c r="P35" s="18">
        <f>'27'!P36</f>
        <v>0.87124999999999997</v>
      </c>
      <c r="Q35" s="18">
        <f>'27'!Q36</f>
        <v>8.1341666666666672</v>
      </c>
      <c r="R35" s="36"/>
      <c r="S35" s="36"/>
      <c r="T35" s="36"/>
      <c r="U35" s="36"/>
    </row>
    <row r="36" spans="1:21" s="2" customFormat="1">
      <c r="A36" s="16">
        <f>'28'!$B$2</f>
        <v>45624.041666666664</v>
      </c>
      <c r="B36" s="18">
        <f>'28'!B36</f>
        <v>10.480416666666665</v>
      </c>
      <c r="C36" s="18">
        <f>'28'!C36</f>
        <v>23.384166666666669</v>
      </c>
      <c r="D36" s="18">
        <f>'28'!D36</f>
        <v>21.87458333333333</v>
      </c>
      <c r="E36" s="18">
        <f>'28'!E36</f>
        <v>9.1125000000000007</v>
      </c>
      <c r="F36" s="18">
        <f>'28'!F36</f>
        <v>7.1733333333333329</v>
      </c>
      <c r="G36" s="18">
        <f>'28'!G36</f>
        <v>102.98041666666666</v>
      </c>
      <c r="H36" s="18">
        <f>'28'!H36</f>
        <v>37.092499999999994</v>
      </c>
      <c r="I36" s="18">
        <f>'28'!I36</f>
        <v>10.632916666666668</v>
      </c>
      <c r="J36" s="18">
        <f>'28'!J36</f>
        <v>0.63124999999999987</v>
      </c>
      <c r="K36" s="18">
        <f>'28'!K36</f>
        <v>96.546250000000001</v>
      </c>
      <c r="L36" s="18">
        <f>'28'!L36</f>
        <v>20.125416666666666</v>
      </c>
      <c r="M36" s="18">
        <f>'28'!M36</f>
        <v>58.992083333333333</v>
      </c>
      <c r="N36" s="18">
        <f>'28'!N36</f>
        <v>101.10416666666664</v>
      </c>
      <c r="O36" s="18">
        <f>'28'!O36</f>
        <v>0</v>
      </c>
      <c r="P36" s="18">
        <f>'28'!P36</f>
        <v>0.96166666666666678</v>
      </c>
      <c r="Q36" s="18">
        <f>'28'!Q36</f>
        <v>10.800000000000002</v>
      </c>
      <c r="R36" s="36"/>
      <c r="S36" s="36"/>
      <c r="T36" s="36"/>
      <c r="U36" s="36"/>
    </row>
    <row r="37" spans="1:21" s="2" customFormat="1">
      <c r="A37" s="16">
        <f>'29'!$B$2</f>
        <v>45625.041666666664</v>
      </c>
      <c r="B37" s="18">
        <f>'29'!B36</f>
        <v>7.7624999999999984</v>
      </c>
      <c r="C37" s="18">
        <f>'29'!C36</f>
        <v>22.642083333333336</v>
      </c>
      <c r="D37" s="18">
        <f>'29'!D36</f>
        <v>19.360000000000003</v>
      </c>
      <c r="E37" s="18">
        <f>'29'!E36</f>
        <v>9.0400000000000009</v>
      </c>
      <c r="F37" s="18">
        <f>'29'!F36</f>
        <v>9.8666666666666671</v>
      </c>
      <c r="G37" s="18">
        <f>'29'!G36</f>
        <v>99.799583333333331</v>
      </c>
      <c r="H37" s="18">
        <f>'29'!H36</f>
        <v>36.178750000000001</v>
      </c>
      <c r="I37" s="18">
        <f>'29'!I36</f>
        <v>9.824583333333333</v>
      </c>
      <c r="J37" s="18">
        <f>'29'!J36</f>
        <v>0.72666666666666657</v>
      </c>
      <c r="K37" s="18">
        <f>'29'!K36</f>
        <v>63.362083333333338</v>
      </c>
      <c r="L37" s="18">
        <f>'29'!L36</f>
        <v>21.59</v>
      </c>
      <c r="M37" s="18">
        <f>'29'!M36</f>
        <v>59.908749999999998</v>
      </c>
      <c r="N37" s="18">
        <f>'29'!N36</f>
        <v>108.79166666666667</v>
      </c>
      <c r="O37" s="18">
        <f>'29'!O36</f>
        <v>0</v>
      </c>
      <c r="P37" s="18">
        <f>'29'!P36</f>
        <v>0.90916666666666668</v>
      </c>
      <c r="Q37" s="18">
        <f>'29'!Q36</f>
        <v>10.507916666666665</v>
      </c>
      <c r="R37" s="36"/>
      <c r="S37" s="36"/>
      <c r="T37" s="36"/>
      <c r="U37" s="36"/>
    </row>
    <row r="38" spans="1:21" s="2" customFormat="1">
      <c r="A38" s="16">
        <f>'30'!$B$2</f>
        <v>45626.041666666664</v>
      </c>
      <c r="B38" s="18">
        <f>'30'!B36</f>
        <v>8.6129166666666652</v>
      </c>
      <c r="C38" s="18">
        <f>'30'!C36</f>
        <v>21.552916666666665</v>
      </c>
      <c r="D38" s="18">
        <f>'30'!D36</f>
        <v>19.406249999999996</v>
      </c>
      <c r="E38" s="18">
        <f>'30'!E36</f>
        <v>9.8375000000000004</v>
      </c>
      <c r="F38" s="18">
        <f>'30'!F36</f>
        <v>6.4487500000000004</v>
      </c>
      <c r="G38" s="18">
        <f>'30'!G36</f>
        <v>81.754583333333343</v>
      </c>
      <c r="H38" s="18">
        <f>'30'!H36</f>
        <v>28.796250000000001</v>
      </c>
      <c r="I38" s="18">
        <f>'30'!I36</f>
        <v>10.269166666666665</v>
      </c>
      <c r="J38" s="18">
        <f>'30'!J36</f>
        <v>0.76166666666666671</v>
      </c>
      <c r="K38" s="18">
        <f>'30'!K36</f>
        <v>75.056666666666658</v>
      </c>
      <c r="L38" s="18">
        <f>'30'!L36</f>
        <v>21.259166666666662</v>
      </c>
      <c r="M38" s="18">
        <f>'30'!M36</f>
        <v>75.800416666666663</v>
      </c>
      <c r="N38" s="18">
        <f>'30'!N36</f>
        <v>46.366666666666667</v>
      </c>
      <c r="O38" s="18">
        <f>'30'!O36</f>
        <v>0</v>
      </c>
      <c r="P38" s="18">
        <f>'30'!P36</f>
        <v>0.8666666666666667</v>
      </c>
      <c r="Q38" s="18">
        <f>'30'!Q36</f>
        <v>10.251249999999997</v>
      </c>
      <c r="R38" s="36"/>
      <c r="S38" s="36"/>
      <c r="T38" s="36"/>
      <c r="U38" s="36"/>
    </row>
    <row r="39" spans="1:21" s="1" customFormat="1">
      <c r="A39"/>
      <c r="R39" s="40"/>
      <c r="S39" s="40"/>
      <c r="T39" s="40"/>
      <c r="U39" s="40"/>
    </row>
    <row r="40" spans="1:21" s="1" customFormat="1">
      <c r="A40" s="3" t="s">
        <v>48</v>
      </c>
      <c r="B40" s="20">
        <f t="shared" ref="B40:Q40" si="0">MIN(B9:B38)</f>
        <v>5.1541666666666677</v>
      </c>
      <c r="C40" s="20">
        <f t="shared" si="0"/>
        <v>8.0812499999999989</v>
      </c>
      <c r="D40" s="20">
        <f t="shared" si="0"/>
        <v>13.914999999999999</v>
      </c>
      <c r="E40" s="20">
        <f t="shared" si="0"/>
        <v>8.7216666666666658</v>
      </c>
      <c r="F40" s="20">
        <f t="shared" si="0"/>
        <v>6.4487500000000004</v>
      </c>
      <c r="G40" s="20">
        <f t="shared" si="0"/>
        <v>70.788750000000022</v>
      </c>
      <c r="H40" s="20">
        <f t="shared" si="0"/>
        <v>23.252083333333335</v>
      </c>
      <c r="I40" s="20">
        <f t="shared" si="0"/>
        <v>7.1887499999999998</v>
      </c>
      <c r="J40" s="20">
        <f t="shared" si="0"/>
        <v>0.26750000000000002</v>
      </c>
      <c r="K40" s="20">
        <f t="shared" si="0"/>
        <v>63.362083333333338</v>
      </c>
      <c r="L40" s="20">
        <f t="shared" si="0"/>
        <v>20.125416666666666</v>
      </c>
      <c r="M40" s="20">
        <f t="shared" si="0"/>
        <v>58.992083333333333</v>
      </c>
      <c r="N40" s="20">
        <f t="shared" si="0"/>
        <v>46.366666666666667</v>
      </c>
      <c r="O40" s="20">
        <f t="shared" si="0"/>
        <v>0</v>
      </c>
      <c r="P40" s="20">
        <f t="shared" si="0"/>
        <v>0.60249999999999992</v>
      </c>
      <c r="Q40" s="20">
        <f t="shared" si="0"/>
        <v>4.2904166666666681</v>
      </c>
      <c r="R40" s="40"/>
      <c r="S40" s="40"/>
      <c r="T40" s="40"/>
      <c r="U40" s="40"/>
    </row>
    <row r="41" spans="1:21" s="1" customFormat="1">
      <c r="A41" s="3" t="s">
        <v>49</v>
      </c>
      <c r="B41" s="20">
        <f t="shared" ref="B41:Q41" si="1">MAX(B9:B38)</f>
        <v>15.730833333333338</v>
      </c>
      <c r="C41" s="20">
        <f t="shared" si="1"/>
        <v>23.384166666666669</v>
      </c>
      <c r="D41" s="20">
        <f t="shared" si="1"/>
        <v>25.872083333333332</v>
      </c>
      <c r="E41" s="20">
        <f t="shared" si="1"/>
        <v>13.035833333333336</v>
      </c>
      <c r="F41" s="20">
        <f t="shared" si="1"/>
        <v>18.634583333333335</v>
      </c>
      <c r="G41" s="20">
        <f t="shared" si="1"/>
        <v>124.78166666666668</v>
      </c>
      <c r="H41" s="20">
        <f t="shared" si="1"/>
        <v>45.522916666666674</v>
      </c>
      <c r="I41" s="20">
        <f t="shared" si="1"/>
        <v>12.559166666666668</v>
      </c>
      <c r="J41" s="20">
        <f t="shared" si="1"/>
        <v>0.76166666666666671</v>
      </c>
      <c r="K41" s="20">
        <f t="shared" si="1"/>
        <v>233.6304166666666</v>
      </c>
      <c r="L41" s="20">
        <f t="shared" si="1"/>
        <v>27.400416666666661</v>
      </c>
      <c r="M41" s="20">
        <f t="shared" si="1"/>
        <v>75.800416666666663</v>
      </c>
      <c r="N41" s="20">
        <f t="shared" si="1"/>
        <v>162.45416666666662</v>
      </c>
      <c r="O41" s="20">
        <f t="shared" si="1"/>
        <v>0</v>
      </c>
      <c r="P41" s="20">
        <f t="shared" si="1"/>
        <v>1.0445833333333332</v>
      </c>
      <c r="Q41" s="20">
        <f t="shared" si="1"/>
        <v>10.800000000000002</v>
      </c>
      <c r="R41" s="40"/>
      <c r="S41" s="40"/>
      <c r="T41" s="40"/>
      <c r="U41" s="40"/>
    </row>
    <row r="42" spans="1:21" s="1" customFormat="1">
      <c r="A42" s="3" t="s">
        <v>50</v>
      </c>
      <c r="B42" s="20">
        <f t="shared" ref="B42:Q42" si="2">AVERAGE(B9:B38)</f>
        <v>7.7249166666666671</v>
      </c>
      <c r="C42" s="20">
        <f t="shared" si="2"/>
        <v>13.460069444444446</v>
      </c>
      <c r="D42" s="20">
        <f t="shared" si="2"/>
        <v>17.124444444444446</v>
      </c>
      <c r="E42" s="20">
        <f t="shared" si="2"/>
        <v>10.302500000000002</v>
      </c>
      <c r="F42" s="20">
        <f t="shared" si="2"/>
        <v>8.7009999999999987</v>
      </c>
      <c r="G42" s="20">
        <f t="shared" si="2"/>
        <v>94.497885144927537</v>
      </c>
      <c r="H42" s="20">
        <f t="shared" si="2"/>
        <v>33.767675724637684</v>
      </c>
      <c r="I42" s="20">
        <f t="shared" si="2"/>
        <v>9.6712638888888893</v>
      </c>
      <c r="J42" s="20">
        <f t="shared" si="2"/>
        <v>0.42279166666666662</v>
      </c>
      <c r="K42" s="20">
        <f t="shared" si="2"/>
        <v>152.04629166666666</v>
      </c>
      <c r="L42" s="20">
        <f t="shared" si="2"/>
        <v>23.48266666666667</v>
      </c>
      <c r="M42" s="20">
        <f t="shared" si="2"/>
        <v>66.304513888888906</v>
      </c>
      <c r="N42" s="20">
        <f t="shared" si="2"/>
        <v>125.20666666666664</v>
      </c>
      <c r="O42" s="20">
        <f t="shared" si="2"/>
        <v>0</v>
      </c>
      <c r="P42" s="20">
        <f t="shared" si="2"/>
        <v>0.81769444444444417</v>
      </c>
      <c r="Q42" s="20">
        <f t="shared" si="2"/>
        <v>5.3543055555555554</v>
      </c>
      <c r="R42" s="40"/>
      <c r="S42" s="40"/>
      <c r="T42" s="40"/>
      <c r="U42" s="40"/>
    </row>
    <row r="43" spans="1:21" s="1" customFormat="1">
      <c r="A43" s="3" t="s">
        <v>51</v>
      </c>
      <c r="B43" s="20">
        <f t="shared" ref="B43:Q43" si="3">STDEV(B9:B38)</f>
        <v>3.575250966460966</v>
      </c>
      <c r="C43" s="20">
        <f t="shared" si="3"/>
        <v>6.9144080260781209</v>
      </c>
      <c r="D43" s="20">
        <f t="shared" si="3"/>
        <v>4.2580561398035872</v>
      </c>
      <c r="E43" s="20">
        <f t="shared" si="3"/>
        <v>1.013266679125866</v>
      </c>
      <c r="F43" s="20">
        <f t="shared" si="3"/>
        <v>2.2886140839572273</v>
      </c>
      <c r="G43" s="20">
        <f t="shared" si="3"/>
        <v>13.75477198821892</v>
      </c>
      <c r="H43" s="20">
        <f t="shared" si="3"/>
        <v>5.8126384989748408</v>
      </c>
      <c r="I43" s="20">
        <f t="shared" si="3"/>
        <v>1.5067308137987345</v>
      </c>
      <c r="J43" s="20">
        <f t="shared" si="3"/>
        <v>0.11362444388459875</v>
      </c>
      <c r="K43" s="20">
        <f t="shared" si="3"/>
        <v>38.684920346213445</v>
      </c>
      <c r="L43" s="20">
        <f t="shared" si="3"/>
        <v>2.3601078413894809</v>
      </c>
      <c r="M43" s="20">
        <f t="shared" si="3"/>
        <v>4.4025165544823492</v>
      </c>
      <c r="N43" s="20">
        <f t="shared" si="3"/>
        <v>21.885396998273492</v>
      </c>
      <c r="O43" s="20">
        <f t="shared" si="3"/>
        <v>0</v>
      </c>
      <c r="P43" s="20">
        <f t="shared" si="3"/>
        <v>0.13452243352440674</v>
      </c>
      <c r="Q43" s="20">
        <f t="shared" si="3"/>
        <v>1.8844623730667782</v>
      </c>
      <c r="R43" s="33"/>
      <c r="S43" s="33"/>
      <c r="T43" s="33"/>
      <c r="U43" s="33"/>
    </row>
    <row r="44" spans="1:21" s="1" customFormat="1">
      <c r="A44" s="3" t="s">
        <v>52</v>
      </c>
      <c r="B44" s="6">
        <f t="shared" ref="B44:Q44" si="4">COUNT(B9:B38)</f>
        <v>30</v>
      </c>
      <c r="C44" s="6">
        <f t="shared" si="4"/>
        <v>30</v>
      </c>
      <c r="D44" s="6">
        <f t="shared" si="4"/>
        <v>30</v>
      </c>
      <c r="E44" s="6">
        <f t="shared" si="4"/>
        <v>30</v>
      </c>
      <c r="F44" s="6">
        <f t="shared" si="4"/>
        <v>30</v>
      </c>
      <c r="G44" s="6">
        <f t="shared" si="4"/>
        <v>30</v>
      </c>
      <c r="H44" s="6">
        <f t="shared" si="4"/>
        <v>30</v>
      </c>
      <c r="I44" s="6">
        <f t="shared" si="4"/>
        <v>30</v>
      </c>
      <c r="J44" s="6">
        <f t="shared" si="4"/>
        <v>30</v>
      </c>
      <c r="K44" s="6">
        <f t="shared" si="4"/>
        <v>30</v>
      </c>
      <c r="L44" s="6">
        <f t="shared" si="4"/>
        <v>30</v>
      </c>
      <c r="M44" s="6">
        <f t="shared" si="4"/>
        <v>30</v>
      </c>
      <c r="N44" s="6">
        <f t="shared" si="4"/>
        <v>30</v>
      </c>
      <c r="O44" s="6">
        <f t="shared" si="4"/>
        <v>30</v>
      </c>
      <c r="P44" s="6">
        <f t="shared" si="4"/>
        <v>30</v>
      </c>
      <c r="Q44" s="6">
        <f t="shared" si="4"/>
        <v>30</v>
      </c>
      <c r="R44" s="33"/>
      <c r="S44" s="33"/>
      <c r="T44" s="33"/>
      <c r="U44" s="33"/>
    </row>
    <row r="45" spans="1:21" s="1" customFormat="1">
      <c r="A45" s="3" t="s">
        <v>53</v>
      </c>
      <c r="B45" s="6" t="str">
        <f>IF(B44&gt;=28,"&gt;90%",IF(B44&lt;=28,"&lt;90%"))</f>
        <v>&gt;90%</v>
      </c>
      <c r="C45" s="6" t="str">
        <f t="shared" ref="C45:Q45" si="5">IF(C44&gt;=28,"&gt;90%",IF(C44&lt;=28,"&lt;90%"))</f>
        <v>&gt;90%</v>
      </c>
      <c r="D45" s="6" t="str">
        <f t="shared" si="5"/>
        <v>&gt;90%</v>
      </c>
      <c r="E45" s="6" t="str">
        <f t="shared" si="5"/>
        <v>&gt;90%</v>
      </c>
      <c r="F45" s="6" t="str">
        <f t="shared" si="5"/>
        <v>&gt;90%</v>
      </c>
      <c r="G45" s="6" t="str">
        <f t="shared" si="5"/>
        <v>&gt;90%</v>
      </c>
      <c r="H45" s="6" t="str">
        <f t="shared" si="5"/>
        <v>&gt;90%</v>
      </c>
      <c r="I45" s="6" t="str">
        <f t="shared" si="5"/>
        <v>&gt;90%</v>
      </c>
      <c r="J45" s="6" t="str">
        <f t="shared" si="5"/>
        <v>&gt;90%</v>
      </c>
      <c r="K45" s="6" t="str">
        <f t="shared" si="5"/>
        <v>&gt;90%</v>
      </c>
      <c r="L45" s="6" t="str">
        <f t="shared" si="5"/>
        <v>&gt;90%</v>
      </c>
      <c r="M45" s="6" t="str">
        <f t="shared" si="5"/>
        <v>&gt;90%</v>
      </c>
      <c r="N45" s="6" t="str">
        <f t="shared" si="5"/>
        <v>&gt;90%</v>
      </c>
      <c r="O45" s="6" t="str">
        <f t="shared" si="5"/>
        <v>&gt;90%</v>
      </c>
      <c r="P45" s="6" t="str">
        <f t="shared" si="5"/>
        <v>&gt;90%</v>
      </c>
      <c r="Q45" s="6" t="str">
        <f t="shared" si="5"/>
        <v>&gt;90%</v>
      </c>
      <c r="R45" s="33"/>
      <c r="S45" s="33"/>
      <c r="T45" s="33"/>
      <c r="U45" s="33"/>
    </row>
    <row r="46" spans="1:21">
      <c r="A46" s="3" t="s">
        <v>54</v>
      </c>
      <c r="B46" s="6" t="str">
        <f>IF(B44&gt;=28,"OK",IF(B44&lt;=28,"LESS"))</f>
        <v>OK</v>
      </c>
      <c r="C46" s="6" t="str">
        <f t="shared" ref="C46:Q46" si="6">IF(C44&gt;=28,"OK",IF(C44&lt;=28,"LESS"))</f>
        <v>OK</v>
      </c>
      <c r="D46" s="6" t="str">
        <f t="shared" si="6"/>
        <v>OK</v>
      </c>
      <c r="E46" s="6" t="str">
        <f t="shared" si="6"/>
        <v>OK</v>
      </c>
      <c r="F46" s="6" t="str">
        <f t="shared" si="6"/>
        <v>OK</v>
      </c>
      <c r="G46" s="6" t="str">
        <f t="shared" si="6"/>
        <v>OK</v>
      </c>
      <c r="H46" s="6" t="str">
        <f t="shared" si="6"/>
        <v>OK</v>
      </c>
      <c r="I46" s="6" t="str">
        <f t="shared" si="6"/>
        <v>OK</v>
      </c>
      <c r="J46" s="6" t="str">
        <f t="shared" si="6"/>
        <v>OK</v>
      </c>
      <c r="K46" s="6" t="str">
        <f t="shared" si="6"/>
        <v>OK</v>
      </c>
      <c r="L46" s="6" t="str">
        <f t="shared" si="6"/>
        <v>OK</v>
      </c>
      <c r="M46" s="6" t="str">
        <f t="shared" si="6"/>
        <v>OK</v>
      </c>
      <c r="N46" s="6" t="str">
        <f t="shared" si="6"/>
        <v>OK</v>
      </c>
      <c r="O46" s="6" t="str">
        <f t="shared" si="6"/>
        <v>OK</v>
      </c>
      <c r="P46" s="6" t="str">
        <f t="shared" si="6"/>
        <v>OK</v>
      </c>
      <c r="Q46" s="6" t="str">
        <f t="shared" si="6"/>
        <v>OK</v>
      </c>
      <c r="R46" s="1"/>
      <c r="S46" s="1"/>
      <c r="T46" s="1"/>
    </row>
    <row r="47" spans="1:2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9" spans="1:16">
      <c r="A49" s="3" t="s">
        <v>55</v>
      </c>
      <c r="B49" s="21" t="s">
        <v>56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22"/>
      <c r="B50" s="1"/>
      <c r="C50" s="1"/>
      <c r="D50" s="23"/>
      <c r="E50" s="23"/>
      <c r="F50" s="23"/>
      <c r="G50" s="23"/>
      <c r="H50" s="23"/>
      <c r="I50" s="23"/>
      <c r="J50" s="1"/>
      <c r="K50" s="1"/>
      <c r="L50" s="1"/>
      <c r="M50" s="1"/>
      <c r="N50" s="1"/>
      <c r="O50" s="1"/>
      <c r="P50" s="1"/>
    </row>
    <row r="51" spans="1:16" ht="15.75">
      <c r="A51" s="24" t="s">
        <v>57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</row>
    <row r="52" spans="1:16">
      <c r="A52" s="2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2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2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">
    <mergeCell ref="B51:P5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2018-07-30T12:51:00Z</cp:lastPrinted>
  <dcterms:created xsi:type="dcterms:W3CDTF">2013-08-23T16:44:00Z</dcterms:created>
  <dcterms:modified xsi:type="dcterms:W3CDTF">2024-12-03T14:54:41Z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